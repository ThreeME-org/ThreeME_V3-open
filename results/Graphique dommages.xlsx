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lori\Documents\Github\ThreeME_V3-ADEME\results\"/>
    </mc:Choice>
  </mc:AlternateContent>
  <xr:revisionPtr revIDLastSave="0" documentId="13_ncr:1_{11E2F197-2CA4-415B-80A6-83CB3351417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onnées" sheetId="2" r:id="rId1"/>
    <sheet name="Gr Macro" sheetId="5" r:id="rId2"/>
    <sheet name="Gr inflation" sheetId="6" r:id="rId3"/>
    <sheet name="Gr émissions" sheetId="7" r:id="rId4"/>
    <sheet name="Gr conso éner" sheetId="28" r:id="rId5"/>
    <sheet name="GR macro ener" sheetId="30" r:id="rId6"/>
    <sheet name="Gr éner prim" sheetId="29" r:id="rId7"/>
    <sheet name="BUIL (class,base)" sheetId="25" r:id="rId8"/>
    <sheet name="BUIL (class,shock)" sheetId="26" r:id="rId9"/>
    <sheet name="Auto (class,base)" sheetId="24" r:id="rId10"/>
    <sheet name="Auto (class,shock)" sheetId="23" r:id="rId11"/>
    <sheet name="Auto (ener,shock)" sheetId="21" r:id="rId12"/>
    <sheet name="Auto (ener,base)" sheetId="22" r:id="rId13"/>
    <sheet name="Employment" sheetId="16" r:id="rId14"/>
    <sheet name="Investment" sheetId="20" r:id="rId15"/>
    <sheet name="Firms' emissions" sheetId="27" r:id="rId16"/>
    <sheet name="Capital intensity" sheetId="17" r:id="rId17"/>
    <sheet name="Energy intensity" sheetId="18" r:id="rId18"/>
    <sheet name="Gr VA secteurs (% dev)" sheetId="12" r:id="rId19"/>
    <sheet name="Gr VA secteurs (% share)" sheetId="13" r:id="rId20"/>
    <sheet name="Gr Y secteurs (% dev)" sheetId="14" r:id="rId21"/>
    <sheet name="Gr Y secteurs (% share)" sheetId="15" r:id="rId22"/>
  </sheets>
  <externalReferences>
    <externalReference r:id="rId2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523" i="2" l="1"/>
  <c r="BE523" i="2"/>
  <c r="BD523" i="2"/>
  <c r="BC523" i="2"/>
  <c r="BB523" i="2"/>
  <c r="BA523" i="2"/>
  <c r="AZ523" i="2"/>
  <c r="AY523" i="2"/>
  <c r="AX523" i="2"/>
  <c r="AW523" i="2"/>
  <c r="AV523" i="2"/>
  <c r="AU523" i="2"/>
  <c r="AT523" i="2"/>
  <c r="AS523" i="2"/>
  <c r="AR523" i="2"/>
  <c r="AQ523" i="2"/>
  <c r="AP523" i="2"/>
  <c r="AO523" i="2"/>
  <c r="AN523" i="2"/>
  <c r="AM523" i="2"/>
  <c r="AL523" i="2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BF522" i="2"/>
  <c r="BE522" i="2"/>
  <c r="BD522" i="2"/>
  <c r="BC522" i="2"/>
  <c r="BB522" i="2"/>
  <c r="BA522" i="2"/>
  <c r="AZ522" i="2"/>
  <c r="AY522" i="2"/>
  <c r="AX522" i="2"/>
  <c r="AW522" i="2"/>
  <c r="AV522" i="2"/>
  <c r="AU522" i="2"/>
  <c r="AT522" i="2"/>
  <c r="AS522" i="2"/>
  <c r="AR522" i="2"/>
  <c r="AQ522" i="2"/>
  <c r="AP522" i="2"/>
  <c r="AO522" i="2"/>
  <c r="AN522" i="2"/>
  <c r="AM522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BF521" i="2"/>
  <c r="BE521" i="2"/>
  <c r="BD521" i="2"/>
  <c r="BC521" i="2"/>
  <c r="BB521" i="2"/>
  <c r="BA521" i="2"/>
  <c r="AZ521" i="2"/>
  <c r="AY521" i="2"/>
  <c r="AX521" i="2"/>
  <c r="AW521" i="2"/>
  <c r="AV521" i="2"/>
  <c r="AU521" i="2"/>
  <c r="AT521" i="2"/>
  <c r="AS521" i="2"/>
  <c r="AR521" i="2"/>
  <c r="AQ521" i="2"/>
  <c r="AP521" i="2"/>
  <c r="AO521" i="2"/>
  <c r="AN521" i="2"/>
  <c r="AM521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BF520" i="2"/>
  <c r="BE520" i="2"/>
  <c r="BD520" i="2"/>
  <c r="BC520" i="2"/>
  <c r="BB520" i="2"/>
  <c r="BA520" i="2"/>
  <c r="AZ520" i="2"/>
  <c r="AY520" i="2"/>
  <c r="AX520" i="2"/>
  <c r="AW520" i="2"/>
  <c r="AV520" i="2"/>
  <c r="AU520" i="2"/>
  <c r="AT520" i="2"/>
  <c r="AS520" i="2"/>
  <c r="AR520" i="2"/>
  <c r="AQ520" i="2"/>
  <c r="AP520" i="2"/>
  <c r="AO520" i="2"/>
  <c r="AN520" i="2"/>
  <c r="AM520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BF519" i="2"/>
  <c r="BE519" i="2"/>
  <c r="BD519" i="2"/>
  <c r="BC519" i="2"/>
  <c r="BB519" i="2"/>
  <c r="BA519" i="2"/>
  <c r="AZ519" i="2"/>
  <c r="AY519" i="2"/>
  <c r="AX519" i="2"/>
  <c r="AW519" i="2"/>
  <c r="AV519" i="2"/>
  <c r="AU519" i="2"/>
  <c r="AT519" i="2"/>
  <c r="AS519" i="2"/>
  <c r="AR519" i="2"/>
  <c r="AQ519" i="2"/>
  <c r="AP519" i="2"/>
  <c r="AO519" i="2"/>
  <c r="AN519" i="2"/>
  <c r="AM519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BF517" i="2"/>
  <c r="BE517" i="2"/>
  <c r="BD517" i="2"/>
  <c r="BC517" i="2"/>
  <c r="BB517" i="2"/>
  <c r="BA517" i="2"/>
  <c r="AZ517" i="2"/>
  <c r="AY517" i="2"/>
  <c r="AX517" i="2"/>
  <c r="AW517" i="2"/>
  <c r="AV517" i="2"/>
  <c r="AU517" i="2"/>
  <c r="AT517" i="2"/>
  <c r="AS517" i="2"/>
  <c r="AR517" i="2"/>
  <c r="AQ517" i="2"/>
  <c r="AP517" i="2"/>
  <c r="AO517" i="2"/>
  <c r="AN517" i="2"/>
  <c r="AM517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BF516" i="2"/>
  <c r="BE516" i="2"/>
  <c r="BD516" i="2"/>
  <c r="BC516" i="2"/>
  <c r="BB516" i="2"/>
  <c r="BA516" i="2"/>
  <c r="AZ516" i="2"/>
  <c r="AY516" i="2"/>
  <c r="AX516" i="2"/>
  <c r="AW516" i="2"/>
  <c r="AV516" i="2"/>
  <c r="AU516" i="2"/>
  <c r="AT516" i="2"/>
  <c r="AS516" i="2"/>
  <c r="AR516" i="2"/>
  <c r="AQ516" i="2"/>
  <c r="AP516" i="2"/>
  <c r="AO516" i="2"/>
  <c r="AN516" i="2"/>
  <c r="AM516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BF515" i="2"/>
  <c r="BE515" i="2"/>
  <c r="BD515" i="2"/>
  <c r="BC515" i="2"/>
  <c r="BB515" i="2"/>
  <c r="BA515" i="2"/>
  <c r="AZ515" i="2"/>
  <c r="AY515" i="2"/>
  <c r="AX515" i="2"/>
  <c r="AW515" i="2"/>
  <c r="AV515" i="2"/>
  <c r="AU515" i="2"/>
  <c r="AT515" i="2"/>
  <c r="AS515" i="2"/>
  <c r="AR515" i="2"/>
  <c r="AQ515" i="2"/>
  <c r="AP515" i="2"/>
  <c r="AO515" i="2"/>
  <c r="AN515" i="2"/>
  <c r="AM515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BF514" i="2"/>
  <c r="BE514" i="2"/>
  <c r="BD514" i="2"/>
  <c r="BC514" i="2"/>
  <c r="BB514" i="2"/>
  <c r="BA514" i="2"/>
  <c r="AZ514" i="2"/>
  <c r="AY514" i="2"/>
  <c r="AX514" i="2"/>
  <c r="AW514" i="2"/>
  <c r="AV514" i="2"/>
  <c r="AU514" i="2"/>
  <c r="AT514" i="2"/>
  <c r="AS514" i="2"/>
  <c r="AR514" i="2"/>
  <c r="AQ514" i="2"/>
  <c r="AP514" i="2"/>
  <c r="AO514" i="2"/>
  <c r="AN514" i="2"/>
  <c r="AM514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BF513" i="2"/>
  <c r="BE513" i="2"/>
  <c r="BD513" i="2"/>
  <c r="BC513" i="2"/>
  <c r="BB513" i="2"/>
  <c r="BA513" i="2"/>
  <c r="AZ513" i="2"/>
  <c r="AY513" i="2"/>
  <c r="AX513" i="2"/>
  <c r="AW513" i="2"/>
  <c r="AV513" i="2"/>
  <c r="AU513" i="2"/>
  <c r="AT513" i="2"/>
  <c r="AS513" i="2"/>
  <c r="AR513" i="2"/>
  <c r="AQ513" i="2"/>
  <c r="AP513" i="2"/>
  <c r="AO513" i="2"/>
  <c r="AN513" i="2"/>
  <c r="AM513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BF359" i="2"/>
  <c r="BE359" i="2"/>
  <c r="BD359" i="2"/>
  <c r="BC359" i="2"/>
  <c r="BB359" i="2"/>
  <c r="BA359" i="2"/>
  <c r="AZ359" i="2"/>
  <c r="AY359" i="2"/>
  <c r="AX359" i="2"/>
  <c r="AW359" i="2"/>
  <c r="AV359" i="2"/>
  <c r="AU359" i="2"/>
  <c r="AT359" i="2"/>
  <c r="AS359" i="2"/>
  <c r="AR359" i="2"/>
  <c r="AQ359" i="2"/>
  <c r="AP359" i="2"/>
  <c r="AO359" i="2"/>
  <c r="AN359" i="2"/>
  <c r="AM359" i="2"/>
  <c r="AL359" i="2"/>
  <c r="AK359" i="2"/>
  <c r="AJ359" i="2"/>
  <c r="AI359" i="2"/>
  <c r="AH359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BF358" i="2"/>
  <c r="BE358" i="2"/>
  <c r="BD358" i="2"/>
  <c r="BC358" i="2"/>
  <c r="BB358" i="2"/>
  <c r="BA358" i="2"/>
  <c r="AZ358" i="2"/>
  <c r="AY358" i="2"/>
  <c r="AX358" i="2"/>
  <c r="AW358" i="2"/>
  <c r="AV358" i="2"/>
  <c r="AU358" i="2"/>
  <c r="AT358" i="2"/>
  <c r="AS358" i="2"/>
  <c r="AR358" i="2"/>
  <c r="AQ358" i="2"/>
  <c r="AP358" i="2"/>
  <c r="AO358" i="2"/>
  <c r="AN358" i="2"/>
  <c r="AM358" i="2"/>
  <c r="AL358" i="2"/>
  <c r="AK358" i="2"/>
  <c r="AJ358" i="2"/>
  <c r="AI358" i="2"/>
  <c r="AH358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BF357" i="2"/>
  <c r="BE357" i="2"/>
  <c r="BD357" i="2"/>
  <c r="BC357" i="2"/>
  <c r="BB357" i="2"/>
  <c r="BA357" i="2"/>
  <c r="AZ357" i="2"/>
  <c r="AY357" i="2"/>
  <c r="AX357" i="2"/>
  <c r="AW357" i="2"/>
  <c r="AV357" i="2"/>
  <c r="AU357" i="2"/>
  <c r="AT357" i="2"/>
  <c r="AS357" i="2"/>
  <c r="AR357" i="2"/>
  <c r="AQ357" i="2"/>
  <c r="AP357" i="2"/>
  <c r="AO357" i="2"/>
  <c r="AN357" i="2"/>
  <c r="AM357" i="2"/>
  <c r="AL357" i="2"/>
  <c r="AK357" i="2"/>
  <c r="AJ357" i="2"/>
  <c r="AI357" i="2"/>
  <c r="AH357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BF356" i="2"/>
  <c r="BE356" i="2"/>
  <c r="BD356" i="2"/>
  <c r="BC356" i="2"/>
  <c r="BB356" i="2"/>
  <c r="BA356" i="2"/>
  <c r="AZ356" i="2"/>
  <c r="AY356" i="2"/>
  <c r="AX356" i="2"/>
  <c r="AW356" i="2"/>
  <c r="AV356" i="2"/>
  <c r="AU356" i="2"/>
  <c r="AT356" i="2"/>
  <c r="AS356" i="2"/>
  <c r="AR356" i="2"/>
  <c r="AQ356" i="2"/>
  <c r="AP356" i="2"/>
  <c r="AO356" i="2"/>
  <c r="AN356" i="2"/>
  <c r="AM356" i="2"/>
  <c r="AL356" i="2"/>
  <c r="AK356" i="2"/>
  <c r="AJ356" i="2"/>
  <c r="AI356" i="2"/>
  <c r="AH356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BF355" i="2"/>
  <c r="BE355" i="2"/>
  <c r="BD355" i="2"/>
  <c r="BC355" i="2"/>
  <c r="BB355" i="2"/>
  <c r="BA355" i="2"/>
  <c r="AZ355" i="2"/>
  <c r="AY355" i="2"/>
  <c r="AX355" i="2"/>
  <c r="AW355" i="2"/>
  <c r="AV355" i="2"/>
  <c r="AU355" i="2"/>
  <c r="AT355" i="2"/>
  <c r="AS355" i="2"/>
  <c r="AR355" i="2"/>
  <c r="AQ355" i="2"/>
  <c r="AP355" i="2"/>
  <c r="AO355" i="2"/>
  <c r="AN355" i="2"/>
  <c r="AM355" i="2"/>
  <c r="AL355" i="2"/>
  <c r="AK355" i="2"/>
  <c r="AJ355" i="2"/>
  <c r="AI355" i="2"/>
  <c r="AH355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BF354" i="2"/>
  <c r="BE354" i="2"/>
  <c r="BD354" i="2"/>
  <c r="BC354" i="2"/>
  <c r="BB354" i="2"/>
  <c r="BA354" i="2"/>
  <c r="AZ354" i="2"/>
  <c r="AY354" i="2"/>
  <c r="AX354" i="2"/>
  <c r="AW354" i="2"/>
  <c r="AV354" i="2"/>
  <c r="AU354" i="2"/>
  <c r="AT354" i="2"/>
  <c r="AS354" i="2"/>
  <c r="AR354" i="2"/>
  <c r="AQ354" i="2"/>
  <c r="AP354" i="2"/>
  <c r="AO354" i="2"/>
  <c r="AN354" i="2"/>
  <c r="AM354" i="2"/>
  <c r="AL354" i="2"/>
  <c r="AK354" i="2"/>
  <c r="AJ354" i="2"/>
  <c r="AI354" i="2"/>
  <c r="AH354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BF353" i="2"/>
  <c r="BE353" i="2"/>
  <c r="BD353" i="2"/>
  <c r="BC353" i="2"/>
  <c r="BB353" i="2"/>
  <c r="BA353" i="2"/>
  <c r="AZ353" i="2"/>
  <c r="AY353" i="2"/>
  <c r="AX353" i="2"/>
  <c r="AW353" i="2"/>
  <c r="AV353" i="2"/>
  <c r="AU353" i="2"/>
  <c r="AT353" i="2"/>
  <c r="AS353" i="2"/>
  <c r="AR353" i="2"/>
  <c r="AQ353" i="2"/>
  <c r="AP353" i="2"/>
  <c r="AO353" i="2"/>
  <c r="AN353" i="2"/>
  <c r="AM353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BF352" i="2"/>
  <c r="BE352" i="2"/>
  <c r="BD352" i="2"/>
  <c r="BC352" i="2"/>
  <c r="BB352" i="2"/>
  <c r="BA352" i="2"/>
  <c r="AZ352" i="2"/>
  <c r="AY352" i="2"/>
  <c r="AX352" i="2"/>
  <c r="AW352" i="2"/>
  <c r="AV352" i="2"/>
  <c r="AU352" i="2"/>
  <c r="AT352" i="2"/>
  <c r="AS352" i="2"/>
  <c r="AR352" i="2"/>
  <c r="AQ352" i="2"/>
  <c r="AP352" i="2"/>
  <c r="AO352" i="2"/>
  <c r="AN352" i="2"/>
  <c r="AM352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BF351" i="2"/>
  <c r="BE351" i="2"/>
  <c r="BD351" i="2"/>
  <c r="BC351" i="2"/>
  <c r="BB351" i="2"/>
  <c r="BA351" i="2"/>
  <c r="AZ351" i="2"/>
  <c r="AY351" i="2"/>
  <c r="AX351" i="2"/>
  <c r="AW351" i="2"/>
  <c r="AV351" i="2"/>
  <c r="AU351" i="2"/>
  <c r="AT351" i="2"/>
  <c r="AS351" i="2"/>
  <c r="AR351" i="2"/>
  <c r="AQ351" i="2"/>
  <c r="AP351" i="2"/>
  <c r="AO351" i="2"/>
  <c r="AN351" i="2"/>
  <c r="AM351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BF350" i="2"/>
  <c r="BE350" i="2"/>
  <c r="BD350" i="2"/>
  <c r="BC350" i="2"/>
  <c r="BB350" i="2"/>
  <c r="BA350" i="2"/>
  <c r="AZ350" i="2"/>
  <c r="AY350" i="2"/>
  <c r="AX350" i="2"/>
  <c r="AW350" i="2"/>
  <c r="AV350" i="2"/>
  <c r="AU350" i="2"/>
  <c r="AT350" i="2"/>
  <c r="AS350" i="2"/>
  <c r="AR350" i="2"/>
  <c r="AQ350" i="2"/>
  <c r="AP350" i="2"/>
  <c r="AO350" i="2"/>
  <c r="AN350" i="2"/>
  <c r="AM350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BF349" i="2"/>
  <c r="BE349" i="2"/>
  <c r="BD349" i="2"/>
  <c r="BC349" i="2"/>
  <c r="BB349" i="2"/>
  <c r="BA349" i="2"/>
  <c r="AZ349" i="2"/>
  <c r="AY349" i="2"/>
  <c r="AX349" i="2"/>
  <c r="AW349" i="2"/>
  <c r="AV349" i="2"/>
  <c r="AU349" i="2"/>
  <c r="AT349" i="2"/>
  <c r="AS349" i="2"/>
  <c r="AR349" i="2"/>
  <c r="AQ349" i="2"/>
  <c r="AP349" i="2"/>
  <c r="AO349" i="2"/>
  <c r="AN349" i="2"/>
  <c r="AM349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BF348" i="2"/>
  <c r="BE348" i="2"/>
  <c r="BD348" i="2"/>
  <c r="BC348" i="2"/>
  <c r="BB348" i="2"/>
  <c r="BA348" i="2"/>
  <c r="AZ348" i="2"/>
  <c r="AY348" i="2"/>
  <c r="AX348" i="2"/>
  <c r="AW348" i="2"/>
  <c r="AV348" i="2"/>
  <c r="AU348" i="2"/>
  <c r="AT348" i="2"/>
  <c r="AS348" i="2"/>
  <c r="AR348" i="2"/>
  <c r="AQ348" i="2"/>
  <c r="AP348" i="2"/>
  <c r="AO348" i="2"/>
  <c r="AN348" i="2"/>
  <c r="AM348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BF347" i="2"/>
  <c r="BE347" i="2"/>
  <c r="BD347" i="2"/>
  <c r="BC347" i="2"/>
  <c r="BB347" i="2"/>
  <c r="BA347" i="2"/>
  <c r="AZ347" i="2"/>
  <c r="AY347" i="2"/>
  <c r="AX347" i="2"/>
  <c r="AW347" i="2"/>
  <c r="AV347" i="2"/>
  <c r="AU347" i="2"/>
  <c r="AT347" i="2"/>
  <c r="AS347" i="2"/>
  <c r="AR347" i="2"/>
  <c r="AQ347" i="2"/>
  <c r="AP347" i="2"/>
  <c r="AO347" i="2"/>
  <c r="AN347" i="2"/>
  <c r="AM347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BF346" i="2"/>
  <c r="BE346" i="2"/>
  <c r="BD346" i="2"/>
  <c r="BC346" i="2"/>
  <c r="BB346" i="2"/>
  <c r="BA346" i="2"/>
  <c r="AZ346" i="2"/>
  <c r="AY346" i="2"/>
  <c r="AX346" i="2"/>
  <c r="AW346" i="2"/>
  <c r="AV346" i="2"/>
  <c r="AU346" i="2"/>
  <c r="AT346" i="2"/>
  <c r="AS346" i="2"/>
  <c r="AR346" i="2"/>
  <c r="AQ346" i="2"/>
  <c r="AP346" i="2"/>
  <c r="AO346" i="2"/>
  <c r="AN346" i="2"/>
  <c r="AM346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BF345" i="2"/>
  <c r="BE345" i="2"/>
  <c r="BD345" i="2"/>
  <c r="BC345" i="2"/>
  <c r="BB345" i="2"/>
  <c r="BA345" i="2"/>
  <c r="AZ345" i="2"/>
  <c r="AY345" i="2"/>
  <c r="AX345" i="2"/>
  <c r="AW345" i="2"/>
  <c r="AV345" i="2"/>
  <c r="AU345" i="2"/>
  <c r="AT345" i="2"/>
  <c r="AS345" i="2"/>
  <c r="AR345" i="2"/>
  <c r="AQ345" i="2"/>
  <c r="AP345" i="2"/>
  <c r="AO345" i="2"/>
  <c r="AN345" i="2"/>
  <c r="AM345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BF344" i="2"/>
  <c r="BE344" i="2"/>
  <c r="BD344" i="2"/>
  <c r="BC344" i="2"/>
  <c r="BB344" i="2"/>
  <c r="BA344" i="2"/>
  <c r="AZ344" i="2"/>
  <c r="AY344" i="2"/>
  <c r="AX344" i="2"/>
  <c r="AW344" i="2"/>
  <c r="AV344" i="2"/>
  <c r="AU344" i="2"/>
  <c r="AT344" i="2"/>
  <c r="AS344" i="2"/>
  <c r="AR344" i="2"/>
  <c r="AQ344" i="2"/>
  <c r="AP344" i="2"/>
  <c r="AO344" i="2"/>
  <c r="AN344" i="2"/>
  <c r="AM344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BF343" i="2"/>
  <c r="BE343" i="2"/>
  <c r="BD343" i="2"/>
  <c r="BC343" i="2"/>
  <c r="BB343" i="2"/>
  <c r="BA343" i="2"/>
  <c r="AZ343" i="2"/>
  <c r="AY343" i="2"/>
  <c r="AX343" i="2"/>
  <c r="AW343" i="2"/>
  <c r="AV343" i="2"/>
  <c r="AU343" i="2"/>
  <c r="AT343" i="2"/>
  <c r="AS343" i="2"/>
  <c r="AR343" i="2"/>
  <c r="AQ343" i="2"/>
  <c r="AP343" i="2"/>
  <c r="AO343" i="2"/>
  <c r="AN343" i="2"/>
  <c r="AM343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BF342" i="2"/>
  <c r="BE342" i="2"/>
  <c r="BD342" i="2"/>
  <c r="BC342" i="2"/>
  <c r="BB342" i="2"/>
  <c r="BA342" i="2"/>
  <c r="AZ342" i="2"/>
  <c r="AY342" i="2"/>
  <c r="AX342" i="2"/>
  <c r="AW342" i="2"/>
  <c r="AV342" i="2"/>
  <c r="AU342" i="2"/>
  <c r="AT342" i="2"/>
  <c r="AS342" i="2"/>
  <c r="AR342" i="2"/>
  <c r="AQ342" i="2"/>
  <c r="AP342" i="2"/>
  <c r="AO342" i="2"/>
  <c r="AN342" i="2"/>
  <c r="AM342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BF341" i="2"/>
  <c r="BE341" i="2"/>
  <c r="BD341" i="2"/>
  <c r="BC341" i="2"/>
  <c r="BB341" i="2"/>
  <c r="BA341" i="2"/>
  <c r="AZ341" i="2"/>
  <c r="AY341" i="2"/>
  <c r="AX341" i="2"/>
  <c r="AW341" i="2"/>
  <c r="AV341" i="2"/>
  <c r="AU341" i="2"/>
  <c r="AT341" i="2"/>
  <c r="AS341" i="2"/>
  <c r="AR341" i="2"/>
  <c r="AQ341" i="2"/>
  <c r="AP341" i="2"/>
  <c r="AO341" i="2"/>
  <c r="AN341" i="2"/>
  <c r="AM341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BF340" i="2"/>
  <c r="BE340" i="2"/>
  <c r="BD340" i="2"/>
  <c r="BC340" i="2"/>
  <c r="BB340" i="2"/>
  <c r="BA340" i="2"/>
  <c r="AZ340" i="2"/>
  <c r="AY340" i="2"/>
  <c r="AX340" i="2"/>
  <c r="AW340" i="2"/>
  <c r="AV340" i="2"/>
  <c r="AU340" i="2"/>
  <c r="AT340" i="2"/>
  <c r="AS340" i="2"/>
  <c r="AR340" i="2"/>
  <c r="AQ340" i="2"/>
  <c r="AP340" i="2"/>
  <c r="AO340" i="2"/>
  <c r="AN340" i="2"/>
  <c r="AM340" i="2"/>
  <c r="AL340" i="2"/>
  <c r="AK340" i="2"/>
  <c r="AJ340" i="2"/>
  <c r="AI340" i="2"/>
  <c r="AH340" i="2"/>
  <c r="AG340" i="2"/>
  <c r="AF340" i="2"/>
  <c r="AE340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BF339" i="2"/>
  <c r="BE339" i="2"/>
  <c r="BD339" i="2"/>
  <c r="BC339" i="2"/>
  <c r="BB339" i="2"/>
  <c r="BA339" i="2"/>
  <c r="AZ339" i="2"/>
  <c r="AY339" i="2"/>
  <c r="AX339" i="2"/>
  <c r="AW339" i="2"/>
  <c r="AV339" i="2"/>
  <c r="AU339" i="2"/>
  <c r="AT339" i="2"/>
  <c r="AS339" i="2"/>
  <c r="AR339" i="2"/>
  <c r="AQ339" i="2"/>
  <c r="AP339" i="2"/>
  <c r="AO339" i="2"/>
  <c r="AN339" i="2"/>
  <c r="AM339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BF328" i="2"/>
  <c r="BE328" i="2"/>
  <c r="BD328" i="2"/>
  <c r="BC328" i="2"/>
  <c r="BB328" i="2"/>
  <c r="BA328" i="2"/>
  <c r="AZ328" i="2"/>
  <c r="AY328" i="2"/>
  <c r="AX328" i="2"/>
  <c r="AW328" i="2"/>
  <c r="AV328" i="2"/>
  <c r="AU328" i="2"/>
  <c r="AT328" i="2"/>
  <c r="AS328" i="2"/>
  <c r="AR328" i="2"/>
  <c r="AQ328" i="2"/>
  <c r="AP328" i="2"/>
  <c r="AO328" i="2"/>
  <c r="AN328" i="2"/>
  <c r="AM328" i="2"/>
  <c r="AL328" i="2"/>
  <c r="AK328" i="2"/>
  <c r="AJ328" i="2"/>
  <c r="AI328" i="2"/>
  <c r="AH328" i="2"/>
  <c r="AG328" i="2"/>
  <c r="AF328" i="2"/>
  <c r="AE328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BF327" i="2"/>
  <c r="BE327" i="2"/>
  <c r="BD327" i="2"/>
  <c r="BC327" i="2"/>
  <c r="BB327" i="2"/>
  <c r="BA327" i="2"/>
  <c r="AZ327" i="2"/>
  <c r="AY327" i="2"/>
  <c r="AX327" i="2"/>
  <c r="AW327" i="2"/>
  <c r="AV327" i="2"/>
  <c r="AU327" i="2"/>
  <c r="AT327" i="2"/>
  <c r="AS327" i="2"/>
  <c r="AR327" i="2"/>
  <c r="AQ327" i="2"/>
  <c r="AP327" i="2"/>
  <c r="AO327" i="2"/>
  <c r="AN327" i="2"/>
  <c r="AM327" i="2"/>
  <c r="AL327" i="2"/>
  <c r="AK327" i="2"/>
  <c r="AJ327" i="2"/>
  <c r="AI327" i="2"/>
  <c r="AH327" i="2"/>
  <c r="AG327" i="2"/>
  <c r="AF327" i="2"/>
  <c r="AE327" i="2"/>
  <c r="AD327" i="2"/>
  <c r="AC327" i="2"/>
  <c r="AB327" i="2"/>
  <c r="AA327" i="2"/>
  <c r="Z327" i="2"/>
  <c r="Y327" i="2"/>
  <c r="X327" i="2"/>
  <c r="W327" i="2"/>
  <c r="V327" i="2"/>
  <c r="U327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BF326" i="2"/>
  <c r="BE326" i="2"/>
  <c r="BD326" i="2"/>
  <c r="BC326" i="2"/>
  <c r="BB326" i="2"/>
  <c r="BA326" i="2"/>
  <c r="AZ326" i="2"/>
  <c r="AY326" i="2"/>
  <c r="AX326" i="2"/>
  <c r="AW326" i="2"/>
  <c r="AV326" i="2"/>
  <c r="AU326" i="2"/>
  <c r="AT326" i="2"/>
  <c r="AS326" i="2"/>
  <c r="AR326" i="2"/>
  <c r="AQ326" i="2"/>
  <c r="AP326" i="2"/>
  <c r="AO326" i="2"/>
  <c r="AN326" i="2"/>
  <c r="AM326" i="2"/>
  <c r="AL326" i="2"/>
  <c r="AK326" i="2"/>
  <c r="AJ326" i="2"/>
  <c r="AI326" i="2"/>
  <c r="AH326" i="2"/>
  <c r="AG326" i="2"/>
  <c r="AF326" i="2"/>
  <c r="AE326" i="2"/>
  <c r="AD326" i="2"/>
  <c r="AC326" i="2"/>
  <c r="AB326" i="2"/>
  <c r="AA326" i="2"/>
  <c r="Z326" i="2"/>
  <c r="Y326" i="2"/>
  <c r="X326" i="2"/>
  <c r="W326" i="2"/>
  <c r="V326" i="2"/>
  <c r="U326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BF325" i="2"/>
  <c r="BE325" i="2"/>
  <c r="BD325" i="2"/>
  <c r="BC325" i="2"/>
  <c r="BB325" i="2"/>
  <c r="BA325" i="2"/>
  <c r="AZ325" i="2"/>
  <c r="AY325" i="2"/>
  <c r="AX325" i="2"/>
  <c r="AW325" i="2"/>
  <c r="AV325" i="2"/>
  <c r="AU325" i="2"/>
  <c r="AT325" i="2"/>
  <c r="AS325" i="2"/>
  <c r="AR325" i="2"/>
  <c r="AQ325" i="2"/>
  <c r="AP325" i="2"/>
  <c r="AO325" i="2"/>
  <c r="AN325" i="2"/>
  <c r="AM325" i="2"/>
  <c r="AL325" i="2"/>
  <c r="AK325" i="2"/>
  <c r="AJ325" i="2"/>
  <c r="AI325" i="2"/>
  <c r="AH325" i="2"/>
  <c r="AG325" i="2"/>
  <c r="AF325" i="2"/>
  <c r="AE325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BF324" i="2"/>
  <c r="BE324" i="2"/>
  <c r="BD324" i="2"/>
  <c r="BC324" i="2"/>
  <c r="BB324" i="2"/>
  <c r="BA324" i="2"/>
  <c r="AZ324" i="2"/>
  <c r="AY324" i="2"/>
  <c r="AX324" i="2"/>
  <c r="AW324" i="2"/>
  <c r="AV324" i="2"/>
  <c r="AU324" i="2"/>
  <c r="AT324" i="2"/>
  <c r="AS324" i="2"/>
  <c r="AR324" i="2"/>
  <c r="AQ324" i="2"/>
  <c r="AP324" i="2"/>
  <c r="AO324" i="2"/>
  <c r="AN324" i="2"/>
  <c r="AM324" i="2"/>
  <c r="AL324" i="2"/>
  <c r="AK324" i="2"/>
  <c r="AJ324" i="2"/>
  <c r="AI324" i="2"/>
  <c r="AH324" i="2"/>
  <c r="AG324" i="2"/>
  <c r="AF324" i="2"/>
  <c r="AE324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BF323" i="2"/>
  <c r="BE323" i="2"/>
  <c r="BD323" i="2"/>
  <c r="BC323" i="2"/>
  <c r="BB323" i="2"/>
  <c r="BA323" i="2"/>
  <c r="AZ323" i="2"/>
  <c r="AY323" i="2"/>
  <c r="AX323" i="2"/>
  <c r="AW323" i="2"/>
  <c r="AV323" i="2"/>
  <c r="AU323" i="2"/>
  <c r="AT323" i="2"/>
  <c r="AS323" i="2"/>
  <c r="AR323" i="2"/>
  <c r="AQ323" i="2"/>
  <c r="AP323" i="2"/>
  <c r="AO323" i="2"/>
  <c r="AN323" i="2"/>
  <c r="AM323" i="2"/>
  <c r="AL323" i="2"/>
  <c r="AK323" i="2"/>
  <c r="AJ323" i="2"/>
  <c r="AI323" i="2"/>
  <c r="AH323" i="2"/>
  <c r="AG323" i="2"/>
  <c r="AF323" i="2"/>
  <c r="AE323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BF322" i="2"/>
  <c r="BE322" i="2"/>
  <c r="BD322" i="2"/>
  <c r="BC322" i="2"/>
  <c r="BB322" i="2"/>
  <c r="BA322" i="2"/>
  <c r="AZ322" i="2"/>
  <c r="AY322" i="2"/>
  <c r="AX322" i="2"/>
  <c r="AW322" i="2"/>
  <c r="AV322" i="2"/>
  <c r="AU322" i="2"/>
  <c r="AT322" i="2"/>
  <c r="AS322" i="2"/>
  <c r="AR322" i="2"/>
  <c r="AQ322" i="2"/>
  <c r="AP322" i="2"/>
  <c r="AO322" i="2"/>
  <c r="AN322" i="2"/>
  <c r="AM322" i="2"/>
  <c r="AL322" i="2"/>
  <c r="AK322" i="2"/>
  <c r="AJ322" i="2"/>
  <c r="AI322" i="2"/>
  <c r="AH322" i="2"/>
  <c r="AG322" i="2"/>
  <c r="AF322" i="2"/>
  <c r="AE322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BF321" i="2"/>
  <c r="BE321" i="2"/>
  <c r="BD321" i="2"/>
  <c r="BC321" i="2"/>
  <c r="BB321" i="2"/>
  <c r="BA321" i="2"/>
  <c r="AZ321" i="2"/>
  <c r="AY321" i="2"/>
  <c r="AX321" i="2"/>
  <c r="AW321" i="2"/>
  <c r="AV321" i="2"/>
  <c r="AU321" i="2"/>
  <c r="AT321" i="2"/>
  <c r="AS321" i="2"/>
  <c r="AR321" i="2"/>
  <c r="AQ321" i="2"/>
  <c r="AP321" i="2"/>
  <c r="AO321" i="2"/>
  <c r="AN321" i="2"/>
  <c r="AM321" i="2"/>
  <c r="AL321" i="2"/>
  <c r="AK321" i="2"/>
  <c r="AJ321" i="2"/>
  <c r="AI321" i="2"/>
  <c r="AH321" i="2"/>
  <c r="AG321" i="2"/>
  <c r="AF321" i="2"/>
  <c r="AE321" i="2"/>
  <c r="AD321" i="2"/>
  <c r="AC321" i="2"/>
  <c r="AB321" i="2"/>
  <c r="AA321" i="2"/>
  <c r="Z321" i="2"/>
  <c r="Y321" i="2"/>
  <c r="X321" i="2"/>
  <c r="W321" i="2"/>
  <c r="V321" i="2"/>
  <c r="U321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BF320" i="2"/>
  <c r="BE320" i="2"/>
  <c r="BD320" i="2"/>
  <c r="BC320" i="2"/>
  <c r="BB320" i="2"/>
  <c r="BA320" i="2"/>
  <c r="AZ320" i="2"/>
  <c r="AY320" i="2"/>
  <c r="AX320" i="2"/>
  <c r="AW320" i="2"/>
  <c r="AV320" i="2"/>
  <c r="AU320" i="2"/>
  <c r="AT320" i="2"/>
  <c r="AS320" i="2"/>
  <c r="AR320" i="2"/>
  <c r="AQ320" i="2"/>
  <c r="AP320" i="2"/>
  <c r="AO320" i="2"/>
  <c r="AN320" i="2"/>
  <c r="AM320" i="2"/>
  <c r="AL320" i="2"/>
  <c r="AK320" i="2"/>
  <c r="AJ320" i="2"/>
  <c r="AI320" i="2"/>
  <c r="AH320" i="2"/>
  <c r="AG320" i="2"/>
  <c r="AF320" i="2"/>
  <c r="AE320" i="2"/>
  <c r="AD320" i="2"/>
  <c r="AC320" i="2"/>
  <c r="AB320" i="2"/>
  <c r="AA320" i="2"/>
  <c r="Z320" i="2"/>
  <c r="Y320" i="2"/>
  <c r="X320" i="2"/>
  <c r="W320" i="2"/>
  <c r="V320" i="2"/>
  <c r="U320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BF319" i="2"/>
  <c r="BE319" i="2"/>
  <c r="BD319" i="2"/>
  <c r="BC319" i="2"/>
  <c r="BB319" i="2"/>
  <c r="BA319" i="2"/>
  <c r="AZ319" i="2"/>
  <c r="AY319" i="2"/>
  <c r="AX319" i="2"/>
  <c r="AW319" i="2"/>
  <c r="AV319" i="2"/>
  <c r="AU319" i="2"/>
  <c r="AT319" i="2"/>
  <c r="AS319" i="2"/>
  <c r="AR319" i="2"/>
  <c r="AQ319" i="2"/>
  <c r="AP319" i="2"/>
  <c r="AO319" i="2"/>
  <c r="AN319" i="2"/>
  <c r="AM319" i="2"/>
  <c r="AL319" i="2"/>
  <c r="AK319" i="2"/>
  <c r="AJ319" i="2"/>
  <c r="AI319" i="2"/>
  <c r="AH319" i="2"/>
  <c r="AG319" i="2"/>
  <c r="AF319" i="2"/>
  <c r="AE319" i="2"/>
  <c r="AD319" i="2"/>
  <c r="AC319" i="2"/>
  <c r="AB319" i="2"/>
  <c r="AA319" i="2"/>
  <c r="Z319" i="2"/>
  <c r="Y319" i="2"/>
  <c r="X319" i="2"/>
  <c r="W319" i="2"/>
  <c r="V319" i="2"/>
  <c r="U319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BF318" i="2"/>
  <c r="BE318" i="2"/>
  <c r="BD318" i="2"/>
  <c r="BC318" i="2"/>
  <c r="BB318" i="2"/>
  <c r="BA318" i="2"/>
  <c r="AZ318" i="2"/>
  <c r="AY318" i="2"/>
  <c r="AX318" i="2"/>
  <c r="AW318" i="2"/>
  <c r="AV318" i="2"/>
  <c r="AU318" i="2"/>
  <c r="AT318" i="2"/>
  <c r="AS318" i="2"/>
  <c r="AR318" i="2"/>
  <c r="AQ318" i="2"/>
  <c r="AP318" i="2"/>
  <c r="AO318" i="2"/>
  <c r="AN318" i="2"/>
  <c r="AM318" i="2"/>
  <c r="AL318" i="2"/>
  <c r="AK318" i="2"/>
  <c r="AJ318" i="2"/>
  <c r="AI318" i="2"/>
  <c r="AH318" i="2"/>
  <c r="AG318" i="2"/>
  <c r="AF318" i="2"/>
  <c r="AE318" i="2"/>
  <c r="AD318" i="2"/>
  <c r="AC318" i="2"/>
  <c r="AB318" i="2"/>
  <c r="AA318" i="2"/>
  <c r="Z318" i="2"/>
  <c r="Y318" i="2"/>
  <c r="X318" i="2"/>
  <c r="W318" i="2"/>
  <c r="V318" i="2"/>
  <c r="U318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BF317" i="2"/>
  <c r="BE317" i="2"/>
  <c r="BD317" i="2"/>
  <c r="BC317" i="2"/>
  <c r="BB317" i="2"/>
  <c r="BA317" i="2"/>
  <c r="AZ317" i="2"/>
  <c r="AY317" i="2"/>
  <c r="AX317" i="2"/>
  <c r="AW317" i="2"/>
  <c r="AV317" i="2"/>
  <c r="AU317" i="2"/>
  <c r="AT317" i="2"/>
  <c r="AS317" i="2"/>
  <c r="AR317" i="2"/>
  <c r="AQ317" i="2"/>
  <c r="AP317" i="2"/>
  <c r="AO317" i="2"/>
  <c r="AN317" i="2"/>
  <c r="AM317" i="2"/>
  <c r="AL317" i="2"/>
  <c r="AK317" i="2"/>
  <c r="AJ317" i="2"/>
  <c r="AI317" i="2"/>
  <c r="AH317" i="2"/>
  <c r="AG317" i="2"/>
  <c r="AF317" i="2"/>
  <c r="AE317" i="2"/>
  <c r="AD317" i="2"/>
  <c r="AC317" i="2"/>
  <c r="AB317" i="2"/>
  <c r="AA317" i="2"/>
  <c r="Z317" i="2"/>
  <c r="Y317" i="2"/>
  <c r="X317" i="2"/>
  <c r="W317" i="2"/>
  <c r="V317" i="2"/>
  <c r="U317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BF316" i="2"/>
  <c r="BE316" i="2"/>
  <c r="BD316" i="2"/>
  <c r="BC316" i="2"/>
  <c r="BB316" i="2"/>
  <c r="BA316" i="2"/>
  <c r="AZ316" i="2"/>
  <c r="AY316" i="2"/>
  <c r="AX316" i="2"/>
  <c r="AW316" i="2"/>
  <c r="AV316" i="2"/>
  <c r="AU316" i="2"/>
  <c r="AT316" i="2"/>
  <c r="AS316" i="2"/>
  <c r="AR316" i="2"/>
  <c r="AQ316" i="2"/>
  <c r="AP316" i="2"/>
  <c r="AO316" i="2"/>
  <c r="AN316" i="2"/>
  <c r="AM316" i="2"/>
  <c r="AL316" i="2"/>
  <c r="AK316" i="2"/>
  <c r="AJ316" i="2"/>
  <c r="AI316" i="2"/>
  <c r="AH316" i="2"/>
  <c r="AG316" i="2"/>
  <c r="AF316" i="2"/>
  <c r="AE316" i="2"/>
  <c r="AD316" i="2"/>
  <c r="AC316" i="2"/>
  <c r="AB316" i="2"/>
  <c r="AA316" i="2"/>
  <c r="Z316" i="2"/>
  <c r="Y316" i="2"/>
  <c r="X316" i="2"/>
  <c r="W316" i="2"/>
  <c r="V316" i="2"/>
  <c r="U316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BF315" i="2"/>
  <c r="BE315" i="2"/>
  <c r="BD315" i="2"/>
  <c r="BC315" i="2"/>
  <c r="BB315" i="2"/>
  <c r="BA315" i="2"/>
  <c r="AZ315" i="2"/>
  <c r="AY315" i="2"/>
  <c r="AX315" i="2"/>
  <c r="AW315" i="2"/>
  <c r="AV315" i="2"/>
  <c r="AU315" i="2"/>
  <c r="AT315" i="2"/>
  <c r="AS315" i="2"/>
  <c r="AR315" i="2"/>
  <c r="AQ315" i="2"/>
  <c r="AP315" i="2"/>
  <c r="AO315" i="2"/>
  <c r="AN315" i="2"/>
  <c r="AM315" i="2"/>
  <c r="AL315" i="2"/>
  <c r="AK315" i="2"/>
  <c r="AJ315" i="2"/>
  <c r="AI315" i="2"/>
  <c r="AH315" i="2"/>
  <c r="AG315" i="2"/>
  <c r="AF315" i="2"/>
  <c r="AE315" i="2"/>
  <c r="AD315" i="2"/>
  <c r="AC315" i="2"/>
  <c r="AB315" i="2"/>
  <c r="AA315" i="2"/>
  <c r="Z315" i="2"/>
  <c r="Y315" i="2"/>
  <c r="X315" i="2"/>
  <c r="W315" i="2"/>
  <c r="V315" i="2"/>
  <c r="U315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BF314" i="2"/>
  <c r="BE314" i="2"/>
  <c r="BD314" i="2"/>
  <c r="BC314" i="2"/>
  <c r="BB314" i="2"/>
  <c r="BA314" i="2"/>
  <c r="AZ314" i="2"/>
  <c r="AY314" i="2"/>
  <c r="AX314" i="2"/>
  <c r="AW314" i="2"/>
  <c r="AV314" i="2"/>
  <c r="AU314" i="2"/>
  <c r="AT314" i="2"/>
  <c r="AS314" i="2"/>
  <c r="AR314" i="2"/>
  <c r="AQ314" i="2"/>
  <c r="AP314" i="2"/>
  <c r="AO314" i="2"/>
  <c r="AN314" i="2"/>
  <c r="AM314" i="2"/>
  <c r="AL314" i="2"/>
  <c r="AK314" i="2"/>
  <c r="AJ314" i="2"/>
  <c r="AI314" i="2"/>
  <c r="AH314" i="2"/>
  <c r="AG314" i="2"/>
  <c r="AF314" i="2"/>
  <c r="AE314" i="2"/>
  <c r="AD314" i="2"/>
  <c r="AC314" i="2"/>
  <c r="AB314" i="2"/>
  <c r="AA314" i="2"/>
  <c r="Z314" i="2"/>
  <c r="Y314" i="2"/>
  <c r="X314" i="2"/>
  <c r="W314" i="2"/>
  <c r="V314" i="2"/>
  <c r="U314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BF313" i="2"/>
  <c r="BE313" i="2"/>
  <c r="BD313" i="2"/>
  <c r="BC313" i="2"/>
  <c r="BB313" i="2"/>
  <c r="BA313" i="2"/>
  <c r="AZ313" i="2"/>
  <c r="AY313" i="2"/>
  <c r="AX313" i="2"/>
  <c r="AW313" i="2"/>
  <c r="AV313" i="2"/>
  <c r="AU313" i="2"/>
  <c r="AT313" i="2"/>
  <c r="AS313" i="2"/>
  <c r="AR313" i="2"/>
  <c r="AQ313" i="2"/>
  <c r="AP313" i="2"/>
  <c r="AO313" i="2"/>
  <c r="AN313" i="2"/>
  <c r="AM313" i="2"/>
  <c r="AL313" i="2"/>
  <c r="AK313" i="2"/>
  <c r="AJ313" i="2"/>
  <c r="AI313" i="2"/>
  <c r="AH313" i="2"/>
  <c r="AG313" i="2"/>
  <c r="AF313" i="2"/>
  <c r="AE313" i="2"/>
  <c r="AD313" i="2"/>
  <c r="AC313" i="2"/>
  <c r="AB313" i="2"/>
  <c r="AA313" i="2"/>
  <c r="Z313" i="2"/>
  <c r="Y313" i="2"/>
  <c r="X313" i="2"/>
  <c r="W313" i="2"/>
  <c r="V313" i="2"/>
  <c r="U313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BF312" i="2"/>
  <c r="BE312" i="2"/>
  <c r="BD312" i="2"/>
  <c r="BC312" i="2"/>
  <c r="BB312" i="2"/>
  <c r="BA312" i="2"/>
  <c r="AZ312" i="2"/>
  <c r="AY312" i="2"/>
  <c r="AX312" i="2"/>
  <c r="AW312" i="2"/>
  <c r="AV312" i="2"/>
  <c r="AU312" i="2"/>
  <c r="AT312" i="2"/>
  <c r="AS312" i="2"/>
  <c r="AR312" i="2"/>
  <c r="AQ312" i="2"/>
  <c r="AP312" i="2"/>
  <c r="AO312" i="2"/>
  <c r="AN312" i="2"/>
  <c r="AM312" i="2"/>
  <c r="AL312" i="2"/>
  <c r="AK312" i="2"/>
  <c r="AJ312" i="2"/>
  <c r="AI312" i="2"/>
  <c r="AH312" i="2"/>
  <c r="AG312" i="2"/>
  <c r="AF312" i="2"/>
  <c r="AE312" i="2"/>
  <c r="AD312" i="2"/>
  <c r="AC312" i="2"/>
  <c r="AB312" i="2"/>
  <c r="AA312" i="2"/>
  <c r="Z312" i="2"/>
  <c r="Y312" i="2"/>
  <c r="X312" i="2"/>
  <c r="W312" i="2"/>
  <c r="V312" i="2"/>
  <c r="U312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BF311" i="2"/>
  <c r="BE311" i="2"/>
  <c r="BD311" i="2"/>
  <c r="BC311" i="2"/>
  <c r="BB311" i="2"/>
  <c r="BA311" i="2"/>
  <c r="AZ311" i="2"/>
  <c r="AY311" i="2"/>
  <c r="AX311" i="2"/>
  <c r="AW311" i="2"/>
  <c r="AV311" i="2"/>
  <c r="AU311" i="2"/>
  <c r="AT311" i="2"/>
  <c r="AS311" i="2"/>
  <c r="AR311" i="2"/>
  <c r="AQ311" i="2"/>
  <c r="AP311" i="2"/>
  <c r="AO311" i="2"/>
  <c r="AN311" i="2"/>
  <c r="AM311" i="2"/>
  <c r="AL311" i="2"/>
  <c r="AK311" i="2"/>
  <c r="AJ311" i="2"/>
  <c r="AI311" i="2"/>
  <c r="AH311" i="2"/>
  <c r="AG311" i="2"/>
  <c r="AF311" i="2"/>
  <c r="AE311" i="2"/>
  <c r="AD311" i="2"/>
  <c r="AC311" i="2"/>
  <c r="AB311" i="2"/>
  <c r="AA311" i="2"/>
  <c r="Z311" i="2"/>
  <c r="Y311" i="2"/>
  <c r="X311" i="2"/>
  <c r="W311" i="2"/>
  <c r="V311" i="2"/>
  <c r="U311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BF310" i="2"/>
  <c r="BE310" i="2"/>
  <c r="BD310" i="2"/>
  <c r="BC310" i="2"/>
  <c r="BB310" i="2"/>
  <c r="BA310" i="2"/>
  <c r="AZ310" i="2"/>
  <c r="AY310" i="2"/>
  <c r="AX310" i="2"/>
  <c r="AW310" i="2"/>
  <c r="AV310" i="2"/>
  <c r="AU310" i="2"/>
  <c r="AT310" i="2"/>
  <c r="AS310" i="2"/>
  <c r="AR310" i="2"/>
  <c r="AQ310" i="2"/>
  <c r="AP310" i="2"/>
  <c r="AO310" i="2"/>
  <c r="AN310" i="2"/>
  <c r="AM310" i="2"/>
  <c r="AL310" i="2"/>
  <c r="AK310" i="2"/>
  <c r="AJ310" i="2"/>
  <c r="AI310" i="2"/>
  <c r="AH310" i="2"/>
  <c r="AG310" i="2"/>
  <c r="AF310" i="2"/>
  <c r="AE310" i="2"/>
  <c r="AD310" i="2"/>
  <c r="AC310" i="2"/>
  <c r="AB310" i="2"/>
  <c r="AA310" i="2"/>
  <c r="Z310" i="2"/>
  <c r="Y310" i="2"/>
  <c r="X310" i="2"/>
  <c r="W310" i="2"/>
  <c r="V310" i="2"/>
  <c r="U310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BF309" i="2"/>
  <c r="BE309" i="2"/>
  <c r="BD309" i="2"/>
  <c r="BC309" i="2"/>
  <c r="BB309" i="2"/>
  <c r="BA309" i="2"/>
  <c r="AZ309" i="2"/>
  <c r="AY309" i="2"/>
  <c r="AX309" i="2"/>
  <c r="AW309" i="2"/>
  <c r="AV309" i="2"/>
  <c r="AU309" i="2"/>
  <c r="AT309" i="2"/>
  <c r="AS309" i="2"/>
  <c r="AR309" i="2"/>
  <c r="AQ309" i="2"/>
  <c r="AP309" i="2"/>
  <c r="AO309" i="2"/>
  <c r="AN309" i="2"/>
  <c r="AM309" i="2"/>
  <c r="AL309" i="2"/>
  <c r="AK309" i="2"/>
  <c r="AJ309" i="2"/>
  <c r="AI309" i="2"/>
  <c r="AH309" i="2"/>
  <c r="AG309" i="2"/>
  <c r="AF309" i="2"/>
  <c r="AE309" i="2"/>
  <c r="AD309" i="2"/>
  <c r="AC309" i="2"/>
  <c r="AB309" i="2"/>
  <c r="AA309" i="2"/>
  <c r="Z309" i="2"/>
  <c r="Y309" i="2"/>
  <c r="X309" i="2"/>
  <c r="W309" i="2"/>
  <c r="V309" i="2"/>
  <c r="U309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BF308" i="2"/>
  <c r="BE308" i="2"/>
  <c r="BD308" i="2"/>
  <c r="BC308" i="2"/>
  <c r="BB308" i="2"/>
  <c r="BA308" i="2"/>
  <c r="AZ308" i="2"/>
  <c r="AY308" i="2"/>
  <c r="AX308" i="2"/>
  <c r="AW308" i="2"/>
  <c r="AV308" i="2"/>
  <c r="AU308" i="2"/>
  <c r="AT308" i="2"/>
  <c r="AS308" i="2"/>
  <c r="AR308" i="2"/>
  <c r="AQ308" i="2"/>
  <c r="AP308" i="2"/>
  <c r="AO308" i="2"/>
  <c r="AN308" i="2"/>
  <c r="AM308" i="2"/>
  <c r="AL308" i="2"/>
  <c r="AK308" i="2"/>
  <c r="AJ308" i="2"/>
  <c r="AI308" i="2"/>
  <c r="AH308" i="2"/>
  <c r="AG308" i="2"/>
  <c r="AF308" i="2"/>
  <c r="AE308" i="2"/>
  <c r="AD308" i="2"/>
  <c r="AC308" i="2"/>
  <c r="AB308" i="2"/>
  <c r="AA308" i="2"/>
  <c r="Z308" i="2"/>
  <c r="Y308" i="2"/>
  <c r="X308" i="2"/>
  <c r="W308" i="2"/>
  <c r="V308" i="2"/>
  <c r="U308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BF181" i="2"/>
  <c r="BE181" i="2"/>
  <c r="BD181" i="2"/>
  <c r="BC181" i="2"/>
  <c r="BB181" i="2"/>
  <c r="BA181" i="2"/>
  <c r="AZ181" i="2"/>
  <c r="AY181" i="2"/>
  <c r="AX181" i="2"/>
  <c r="AW181" i="2"/>
  <c r="AV181" i="2"/>
  <c r="AU181" i="2"/>
  <c r="AT181" i="2"/>
  <c r="AS181" i="2"/>
  <c r="AR181" i="2"/>
  <c r="AQ181" i="2"/>
  <c r="AP181" i="2"/>
  <c r="AO181" i="2"/>
  <c r="AN181" i="2"/>
  <c r="AM181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BF180" i="2"/>
  <c r="BE180" i="2"/>
  <c r="BD180" i="2"/>
  <c r="BC180" i="2"/>
  <c r="BB180" i="2"/>
  <c r="BA180" i="2"/>
  <c r="AZ180" i="2"/>
  <c r="AY180" i="2"/>
  <c r="AX180" i="2"/>
  <c r="AW180" i="2"/>
  <c r="AV180" i="2"/>
  <c r="AU180" i="2"/>
  <c r="AT180" i="2"/>
  <c r="AS180" i="2"/>
  <c r="AR180" i="2"/>
  <c r="AQ180" i="2"/>
  <c r="AP180" i="2"/>
  <c r="AO180" i="2"/>
  <c r="AN180" i="2"/>
  <c r="AM180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BF179" i="2"/>
  <c r="BE179" i="2"/>
  <c r="BD179" i="2"/>
  <c r="BC179" i="2"/>
  <c r="BB179" i="2"/>
  <c r="BA179" i="2"/>
  <c r="AZ179" i="2"/>
  <c r="AY179" i="2"/>
  <c r="AX179" i="2"/>
  <c r="AW179" i="2"/>
  <c r="AV179" i="2"/>
  <c r="AU179" i="2"/>
  <c r="AT179" i="2"/>
  <c r="AS179" i="2"/>
  <c r="AR179" i="2"/>
  <c r="AQ179" i="2"/>
  <c r="AP179" i="2"/>
  <c r="AO179" i="2"/>
  <c r="AN179" i="2"/>
  <c r="AM179" i="2"/>
  <c r="AL179" i="2"/>
  <c r="AK179" i="2"/>
  <c r="AJ179" i="2"/>
  <c r="AI179" i="2"/>
  <c r="AH179" i="2"/>
  <c r="AG179" i="2"/>
  <c r="AF179" i="2"/>
  <c r="AE179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BF178" i="2"/>
  <c r="BE178" i="2"/>
  <c r="BD178" i="2"/>
  <c r="BC178" i="2"/>
  <c r="BB178" i="2"/>
  <c r="BA178" i="2"/>
  <c r="AZ178" i="2"/>
  <c r="AY178" i="2"/>
  <c r="AX178" i="2"/>
  <c r="AW178" i="2"/>
  <c r="AV178" i="2"/>
  <c r="AU178" i="2"/>
  <c r="AT178" i="2"/>
  <c r="AS178" i="2"/>
  <c r="AR178" i="2"/>
  <c r="AQ178" i="2"/>
  <c r="AP178" i="2"/>
  <c r="AO178" i="2"/>
  <c r="AN178" i="2"/>
  <c r="AM178" i="2"/>
  <c r="AL178" i="2"/>
  <c r="AK178" i="2"/>
  <c r="AJ178" i="2"/>
  <c r="AI178" i="2"/>
  <c r="AH178" i="2"/>
  <c r="AG178" i="2"/>
  <c r="AF178" i="2"/>
  <c r="AE178" i="2"/>
  <c r="AD178" i="2"/>
  <c r="AC178" i="2"/>
  <c r="AB178" i="2"/>
  <c r="AA178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BF177" i="2"/>
  <c r="BE177" i="2"/>
  <c r="BD177" i="2"/>
  <c r="BC177" i="2"/>
  <c r="BB177" i="2"/>
  <c r="BA177" i="2"/>
  <c r="AZ177" i="2"/>
  <c r="AY177" i="2"/>
  <c r="AX177" i="2"/>
  <c r="AW177" i="2"/>
  <c r="AV177" i="2"/>
  <c r="AU177" i="2"/>
  <c r="AT177" i="2"/>
  <c r="AS177" i="2"/>
  <c r="AR177" i="2"/>
  <c r="AQ177" i="2"/>
  <c r="AP177" i="2"/>
  <c r="AO177" i="2"/>
  <c r="AN177" i="2"/>
  <c r="AM177" i="2"/>
  <c r="AL177" i="2"/>
  <c r="AK177" i="2"/>
  <c r="AJ177" i="2"/>
  <c r="AI177" i="2"/>
  <c r="AH177" i="2"/>
  <c r="AG177" i="2"/>
  <c r="AF177" i="2"/>
  <c r="AE177" i="2"/>
  <c r="AD177" i="2"/>
  <c r="AC177" i="2"/>
  <c r="AB177" i="2"/>
  <c r="AA177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BF176" i="2"/>
  <c r="BE176" i="2"/>
  <c r="BD176" i="2"/>
  <c r="BC176" i="2"/>
  <c r="BB176" i="2"/>
  <c r="BA176" i="2"/>
  <c r="AZ176" i="2"/>
  <c r="AY176" i="2"/>
  <c r="AX176" i="2"/>
  <c r="AW176" i="2"/>
  <c r="AV176" i="2"/>
  <c r="AU176" i="2"/>
  <c r="AT176" i="2"/>
  <c r="AS176" i="2"/>
  <c r="AR176" i="2"/>
  <c r="AQ176" i="2"/>
  <c r="AP176" i="2"/>
  <c r="AO176" i="2"/>
  <c r="AN176" i="2"/>
  <c r="AM176" i="2"/>
  <c r="AL176" i="2"/>
  <c r="AK176" i="2"/>
  <c r="AJ176" i="2"/>
  <c r="AI176" i="2"/>
  <c r="AH176" i="2"/>
  <c r="AG176" i="2"/>
  <c r="AF176" i="2"/>
  <c r="AE176" i="2"/>
  <c r="AD176" i="2"/>
  <c r="AC176" i="2"/>
  <c r="AB176" i="2"/>
  <c r="AA176" i="2"/>
  <c r="Z176" i="2"/>
  <c r="Y176" i="2"/>
  <c r="X176" i="2"/>
  <c r="W176" i="2"/>
  <c r="V176" i="2"/>
  <c r="U176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BF175" i="2"/>
  <c r="BE175" i="2"/>
  <c r="BD175" i="2"/>
  <c r="BC175" i="2"/>
  <c r="BB175" i="2"/>
  <c r="BA175" i="2"/>
  <c r="AZ175" i="2"/>
  <c r="AY175" i="2"/>
  <c r="AX175" i="2"/>
  <c r="AW175" i="2"/>
  <c r="AV175" i="2"/>
  <c r="AU175" i="2"/>
  <c r="AT175" i="2"/>
  <c r="AS175" i="2"/>
  <c r="AR175" i="2"/>
  <c r="AQ175" i="2"/>
  <c r="AP175" i="2"/>
  <c r="AO175" i="2"/>
  <c r="AN175" i="2"/>
  <c r="AM175" i="2"/>
  <c r="AL175" i="2"/>
  <c r="AK175" i="2"/>
  <c r="AJ175" i="2"/>
  <c r="AI175" i="2"/>
  <c r="AH175" i="2"/>
  <c r="AG175" i="2"/>
  <c r="AF175" i="2"/>
  <c r="AE175" i="2"/>
  <c r="AD175" i="2"/>
  <c r="AC175" i="2"/>
  <c r="AB175" i="2"/>
  <c r="AA175" i="2"/>
  <c r="Z175" i="2"/>
  <c r="Y175" i="2"/>
  <c r="X175" i="2"/>
  <c r="W175" i="2"/>
  <c r="V175" i="2"/>
  <c r="U175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G175" i="2"/>
  <c r="F175" i="2"/>
  <c r="E175" i="2"/>
  <c r="D175" i="2"/>
  <c r="C175" i="2"/>
  <c r="BF174" i="2"/>
  <c r="BE174" i="2"/>
  <c r="BD174" i="2"/>
  <c r="BC174" i="2"/>
  <c r="BB174" i="2"/>
  <c r="BA174" i="2"/>
  <c r="AZ174" i="2"/>
  <c r="AY174" i="2"/>
  <c r="AX174" i="2"/>
  <c r="AW174" i="2"/>
  <c r="AV174" i="2"/>
  <c r="AU174" i="2"/>
  <c r="AT174" i="2"/>
  <c r="AS174" i="2"/>
  <c r="AR174" i="2"/>
  <c r="AQ174" i="2"/>
  <c r="AP174" i="2"/>
  <c r="AO174" i="2"/>
  <c r="AN174" i="2"/>
  <c r="AM174" i="2"/>
  <c r="AL174" i="2"/>
  <c r="AK174" i="2"/>
  <c r="AJ174" i="2"/>
  <c r="AI174" i="2"/>
  <c r="AH174" i="2"/>
  <c r="AG174" i="2"/>
  <c r="AF174" i="2"/>
  <c r="AE174" i="2"/>
  <c r="AD174" i="2"/>
  <c r="AC174" i="2"/>
  <c r="AB174" i="2"/>
  <c r="AA174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BF171" i="2"/>
  <c r="BE171" i="2"/>
  <c r="BD171" i="2"/>
  <c r="BC171" i="2"/>
  <c r="BB171" i="2"/>
  <c r="BA171" i="2"/>
  <c r="AZ171" i="2"/>
  <c r="AY171" i="2"/>
  <c r="AX171" i="2"/>
  <c r="AW171" i="2"/>
  <c r="AV171" i="2"/>
  <c r="AU171" i="2"/>
  <c r="AT171" i="2"/>
  <c r="AS171" i="2"/>
  <c r="AR171" i="2"/>
  <c r="AQ171" i="2"/>
  <c r="AP171" i="2"/>
  <c r="AO171" i="2"/>
  <c r="AN171" i="2"/>
  <c r="AM171" i="2"/>
  <c r="AL171" i="2"/>
  <c r="AK171" i="2"/>
  <c r="AJ171" i="2"/>
  <c r="AI171" i="2"/>
  <c r="AH171" i="2"/>
  <c r="AG171" i="2"/>
  <c r="AF171" i="2"/>
  <c r="AE171" i="2"/>
  <c r="AD171" i="2"/>
  <c r="AC171" i="2"/>
  <c r="AB171" i="2"/>
  <c r="AA171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BF170" i="2"/>
  <c r="BE170" i="2"/>
  <c r="BD170" i="2"/>
  <c r="BC170" i="2"/>
  <c r="BB170" i="2"/>
  <c r="BA170" i="2"/>
  <c r="AZ170" i="2"/>
  <c r="AY170" i="2"/>
  <c r="AX170" i="2"/>
  <c r="AW170" i="2"/>
  <c r="AV170" i="2"/>
  <c r="AU170" i="2"/>
  <c r="AT170" i="2"/>
  <c r="AS170" i="2"/>
  <c r="AR170" i="2"/>
  <c r="AQ170" i="2"/>
  <c r="AP170" i="2"/>
  <c r="AO170" i="2"/>
  <c r="AN170" i="2"/>
  <c r="AM170" i="2"/>
  <c r="AL170" i="2"/>
  <c r="AK170" i="2"/>
  <c r="AJ170" i="2"/>
  <c r="AI170" i="2"/>
  <c r="AH170" i="2"/>
  <c r="AG170" i="2"/>
  <c r="AF170" i="2"/>
  <c r="AE170" i="2"/>
  <c r="AD170" i="2"/>
  <c r="AC170" i="2"/>
  <c r="AB170" i="2"/>
  <c r="AA170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BF169" i="2"/>
  <c r="BE169" i="2"/>
  <c r="BD169" i="2"/>
  <c r="BC169" i="2"/>
  <c r="BB169" i="2"/>
  <c r="BA169" i="2"/>
  <c r="AZ169" i="2"/>
  <c r="AY169" i="2"/>
  <c r="AX169" i="2"/>
  <c r="AW169" i="2"/>
  <c r="AV169" i="2"/>
  <c r="AU169" i="2"/>
  <c r="AT169" i="2"/>
  <c r="AS169" i="2"/>
  <c r="AR169" i="2"/>
  <c r="AQ169" i="2"/>
  <c r="AP169" i="2"/>
  <c r="AO169" i="2"/>
  <c r="AN169" i="2"/>
  <c r="AM169" i="2"/>
  <c r="AL169" i="2"/>
  <c r="AK169" i="2"/>
  <c r="AJ169" i="2"/>
  <c r="AI169" i="2"/>
  <c r="AH169" i="2"/>
  <c r="AG169" i="2"/>
  <c r="AF169" i="2"/>
  <c r="AE169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BF168" i="2"/>
  <c r="BE168" i="2"/>
  <c r="BD168" i="2"/>
  <c r="BC168" i="2"/>
  <c r="BB168" i="2"/>
  <c r="BA168" i="2"/>
  <c r="AZ168" i="2"/>
  <c r="AY168" i="2"/>
  <c r="AX168" i="2"/>
  <c r="AW168" i="2"/>
  <c r="AV168" i="2"/>
  <c r="AU168" i="2"/>
  <c r="AT168" i="2"/>
  <c r="AS168" i="2"/>
  <c r="AR168" i="2"/>
  <c r="AQ168" i="2"/>
  <c r="AP168" i="2"/>
  <c r="AO168" i="2"/>
  <c r="AN168" i="2"/>
  <c r="AM168" i="2"/>
  <c r="AL168" i="2"/>
  <c r="AK168" i="2"/>
  <c r="AJ168" i="2"/>
  <c r="AI168" i="2"/>
  <c r="AH168" i="2"/>
  <c r="AG168" i="2"/>
  <c r="AF168" i="2"/>
  <c r="AE168" i="2"/>
  <c r="AD168" i="2"/>
  <c r="AC168" i="2"/>
  <c r="AB168" i="2"/>
  <c r="AA168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C168" i="2"/>
  <c r="BF167" i="2"/>
  <c r="BE167" i="2"/>
  <c r="BD167" i="2"/>
  <c r="BC167" i="2"/>
  <c r="BB167" i="2"/>
  <c r="BA167" i="2"/>
  <c r="AZ167" i="2"/>
  <c r="AY167" i="2"/>
  <c r="AX167" i="2"/>
  <c r="AW167" i="2"/>
  <c r="AV167" i="2"/>
  <c r="AU167" i="2"/>
  <c r="AT167" i="2"/>
  <c r="AS167" i="2"/>
  <c r="AR167" i="2"/>
  <c r="AQ167" i="2"/>
  <c r="AP167" i="2"/>
  <c r="AO167" i="2"/>
  <c r="AN167" i="2"/>
  <c r="AM167" i="2"/>
  <c r="AL167" i="2"/>
  <c r="AK167" i="2"/>
  <c r="AJ167" i="2"/>
  <c r="AI167" i="2"/>
  <c r="AH167" i="2"/>
  <c r="AG167" i="2"/>
  <c r="AF167" i="2"/>
  <c r="AE167" i="2"/>
  <c r="AD167" i="2"/>
  <c r="AC167" i="2"/>
  <c r="AB167" i="2"/>
  <c r="AA167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BF166" i="2"/>
  <c r="BE166" i="2"/>
  <c r="BD166" i="2"/>
  <c r="BC166" i="2"/>
  <c r="BB166" i="2"/>
  <c r="BA166" i="2"/>
  <c r="AZ166" i="2"/>
  <c r="AY166" i="2"/>
  <c r="AX166" i="2"/>
  <c r="AW166" i="2"/>
  <c r="AV166" i="2"/>
  <c r="AU166" i="2"/>
  <c r="AT166" i="2"/>
  <c r="AS166" i="2"/>
  <c r="AR166" i="2"/>
  <c r="AQ166" i="2"/>
  <c r="AP166" i="2"/>
  <c r="AO166" i="2"/>
  <c r="AN166" i="2"/>
  <c r="AM166" i="2"/>
  <c r="AL166" i="2"/>
  <c r="AK166" i="2"/>
  <c r="AJ166" i="2"/>
  <c r="AI166" i="2"/>
  <c r="AH166" i="2"/>
  <c r="AG166" i="2"/>
  <c r="AF166" i="2"/>
  <c r="AE166" i="2"/>
  <c r="AD166" i="2"/>
  <c r="AC166" i="2"/>
  <c r="AB166" i="2"/>
  <c r="AA166" i="2"/>
  <c r="Z166" i="2"/>
  <c r="Y166" i="2"/>
  <c r="X166" i="2"/>
  <c r="W166" i="2"/>
  <c r="V166" i="2"/>
  <c r="U166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G166" i="2"/>
  <c r="F166" i="2"/>
  <c r="E166" i="2"/>
  <c r="D166" i="2"/>
  <c r="C166" i="2"/>
  <c r="BF165" i="2"/>
  <c r="BE165" i="2"/>
  <c r="BD165" i="2"/>
  <c r="BC165" i="2"/>
  <c r="BB165" i="2"/>
  <c r="BA165" i="2"/>
  <c r="AZ165" i="2"/>
  <c r="AY165" i="2"/>
  <c r="AX165" i="2"/>
  <c r="AW165" i="2"/>
  <c r="AV165" i="2"/>
  <c r="AU165" i="2"/>
  <c r="AT165" i="2"/>
  <c r="AS165" i="2"/>
  <c r="AR165" i="2"/>
  <c r="AQ165" i="2"/>
  <c r="AP165" i="2"/>
  <c r="AO165" i="2"/>
  <c r="AN165" i="2"/>
  <c r="AM165" i="2"/>
  <c r="AL165" i="2"/>
  <c r="AK165" i="2"/>
  <c r="AJ165" i="2"/>
  <c r="AI165" i="2"/>
  <c r="AH165" i="2"/>
  <c r="AG165" i="2"/>
  <c r="AF165" i="2"/>
  <c r="AE165" i="2"/>
  <c r="AD165" i="2"/>
  <c r="AC165" i="2"/>
  <c r="AB165" i="2"/>
  <c r="AA165" i="2"/>
  <c r="Z165" i="2"/>
  <c r="Y165" i="2"/>
  <c r="X165" i="2"/>
  <c r="W165" i="2"/>
  <c r="V165" i="2"/>
  <c r="U165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G165" i="2"/>
  <c r="F165" i="2"/>
  <c r="E165" i="2"/>
  <c r="D165" i="2"/>
  <c r="C165" i="2"/>
  <c r="BF164" i="2"/>
  <c r="BE164" i="2"/>
  <c r="BD164" i="2"/>
  <c r="BC164" i="2"/>
  <c r="BB164" i="2"/>
  <c r="BA164" i="2"/>
  <c r="AZ164" i="2"/>
  <c r="AY164" i="2"/>
  <c r="AX164" i="2"/>
  <c r="AW164" i="2"/>
  <c r="AV164" i="2"/>
  <c r="AU164" i="2"/>
  <c r="AT164" i="2"/>
  <c r="AS164" i="2"/>
  <c r="AR164" i="2"/>
  <c r="AQ164" i="2"/>
  <c r="AP164" i="2"/>
  <c r="AO164" i="2"/>
  <c r="AN164" i="2"/>
  <c r="AM164" i="2"/>
  <c r="AL164" i="2"/>
  <c r="AK164" i="2"/>
  <c r="AJ164" i="2"/>
  <c r="AI164" i="2"/>
  <c r="AH164" i="2"/>
  <c r="AG164" i="2"/>
  <c r="AF164" i="2"/>
  <c r="AE164" i="2"/>
  <c r="AD164" i="2"/>
  <c r="AC164" i="2"/>
  <c r="AB164" i="2"/>
  <c r="AA164" i="2"/>
  <c r="Z164" i="2"/>
  <c r="Y164" i="2"/>
  <c r="X164" i="2"/>
  <c r="W164" i="2"/>
  <c r="V164" i="2"/>
  <c r="U164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G164" i="2"/>
  <c r="F164" i="2"/>
  <c r="E164" i="2"/>
  <c r="D164" i="2"/>
  <c r="C164" i="2"/>
  <c r="BF143" i="2"/>
  <c r="BE143" i="2"/>
  <c r="BD143" i="2"/>
  <c r="BC143" i="2"/>
  <c r="BB143" i="2"/>
  <c r="BA143" i="2"/>
  <c r="AZ143" i="2"/>
  <c r="AY143" i="2"/>
  <c r="AX143" i="2"/>
  <c r="AW143" i="2"/>
  <c r="AV143" i="2"/>
  <c r="AU143" i="2"/>
  <c r="AT143" i="2"/>
  <c r="AS143" i="2"/>
  <c r="AR143" i="2"/>
  <c r="AQ143" i="2"/>
  <c r="AP143" i="2"/>
  <c r="AO143" i="2"/>
  <c r="AN143" i="2"/>
  <c r="AM143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BF142" i="2"/>
  <c r="BE142" i="2"/>
  <c r="BD142" i="2"/>
  <c r="BC142" i="2"/>
  <c r="BB142" i="2"/>
  <c r="BA142" i="2"/>
  <c r="AZ142" i="2"/>
  <c r="AY142" i="2"/>
  <c r="AX142" i="2"/>
  <c r="AW142" i="2"/>
  <c r="AV142" i="2"/>
  <c r="AU142" i="2"/>
  <c r="AT142" i="2"/>
  <c r="AS142" i="2"/>
  <c r="AR142" i="2"/>
  <c r="AQ142" i="2"/>
  <c r="AP142" i="2"/>
  <c r="AO142" i="2"/>
  <c r="AN142" i="2"/>
  <c r="AM142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BF141" i="2"/>
  <c r="BE141" i="2"/>
  <c r="BD141" i="2"/>
  <c r="BC141" i="2"/>
  <c r="BB141" i="2"/>
  <c r="BA141" i="2"/>
  <c r="AZ141" i="2"/>
  <c r="AY141" i="2"/>
  <c r="AX141" i="2"/>
  <c r="AW141" i="2"/>
  <c r="AV141" i="2"/>
  <c r="AU141" i="2"/>
  <c r="AT141" i="2"/>
  <c r="AS141" i="2"/>
  <c r="AR141" i="2"/>
  <c r="AQ141" i="2"/>
  <c r="AP141" i="2"/>
  <c r="AO141" i="2"/>
  <c r="AN141" i="2"/>
  <c r="AM141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BF140" i="2"/>
  <c r="BE140" i="2"/>
  <c r="BD140" i="2"/>
  <c r="BC140" i="2"/>
  <c r="BB140" i="2"/>
  <c r="BA140" i="2"/>
  <c r="AZ140" i="2"/>
  <c r="AY140" i="2"/>
  <c r="AX140" i="2"/>
  <c r="AW140" i="2"/>
  <c r="AV140" i="2"/>
  <c r="AU140" i="2"/>
  <c r="AT140" i="2"/>
  <c r="AS140" i="2"/>
  <c r="AR140" i="2"/>
  <c r="AQ140" i="2"/>
  <c r="AP140" i="2"/>
  <c r="AO140" i="2"/>
  <c r="AN140" i="2"/>
  <c r="AM140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AM138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AM137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BF136" i="2"/>
  <c r="BE136" i="2"/>
  <c r="BD136" i="2"/>
  <c r="BC136" i="2"/>
  <c r="BB136" i="2"/>
  <c r="BA136" i="2"/>
  <c r="AZ136" i="2"/>
  <c r="AY136" i="2"/>
  <c r="AX136" i="2"/>
  <c r="AW136" i="2"/>
  <c r="AV136" i="2"/>
  <c r="AU136" i="2"/>
  <c r="AT136" i="2"/>
  <c r="AS136" i="2"/>
  <c r="AR136" i="2"/>
  <c r="AQ136" i="2"/>
  <c r="AP136" i="2"/>
  <c r="AO136" i="2"/>
  <c r="AN136" i="2"/>
  <c r="AM136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BF132" i="2"/>
  <c r="BE132" i="2"/>
  <c r="BD132" i="2"/>
  <c r="BC132" i="2"/>
  <c r="BB132" i="2"/>
  <c r="BA132" i="2"/>
  <c r="AZ132" i="2"/>
  <c r="AY132" i="2"/>
  <c r="AX132" i="2"/>
  <c r="AW132" i="2"/>
  <c r="AV132" i="2"/>
  <c r="AU132" i="2"/>
  <c r="AT132" i="2"/>
  <c r="AS132" i="2"/>
  <c r="AR132" i="2"/>
  <c r="AQ132" i="2"/>
  <c r="AP132" i="2"/>
  <c r="AO132" i="2"/>
  <c r="AN132" i="2"/>
  <c r="AM132" i="2"/>
  <c r="AL132" i="2"/>
  <c r="AK132" i="2"/>
  <c r="AJ132" i="2"/>
  <c r="AI132" i="2"/>
  <c r="AH132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F131" i="2"/>
  <c r="BE131" i="2"/>
  <c r="BD131" i="2"/>
  <c r="BC131" i="2"/>
  <c r="BB131" i="2"/>
  <c r="BA131" i="2"/>
  <c r="AZ131" i="2"/>
  <c r="AY131" i="2"/>
  <c r="AX131" i="2"/>
  <c r="AW131" i="2"/>
  <c r="AV131" i="2"/>
  <c r="AU131" i="2"/>
  <c r="AT131" i="2"/>
  <c r="AS131" i="2"/>
  <c r="AR131" i="2"/>
  <c r="AQ131" i="2"/>
  <c r="AP131" i="2"/>
  <c r="AO131" i="2"/>
  <c r="AN131" i="2"/>
  <c r="AM131" i="2"/>
  <c r="AL131" i="2"/>
  <c r="AK131" i="2"/>
  <c r="AJ131" i="2"/>
  <c r="AI131" i="2"/>
  <c r="AH131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BF130" i="2"/>
  <c r="BE130" i="2"/>
  <c r="BD130" i="2"/>
  <c r="BC130" i="2"/>
  <c r="BB130" i="2"/>
  <c r="BA130" i="2"/>
  <c r="AZ130" i="2"/>
  <c r="AY130" i="2"/>
  <c r="AX130" i="2"/>
  <c r="AW130" i="2"/>
  <c r="AV130" i="2"/>
  <c r="AU130" i="2"/>
  <c r="AT130" i="2"/>
  <c r="AS130" i="2"/>
  <c r="AR130" i="2"/>
  <c r="AQ130" i="2"/>
  <c r="AP130" i="2"/>
  <c r="AO130" i="2"/>
  <c r="AN130" i="2"/>
  <c r="AM130" i="2"/>
  <c r="AL130" i="2"/>
  <c r="AK130" i="2"/>
  <c r="AJ130" i="2"/>
  <c r="AI130" i="2"/>
  <c r="AH130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BF129" i="2"/>
  <c r="BE129" i="2"/>
  <c r="BD129" i="2"/>
  <c r="BC129" i="2"/>
  <c r="BB129" i="2"/>
  <c r="BA129" i="2"/>
  <c r="AZ129" i="2"/>
  <c r="AY129" i="2"/>
  <c r="AX129" i="2"/>
  <c r="AW129" i="2"/>
  <c r="AV129" i="2"/>
  <c r="AU129" i="2"/>
  <c r="AT129" i="2"/>
  <c r="AS129" i="2"/>
  <c r="AR129" i="2"/>
  <c r="AQ129" i="2"/>
  <c r="AP129" i="2"/>
  <c r="AO129" i="2"/>
  <c r="AN129" i="2"/>
  <c r="AM129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BF128" i="2"/>
  <c r="BE128" i="2"/>
  <c r="BD128" i="2"/>
  <c r="BC128" i="2"/>
  <c r="BB128" i="2"/>
  <c r="BA128" i="2"/>
  <c r="AZ128" i="2"/>
  <c r="AY128" i="2"/>
  <c r="AX128" i="2"/>
  <c r="AW128" i="2"/>
  <c r="AV128" i="2"/>
  <c r="AU128" i="2"/>
  <c r="AT128" i="2"/>
  <c r="AS128" i="2"/>
  <c r="AR128" i="2"/>
  <c r="AQ128" i="2"/>
  <c r="AP128" i="2"/>
  <c r="AO128" i="2"/>
  <c r="AN128" i="2"/>
  <c r="AM128" i="2"/>
  <c r="AL128" i="2"/>
  <c r="AK128" i="2"/>
  <c r="AJ128" i="2"/>
  <c r="AI128" i="2"/>
  <c r="AH128" i="2"/>
  <c r="AG128" i="2"/>
  <c r="AF128" i="2"/>
  <c r="AE128" i="2"/>
  <c r="AD128" i="2"/>
  <c r="AC128" i="2"/>
  <c r="AB128" i="2"/>
  <c r="AA128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BF127" i="2"/>
  <c r="BE127" i="2"/>
  <c r="BD127" i="2"/>
  <c r="BC127" i="2"/>
  <c r="BB127" i="2"/>
  <c r="BA127" i="2"/>
  <c r="AZ127" i="2"/>
  <c r="AY127" i="2"/>
  <c r="AX127" i="2"/>
  <c r="AW127" i="2"/>
  <c r="AV127" i="2"/>
  <c r="AU127" i="2"/>
  <c r="AT127" i="2"/>
  <c r="AS127" i="2"/>
  <c r="AR127" i="2"/>
  <c r="AQ127" i="2"/>
  <c r="AP127" i="2"/>
  <c r="AO127" i="2"/>
  <c r="AN127" i="2"/>
  <c r="AM127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BF126" i="2"/>
  <c r="BE126" i="2"/>
  <c r="BD126" i="2"/>
  <c r="BC126" i="2"/>
  <c r="BB126" i="2"/>
  <c r="BA126" i="2"/>
  <c r="AZ126" i="2"/>
  <c r="AY126" i="2"/>
  <c r="AX126" i="2"/>
  <c r="AW126" i="2"/>
  <c r="AV126" i="2"/>
  <c r="AU126" i="2"/>
  <c r="AT126" i="2"/>
  <c r="AS126" i="2"/>
  <c r="AR126" i="2"/>
  <c r="AQ126" i="2"/>
  <c r="AP126" i="2"/>
  <c r="AO126" i="2"/>
  <c r="AN126" i="2"/>
  <c r="AM126" i="2"/>
  <c r="AL126" i="2"/>
  <c r="AK126" i="2"/>
  <c r="AJ126" i="2"/>
  <c r="AI126" i="2"/>
  <c r="AH126" i="2"/>
  <c r="AG126" i="2"/>
  <c r="AF126" i="2"/>
  <c r="AE126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BF125" i="2"/>
  <c r="BE125" i="2"/>
  <c r="BD125" i="2"/>
  <c r="BC125" i="2"/>
  <c r="BB125" i="2"/>
  <c r="BA125" i="2"/>
  <c r="AZ125" i="2"/>
  <c r="AY125" i="2"/>
  <c r="AX125" i="2"/>
  <c r="AW125" i="2"/>
  <c r="AV125" i="2"/>
  <c r="AU125" i="2"/>
  <c r="AT125" i="2"/>
  <c r="AS125" i="2"/>
  <c r="AR125" i="2"/>
  <c r="AQ125" i="2"/>
  <c r="AP125" i="2"/>
  <c r="AO125" i="2"/>
  <c r="AN125" i="2"/>
  <c r="AM125" i="2"/>
  <c r="AL125" i="2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BF416" i="2"/>
  <c r="BE416" i="2"/>
  <c r="BD416" i="2"/>
  <c r="BC416" i="2"/>
  <c r="BB416" i="2"/>
  <c r="BA416" i="2"/>
  <c r="AZ416" i="2"/>
  <c r="AY416" i="2"/>
  <c r="AX416" i="2"/>
  <c r="AW416" i="2"/>
  <c r="AV416" i="2"/>
  <c r="AU416" i="2"/>
  <c r="AT416" i="2"/>
  <c r="AS416" i="2"/>
  <c r="AR416" i="2"/>
  <c r="AQ416" i="2"/>
  <c r="AP416" i="2"/>
  <c r="AO416" i="2"/>
  <c r="AN416" i="2"/>
  <c r="AM416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BF415" i="2"/>
  <c r="BE415" i="2"/>
  <c r="BD415" i="2"/>
  <c r="BC415" i="2"/>
  <c r="BB415" i="2"/>
  <c r="BA415" i="2"/>
  <c r="AZ415" i="2"/>
  <c r="AY415" i="2"/>
  <c r="AX415" i="2"/>
  <c r="AW415" i="2"/>
  <c r="AV415" i="2"/>
  <c r="AU415" i="2"/>
  <c r="AT415" i="2"/>
  <c r="AS415" i="2"/>
  <c r="AR415" i="2"/>
  <c r="AQ415" i="2"/>
  <c r="AP415" i="2"/>
  <c r="AO415" i="2"/>
  <c r="AN415" i="2"/>
  <c r="AM415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BF414" i="2"/>
  <c r="BE414" i="2"/>
  <c r="BD414" i="2"/>
  <c r="BC414" i="2"/>
  <c r="BB414" i="2"/>
  <c r="BA414" i="2"/>
  <c r="AZ414" i="2"/>
  <c r="AY414" i="2"/>
  <c r="AX414" i="2"/>
  <c r="AW414" i="2"/>
  <c r="AV414" i="2"/>
  <c r="AU414" i="2"/>
  <c r="AT414" i="2"/>
  <c r="AS414" i="2"/>
  <c r="AR414" i="2"/>
  <c r="AQ414" i="2"/>
  <c r="AP414" i="2"/>
  <c r="AO414" i="2"/>
  <c r="AN414" i="2"/>
  <c r="AM414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BF413" i="2"/>
  <c r="BE413" i="2"/>
  <c r="BD413" i="2"/>
  <c r="BC413" i="2"/>
  <c r="BB413" i="2"/>
  <c r="BA413" i="2"/>
  <c r="AZ413" i="2"/>
  <c r="AY413" i="2"/>
  <c r="AX413" i="2"/>
  <c r="AW413" i="2"/>
  <c r="AV413" i="2"/>
  <c r="AU413" i="2"/>
  <c r="AT413" i="2"/>
  <c r="AS413" i="2"/>
  <c r="AR413" i="2"/>
  <c r="AQ413" i="2"/>
  <c r="AP413" i="2"/>
  <c r="AO413" i="2"/>
  <c r="AN413" i="2"/>
  <c r="AM413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BF412" i="2"/>
  <c r="BE412" i="2"/>
  <c r="BD412" i="2"/>
  <c r="BC412" i="2"/>
  <c r="BB412" i="2"/>
  <c r="BA412" i="2"/>
  <c r="AZ412" i="2"/>
  <c r="AY412" i="2"/>
  <c r="AX412" i="2"/>
  <c r="AW412" i="2"/>
  <c r="AV412" i="2"/>
  <c r="AU412" i="2"/>
  <c r="AT412" i="2"/>
  <c r="AS412" i="2"/>
  <c r="AR412" i="2"/>
  <c r="AQ412" i="2"/>
  <c r="AP412" i="2"/>
  <c r="AO412" i="2"/>
  <c r="AN412" i="2"/>
  <c r="AM412" i="2"/>
  <c r="AL412" i="2"/>
  <c r="AK412" i="2"/>
  <c r="AJ412" i="2"/>
  <c r="AI412" i="2"/>
  <c r="AH412" i="2"/>
  <c r="AG412" i="2"/>
  <c r="AF412" i="2"/>
  <c r="AE412" i="2"/>
  <c r="AD412" i="2"/>
  <c r="AC412" i="2"/>
  <c r="AB412" i="2"/>
  <c r="AA412" i="2"/>
  <c r="Z412" i="2"/>
  <c r="Y412" i="2"/>
  <c r="X412" i="2"/>
  <c r="W412" i="2"/>
  <c r="V412" i="2"/>
  <c r="U412" i="2"/>
  <c r="T412" i="2"/>
  <c r="S412" i="2"/>
  <c r="R412" i="2"/>
  <c r="Q412" i="2"/>
  <c r="P412" i="2"/>
  <c r="O412" i="2"/>
  <c r="N412" i="2"/>
  <c r="M412" i="2"/>
  <c r="L412" i="2"/>
  <c r="K412" i="2"/>
  <c r="J412" i="2"/>
  <c r="I412" i="2"/>
  <c r="H412" i="2"/>
  <c r="G412" i="2"/>
  <c r="F412" i="2"/>
  <c r="E412" i="2"/>
  <c r="D412" i="2"/>
  <c r="C412" i="2"/>
  <c r="B412" i="2"/>
  <c r="BF411" i="2"/>
  <c r="BE411" i="2"/>
  <c r="BD411" i="2"/>
  <c r="BC411" i="2"/>
  <c r="BB411" i="2"/>
  <c r="BA411" i="2"/>
  <c r="AZ411" i="2"/>
  <c r="AY411" i="2"/>
  <c r="AX411" i="2"/>
  <c r="AW411" i="2"/>
  <c r="AV411" i="2"/>
  <c r="AU411" i="2"/>
  <c r="AT411" i="2"/>
  <c r="AS411" i="2"/>
  <c r="AR411" i="2"/>
  <c r="AQ411" i="2"/>
  <c r="AP411" i="2"/>
  <c r="AO411" i="2"/>
  <c r="AN411" i="2"/>
  <c r="AM411" i="2"/>
  <c r="AL411" i="2"/>
  <c r="AK411" i="2"/>
  <c r="AJ411" i="2"/>
  <c r="AI411" i="2"/>
  <c r="AH411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G411" i="2"/>
  <c r="F411" i="2"/>
  <c r="E411" i="2"/>
  <c r="D411" i="2"/>
  <c r="C411" i="2"/>
  <c r="B411" i="2"/>
  <c r="BF410" i="2"/>
  <c r="BE410" i="2"/>
  <c r="BD410" i="2"/>
  <c r="BC410" i="2"/>
  <c r="BB410" i="2"/>
  <c r="BA410" i="2"/>
  <c r="AZ410" i="2"/>
  <c r="AY410" i="2"/>
  <c r="AX410" i="2"/>
  <c r="AW410" i="2"/>
  <c r="AV410" i="2"/>
  <c r="AU410" i="2"/>
  <c r="AT410" i="2"/>
  <c r="AS410" i="2"/>
  <c r="AR410" i="2"/>
  <c r="AQ410" i="2"/>
  <c r="AP410" i="2"/>
  <c r="AO410" i="2"/>
  <c r="AN410" i="2"/>
  <c r="AM410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B410" i="2"/>
  <c r="BF409" i="2"/>
  <c r="BE409" i="2"/>
  <c r="BD409" i="2"/>
  <c r="BC409" i="2"/>
  <c r="BB409" i="2"/>
  <c r="BA409" i="2"/>
  <c r="AZ409" i="2"/>
  <c r="AY409" i="2"/>
  <c r="AX409" i="2"/>
  <c r="AW409" i="2"/>
  <c r="AV409" i="2"/>
  <c r="AU409" i="2"/>
  <c r="AT409" i="2"/>
  <c r="AS409" i="2"/>
  <c r="AR409" i="2"/>
  <c r="AQ409" i="2"/>
  <c r="AP409" i="2"/>
  <c r="AO409" i="2"/>
  <c r="AN409" i="2"/>
  <c r="AM409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B409" i="2"/>
  <c r="BF408" i="2"/>
  <c r="BE408" i="2"/>
  <c r="BD408" i="2"/>
  <c r="BC408" i="2"/>
  <c r="BB408" i="2"/>
  <c r="BA408" i="2"/>
  <c r="AZ408" i="2"/>
  <c r="AY408" i="2"/>
  <c r="AX408" i="2"/>
  <c r="AW408" i="2"/>
  <c r="AV408" i="2"/>
  <c r="AU408" i="2"/>
  <c r="AT408" i="2"/>
  <c r="AS408" i="2"/>
  <c r="AR408" i="2"/>
  <c r="AQ408" i="2"/>
  <c r="AP408" i="2"/>
  <c r="AO408" i="2"/>
  <c r="AN408" i="2"/>
  <c r="AM408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B408" i="2"/>
  <c r="BF407" i="2"/>
  <c r="BE407" i="2"/>
  <c r="BD407" i="2"/>
  <c r="BC407" i="2"/>
  <c r="BB407" i="2"/>
  <c r="BA407" i="2"/>
  <c r="AZ407" i="2"/>
  <c r="AY407" i="2"/>
  <c r="AX407" i="2"/>
  <c r="AW407" i="2"/>
  <c r="AV407" i="2"/>
  <c r="AU407" i="2"/>
  <c r="AT407" i="2"/>
  <c r="AS407" i="2"/>
  <c r="AR407" i="2"/>
  <c r="AQ407" i="2"/>
  <c r="AP407" i="2"/>
  <c r="AO407" i="2"/>
  <c r="AN407" i="2"/>
  <c r="AM407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B407" i="2"/>
  <c r="BF406" i="2"/>
  <c r="BE406" i="2"/>
  <c r="BD406" i="2"/>
  <c r="BC406" i="2"/>
  <c r="BB406" i="2"/>
  <c r="BA406" i="2"/>
  <c r="AZ406" i="2"/>
  <c r="AY406" i="2"/>
  <c r="AX406" i="2"/>
  <c r="AW406" i="2"/>
  <c r="AV406" i="2"/>
  <c r="AU406" i="2"/>
  <c r="AT406" i="2"/>
  <c r="AS406" i="2"/>
  <c r="AR406" i="2"/>
  <c r="AQ406" i="2"/>
  <c r="AP406" i="2"/>
  <c r="AO406" i="2"/>
  <c r="AN406" i="2"/>
  <c r="AM406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B406" i="2"/>
  <c r="BF405" i="2"/>
  <c r="BE405" i="2"/>
  <c r="BD405" i="2"/>
  <c r="BC405" i="2"/>
  <c r="BB405" i="2"/>
  <c r="BA405" i="2"/>
  <c r="AZ405" i="2"/>
  <c r="AY405" i="2"/>
  <c r="AX405" i="2"/>
  <c r="AW405" i="2"/>
  <c r="AV405" i="2"/>
  <c r="AU405" i="2"/>
  <c r="AT405" i="2"/>
  <c r="AS405" i="2"/>
  <c r="AR405" i="2"/>
  <c r="AQ405" i="2"/>
  <c r="AP405" i="2"/>
  <c r="AO405" i="2"/>
  <c r="AN405" i="2"/>
  <c r="AM405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BF404" i="2"/>
  <c r="BE404" i="2"/>
  <c r="BD404" i="2"/>
  <c r="BC404" i="2"/>
  <c r="BB404" i="2"/>
  <c r="BA404" i="2"/>
  <c r="AZ404" i="2"/>
  <c r="AY404" i="2"/>
  <c r="AX404" i="2"/>
  <c r="AW404" i="2"/>
  <c r="AV404" i="2"/>
  <c r="AU404" i="2"/>
  <c r="AT404" i="2"/>
  <c r="AS404" i="2"/>
  <c r="AR404" i="2"/>
  <c r="AQ404" i="2"/>
  <c r="AP404" i="2"/>
  <c r="AO404" i="2"/>
  <c r="AN404" i="2"/>
  <c r="AM404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BF403" i="2"/>
  <c r="BE403" i="2"/>
  <c r="BD403" i="2"/>
  <c r="BC403" i="2"/>
  <c r="BB403" i="2"/>
  <c r="BA403" i="2"/>
  <c r="AZ403" i="2"/>
  <c r="AY403" i="2"/>
  <c r="AX403" i="2"/>
  <c r="AW403" i="2"/>
  <c r="AV403" i="2"/>
  <c r="AU403" i="2"/>
  <c r="AT403" i="2"/>
  <c r="AS403" i="2"/>
  <c r="AR403" i="2"/>
  <c r="AQ403" i="2"/>
  <c r="AP403" i="2"/>
  <c r="AO403" i="2"/>
  <c r="AN403" i="2"/>
  <c r="AM403" i="2"/>
  <c r="AL403" i="2"/>
  <c r="AK403" i="2"/>
  <c r="AJ403" i="2"/>
  <c r="AI403" i="2"/>
  <c r="AH403" i="2"/>
  <c r="AG403" i="2"/>
  <c r="AF403" i="2"/>
  <c r="AE403" i="2"/>
  <c r="AD403" i="2"/>
  <c r="AC403" i="2"/>
  <c r="AB403" i="2"/>
  <c r="AA403" i="2"/>
  <c r="Z403" i="2"/>
  <c r="Y403" i="2"/>
  <c r="X403" i="2"/>
  <c r="W403" i="2"/>
  <c r="V403" i="2"/>
  <c r="U403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BF402" i="2"/>
  <c r="BE402" i="2"/>
  <c r="BD402" i="2"/>
  <c r="BC402" i="2"/>
  <c r="BB402" i="2"/>
  <c r="BA402" i="2"/>
  <c r="AZ402" i="2"/>
  <c r="AY402" i="2"/>
  <c r="AX402" i="2"/>
  <c r="AW402" i="2"/>
  <c r="AV402" i="2"/>
  <c r="AU402" i="2"/>
  <c r="AT402" i="2"/>
  <c r="AS402" i="2"/>
  <c r="AR402" i="2"/>
  <c r="AQ402" i="2"/>
  <c r="AP402" i="2"/>
  <c r="AO402" i="2"/>
  <c r="AN402" i="2"/>
  <c r="AM402" i="2"/>
  <c r="AL402" i="2"/>
  <c r="AK402" i="2"/>
  <c r="AJ402" i="2"/>
  <c r="AI402" i="2"/>
  <c r="AH402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BF401" i="2"/>
  <c r="BE401" i="2"/>
  <c r="BD401" i="2"/>
  <c r="BC401" i="2"/>
  <c r="BB401" i="2"/>
  <c r="BA401" i="2"/>
  <c r="AZ401" i="2"/>
  <c r="AY401" i="2"/>
  <c r="AX401" i="2"/>
  <c r="AW401" i="2"/>
  <c r="AV401" i="2"/>
  <c r="AU401" i="2"/>
  <c r="AT401" i="2"/>
  <c r="AS401" i="2"/>
  <c r="AR401" i="2"/>
  <c r="AQ401" i="2"/>
  <c r="AP401" i="2"/>
  <c r="AO401" i="2"/>
  <c r="AN401" i="2"/>
  <c r="AM401" i="2"/>
  <c r="AL401" i="2"/>
  <c r="AK401" i="2"/>
  <c r="AJ401" i="2"/>
  <c r="AI401" i="2"/>
  <c r="AH401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BF400" i="2"/>
  <c r="BE400" i="2"/>
  <c r="BD400" i="2"/>
  <c r="BC400" i="2"/>
  <c r="BB400" i="2"/>
  <c r="BA400" i="2"/>
  <c r="AZ400" i="2"/>
  <c r="AY400" i="2"/>
  <c r="AX400" i="2"/>
  <c r="AW400" i="2"/>
  <c r="AV400" i="2"/>
  <c r="AU400" i="2"/>
  <c r="AT400" i="2"/>
  <c r="AS400" i="2"/>
  <c r="AR400" i="2"/>
  <c r="AQ400" i="2"/>
  <c r="AP400" i="2"/>
  <c r="AO400" i="2"/>
  <c r="AN400" i="2"/>
  <c r="AM400" i="2"/>
  <c r="AL400" i="2"/>
  <c r="AK400" i="2"/>
  <c r="AJ400" i="2"/>
  <c r="AI400" i="2"/>
  <c r="AH400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BF399" i="2"/>
  <c r="BE399" i="2"/>
  <c r="BD399" i="2"/>
  <c r="BC399" i="2"/>
  <c r="BB399" i="2"/>
  <c r="BA399" i="2"/>
  <c r="AZ399" i="2"/>
  <c r="AY399" i="2"/>
  <c r="AX399" i="2"/>
  <c r="AW399" i="2"/>
  <c r="AV399" i="2"/>
  <c r="AU399" i="2"/>
  <c r="AT399" i="2"/>
  <c r="AS399" i="2"/>
  <c r="AR399" i="2"/>
  <c r="AQ399" i="2"/>
  <c r="AP399" i="2"/>
  <c r="AO399" i="2"/>
  <c r="AN399" i="2"/>
  <c r="AM399" i="2"/>
  <c r="AL399" i="2"/>
  <c r="AK399" i="2"/>
  <c r="AJ399" i="2"/>
  <c r="AI399" i="2"/>
  <c r="AH399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BF398" i="2"/>
  <c r="BE398" i="2"/>
  <c r="BD398" i="2"/>
  <c r="BC398" i="2"/>
  <c r="BB398" i="2"/>
  <c r="BA398" i="2"/>
  <c r="AZ398" i="2"/>
  <c r="AY398" i="2"/>
  <c r="AX398" i="2"/>
  <c r="AW398" i="2"/>
  <c r="AV398" i="2"/>
  <c r="AU398" i="2"/>
  <c r="AT398" i="2"/>
  <c r="AS398" i="2"/>
  <c r="AR398" i="2"/>
  <c r="AQ398" i="2"/>
  <c r="AP398" i="2"/>
  <c r="AO398" i="2"/>
  <c r="AN398" i="2"/>
  <c r="AM398" i="2"/>
  <c r="AL398" i="2"/>
  <c r="AK398" i="2"/>
  <c r="AJ398" i="2"/>
  <c r="AI398" i="2"/>
  <c r="AH398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BF397" i="2"/>
  <c r="BE397" i="2"/>
  <c r="BD397" i="2"/>
  <c r="BC397" i="2"/>
  <c r="BB397" i="2"/>
  <c r="BA397" i="2"/>
  <c r="AZ397" i="2"/>
  <c r="AY397" i="2"/>
  <c r="AX397" i="2"/>
  <c r="AW397" i="2"/>
  <c r="AV397" i="2"/>
  <c r="AU397" i="2"/>
  <c r="AT397" i="2"/>
  <c r="AS397" i="2"/>
  <c r="AR397" i="2"/>
  <c r="AQ397" i="2"/>
  <c r="AP397" i="2"/>
  <c r="AO397" i="2"/>
  <c r="AN397" i="2"/>
  <c r="AM397" i="2"/>
  <c r="AL397" i="2"/>
  <c r="AK397" i="2"/>
  <c r="AJ397" i="2"/>
  <c r="AI397" i="2"/>
  <c r="AH397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BF396" i="2"/>
  <c r="BE396" i="2"/>
  <c r="BD396" i="2"/>
  <c r="BC396" i="2"/>
  <c r="BB396" i="2"/>
  <c r="BA396" i="2"/>
  <c r="AZ396" i="2"/>
  <c r="AY396" i="2"/>
  <c r="AX396" i="2"/>
  <c r="AW396" i="2"/>
  <c r="AV396" i="2"/>
  <c r="AU396" i="2"/>
  <c r="AT396" i="2"/>
  <c r="AS396" i="2"/>
  <c r="AR396" i="2"/>
  <c r="AQ396" i="2"/>
  <c r="AP396" i="2"/>
  <c r="AO396" i="2"/>
  <c r="AN396" i="2"/>
  <c r="AM396" i="2"/>
  <c r="AL396" i="2"/>
  <c r="AK396" i="2"/>
  <c r="AJ396" i="2"/>
  <c r="AI396" i="2"/>
  <c r="AH396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BF395" i="2"/>
  <c r="BE395" i="2"/>
  <c r="BD395" i="2"/>
  <c r="BC395" i="2"/>
  <c r="BB395" i="2"/>
  <c r="BA395" i="2"/>
  <c r="AZ395" i="2"/>
  <c r="AY395" i="2"/>
  <c r="AX395" i="2"/>
  <c r="AW395" i="2"/>
  <c r="AV395" i="2"/>
  <c r="AU395" i="2"/>
  <c r="AT395" i="2"/>
  <c r="AS395" i="2"/>
  <c r="AR395" i="2"/>
  <c r="AQ395" i="2"/>
  <c r="AP395" i="2"/>
  <c r="AO395" i="2"/>
  <c r="AN395" i="2"/>
  <c r="AM395" i="2"/>
  <c r="AL395" i="2"/>
  <c r="AK395" i="2"/>
  <c r="AJ395" i="2"/>
  <c r="AI395" i="2"/>
  <c r="AH395" i="2"/>
  <c r="AG395" i="2"/>
  <c r="AF395" i="2"/>
  <c r="AE395" i="2"/>
  <c r="AD395" i="2"/>
  <c r="AC395" i="2"/>
  <c r="AB395" i="2"/>
  <c r="AA395" i="2"/>
  <c r="Z395" i="2"/>
  <c r="Y395" i="2"/>
  <c r="X395" i="2"/>
  <c r="W395" i="2"/>
  <c r="V395" i="2"/>
  <c r="U395" i="2"/>
  <c r="T395" i="2"/>
  <c r="S395" i="2"/>
  <c r="R395" i="2"/>
  <c r="Q395" i="2"/>
  <c r="P395" i="2"/>
  <c r="O395" i="2"/>
  <c r="N395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BF394" i="2"/>
  <c r="BE394" i="2"/>
  <c r="BD394" i="2"/>
  <c r="BC394" i="2"/>
  <c r="BB394" i="2"/>
  <c r="BA394" i="2"/>
  <c r="AZ394" i="2"/>
  <c r="AY394" i="2"/>
  <c r="AX394" i="2"/>
  <c r="AW394" i="2"/>
  <c r="AV394" i="2"/>
  <c r="AU394" i="2"/>
  <c r="AT394" i="2"/>
  <c r="AS394" i="2"/>
  <c r="AR394" i="2"/>
  <c r="AQ394" i="2"/>
  <c r="AP394" i="2"/>
  <c r="AO394" i="2"/>
  <c r="AN394" i="2"/>
  <c r="AM394" i="2"/>
  <c r="AL394" i="2"/>
  <c r="AK394" i="2"/>
  <c r="AJ394" i="2"/>
  <c r="AI394" i="2"/>
  <c r="AH394" i="2"/>
  <c r="AG394" i="2"/>
  <c r="AF394" i="2"/>
  <c r="AE394" i="2"/>
  <c r="AD394" i="2"/>
  <c r="AC394" i="2"/>
  <c r="AB394" i="2"/>
  <c r="AA394" i="2"/>
  <c r="Z394" i="2"/>
  <c r="Y394" i="2"/>
  <c r="X394" i="2"/>
  <c r="W394" i="2"/>
  <c r="V394" i="2"/>
  <c r="U394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BF393" i="2"/>
  <c r="BE393" i="2"/>
  <c r="BD393" i="2"/>
  <c r="BC393" i="2"/>
  <c r="BB393" i="2"/>
  <c r="BA393" i="2"/>
  <c r="AZ393" i="2"/>
  <c r="AY393" i="2"/>
  <c r="AX393" i="2"/>
  <c r="AW393" i="2"/>
  <c r="AV393" i="2"/>
  <c r="AU393" i="2"/>
  <c r="AT393" i="2"/>
  <c r="AS393" i="2"/>
  <c r="AR393" i="2"/>
  <c r="AQ393" i="2"/>
  <c r="AP393" i="2"/>
  <c r="AO393" i="2"/>
  <c r="AN393" i="2"/>
  <c r="AM393" i="2"/>
  <c r="AL393" i="2"/>
  <c r="AK393" i="2"/>
  <c r="AJ393" i="2"/>
  <c r="AI393" i="2"/>
  <c r="AH393" i="2"/>
  <c r="AG393" i="2"/>
  <c r="AF393" i="2"/>
  <c r="AE393" i="2"/>
  <c r="AD393" i="2"/>
  <c r="AC393" i="2"/>
  <c r="AB393" i="2"/>
  <c r="AA393" i="2"/>
  <c r="Z393" i="2"/>
  <c r="Y393" i="2"/>
  <c r="X393" i="2"/>
  <c r="W393" i="2"/>
  <c r="V393" i="2"/>
  <c r="U393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BF392" i="2"/>
  <c r="BE392" i="2"/>
  <c r="BD392" i="2"/>
  <c r="BC392" i="2"/>
  <c r="BB392" i="2"/>
  <c r="BA392" i="2"/>
  <c r="AZ392" i="2"/>
  <c r="AY392" i="2"/>
  <c r="AX392" i="2"/>
  <c r="AW392" i="2"/>
  <c r="AV392" i="2"/>
  <c r="AU392" i="2"/>
  <c r="AT392" i="2"/>
  <c r="AS392" i="2"/>
  <c r="AR392" i="2"/>
  <c r="AQ392" i="2"/>
  <c r="AP392" i="2"/>
  <c r="AO392" i="2"/>
  <c r="AN392" i="2"/>
  <c r="AM392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BF391" i="2"/>
  <c r="BE391" i="2"/>
  <c r="BD391" i="2"/>
  <c r="BC391" i="2"/>
  <c r="BB391" i="2"/>
  <c r="BA391" i="2"/>
  <c r="AZ391" i="2"/>
  <c r="AY391" i="2"/>
  <c r="AX391" i="2"/>
  <c r="AW391" i="2"/>
  <c r="AV391" i="2"/>
  <c r="AU391" i="2"/>
  <c r="AT391" i="2"/>
  <c r="AS391" i="2"/>
  <c r="AR391" i="2"/>
  <c r="AQ391" i="2"/>
  <c r="AP391" i="2"/>
  <c r="AO391" i="2"/>
  <c r="AN391" i="2"/>
  <c r="AM391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BF390" i="2"/>
  <c r="BE390" i="2"/>
  <c r="BD390" i="2"/>
  <c r="BC390" i="2"/>
  <c r="BB390" i="2"/>
  <c r="BA390" i="2"/>
  <c r="AZ390" i="2"/>
  <c r="AY390" i="2"/>
  <c r="AX390" i="2"/>
  <c r="AW390" i="2"/>
  <c r="AV390" i="2"/>
  <c r="AU390" i="2"/>
  <c r="AT390" i="2"/>
  <c r="AS390" i="2"/>
  <c r="AR390" i="2"/>
  <c r="AQ390" i="2"/>
  <c r="AP390" i="2"/>
  <c r="AO390" i="2"/>
  <c r="AN390" i="2"/>
  <c r="AM390" i="2"/>
  <c r="AL390" i="2"/>
  <c r="AK390" i="2"/>
  <c r="AJ390" i="2"/>
  <c r="AI390" i="2"/>
  <c r="AH390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BF389" i="2"/>
  <c r="BE389" i="2"/>
  <c r="BD389" i="2"/>
  <c r="BC389" i="2"/>
  <c r="BB389" i="2"/>
  <c r="BA389" i="2"/>
  <c r="AZ389" i="2"/>
  <c r="AY389" i="2"/>
  <c r="AX389" i="2"/>
  <c r="AW389" i="2"/>
  <c r="AV389" i="2"/>
  <c r="AU389" i="2"/>
  <c r="AT389" i="2"/>
  <c r="AS389" i="2"/>
  <c r="AR389" i="2"/>
  <c r="AQ389" i="2"/>
  <c r="AP389" i="2"/>
  <c r="AO389" i="2"/>
  <c r="AN389" i="2"/>
  <c r="AM389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BF388" i="2"/>
  <c r="BE388" i="2"/>
  <c r="BD388" i="2"/>
  <c r="BC388" i="2"/>
  <c r="BB388" i="2"/>
  <c r="BA388" i="2"/>
  <c r="AZ388" i="2"/>
  <c r="AY388" i="2"/>
  <c r="AX388" i="2"/>
  <c r="AW388" i="2"/>
  <c r="AV388" i="2"/>
  <c r="AU388" i="2"/>
  <c r="AT388" i="2"/>
  <c r="AS388" i="2"/>
  <c r="AR388" i="2"/>
  <c r="AQ388" i="2"/>
  <c r="AP388" i="2"/>
  <c r="AO388" i="2"/>
  <c r="AN388" i="2"/>
  <c r="AM388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F503" i="2"/>
  <c r="BE503" i="2"/>
  <c r="BD503" i="2"/>
  <c r="BC503" i="2"/>
  <c r="BB503" i="2"/>
  <c r="BA503" i="2"/>
  <c r="AZ503" i="2"/>
  <c r="AY503" i="2"/>
  <c r="AX503" i="2"/>
  <c r="AW503" i="2"/>
  <c r="AV503" i="2"/>
  <c r="AU503" i="2"/>
  <c r="AT503" i="2"/>
  <c r="AS503" i="2"/>
  <c r="AR503" i="2"/>
  <c r="AQ503" i="2"/>
  <c r="AP503" i="2"/>
  <c r="AO503" i="2"/>
  <c r="AN503" i="2"/>
  <c r="AM503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BF502" i="2"/>
  <c r="BE502" i="2"/>
  <c r="BD502" i="2"/>
  <c r="BC502" i="2"/>
  <c r="BB502" i="2"/>
  <c r="BA502" i="2"/>
  <c r="AZ502" i="2"/>
  <c r="AY502" i="2"/>
  <c r="AX502" i="2"/>
  <c r="AW502" i="2"/>
  <c r="AV502" i="2"/>
  <c r="AU502" i="2"/>
  <c r="AT502" i="2"/>
  <c r="AS502" i="2"/>
  <c r="AR502" i="2"/>
  <c r="AQ502" i="2"/>
  <c r="AP502" i="2"/>
  <c r="AO502" i="2"/>
  <c r="AN502" i="2"/>
  <c r="AM502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BF501" i="2"/>
  <c r="BE501" i="2"/>
  <c r="BD501" i="2"/>
  <c r="BC501" i="2"/>
  <c r="BB501" i="2"/>
  <c r="BA501" i="2"/>
  <c r="AZ501" i="2"/>
  <c r="AY501" i="2"/>
  <c r="AX501" i="2"/>
  <c r="AW501" i="2"/>
  <c r="AV501" i="2"/>
  <c r="AU501" i="2"/>
  <c r="AT501" i="2"/>
  <c r="AS501" i="2"/>
  <c r="AR501" i="2"/>
  <c r="AQ501" i="2"/>
  <c r="AP501" i="2"/>
  <c r="AO501" i="2"/>
  <c r="AN501" i="2"/>
  <c r="AM501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BF499" i="2"/>
  <c r="BE499" i="2"/>
  <c r="BD499" i="2"/>
  <c r="BC499" i="2"/>
  <c r="BB499" i="2"/>
  <c r="BA499" i="2"/>
  <c r="AZ499" i="2"/>
  <c r="AY499" i="2"/>
  <c r="AX499" i="2"/>
  <c r="AW499" i="2"/>
  <c r="AV499" i="2"/>
  <c r="AU499" i="2"/>
  <c r="AT499" i="2"/>
  <c r="AS499" i="2"/>
  <c r="AR499" i="2"/>
  <c r="AQ499" i="2"/>
  <c r="AP499" i="2"/>
  <c r="AO499" i="2"/>
  <c r="AN499" i="2"/>
  <c r="AM499" i="2"/>
  <c r="AL499" i="2"/>
  <c r="AK499" i="2"/>
  <c r="AJ499" i="2"/>
  <c r="AI499" i="2"/>
  <c r="AH499" i="2"/>
  <c r="AG499" i="2"/>
  <c r="AF499" i="2"/>
  <c r="AE499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BF498" i="2"/>
  <c r="BE498" i="2"/>
  <c r="BD498" i="2"/>
  <c r="BC498" i="2"/>
  <c r="BB498" i="2"/>
  <c r="BA498" i="2"/>
  <c r="AZ498" i="2"/>
  <c r="AY498" i="2"/>
  <c r="AX498" i="2"/>
  <c r="AW498" i="2"/>
  <c r="AV498" i="2"/>
  <c r="AU498" i="2"/>
  <c r="AT498" i="2"/>
  <c r="AS498" i="2"/>
  <c r="AR498" i="2"/>
  <c r="AQ498" i="2"/>
  <c r="AP498" i="2"/>
  <c r="AO498" i="2"/>
  <c r="AN498" i="2"/>
  <c r="AM498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BF497" i="2"/>
  <c r="BE497" i="2"/>
  <c r="BD497" i="2"/>
  <c r="BC497" i="2"/>
  <c r="BB497" i="2"/>
  <c r="BA497" i="2"/>
  <c r="AZ497" i="2"/>
  <c r="AY497" i="2"/>
  <c r="AX497" i="2"/>
  <c r="AW497" i="2"/>
  <c r="AV497" i="2"/>
  <c r="AU497" i="2"/>
  <c r="AT497" i="2"/>
  <c r="AS497" i="2"/>
  <c r="AR497" i="2"/>
  <c r="AQ497" i="2"/>
  <c r="AP497" i="2"/>
  <c r="AO497" i="2"/>
  <c r="AN497" i="2"/>
  <c r="AM497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BF496" i="2"/>
  <c r="BE496" i="2"/>
  <c r="BD496" i="2"/>
  <c r="BC496" i="2"/>
  <c r="BB496" i="2"/>
  <c r="BA496" i="2"/>
  <c r="AZ496" i="2"/>
  <c r="AY496" i="2"/>
  <c r="AX496" i="2"/>
  <c r="AW496" i="2"/>
  <c r="AV496" i="2"/>
  <c r="AU496" i="2"/>
  <c r="AT496" i="2"/>
  <c r="AS496" i="2"/>
  <c r="AR496" i="2"/>
  <c r="AQ496" i="2"/>
  <c r="AP496" i="2"/>
  <c r="AO496" i="2"/>
  <c r="AN496" i="2"/>
  <c r="AM496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BF495" i="2"/>
  <c r="BE495" i="2"/>
  <c r="BD495" i="2"/>
  <c r="BC495" i="2"/>
  <c r="BB495" i="2"/>
  <c r="BA495" i="2"/>
  <c r="AZ495" i="2"/>
  <c r="AY495" i="2"/>
  <c r="AX495" i="2"/>
  <c r="AW495" i="2"/>
  <c r="AV495" i="2"/>
  <c r="AU495" i="2"/>
  <c r="AT495" i="2"/>
  <c r="AS495" i="2"/>
  <c r="AR495" i="2"/>
  <c r="AQ495" i="2"/>
  <c r="AP495" i="2"/>
  <c r="AO495" i="2"/>
  <c r="AN495" i="2"/>
  <c r="AM495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BF493" i="2"/>
  <c r="BE493" i="2"/>
  <c r="BD493" i="2"/>
  <c r="BC493" i="2"/>
  <c r="BB493" i="2"/>
  <c r="BA493" i="2"/>
  <c r="AZ493" i="2"/>
  <c r="AY493" i="2"/>
  <c r="AX493" i="2"/>
  <c r="AW493" i="2"/>
  <c r="AV493" i="2"/>
  <c r="AU493" i="2"/>
  <c r="AT493" i="2"/>
  <c r="AS493" i="2"/>
  <c r="AR493" i="2"/>
  <c r="AQ493" i="2"/>
  <c r="AP493" i="2"/>
  <c r="AO493" i="2"/>
  <c r="AN493" i="2"/>
  <c r="AM493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BF492" i="2"/>
  <c r="BE492" i="2"/>
  <c r="BD492" i="2"/>
  <c r="BC492" i="2"/>
  <c r="BB492" i="2"/>
  <c r="BA492" i="2"/>
  <c r="AZ492" i="2"/>
  <c r="AY492" i="2"/>
  <c r="AX492" i="2"/>
  <c r="AW492" i="2"/>
  <c r="AV492" i="2"/>
  <c r="AU492" i="2"/>
  <c r="AT492" i="2"/>
  <c r="AS492" i="2"/>
  <c r="AR492" i="2"/>
  <c r="AQ492" i="2"/>
  <c r="AP492" i="2"/>
  <c r="AO492" i="2"/>
  <c r="AN492" i="2"/>
  <c r="AM492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BF490" i="2"/>
  <c r="BE490" i="2"/>
  <c r="BD490" i="2"/>
  <c r="BC490" i="2"/>
  <c r="BB490" i="2"/>
  <c r="BA490" i="2"/>
  <c r="AZ490" i="2"/>
  <c r="AY490" i="2"/>
  <c r="AX490" i="2"/>
  <c r="AW490" i="2"/>
  <c r="AV490" i="2"/>
  <c r="AU490" i="2"/>
  <c r="AT490" i="2"/>
  <c r="AS490" i="2"/>
  <c r="AR490" i="2"/>
  <c r="AQ490" i="2"/>
  <c r="AP490" i="2"/>
  <c r="AO490" i="2"/>
  <c r="AN490" i="2"/>
  <c r="AM490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BF489" i="2"/>
  <c r="BE489" i="2"/>
  <c r="BD489" i="2"/>
  <c r="BC489" i="2"/>
  <c r="BB489" i="2"/>
  <c r="BA489" i="2"/>
  <c r="AZ489" i="2"/>
  <c r="AY489" i="2"/>
  <c r="AX489" i="2"/>
  <c r="AW489" i="2"/>
  <c r="AV489" i="2"/>
  <c r="AU489" i="2"/>
  <c r="AT489" i="2"/>
  <c r="AS489" i="2"/>
  <c r="AR489" i="2"/>
  <c r="AQ489" i="2"/>
  <c r="AP489" i="2"/>
  <c r="AO489" i="2"/>
  <c r="AN489" i="2"/>
  <c r="AM489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BF488" i="2"/>
  <c r="BE488" i="2"/>
  <c r="BD488" i="2"/>
  <c r="BC488" i="2"/>
  <c r="BB488" i="2"/>
  <c r="BA488" i="2"/>
  <c r="AZ488" i="2"/>
  <c r="AY488" i="2"/>
  <c r="AX488" i="2"/>
  <c r="AW488" i="2"/>
  <c r="AV488" i="2"/>
  <c r="AU488" i="2"/>
  <c r="AT488" i="2"/>
  <c r="AS488" i="2"/>
  <c r="AR488" i="2"/>
  <c r="AQ488" i="2"/>
  <c r="AP488" i="2"/>
  <c r="AO488" i="2"/>
  <c r="AN488" i="2"/>
  <c r="AM488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BF486" i="2"/>
  <c r="BE486" i="2"/>
  <c r="BD486" i="2"/>
  <c r="BC486" i="2"/>
  <c r="BB486" i="2"/>
  <c r="BA486" i="2"/>
  <c r="AZ486" i="2"/>
  <c r="AY486" i="2"/>
  <c r="AX486" i="2"/>
  <c r="AW486" i="2"/>
  <c r="AV486" i="2"/>
  <c r="AU486" i="2"/>
  <c r="AT486" i="2"/>
  <c r="AS486" i="2"/>
  <c r="AR486" i="2"/>
  <c r="AQ486" i="2"/>
  <c r="AP486" i="2"/>
  <c r="AO486" i="2"/>
  <c r="AN486" i="2"/>
  <c r="AM486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BF485" i="2"/>
  <c r="BE485" i="2"/>
  <c r="BD485" i="2"/>
  <c r="BC485" i="2"/>
  <c r="BB485" i="2"/>
  <c r="BA485" i="2"/>
  <c r="AZ485" i="2"/>
  <c r="AY485" i="2"/>
  <c r="AX485" i="2"/>
  <c r="AW485" i="2"/>
  <c r="AV485" i="2"/>
  <c r="AU485" i="2"/>
  <c r="AT485" i="2"/>
  <c r="AS485" i="2"/>
  <c r="AR485" i="2"/>
  <c r="AQ485" i="2"/>
  <c r="AP485" i="2"/>
  <c r="AO485" i="2"/>
  <c r="AN485" i="2"/>
  <c r="AM485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BF484" i="2"/>
  <c r="BE484" i="2"/>
  <c r="BD484" i="2"/>
  <c r="BC484" i="2"/>
  <c r="BB484" i="2"/>
  <c r="BA484" i="2"/>
  <c r="AZ484" i="2"/>
  <c r="AY484" i="2"/>
  <c r="AX484" i="2"/>
  <c r="AW484" i="2"/>
  <c r="AV484" i="2"/>
  <c r="AU484" i="2"/>
  <c r="AT484" i="2"/>
  <c r="AS484" i="2"/>
  <c r="AR484" i="2"/>
  <c r="AQ484" i="2"/>
  <c r="AP484" i="2"/>
  <c r="AO484" i="2"/>
  <c r="AN484" i="2"/>
  <c r="AM484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BF483" i="2"/>
  <c r="BE483" i="2"/>
  <c r="BD483" i="2"/>
  <c r="BC483" i="2"/>
  <c r="BB483" i="2"/>
  <c r="BA483" i="2"/>
  <c r="AZ483" i="2"/>
  <c r="AY483" i="2"/>
  <c r="AX483" i="2"/>
  <c r="AW483" i="2"/>
  <c r="AV483" i="2"/>
  <c r="AU483" i="2"/>
  <c r="AT483" i="2"/>
  <c r="AS483" i="2"/>
  <c r="AR483" i="2"/>
  <c r="AQ483" i="2"/>
  <c r="AP483" i="2"/>
  <c r="AO483" i="2"/>
  <c r="AN483" i="2"/>
  <c r="AM483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BF482" i="2"/>
  <c r="BE482" i="2"/>
  <c r="BD482" i="2"/>
  <c r="BC482" i="2"/>
  <c r="BB482" i="2"/>
  <c r="BA482" i="2"/>
  <c r="AZ482" i="2"/>
  <c r="AY482" i="2"/>
  <c r="AX482" i="2"/>
  <c r="AW482" i="2"/>
  <c r="AV482" i="2"/>
  <c r="AU482" i="2"/>
  <c r="AT482" i="2"/>
  <c r="AS482" i="2"/>
  <c r="AR482" i="2"/>
  <c r="AQ482" i="2"/>
  <c r="AP482" i="2"/>
  <c r="AO482" i="2"/>
  <c r="AN482" i="2"/>
  <c r="AM482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BF480" i="2"/>
  <c r="BE480" i="2"/>
  <c r="BD480" i="2"/>
  <c r="BC480" i="2"/>
  <c r="BB480" i="2"/>
  <c r="BA480" i="2"/>
  <c r="AZ480" i="2"/>
  <c r="AY480" i="2"/>
  <c r="AX480" i="2"/>
  <c r="AW480" i="2"/>
  <c r="AV480" i="2"/>
  <c r="AU480" i="2"/>
  <c r="AT480" i="2"/>
  <c r="AS480" i="2"/>
  <c r="AR480" i="2"/>
  <c r="AQ480" i="2"/>
  <c r="AP480" i="2"/>
  <c r="AO480" i="2"/>
  <c r="AN480" i="2"/>
  <c r="AM480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BF479" i="2"/>
  <c r="BE479" i="2"/>
  <c r="BD479" i="2"/>
  <c r="BC479" i="2"/>
  <c r="BB479" i="2"/>
  <c r="BA479" i="2"/>
  <c r="AZ479" i="2"/>
  <c r="AY479" i="2"/>
  <c r="AX479" i="2"/>
  <c r="AW479" i="2"/>
  <c r="AV479" i="2"/>
  <c r="AU479" i="2"/>
  <c r="AT479" i="2"/>
  <c r="AS479" i="2"/>
  <c r="AR479" i="2"/>
  <c r="AQ479" i="2"/>
  <c r="AP479" i="2"/>
  <c r="AO479" i="2"/>
  <c r="AN479" i="2"/>
  <c r="AM479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BF469" i="2"/>
  <c r="BE469" i="2"/>
  <c r="BD469" i="2"/>
  <c r="BC469" i="2"/>
  <c r="BB469" i="2"/>
  <c r="BA469" i="2"/>
  <c r="AZ469" i="2"/>
  <c r="AY469" i="2"/>
  <c r="AX469" i="2"/>
  <c r="AW469" i="2"/>
  <c r="AV469" i="2"/>
  <c r="AU469" i="2"/>
  <c r="AT469" i="2"/>
  <c r="AS469" i="2"/>
  <c r="AR469" i="2"/>
  <c r="AQ469" i="2"/>
  <c r="AP469" i="2"/>
  <c r="AO469" i="2"/>
  <c r="AN469" i="2"/>
  <c r="AM46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BF468" i="2"/>
  <c r="BE468" i="2"/>
  <c r="BD468" i="2"/>
  <c r="BC468" i="2"/>
  <c r="BB468" i="2"/>
  <c r="BA468" i="2"/>
  <c r="AZ468" i="2"/>
  <c r="AY468" i="2"/>
  <c r="AX468" i="2"/>
  <c r="AW468" i="2"/>
  <c r="AV468" i="2"/>
  <c r="AU468" i="2"/>
  <c r="AT468" i="2"/>
  <c r="AS468" i="2"/>
  <c r="AR468" i="2"/>
  <c r="AQ468" i="2"/>
  <c r="AP468" i="2"/>
  <c r="AO468" i="2"/>
  <c r="AN468" i="2"/>
  <c r="AM468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BF467" i="2"/>
  <c r="BE467" i="2"/>
  <c r="BD467" i="2"/>
  <c r="BC467" i="2"/>
  <c r="BB467" i="2"/>
  <c r="BA467" i="2"/>
  <c r="AZ467" i="2"/>
  <c r="AY467" i="2"/>
  <c r="AX467" i="2"/>
  <c r="AW467" i="2"/>
  <c r="AV467" i="2"/>
  <c r="AU467" i="2"/>
  <c r="AT467" i="2"/>
  <c r="AS467" i="2"/>
  <c r="AR467" i="2"/>
  <c r="AQ467" i="2"/>
  <c r="AP467" i="2"/>
  <c r="AO467" i="2"/>
  <c r="AN467" i="2"/>
  <c r="AM467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BF465" i="2"/>
  <c r="BE465" i="2"/>
  <c r="BD465" i="2"/>
  <c r="BC465" i="2"/>
  <c r="BB465" i="2"/>
  <c r="BA465" i="2"/>
  <c r="AZ465" i="2"/>
  <c r="AY465" i="2"/>
  <c r="AX465" i="2"/>
  <c r="AW465" i="2"/>
  <c r="AV465" i="2"/>
  <c r="AU465" i="2"/>
  <c r="AT465" i="2"/>
  <c r="AS465" i="2"/>
  <c r="AR465" i="2"/>
  <c r="AQ465" i="2"/>
  <c r="AP465" i="2"/>
  <c r="AO465" i="2"/>
  <c r="AN465" i="2"/>
  <c r="AM465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BF464" i="2"/>
  <c r="BE464" i="2"/>
  <c r="BD464" i="2"/>
  <c r="BC464" i="2"/>
  <c r="BB464" i="2"/>
  <c r="BA464" i="2"/>
  <c r="AZ464" i="2"/>
  <c r="AY464" i="2"/>
  <c r="AX464" i="2"/>
  <c r="AW464" i="2"/>
  <c r="AV464" i="2"/>
  <c r="AU464" i="2"/>
  <c r="AT464" i="2"/>
  <c r="AS464" i="2"/>
  <c r="AR464" i="2"/>
  <c r="AQ464" i="2"/>
  <c r="AP464" i="2"/>
  <c r="AO464" i="2"/>
  <c r="AN464" i="2"/>
  <c r="AM464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BF463" i="2"/>
  <c r="BE463" i="2"/>
  <c r="BD463" i="2"/>
  <c r="BC463" i="2"/>
  <c r="BB463" i="2"/>
  <c r="BA463" i="2"/>
  <c r="AZ463" i="2"/>
  <c r="AY463" i="2"/>
  <c r="AX463" i="2"/>
  <c r="AW463" i="2"/>
  <c r="AV463" i="2"/>
  <c r="AU463" i="2"/>
  <c r="AT463" i="2"/>
  <c r="AS463" i="2"/>
  <c r="AR463" i="2"/>
  <c r="AQ463" i="2"/>
  <c r="AP463" i="2"/>
  <c r="AO463" i="2"/>
  <c r="AN463" i="2"/>
  <c r="AM463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BF462" i="2"/>
  <c r="BE462" i="2"/>
  <c r="BD462" i="2"/>
  <c r="BC462" i="2"/>
  <c r="BB462" i="2"/>
  <c r="BA462" i="2"/>
  <c r="AZ462" i="2"/>
  <c r="AY462" i="2"/>
  <c r="AX462" i="2"/>
  <c r="AW462" i="2"/>
  <c r="AV462" i="2"/>
  <c r="AU462" i="2"/>
  <c r="AT462" i="2"/>
  <c r="AS462" i="2"/>
  <c r="AR462" i="2"/>
  <c r="AQ462" i="2"/>
  <c r="AP462" i="2"/>
  <c r="AO462" i="2"/>
  <c r="AN462" i="2"/>
  <c r="AM462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BF461" i="2"/>
  <c r="BE461" i="2"/>
  <c r="BD461" i="2"/>
  <c r="BC461" i="2"/>
  <c r="BB461" i="2"/>
  <c r="BA461" i="2"/>
  <c r="AZ461" i="2"/>
  <c r="AY461" i="2"/>
  <c r="AX461" i="2"/>
  <c r="AW461" i="2"/>
  <c r="AV461" i="2"/>
  <c r="AU461" i="2"/>
  <c r="AT461" i="2"/>
  <c r="AS461" i="2"/>
  <c r="AR461" i="2"/>
  <c r="AQ461" i="2"/>
  <c r="AP461" i="2"/>
  <c r="AO461" i="2"/>
  <c r="AN461" i="2"/>
  <c r="AM461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BF459" i="2"/>
  <c r="BE459" i="2"/>
  <c r="BD459" i="2"/>
  <c r="BC459" i="2"/>
  <c r="BB459" i="2"/>
  <c r="BA459" i="2"/>
  <c r="AZ459" i="2"/>
  <c r="AY459" i="2"/>
  <c r="AX459" i="2"/>
  <c r="AW459" i="2"/>
  <c r="AV459" i="2"/>
  <c r="AU459" i="2"/>
  <c r="AT459" i="2"/>
  <c r="AS459" i="2"/>
  <c r="AR459" i="2"/>
  <c r="AQ459" i="2"/>
  <c r="AP459" i="2"/>
  <c r="AO459" i="2"/>
  <c r="AN459" i="2"/>
  <c r="AM459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BF458" i="2"/>
  <c r="BE458" i="2"/>
  <c r="BD458" i="2"/>
  <c r="BC458" i="2"/>
  <c r="BB458" i="2"/>
  <c r="BA458" i="2"/>
  <c r="AZ458" i="2"/>
  <c r="AY458" i="2"/>
  <c r="AX458" i="2"/>
  <c r="AW458" i="2"/>
  <c r="AV458" i="2"/>
  <c r="AU458" i="2"/>
  <c r="AT458" i="2"/>
  <c r="AS458" i="2"/>
  <c r="AR458" i="2"/>
  <c r="AQ458" i="2"/>
  <c r="AP458" i="2"/>
  <c r="AO458" i="2"/>
  <c r="AN458" i="2"/>
  <c r="AM458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BF456" i="2"/>
  <c r="BE456" i="2"/>
  <c r="BD456" i="2"/>
  <c r="BC456" i="2"/>
  <c r="BB456" i="2"/>
  <c r="BA456" i="2"/>
  <c r="AZ456" i="2"/>
  <c r="AY456" i="2"/>
  <c r="AX456" i="2"/>
  <c r="AW456" i="2"/>
  <c r="AV456" i="2"/>
  <c r="AU456" i="2"/>
  <c r="AT456" i="2"/>
  <c r="AS456" i="2"/>
  <c r="AR456" i="2"/>
  <c r="AQ456" i="2"/>
  <c r="AP456" i="2"/>
  <c r="AO456" i="2"/>
  <c r="AN456" i="2"/>
  <c r="AM456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BF455" i="2"/>
  <c r="BE455" i="2"/>
  <c r="BD455" i="2"/>
  <c r="BC455" i="2"/>
  <c r="BB455" i="2"/>
  <c r="BA455" i="2"/>
  <c r="AZ455" i="2"/>
  <c r="AY455" i="2"/>
  <c r="AX455" i="2"/>
  <c r="AW455" i="2"/>
  <c r="AV455" i="2"/>
  <c r="AU455" i="2"/>
  <c r="AT455" i="2"/>
  <c r="AS455" i="2"/>
  <c r="AR455" i="2"/>
  <c r="AQ455" i="2"/>
  <c r="AP455" i="2"/>
  <c r="AO455" i="2"/>
  <c r="AN455" i="2"/>
  <c r="AM455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BF454" i="2"/>
  <c r="BE454" i="2"/>
  <c r="BD454" i="2"/>
  <c r="BC454" i="2"/>
  <c r="BB454" i="2"/>
  <c r="BA454" i="2"/>
  <c r="AZ454" i="2"/>
  <c r="AY454" i="2"/>
  <c r="AX454" i="2"/>
  <c r="AW454" i="2"/>
  <c r="AV454" i="2"/>
  <c r="AU454" i="2"/>
  <c r="AT454" i="2"/>
  <c r="AS454" i="2"/>
  <c r="AR454" i="2"/>
  <c r="AQ454" i="2"/>
  <c r="AP454" i="2"/>
  <c r="AO454" i="2"/>
  <c r="AN454" i="2"/>
  <c r="AM454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BF452" i="2"/>
  <c r="BE452" i="2"/>
  <c r="BD452" i="2"/>
  <c r="BC452" i="2"/>
  <c r="BB452" i="2"/>
  <c r="BA452" i="2"/>
  <c r="AZ452" i="2"/>
  <c r="AY452" i="2"/>
  <c r="AX452" i="2"/>
  <c r="AW452" i="2"/>
  <c r="AV452" i="2"/>
  <c r="AU452" i="2"/>
  <c r="AT452" i="2"/>
  <c r="AS452" i="2"/>
  <c r="AR452" i="2"/>
  <c r="AQ452" i="2"/>
  <c r="AP452" i="2"/>
  <c r="AO452" i="2"/>
  <c r="AN452" i="2"/>
  <c r="AM452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BF451" i="2"/>
  <c r="BE451" i="2"/>
  <c r="BD451" i="2"/>
  <c r="BC451" i="2"/>
  <c r="BB451" i="2"/>
  <c r="BA451" i="2"/>
  <c r="AZ451" i="2"/>
  <c r="AY451" i="2"/>
  <c r="AX451" i="2"/>
  <c r="AW451" i="2"/>
  <c r="AV451" i="2"/>
  <c r="AU451" i="2"/>
  <c r="AT451" i="2"/>
  <c r="AS451" i="2"/>
  <c r="AR451" i="2"/>
  <c r="AQ451" i="2"/>
  <c r="AP451" i="2"/>
  <c r="AO451" i="2"/>
  <c r="AN451" i="2"/>
  <c r="AM451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BF450" i="2"/>
  <c r="BE450" i="2"/>
  <c r="BD450" i="2"/>
  <c r="BC450" i="2"/>
  <c r="BB450" i="2"/>
  <c r="BA450" i="2"/>
  <c r="AZ450" i="2"/>
  <c r="AY450" i="2"/>
  <c r="AX450" i="2"/>
  <c r="AW450" i="2"/>
  <c r="AV450" i="2"/>
  <c r="AU450" i="2"/>
  <c r="AT450" i="2"/>
  <c r="AS450" i="2"/>
  <c r="AR450" i="2"/>
  <c r="AQ450" i="2"/>
  <c r="AP450" i="2"/>
  <c r="AO450" i="2"/>
  <c r="AN450" i="2"/>
  <c r="AM450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BF449" i="2"/>
  <c r="BE449" i="2"/>
  <c r="BD449" i="2"/>
  <c r="BC449" i="2"/>
  <c r="BB449" i="2"/>
  <c r="BA449" i="2"/>
  <c r="AZ449" i="2"/>
  <c r="AY449" i="2"/>
  <c r="AX449" i="2"/>
  <c r="AW449" i="2"/>
  <c r="AV449" i="2"/>
  <c r="AU449" i="2"/>
  <c r="AT449" i="2"/>
  <c r="AS449" i="2"/>
  <c r="AR449" i="2"/>
  <c r="AQ449" i="2"/>
  <c r="AP449" i="2"/>
  <c r="AO449" i="2"/>
  <c r="AN449" i="2"/>
  <c r="AM449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BF448" i="2"/>
  <c r="BE448" i="2"/>
  <c r="BD448" i="2"/>
  <c r="BC448" i="2"/>
  <c r="BB448" i="2"/>
  <c r="BA448" i="2"/>
  <c r="AZ448" i="2"/>
  <c r="AY448" i="2"/>
  <c r="AX448" i="2"/>
  <c r="AW448" i="2"/>
  <c r="AV448" i="2"/>
  <c r="AU448" i="2"/>
  <c r="AT448" i="2"/>
  <c r="AS448" i="2"/>
  <c r="AR448" i="2"/>
  <c r="AQ448" i="2"/>
  <c r="AP448" i="2"/>
  <c r="AO448" i="2"/>
  <c r="AN448" i="2"/>
  <c r="AM448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BF446" i="2"/>
  <c r="BE446" i="2"/>
  <c r="BD446" i="2"/>
  <c r="BC446" i="2"/>
  <c r="BB446" i="2"/>
  <c r="BA446" i="2"/>
  <c r="AZ446" i="2"/>
  <c r="AY446" i="2"/>
  <c r="AX446" i="2"/>
  <c r="AW446" i="2"/>
  <c r="AV446" i="2"/>
  <c r="AU446" i="2"/>
  <c r="AT446" i="2"/>
  <c r="AS446" i="2"/>
  <c r="AR446" i="2"/>
  <c r="AQ446" i="2"/>
  <c r="AP446" i="2"/>
  <c r="AO446" i="2"/>
  <c r="AN446" i="2"/>
  <c r="AM446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BF445" i="2"/>
  <c r="BE445" i="2"/>
  <c r="BD445" i="2"/>
  <c r="BC445" i="2"/>
  <c r="BB445" i="2"/>
  <c r="BA445" i="2"/>
  <c r="AZ445" i="2"/>
  <c r="AY445" i="2"/>
  <c r="AX445" i="2"/>
  <c r="AW445" i="2"/>
  <c r="AV445" i="2"/>
  <c r="AU445" i="2"/>
  <c r="AT445" i="2"/>
  <c r="AS445" i="2"/>
  <c r="AR445" i="2"/>
  <c r="AQ445" i="2"/>
  <c r="AP445" i="2"/>
  <c r="AO445" i="2"/>
  <c r="AN445" i="2"/>
  <c r="AM445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BF386" i="2"/>
  <c r="BE386" i="2"/>
  <c r="BD386" i="2"/>
  <c r="BC386" i="2"/>
  <c r="BB386" i="2"/>
  <c r="BA386" i="2"/>
  <c r="AZ386" i="2"/>
  <c r="AY386" i="2"/>
  <c r="AX386" i="2"/>
  <c r="AW386" i="2"/>
  <c r="AV386" i="2"/>
  <c r="AU386" i="2"/>
  <c r="AT386" i="2"/>
  <c r="AS386" i="2"/>
  <c r="AR386" i="2"/>
  <c r="AQ386" i="2"/>
  <c r="AP386" i="2"/>
  <c r="AO386" i="2"/>
  <c r="AN386" i="2"/>
  <c r="AM386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BF385" i="2"/>
  <c r="BE385" i="2"/>
  <c r="BD385" i="2"/>
  <c r="BC385" i="2"/>
  <c r="BB385" i="2"/>
  <c r="BA385" i="2"/>
  <c r="AZ385" i="2"/>
  <c r="AY385" i="2"/>
  <c r="AX385" i="2"/>
  <c r="AW385" i="2"/>
  <c r="AV385" i="2"/>
  <c r="AU385" i="2"/>
  <c r="AT385" i="2"/>
  <c r="AS385" i="2"/>
  <c r="AR385" i="2"/>
  <c r="AQ385" i="2"/>
  <c r="AP385" i="2"/>
  <c r="AO385" i="2"/>
  <c r="AN385" i="2"/>
  <c r="AM385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BF384" i="2"/>
  <c r="BE384" i="2"/>
  <c r="BD384" i="2"/>
  <c r="BC384" i="2"/>
  <c r="BB384" i="2"/>
  <c r="BA384" i="2"/>
  <c r="AZ384" i="2"/>
  <c r="AY384" i="2"/>
  <c r="AX384" i="2"/>
  <c r="AW384" i="2"/>
  <c r="AV384" i="2"/>
  <c r="AU384" i="2"/>
  <c r="AT384" i="2"/>
  <c r="AS384" i="2"/>
  <c r="AR384" i="2"/>
  <c r="AQ384" i="2"/>
  <c r="AP384" i="2"/>
  <c r="AO384" i="2"/>
  <c r="AN384" i="2"/>
  <c r="AM384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F383" i="2"/>
  <c r="BE383" i="2"/>
  <c r="BD383" i="2"/>
  <c r="BC383" i="2"/>
  <c r="BB383" i="2"/>
  <c r="BA383" i="2"/>
  <c r="AZ383" i="2"/>
  <c r="AY383" i="2"/>
  <c r="AX383" i="2"/>
  <c r="AW383" i="2"/>
  <c r="AV383" i="2"/>
  <c r="AU383" i="2"/>
  <c r="AT383" i="2"/>
  <c r="AS383" i="2"/>
  <c r="AR383" i="2"/>
  <c r="AQ383" i="2"/>
  <c r="AP383" i="2"/>
  <c r="AO383" i="2"/>
  <c r="AN383" i="2"/>
  <c r="AM383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F382" i="2"/>
  <c r="BE382" i="2"/>
  <c r="BD382" i="2"/>
  <c r="BC382" i="2"/>
  <c r="BB382" i="2"/>
  <c r="BA382" i="2"/>
  <c r="AZ382" i="2"/>
  <c r="AY382" i="2"/>
  <c r="AX382" i="2"/>
  <c r="AW382" i="2"/>
  <c r="AV382" i="2"/>
  <c r="AU382" i="2"/>
  <c r="AT382" i="2"/>
  <c r="AS382" i="2"/>
  <c r="AR382" i="2"/>
  <c r="AQ382" i="2"/>
  <c r="AP382" i="2"/>
  <c r="AO382" i="2"/>
  <c r="AN382" i="2"/>
  <c r="AM382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F381" i="2"/>
  <c r="BE381" i="2"/>
  <c r="BD381" i="2"/>
  <c r="BC381" i="2"/>
  <c r="BB381" i="2"/>
  <c r="BA381" i="2"/>
  <c r="AZ381" i="2"/>
  <c r="AY381" i="2"/>
  <c r="AX381" i="2"/>
  <c r="AW381" i="2"/>
  <c r="AV381" i="2"/>
  <c r="AU381" i="2"/>
  <c r="AT381" i="2"/>
  <c r="AS381" i="2"/>
  <c r="AR381" i="2"/>
  <c r="AQ381" i="2"/>
  <c r="AP381" i="2"/>
  <c r="AO381" i="2"/>
  <c r="AN381" i="2"/>
  <c r="AM381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F380" i="2"/>
  <c r="BE380" i="2"/>
  <c r="BD380" i="2"/>
  <c r="BC380" i="2"/>
  <c r="BB380" i="2"/>
  <c r="BA380" i="2"/>
  <c r="AZ380" i="2"/>
  <c r="AY380" i="2"/>
  <c r="AX380" i="2"/>
  <c r="AW380" i="2"/>
  <c r="AV380" i="2"/>
  <c r="AU380" i="2"/>
  <c r="AT380" i="2"/>
  <c r="AS380" i="2"/>
  <c r="AR380" i="2"/>
  <c r="AQ380" i="2"/>
  <c r="AP380" i="2"/>
  <c r="AO380" i="2"/>
  <c r="AN380" i="2"/>
  <c r="AM380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F377" i="2"/>
  <c r="BE377" i="2"/>
  <c r="BD377" i="2"/>
  <c r="BC377" i="2"/>
  <c r="BB377" i="2"/>
  <c r="BA377" i="2"/>
  <c r="AZ377" i="2"/>
  <c r="AY377" i="2"/>
  <c r="AX377" i="2"/>
  <c r="AW377" i="2"/>
  <c r="AV377" i="2"/>
  <c r="AU377" i="2"/>
  <c r="AT377" i="2"/>
  <c r="AS377" i="2"/>
  <c r="AR377" i="2"/>
  <c r="AQ377" i="2"/>
  <c r="AP377" i="2"/>
  <c r="AO377" i="2"/>
  <c r="AN377" i="2"/>
  <c r="AM377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F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F375" i="2"/>
  <c r="BE375" i="2"/>
  <c r="BD375" i="2"/>
  <c r="BC375" i="2"/>
  <c r="BB375" i="2"/>
  <c r="BA375" i="2"/>
  <c r="AZ375" i="2"/>
  <c r="AY375" i="2"/>
  <c r="AX375" i="2"/>
  <c r="AW375" i="2"/>
  <c r="AV375" i="2"/>
  <c r="AU375" i="2"/>
  <c r="AT375" i="2"/>
  <c r="AS375" i="2"/>
  <c r="AR375" i="2"/>
  <c r="AQ375" i="2"/>
  <c r="AP375" i="2"/>
  <c r="AO375" i="2"/>
  <c r="AN375" i="2"/>
  <c r="AM375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F374" i="2"/>
  <c r="BE374" i="2"/>
  <c r="BD374" i="2"/>
  <c r="BC374" i="2"/>
  <c r="BB374" i="2"/>
  <c r="BA374" i="2"/>
  <c r="AZ374" i="2"/>
  <c r="AY374" i="2"/>
  <c r="AX374" i="2"/>
  <c r="AW374" i="2"/>
  <c r="AV374" i="2"/>
  <c r="AU374" i="2"/>
  <c r="AT374" i="2"/>
  <c r="AS374" i="2"/>
  <c r="AR374" i="2"/>
  <c r="AQ374" i="2"/>
  <c r="AP374" i="2"/>
  <c r="AO374" i="2"/>
  <c r="AN374" i="2"/>
  <c r="AM374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F373" i="2"/>
  <c r="BE373" i="2"/>
  <c r="BD373" i="2"/>
  <c r="BC373" i="2"/>
  <c r="BB373" i="2"/>
  <c r="BA373" i="2"/>
  <c r="AZ373" i="2"/>
  <c r="AY373" i="2"/>
  <c r="AX373" i="2"/>
  <c r="AW373" i="2"/>
  <c r="AV373" i="2"/>
  <c r="AU373" i="2"/>
  <c r="AT373" i="2"/>
  <c r="AS373" i="2"/>
  <c r="AR373" i="2"/>
  <c r="AQ373" i="2"/>
  <c r="AP373" i="2"/>
  <c r="AO373" i="2"/>
  <c r="AN373" i="2"/>
  <c r="AM373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F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F371" i="2"/>
  <c r="BE371" i="2"/>
  <c r="BD371" i="2"/>
  <c r="BC371" i="2"/>
  <c r="BB371" i="2"/>
  <c r="BA371" i="2"/>
  <c r="AZ371" i="2"/>
  <c r="AY371" i="2"/>
  <c r="AX371" i="2"/>
  <c r="AW371" i="2"/>
  <c r="AV371" i="2"/>
  <c r="AU371" i="2"/>
  <c r="AT371" i="2"/>
  <c r="AS371" i="2"/>
  <c r="AR371" i="2"/>
  <c r="AQ371" i="2"/>
  <c r="AP371" i="2"/>
  <c r="AO371" i="2"/>
  <c r="AN371" i="2"/>
  <c r="AM371" i="2"/>
  <c r="AL371" i="2"/>
  <c r="AK371" i="2"/>
  <c r="AJ371" i="2"/>
  <c r="AI371" i="2"/>
  <c r="AH371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BF306" i="2"/>
  <c r="BE306" i="2"/>
  <c r="BD306" i="2"/>
  <c r="BC306" i="2"/>
  <c r="BB306" i="2"/>
  <c r="BA306" i="2"/>
  <c r="AZ306" i="2"/>
  <c r="AY306" i="2"/>
  <c r="AX306" i="2"/>
  <c r="AW306" i="2"/>
  <c r="AV306" i="2"/>
  <c r="AU306" i="2"/>
  <c r="AT306" i="2"/>
  <c r="AS306" i="2"/>
  <c r="AR306" i="2"/>
  <c r="AQ306" i="2"/>
  <c r="AP306" i="2"/>
  <c r="AO306" i="2"/>
  <c r="AN306" i="2"/>
  <c r="AM306" i="2"/>
  <c r="AL306" i="2"/>
  <c r="AK306" i="2"/>
  <c r="AJ306" i="2"/>
  <c r="AI306" i="2"/>
  <c r="AH306" i="2"/>
  <c r="AG306" i="2"/>
  <c r="AF306" i="2"/>
  <c r="AE306" i="2"/>
  <c r="AD306" i="2"/>
  <c r="AC306" i="2"/>
  <c r="AB306" i="2"/>
  <c r="AA306" i="2"/>
  <c r="Z306" i="2"/>
  <c r="Y306" i="2"/>
  <c r="X306" i="2"/>
  <c r="W306" i="2"/>
  <c r="V306" i="2"/>
  <c r="U306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G306" i="2"/>
  <c r="F306" i="2"/>
  <c r="E306" i="2"/>
  <c r="D306" i="2"/>
  <c r="C306" i="2"/>
  <c r="BF305" i="2"/>
  <c r="BE305" i="2"/>
  <c r="BD305" i="2"/>
  <c r="BC305" i="2"/>
  <c r="BB305" i="2"/>
  <c r="BA305" i="2"/>
  <c r="AZ305" i="2"/>
  <c r="AY305" i="2"/>
  <c r="AX305" i="2"/>
  <c r="AW305" i="2"/>
  <c r="AV305" i="2"/>
  <c r="AU305" i="2"/>
  <c r="AT305" i="2"/>
  <c r="AS305" i="2"/>
  <c r="AR305" i="2"/>
  <c r="AQ305" i="2"/>
  <c r="AP305" i="2"/>
  <c r="AO305" i="2"/>
  <c r="AN305" i="2"/>
  <c r="AM305" i="2"/>
  <c r="AL305" i="2"/>
  <c r="AK305" i="2"/>
  <c r="AJ305" i="2"/>
  <c r="AI305" i="2"/>
  <c r="AH305" i="2"/>
  <c r="AG305" i="2"/>
  <c r="AF305" i="2"/>
  <c r="AE305" i="2"/>
  <c r="AD305" i="2"/>
  <c r="AC305" i="2"/>
  <c r="AB305" i="2"/>
  <c r="AA305" i="2"/>
  <c r="Z305" i="2"/>
  <c r="Y305" i="2"/>
  <c r="X305" i="2"/>
  <c r="W305" i="2"/>
  <c r="V305" i="2"/>
  <c r="U305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G305" i="2"/>
  <c r="F305" i="2"/>
  <c r="E305" i="2"/>
  <c r="D305" i="2"/>
  <c r="C305" i="2"/>
  <c r="BF304" i="2"/>
  <c r="BE304" i="2"/>
  <c r="BD304" i="2"/>
  <c r="BC304" i="2"/>
  <c r="BB304" i="2"/>
  <c r="BA304" i="2"/>
  <c r="AZ304" i="2"/>
  <c r="AY304" i="2"/>
  <c r="AX304" i="2"/>
  <c r="AW304" i="2"/>
  <c r="AV304" i="2"/>
  <c r="AU304" i="2"/>
  <c r="AT304" i="2"/>
  <c r="AS304" i="2"/>
  <c r="AR304" i="2"/>
  <c r="AQ304" i="2"/>
  <c r="AP304" i="2"/>
  <c r="AO304" i="2"/>
  <c r="AN304" i="2"/>
  <c r="AM304" i="2"/>
  <c r="AL304" i="2"/>
  <c r="AK304" i="2"/>
  <c r="AJ304" i="2"/>
  <c r="AI304" i="2"/>
  <c r="AH304" i="2"/>
  <c r="AG304" i="2"/>
  <c r="AF304" i="2"/>
  <c r="AE304" i="2"/>
  <c r="AD304" i="2"/>
  <c r="AC304" i="2"/>
  <c r="AB304" i="2"/>
  <c r="AA304" i="2"/>
  <c r="Z304" i="2"/>
  <c r="Y304" i="2"/>
  <c r="X304" i="2"/>
  <c r="W304" i="2"/>
  <c r="V304" i="2"/>
  <c r="U304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G304" i="2"/>
  <c r="F304" i="2"/>
  <c r="E304" i="2"/>
  <c r="D304" i="2"/>
  <c r="C304" i="2"/>
  <c r="BF303" i="2"/>
  <c r="BE303" i="2"/>
  <c r="BD303" i="2"/>
  <c r="BC303" i="2"/>
  <c r="BB303" i="2"/>
  <c r="BA303" i="2"/>
  <c r="AZ303" i="2"/>
  <c r="AY303" i="2"/>
  <c r="AX303" i="2"/>
  <c r="AW303" i="2"/>
  <c r="AV303" i="2"/>
  <c r="AU303" i="2"/>
  <c r="AT303" i="2"/>
  <c r="AS303" i="2"/>
  <c r="AR303" i="2"/>
  <c r="AQ303" i="2"/>
  <c r="AP303" i="2"/>
  <c r="AO303" i="2"/>
  <c r="AN303" i="2"/>
  <c r="AM303" i="2"/>
  <c r="AL303" i="2"/>
  <c r="AK303" i="2"/>
  <c r="AJ303" i="2"/>
  <c r="AI303" i="2"/>
  <c r="AH303" i="2"/>
  <c r="AG303" i="2"/>
  <c r="AF303" i="2"/>
  <c r="AE303" i="2"/>
  <c r="AD303" i="2"/>
  <c r="AC303" i="2"/>
  <c r="AB303" i="2"/>
  <c r="AA303" i="2"/>
  <c r="Z303" i="2"/>
  <c r="Y303" i="2"/>
  <c r="X303" i="2"/>
  <c r="W303" i="2"/>
  <c r="V303" i="2"/>
  <c r="U303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G303" i="2"/>
  <c r="F303" i="2"/>
  <c r="E303" i="2"/>
  <c r="D303" i="2"/>
  <c r="C303" i="2"/>
  <c r="BF300" i="2"/>
  <c r="BE300" i="2"/>
  <c r="BD300" i="2"/>
  <c r="BC300" i="2"/>
  <c r="BB300" i="2"/>
  <c r="BA300" i="2"/>
  <c r="AZ300" i="2"/>
  <c r="AY300" i="2"/>
  <c r="AX300" i="2"/>
  <c r="AW300" i="2"/>
  <c r="AV300" i="2"/>
  <c r="AU300" i="2"/>
  <c r="AT300" i="2"/>
  <c r="AS300" i="2"/>
  <c r="AR300" i="2"/>
  <c r="AQ300" i="2"/>
  <c r="AP300" i="2"/>
  <c r="AO300" i="2"/>
  <c r="AN300" i="2"/>
  <c r="AM300" i="2"/>
  <c r="AL300" i="2"/>
  <c r="AK300" i="2"/>
  <c r="AJ300" i="2"/>
  <c r="AI300" i="2"/>
  <c r="AH300" i="2"/>
  <c r="AG300" i="2"/>
  <c r="AF300" i="2"/>
  <c r="AE300" i="2"/>
  <c r="AD300" i="2"/>
  <c r="AC300" i="2"/>
  <c r="AB300" i="2"/>
  <c r="AA300" i="2"/>
  <c r="Z300" i="2"/>
  <c r="Y300" i="2"/>
  <c r="X300" i="2"/>
  <c r="W300" i="2"/>
  <c r="V300" i="2"/>
  <c r="U300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F299" i="2"/>
  <c r="BE299" i="2"/>
  <c r="BD299" i="2"/>
  <c r="BC299" i="2"/>
  <c r="BB299" i="2"/>
  <c r="BA299" i="2"/>
  <c r="AZ299" i="2"/>
  <c r="AY299" i="2"/>
  <c r="AX299" i="2"/>
  <c r="AW299" i="2"/>
  <c r="AV299" i="2"/>
  <c r="AU299" i="2"/>
  <c r="AT299" i="2"/>
  <c r="AS299" i="2"/>
  <c r="AR299" i="2"/>
  <c r="AQ299" i="2"/>
  <c r="AP299" i="2"/>
  <c r="AO299" i="2"/>
  <c r="AN299" i="2"/>
  <c r="AM299" i="2"/>
  <c r="AL299" i="2"/>
  <c r="AK299" i="2"/>
  <c r="AJ299" i="2"/>
  <c r="AI299" i="2"/>
  <c r="AH299" i="2"/>
  <c r="AG299" i="2"/>
  <c r="AF299" i="2"/>
  <c r="AE299" i="2"/>
  <c r="AD299" i="2"/>
  <c r="AC299" i="2"/>
  <c r="AB299" i="2"/>
  <c r="AA299" i="2"/>
  <c r="Z299" i="2"/>
  <c r="Y299" i="2"/>
  <c r="X299" i="2"/>
  <c r="W299" i="2"/>
  <c r="V299" i="2"/>
  <c r="U299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G299" i="2"/>
  <c r="F299" i="2"/>
  <c r="E299" i="2"/>
  <c r="D299" i="2"/>
  <c r="C299" i="2"/>
  <c r="BF298" i="2"/>
  <c r="BE298" i="2"/>
  <c r="BD298" i="2"/>
  <c r="BC298" i="2"/>
  <c r="BB298" i="2"/>
  <c r="BA298" i="2"/>
  <c r="AZ298" i="2"/>
  <c r="AY298" i="2"/>
  <c r="AX298" i="2"/>
  <c r="AW298" i="2"/>
  <c r="AV298" i="2"/>
  <c r="AU298" i="2"/>
  <c r="AT298" i="2"/>
  <c r="AS298" i="2"/>
  <c r="AR298" i="2"/>
  <c r="AQ298" i="2"/>
  <c r="AP298" i="2"/>
  <c r="AO298" i="2"/>
  <c r="AN298" i="2"/>
  <c r="AM298" i="2"/>
  <c r="AL298" i="2"/>
  <c r="AK298" i="2"/>
  <c r="AJ298" i="2"/>
  <c r="AI298" i="2"/>
  <c r="AH298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BF297" i="2"/>
  <c r="BE297" i="2"/>
  <c r="BD297" i="2"/>
  <c r="BC297" i="2"/>
  <c r="BB297" i="2"/>
  <c r="BA297" i="2"/>
  <c r="AZ297" i="2"/>
  <c r="AY297" i="2"/>
  <c r="AX297" i="2"/>
  <c r="AW297" i="2"/>
  <c r="AV297" i="2"/>
  <c r="AU297" i="2"/>
  <c r="AT297" i="2"/>
  <c r="AS297" i="2"/>
  <c r="AR297" i="2"/>
  <c r="AQ297" i="2"/>
  <c r="AP297" i="2"/>
  <c r="AO297" i="2"/>
  <c r="AN297" i="2"/>
  <c r="AM297" i="2"/>
  <c r="AL297" i="2"/>
  <c r="AK297" i="2"/>
  <c r="AJ297" i="2"/>
  <c r="AI297" i="2"/>
  <c r="AH297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BF277" i="2"/>
  <c r="BE277" i="2"/>
  <c r="BD277" i="2"/>
  <c r="BC277" i="2"/>
  <c r="BB277" i="2"/>
  <c r="BA277" i="2"/>
  <c r="AZ277" i="2"/>
  <c r="AY277" i="2"/>
  <c r="AX277" i="2"/>
  <c r="AW277" i="2"/>
  <c r="AV277" i="2"/>
  <c r="AU277" i="2"/>
  <c r="AT277" i="2"/>
  <c r="AS277" i="2"/>
  <c r="AR277" i="2"/>
  <c r="AQ277" i="2"/>
  <c r="AP277" i="2"/>
  <c r="AO277" i="2"/>
  <c r="AN277" i="2"/>
  <c r="AM277" i="2"/>
  <c r="AL277" i="2"/>
  <c r="AK277" i="2"/>
  <c r="AJ277" i="2"/>
  <c r="AI277" i="2"/>
  <c r="AH277" i="2"/>
  <c r="AG277" i="2"/>
  <c r="AF277" i="2"/>
  <c r="AE277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BF276" i="2"/>
  <c r="BE276" i="2"/>
  <c r="BD276" i="2"/>
  <c r="BC276" i="2"/>
  <c r="BB276" i="2"/>
  <c r="BA276" i="2"/>
  <c r="AZ276" i="2"/>
  <c r="AY276" i="2"/>
  <c r="AX276" i="2"/>
  <c r="AW276" i="2"/>
  <c r="AV276" i="2"/>
  <c r="AU276" i="2"/>
  <c r="AT276" i="2"/>
  <c r="AS276" i="2"/>
  <c r="AR276" i="2"/>
  <c r="AQ276" i="2"/>
  <c r="AP276" i="2"/>
  <c r="AO276" i="2"/>
  <c r="AN276" i="2"/>
  <c r="AM276" i="2"/>
  <c r="AL276" i="2"/>
  <c r="AK276" i="2"/>
  <c r="AJ276" i="2"/>
  <c r="AI276" i="2"/>
  <c r="AH276" i="2"/>
  <c r="AG276" i="2"/>
  <c r="AF276" i="2"/>
  <c r="AE276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BF275" i="2"/>
  <c r="BE275" i="2"/>
  <c r="BD275" i="2"/>
  <c r="BC275" i="2"/>
  <c r="BB275" i="2"/>
  <c r="BA275" i="2"/>
  <c r="AZ275" i="2"/>
  <c r="AY275" i="2"/>
  <c r="AX275" i="2"/>
  <c r="AW275" i="2"/>
  <c r="AV275" i="2"/>
  <c r="AU275" i="2"/>
  <c r="AT275" i="2"/>
  <c r="AS275" i="2"/>
  <c r="AR275" i="2"/>
  <c r="AQ275" i="2"/>
  <c r="AP275" i="2"/>
  <c r="AO275" i="2"/>
  <c r="AN275" i="2"/>
  <c r="AM275" i="2"/>
  <c r="AL275" i="2"/>
  <c r="AK275" i="2"/>
  <c r="AJ275" i="2"/>
  <c r="AI275" i="2"/>
  <c r="AH275" i="2"/>
  <c r="AG275" i="2"/>
  <c r="AF275" i="2"/>
  <c r="AE275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BF274" i="2"/>
  <c r="BE274" i="2"/>
  <c r="BD274" i="2"/>
  <c r="BC274" i="2"/>
  <c r="BB274" i="2"/>
  <c r="BA274" i="2"/>
  <c r="AZ274" i="2"/>
  <c r="AY274" i="2"/>
  <c r="AX274" i="2"/>
  <c r="AW274" i="2"/>
  <c r="AV274" i="2"/>
  <c r="AU274" i="2"/>
  <c r="AT274" i="2"/>
  <c r="AS274" i="2"/>
  <c r="AR274" i="2"/>
  <c r="AQ274" i="2"/>
  <c r="AP274" i="2"/>
  <c r="AO274" i="2"/>
  <c r="AN274" i="2"/>
  <c r="AM274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BF273" i="2"/>
  <c r="BE273" i="2"/>
  <c r="BD273" i="2"/>
  <c r="BC273" i="2"/>
  <c r="BB273" i="2"/>
  <c r="BA273" i="2"/>
  <c r="AZ273" i="2"/>
  <c r="AY273" i="2"/>
  <c r="AX273" i="2"/>
  <c r="AW273" i="2"/>
  <c r="AV273" i="2"/>
  <c r="AU273" i="2"/>
  <c r="AT273" i="2"/>
  <c r="AS273" i="2"/>
  <c r="AR273" i="2"/>
  <c r="AQ273" i="2"/>
  <c r="AP273" i="2"/>
  <c r="AO273" i="2"/>
  <c r="AN273" i="2"/>
  <c r="AM273" i="2"/>
  <c r="AL273" i="2"/>
  <c r="AK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BF272" i="2"/>
  <c r="BE272" i="2"/>
  <c r="BD272" i="2"/>
  <c r="BC272" i="2"/>
  <c r="BB272" i="2"/>
  <c r="BA272" i="2"/>
  <c r="AZ272" i="2"/>
  <c r="AY272" i="2"/>
  <c r="AX272" i="2"/>
  <c r="AW272" i="2"/>
  <c r="AV272" i="2"/>
  <c r="AU272" i="2"/>
  <c r="AT272" i="2"/>
  <c r="AS272" i="2"/>
  <c r="AR272" i="2"/>
  <c r="AQ272" i="2"/>
  <c r="AP272" i="2"/>
  <c r="AO272" i="2"/>
  <c r="AN272" i="2"/>
  <c r="AM272" i="2"/>
  <c r="AL272" i="2"/>
  <c r="AK272" i="2"/>
  <c r="AJ272" i="2"/>
  <c r="AI272" i="2"/>
  <c r="AH272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BF271" i="2"/>
  <c r="BE271" i="2"/>
  <c r="BD271" i="2"/>
  <c r="BC271" i="2"/>
  <c r="BB271" i="2"/>
  <c r="BA271" i="2"/>
  <c r="AZ271" i="2"/>
  <c r="AY271" i="2"/>
  <c r="AX271" i="2"/>
  <c r="AW271" i="2"/>
  <c r="AV271" i="2"/>
  <c r="AU271" i="2"/>
  <c r="AT271" i="2"/>
  <c r="AS271" i="2"/>
  <c r="AR271" i="2"/>
  <c r="AQ271" i="2"/>
  <c r="AP271" i="2"/>
  <c r="AO271" i="2"/>
  <c r="AN271" i="2"/>
  <c r="AM271" i="2"/>
  <c r="AL271" i="2"/>
  <c r="AK271" i="2"/>
  <c r="AJ271" i="2"/>
  <c r="AI271" i="2"/>
  <c r="AH271" i="2"/>
  <c r="AG271" i="2"/>
  <c r="AF271" i="2"/>
  <c r="AE271" i="2"/>
  <c r="AD271" i="2"/>
  <c r="AC271" i="2"/>
  <c r="AB271" i="2"/>
  <c r="AA271" i="2"/>
  <c r="Z271" i="2"/>
  <c r="Y271" i="2"/>
  <c r="X271" i="2"/>
  <c r="W271" i="2"/>
  <c r="V271" i="2"/>
  <c r="U271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G271" i="2"/>
  <c r="F271" i="2"/>
  <c r="E271" i="2"/>
  <c r="D271" i="2"/>
  <c r="C271" i="2"/>
  <c r="BF269" i="2"/>
  <c r="BE269" i="2"/>
  <c r="BD269" i="2"/>
  <c r="BC269" i="2"/>
  <c r="BB269" i="2"/>
  <c r="BA269" i="2"/>
  <c r="AZ269" i="2"/>
  <c r="AY269" i="2"/>
  <c r="AX269" i="2"/>
  <c r="AW269" i="2"/>
  <c r="AV269" i="2"/>
  <c r="AU269" i="2"/>
  <c r="AT269" i="2"/>
  <c r="AS269" i="2"/>
  <c r="AR269" i="2"/>
  <c r="AQ269" i="2"/>
  <c r="AP269" i="2"/>
  <c r="AO269" i="2"/>
  <c r="AN269" i="2"/>
  <c r="AM269" i="2"/>
  <c r="AL269" i="2"/>
  <c r="AK269" i="2"/>
  <c r="AJ269" i="2"/>
  <c r="AI269" i="2"/>
  <c r="AH269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BF268" i="2"/>
  <c r="BE268" i="2"/>
  <c r="BD268" i="2"/>
  <c r="BC268" i="2"/>
  <c r="BB268" i="2"/>
  <c r="BA268" i="2"/>
  <c r="AZ268" i="2"/>
  <c r="AY268" i="2"/>
  <c r="AX268" i="2"/>
  <c r="AW268" i="2"/>
  <c r="AV268" i="2"/>
  <c r="AU268" i="2"/>
  <c r="AT268" i="2"/>
  <c r="AS268" i="2"/>
  <c r="AR268" i="2"/>
  <c r="AQ268" i="2"/>
  <c r="AP268" i="2"/>
  <c r="AO268" i="2"/>
  <c r="AN268" i="2"/>
  <c r="AM268" i="2"/>
  <c r="AL268" i="2"/>
  <c r="AK268" i="2"/>
  <c r="AJ268" i="2"/>
  <c r="AI268" i="2"/>
  <c r="AH268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BF267" i="2"/>
  <c r="BE267" i="2"/>
  <c r="BD267" i="2"/>
  <c r="BC267" i="2"/>
  <c r="BB267" i="2"/>
  <c r="BA267" i="2"/>
  <c r="AZ267" i="2"/>
  <c r="AY267" i="2"/>
  <c r="AX267" i="2"/>
  <c r="AW267" i="2"/>
  <c r="AV267" i="2"/>
  <c r="AU267" i="2"/>
  <c r="AT267" i="2"/>
  <c r="AS267" i="2"/>
  <c r="AR267" i="2"/>
  <c r="AQ267" i="2"/>
  <c r="AP267" i="2"/>
  <c r="AO267" i="2"/>
  <c r="AN267" i="2"/>
  <c r="AM267" i="2"/>
  <c r="AL267" i="2"/>
  <c r="AK267" i="2"/>
  <c r="AJ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BF266" i="2"/>
  <c r="BE266" i="2"/>
  <c r="BD266" i="2"/>
  <c r="BC266" i="2"/>
  <c r="BB266" i="2"/>
  <c r="BA266" i="2"/>
  <c r="AZ266" i="2"/>
  <c r="AY266" i="2"/>
  <c r="AX266" i="2"/>
  <c r="AW266" i="2"/>
  <c r="AV266" i="2"/>
  <c r="AU266" i="2"/>
  <c r="AT266" i="2"/>
  <c r="AS266" i="2"/>
  <c r="AR266" i="2"/>
  <c r="AQ266" i="2"/>
  <c r="AP266" i="2"/>
  <c r="AO266" i="2"/>
  <c r="AN266" i="2"/>
  <c r="AM266" i="2"/>
  <c r="AL266" i="2"/>
  <c r="AK266" i="2"/>
  <c r="AJ266" i="2"/>
  <c r="AI266" i="2"/>
  <c r="AH266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F265" i="2"/>
  <c r="BE265" i="2"/>
  <c r="BD265" i="2"/>
  <c r="BC265" i="2"/>
  <c r="BB265" i="2"/>
  <c r="BA265" i="2"/>
  <c r="AZ265" i="2"/>
  <c r="AY265" i="2"/>
  <c r="AX265" i="2"/>
  <c r="AW265" i="2"/>
  <c r="AV265" i="2"/>
  <c r="AU265" i="2"/>
  <c r="AT265" i="2"/>
  <c r="AS265" i="2"/>
  <c r="AR265" i="2"/>
  <c r="AQ265" i="2"/>
  <c r="AP265" i="2"/>
  <c r="AO265" i="2"/>
  <c r="AN265" i="2"/>
  <c r="AM265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BF264" i="2"/>
  <c r="BE264" i="2"/>
  <c r="BD264" i="2"/>
  <c r="BC264" i="2"/>
  <c r="BB264" i="2"/>
  <c r="BA264" i="2"/>
  <c r="AZ264" i="2"/>
  <c r="AY264" i="2"/>
  <c r="AX264" i="2"/>
  <c r="AW264" i="2"/>
  <c r="AV264" i="2"/>
  <c r="AU264" i="2"/>
  <c r="AT264" i="2"/>
  <c r="AS264" i="2"/>
  <c r="AR264" i="2"/>
  <c r="AQ264" i="2"/>
  <c r="AP264" i="2"/>
  <c r="AO264" i="2"/>
  <c r="AN264" i="2"/>
  <c r="AM264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BF263" i="2"/>
  <c r="BE263" i="2"/>
  <c r="BD263" i="2"/>
  <c r="BC263" i="2"/>
  <c r="BB263" i="2"/>
  <c r="BA263" i="2"/>
  <c r="AZ263" i="2"/>
  <c r="AY263" i="2"/>
  <c r="AX263" i="2"/>
  <c r="AW263" i="2"/>
  <c r="AV263" i="2"/>
  <c r="AU263" i="2"/>
  <c r="AT263" i="2"/>
  <c r="AS263" i="2"/>
  <c r="AR263" i="2"/>
  <c r="AQ263" i="2"/>
  <c r="AP263" i="2"/>
  <c r="AO263" i="2"/>
  <c r="AN263" i="2"/>
  <c r="AM263" i="2"/>
  <c r="AL263" i="2"/>
  <c r="AK263" i="2"/>
  <c r="AJ263" i="2"/>
  <c r="AI263" i="2"/>
  <c r="AH263" i="2"/>
  <c r="AG263" i="2"/>
  <c r="AF263" i="2"/>
  <c r="AE263" i="2"/>
  <c r="AD263" i="2"/>
  <c r="AC263" i="2"/>
  <c r="AB263" i="2"/>
  <c r="AA263" i="2"/>
  <c r="Z263" i="2"/>
  <c r="Y263" i="2"/>
  <c r="X263" i="2"/>
  <c r="W263" i="2"/>
  <c r="V263" i="2"/>
  <c r="U263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G263" i="2"/>
  <c r="F263" i="2"/>
  <c r="E263" i="2"/>
  <c r="D263" i="2"/>
  <c r="C263" i="2"/>
  <c r="BF251" i="2"/>
  <c r="BE251" i="2"/>
  <c r="BD251" i="2"/>
  <c r="BC251" i="2"/>
  <c r="BB251" i="2"/>
  <c r="BA251" i="2"/>
  <c r="AZ251" i="2"/>
  <c r="AY251" i="2"/>
  <c r="AX251" i="2"/>
  <c r="AW251" i="2"/>
  <c r="AV251" i="2"/>
  <c r="AU251" i="2"/>
  <c r="AT251" i="2"/>
  <c r="AS251" i="2"/>
  <c r="AR251" i="2"/>
  <c r="AQ251" i="2"/>
  <c r="AP251" i="2"/>
  <c r="AO251" i="2"/>
  <c r="AN251" i="2"/>
  <c r="AM251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BF250" i="2"/>
  <c r="BE250" i="2"/>
  <c r="BD250" i="2"/>
  <c r="BC250" i="2"/>
  <c r="BB250" i="2"/>
  <c r="BA250" i="2"/>
  <c r="AZ250" i="2"/>
  <c r="AY250" i="2"/>
  <c r="AX250" i="2"/>
  <c r="AW250" i="2"/>
  <c r="AV250" i="2"/>
  <c r="AU250" i="2"/>
  <c r="AT250" i="2"/>
  <c r="AS250" i="2"/>
  <c r="AR250" i="2"/>
  <c r="AQ250" i="2"/>
  <c r="AP250" i="2"/>
  <c r="AO250" i="2"/>
  <c r="AN250" i="2"/>
  <c r="AM250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F249" i="2"/>
  <c r="BE249" i="2"/>
  <c r="BD249" i="2"/>
  <c r="BC249" i="2"/>
  <c r="BB249" i="2"/>
  <c r="BA249" i="2"/>
  <c r="AZ249" i="2"/>
  <c r="AY249" i="2"/>
  <c r="AX249" i="2"/>
  <c r="AW249" i="2"/>
  <c r="AV249" i="2"/>
  <c r="AU249" i="2"/>
  <c r="AT249" i="2"/>
  <c r="AS249" i="2"/>
  <c r="AR249" i="2"/>
  <c r="AQ249" i="2"/>
  <c r="AP249" i="2"/>
  <c r="AO249" i="2"/>
  <c r="AN249" i="2"/>
  <c r="AM249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BF248" i="2"/>
  <c r="BE248" i="2"/>
  <c r="BD248" i="2"/>
  <c r="BC248" i="2"/>
  <c r="BB248" i="2"/>
  <c r="BA248" i="2"/>
  <c r="AZ248" i="2"/>
  <c r="AY248" i="2"/>
  <c r="AX248" i="2"/>
  <c r="AW248" i="2"/>
  <c r="AV248" i="2"/>
  <c r="AU248" i="2"/>
  <c r="AT248" i="2"/>
  <c r="AS248" i="2"/>
  <c r="AR248" i="2"/>
  <c r="AQ248" i="2"/>
  <c r="AP248" i="2"/>
  <c r="AO248" i="2"/>
  <c r="AN248" i="2"/>
  <c r="AM248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F247" i="2"/>
  <c r="BE247" i="2"/>
  <c r="BD247" i="2"/>
  <c r="BC247" i="2"/>
  <c r="BB247" i="2"/>
  <c r="BA247" i="2"/>
  <c r="AZ247" i="2"/>
  <c r="AY247" i="2"/>
  <c r="AX247" i="2"/>
  <c r="AW247" i="2"/>
  <c r="AV247" i="2"/>
  <c r="AU247" i="2"/>
  <c r="AT247" i="2"/>
  <c r="AS247" i="2"/>
  <c r="AR247" i="2"/>
  <c r="AQ247" i="2"/>
  <c r="AP247" i="2"/>
  <c r="AO247" i="2"/>
  <c r="AN247" i="2"/>
  <c r="AM247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BF246" i="2"/>
  <c r="BE246" i="2"/>
  <c r="BD246" i="2"/>
  <c r="BC246" i="2"/>
  <c r="BB246" i="2"/>
  <c r="BA246" i="2"/>
  <c r="AZ246" i="2"/>
  <c r="AY246" i="2"/>
  <c r="AX246" i="2"/>
  <c r="AW246" i="2"/>
  <c r="AV246" i="2"/>
  <c r="AU246" i="2"/>
  <c r="AT246" i="2"/>
  <c r="AS246" i="2"/>
  <c r="AR246" i="2"/>
  <c r="AQ246" i="2"/>
  <c r="AP246" i="2"/>
  <c r="AO246" i="2"/>
  <c r="AN246" i="2"/>
  <c r="AM246" i="2"/>
  <c r="AL246" i="2"/>
  <c r="AK246" i="2"/>
  <c r="AJ246" i="2"/>
  <c r="AI246" i="2"/>
  <c r="AH246" i="2"/>
  <c r="AG246" i="2"/>
  <c r="AF246" i="2"/>
  <c r="AE246" i="2"/>
  <c r="AD246" i="2"/>
  <c r="AC246" i="2"/>
  <c r="AB246" i="2"/>
  <c r="AA246" i="2"/>
  <c r="Z246" i="2"/>
  <c r="Y246" i="2"/>
  <c r="X246" i="2"/>
  <c r="W246" i="2"/>
  <c r="V246" i="2"/>
  <c r="U246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G246" i="2"/>
  <c r="F246" i="2"/>
  <c r="E246" i="2"/>
  <c r="D246" i="2"/>
  <c r="C246" i="2"/>
  <c r="BF245" i="2"/>
  <c r="BE245" i="2"/>
  <c r="BD245" i="2"/>
  <c r="BC245" i="2"/>
  <c r="BB245" i="2"/>
  <c r="BA245" i="2"/>
  <c r="AZ245" i="2"/>
  <c r="AY245" i="2"/>
  <c r="AX245" i="2"/>
  <c r="AW245" i="2"/>
  <c r="AV245" i="2"/>
  <c r="AU245" i="2"/>
  <c r="AT245" i="2"/>
  <c r="AS245" i="2"/>
  <c r="AR245" i="2"/>
  <c r="AQ245" i="2"/>
  <c r="AP245" i="2"/>
  <c r="AO245" i="2"/>
  <c r="AN245" i="2"/>
  <c r="AM245" i="2"/>
  <c r="AL245" i="2"/>
  <c r="AK245" i="2"/>
  <c r="AJ245" i="2"/>
  <c r="AI245" i="2"/>
  <c r="AH245" i="2"/>
  <c r="AG245" i="2"/>
  <c r="AF245" i="2"/>
  <c r="AE245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BF242" i="2"/>
  <c r="BE242" i="2"/>
  <c r="BD242" i="2"/>
  <c r="BC242" i="2"/>
  <c r="BB242" i="2"/>
  <c r="BA242" i="2"/>
  <c r="AZ242" i="2"/>
  <c r="AY242" i="2"/>
  <c r="AX242" i="2"/>
  <c r="AW242" i="2"/>
  <c r="AV242" i="2"/>
  <c r="AU242" i="2"/>
  <c r="AT242" i="2"/>
  <c r="AS242" i="2"/>
  <c r="AR242" i="2"/>
  <c r="AQ242" i="2"/>
  <c r="AP242" i="2"/>
  <c r="AO242" i="2"/>
  <c r="AN242" i="2"/>
  <c r="AM242" i="2"/>
  <c r="AL242" i="2"/>
  <c r="AK242" i="2"/>
  <c r="AJ242" i="2"/>
  <c r="AI242" i="2"/>
  <c r="AH242" i="2"/>
  <c r="AG242" i="2"/>
  <c r="AF242" i="2"/>
  <c r="AE242" i="2"/>
  <c r="AD242" i="2"/>
  <c r="AC242" i="2"/>
  <c r="AB242" i="2"/>
  <c r="AA242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BF241" i="2"/>
  <c r="BE241" i="2"/>
  <c r="BD241" i="2"/>
  <c r="BC241" i="2"/>
  <c r="BB241" i="2"/>
  <c r="BA241" i="2"/>
  <c r="AZ241" i="2"/>
  <c r="AY241" i="2"/>
  <c r="AX241" i="2"/>
  <c r="AW241" i="2"/>
  <c r="AV241" i="2"/>
  <c r="AU241" i="2"/>
  <c r="AT241" i="2"/>
  <c r="AS241" i="2"/>
  <c r="AR241" i="2"/>
  <c r="AQ241" i="2"/>
  <c r="AP241" i="2"/>
  <c r="AO241" i="2"/>
  <c r="AN241" i="2"/>
  <c r="AM241" i="2"/>
  <c r="AL241" i="2"/>
  <c r="AK241" i="2"/>
  <c r="AJ241" i="2"/>
  <c r="AI241" i="2"/>
  <c r="AH241" i="2"/>
  <c r="AG241" i="2"/>
  <c r="AF241" i="2"/>
  <c r="AE241" i="2"/>
  <c r="AD241" i="2"/>
  <c r="AC241" i="2"/>
  <c r="AB241" i="2"/>
  <c r="AA241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BF240" i="2"/>
  <c r="BE240" i="2"/>
  <c r="BD240" i="2"/>
  <c r="BC240" i="2"/>
  <c r="BB240" i="2"/>
  <c r="BA240" i="2"/>
  <c r="AZ240" i="2"/>
  <c r="AY240" i="2"/>
  <c r="AX240" i="2"/>
  <c r="AW240" i="2"/>
  <c r="AV240" i="2"/>
  <c r="AU240" i="2"/>
  <c r="AT240" i="2"/>
  <c r="AS240" i="2"/>
  <c r="AR240" i="2"/>
  <c r="AQ240" i="2"/>
  <c r="AP240" i="2"/>
  <c r="AO240" i="2"/>
  <c r="AN240" i="2"/>
  <c r="AM240" i="2"/>
  <c r="AL240" i="2"/>
  <c r="AK240" i="2"/>
  <c r="AJ240" i="2"/>
  <c r="AI240" i="2"/>
  <c r="AH240" i="2"/>
  <c r="AG240" i="2"/>
  <c r="AF240" i="2"/>
  <c r="AE240" i="2"/>
  <c r="AD240" i="2"/>
  <c r="AC240" i="2"/>
  <c r="AB240" i="2"/>
  <c r="AA240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BF239" i="2"/>
  <c r="BE239" i="2"/>
  <c r="BD239" i="2"/>
  <c r="BC239" i="2"/>
  <c r="BB239" i="2"/>
  <c r="BA239" i="2"/>
  <c r="AZ239" i="2"/>
  <c r="AY239" i="2"/>
  <c r="AX239" i="2"/>
  <c r="AW239" i="2"/>
  <c r="AV239" i="2"/>
  <c r="AU239" i="2"/>
  <c r="AT239" i="2"/>
  <c r="AS239" i="2"/>
  <c r="AR239" i="2"/>
  <c r="AQ239" i="2"/>
  <c r="AP239" i="2"/>
  <c r="AO239" i="2"/>
  <c r="AN239" i="2"/>
  <c r="AM239" i="2"/>
  <c r="AL239" i="2"/>
  <c r="AK239" i="2"/>
  <c r="AJ239" i="2"/>
  <c r="AI239" i="2"/>
  <c r="AH239" i="2"/>
  <c r="AG239" i="2"/>
  <c r="AF239" i="2"/>
  <c r="AE239" i="2"/>
  <c r="AD239" i="2"/>
  <c r="AC239" i="2"/>
  <c r="AB239" i="2"/>
  <c r="AA239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BF238" i="2"/>
  <c r="BE238" i="2"/>
  <c r="BD238" i="2"/>
  <c r="BC238" i="2"/>
  <c r="BB238" i="2"/>
  <c r="BA238" i="2"/>
  <c r="AZ238" i="2"/>
  <c r="AY238" i="2"/>
  <c r="AX238" i="2"/>
  <c r="AW238" i="2"/>
  <c r="AV238" i="2"/>
  <c r="AU238" i="2"/>
  <c r="AT238" i="2"/>
  <c r="AS238" i="2"/>
  <c r="AR238" i="2"/>
  <c r="AQ238" i="2"/>
  <c r="AP238" i="2"/>
  <c r="AO238" i="2"/>
  <c r="AN238" i="2"/>
  <c r="AM238" i="2"/>
  <c r="AL238" i="2"/>
  <c r="AK238" i="2"/>
  <c r="AJ238" i="2"/>
  <c r="AI238" i="2"/>
  <c r="AH238" i="2"/>
  <c r="AG238" i="2"/>
  <c r="AF238" i="2"/>
  <c r="AE238" i="2"/>
  <c r="AD238" i="2"/>
  <c r="AC238" i="2"/>
  <c r="AB238" i="2"/>
  <c r="AA238" i="2"/>
  <c r="Z238" i="2"/>
  <c r="Y238" i="2"/>
  <c r="X238" i="2"/>
  <c r="W238" i="2"/>
  <c r="V238" i="2"/>
  <c r="U238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G238" i="2"/>
  <c r="F238" i="2"/>
  <c r="E238" i="2"/>
  <c r="D238" i="2"/>
  <c r="C238" i="2"/>
  <c r="BF237" i="2"/>
  <c r="BE237" i="2"/>
  <c r="BD237" i="2"/>
  <c r="BC237" i="2"/>
  <c r="BB237" i="2"/>
  <c r="BA237" i="2"/>
  <c r="AZ237" i="2"/>
  <c r="AY237" i="2"/>
  <c r="AX237" i="2"/>
  <c r="AW237" i="2"/>
  <c r="AV237" i="2"/>
  <c r="AU237" i="2"/>
  <c r="AT237" i="2"/>
  <c r="AS237" i="2"/>
  <c r="AR237" i="2"/>
  <c r="AQ237" i="2"/>
  <c r="AP237" i="2"/>
  <c r="AO237" i="2"/>
  <c r="AN237" i="2"/>
  <c r="AM237" i="2"/>
  <c r="AL237" i="2"/>
  <c r="AK237" i="2"/>
  <c r="AJ237" i="2"/>
  <c r="AI237" i="2"/>
  <c r="AH237" i="2"/>
  <c r="AG237" i="2"/>
  <c r="AF237" i="2"/>
  <c r="AE237" i="2"/>
  <c r="AD237" i="2"/>
  <c r="AC237" i="2"/>
  <c r="AB237" i="2"/>
  <c r="AA237" i="2"/>
  <c r="Z237" i="2"/>
  <c r="Y237" i="2"/>
  <c r="X237" i="2"/>
  <c r="W237" i="2"/>
  <c r="V237" i="2"/>
  <c r="U237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G237" i="2"/>
  <c r="F237" i="2"/>
  <c r="E237" i="2"/>
  <c r="D237" i="2"/>
  <c r="C237" i="2"/>
  <c r="BF236" i="2"/>
  <c r="BE236" i="2"/>
  <c r="BD236" i="2"/>
  <c r="BC236" i="2"/>
  <c r="BB236" i="2"/>
  <c r="BA236" i="2"/>
  <c r="AZ236" i="2"/>
  <c r="AY236" i="2"/>
  <c r="AX236" i="2"/>
  <c r="AW236" i="2"/>
  <c r="AV236" i="2"/>
  <c r="AU236" i="2"/>
  <c r="AT236" i="2"/>
  <c r="AS236" i="2"/>
  <c r="AR236" i="2"/>
  <c r="AQ236" i="2"/>
  <c r="AP236" i="2"/>
  <c r="AO236" i="2"/>
  <c r="AN236" i="2"/>
  <c r="AM236" i="2"/>
  <c r="AL236" i="2"/>
  <c r="AK236" i="2"/>
  <c r="AJ236" i="2"/>
  <c r="AI236" i="2"/>
  <c r="AH236" i="2"/>
  <c r="AG236" i="2"/>
  <c r="AF236" i="2"/>
  <c r="AE236" i="2"/>
  <c r="AD236" i="2"/>
  <c r="AC236" i="2"/>
  <c r="AB236" i="2"/>
  <c r="AA236" i="2"/>
  <c r="Z236" i="2"/>
  <c r="Y236" i="2"/>
  <c r="X236" i="2"/>
  <c r="W236" i="2"/>
  <c r="V236" i="2"/>
  <c r="U236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G236" i="2"/>
  <c r="F236" i="2"/>
  <c r="E236" i="2"/>
  <c r="D236" i="2"/>
  <c r="C236" i="2"/>
  <c r="BF214" i="2"/>
  <c r="BE214" i="2"/>
  <c r="BD214" i="2"/>
  <c r="BC214" i="2"/>
  <c r="BB214" i="2"/>
  <c r="BA214" i="2"/>
  <c r="AZ214" i="2"/>
  <c r="AY214" i="2"/>
  <c r="AX214" i="2"/>
  <c r="AW214" i="2"/>
  <c r="AV214" i="2"/>
  <c r="AU214" i="2"/>
  <c r="AT214" i="2"/>
  <c r="AS214" i="2"/>
  <c r="AR214" i="2"/>
  <c r="AQ214" i="2"/>
  <c r="AP214" i="2"/>
  <c r="AO214" i="2"/>
  <c r="AN214" i="2"/>
  <c r="AM214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F213" i="2"/>
  <c r="BE213" i="2"/>
  <c r="BD213" i="2"/>
  <c r="BC213" i="2"/>
  <c r="BB213" i="2"/>
  <c r="BA213" i="2"/>
  <c r="AZ213" i="2"/>
  <c r="AY213" i="2"/>
  <c r="AX213" i="2"/>
  <c r="AW213" i="2"/>
  <c r="AV213" i="2"/>
  <c r="AU213" i="2"/>
  <c r="AT213" i="2"/>
  <c r="AS213" i="2"/>
  <c r="AR213" i="2"/>
  <c r="AQ213" i="2"/>
  <c r="AP213" i="2"/>
  <c r="AO213" i="2"/>
  <c r="AN213" i="2"/>
  <c r="AM213" i="2"/>
  <c r="AL213" i="2"/>
  <c r="AK213" i="2"/>
  <c r="AJ213" i="2"/>
  <c r="AI213" i="2"/>
  <c r="AH213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BF212" i="2"/>
  <c r="BE212" i="2"/>
  <c r="BD212" i="2"/>
  <c r="BC212" i="2"/>
  <c r="BB212" i="2"/>
  <c r="BA212" i="2"/>
  <c r="AZ212" i="2"/>
  <c r="AY212" i="2"/>
  <c r="AX212" i="2"/>
  <c r="AW212" i="2"/>
  <c r="AV212" i="2"/>
  <c r="AU212" i="2"/>
  <c r="AT212" i="2"/>
  <c r="AS212" i="2"/>
  <c r="AR212" i="2"/>
  <c r="AQ212" i="2"/>
  <c r="AP212" i="2"/>
  <c r="AO212" i="2"/>
  <c r="AN212" i="2"/>
  <c r="AM212" i="2"/>
  <c r="AL212" i="2"/>
  <c r="AK212" i="2"/>
  <c r="AJ212" i="2"/>
  <c r="AI212" i="2"/>
  <c r="AH212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F211" i="2"/>
  <c r="BE211" i="2"/>
  <c r="BD211" i="2"/>
  <c r="BC211" i="2"/>
  <c r="BB211" i="2"/>
  <c r="BA211" i="2"/>
  <c r="AZ211" i="2"/>
  <c r="AY211" i="2"/>
  <c r="AX211" i="2"/>
  <c r="AW211" i="2"/>
  <c r="AV211" i="2"/>
  <c r="AU211" i="2"/>
  <c r="AT211" i="2"/>
  <c r="AS211" i="2"/>
  <c r="AR211" i="2"/>
  <c r="AQ211" i="2"/>
  <c r="AP211" i="2"/>
  <c r="AO211" i="2"/>
  <c r="AN211" i="2"/>
  <c r="AM211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BF208" i="2"/>
  <c r="BE208" i="2"/>
  <c r="BD208" i="2"/>
  <c r="BC208" i="2"/>
  <c r="BB208" i="2"/>
  <c r="BA208" i="2"/>
  <c r="AZ208" i="2"/>
  <c r="AY208" i="2"/>
  <c r="AX208" i="2"/>
  <c r="AW208" i="2"/>
  <c r="AV208" i="2"/>
  <c r="AU208" i="2"/>
  <c r="AT208" i="2"/>
  <c r="AS208" i="2"/>
  <c r="AR208" i="2"/>
  <c r="AQ208" i="2"/>
  <c r="AP208" i="2"/>
  <c r="AO208" i="2"/>
  <c r="AN208" i="2"/>
  <c r="AM208" i="2"/>
  <c r="AL208" i="2"/>
  <c r="AK208" i="2"/>
  <c r="AJ208" i="2"/>
  <c r="AI208" i="2"/>
  <c r="AH208" i="2"/>
  <c r="AG208" i="2"/>
  <c r="AF208" i="2"/>
  <c r="AE208" i="2"/>
  <c r="AD208" i="2"/>
  <c r="AC208" i="2"/>
  <c r="AB208" i="2"/>
  <c r="AA208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BF207" i="2"/>
  <c r="BE207" i="2"/>
  <c r="BD207" i="2"/>
  <c r="BC207" i="2"/>
  <c r="BB207" i="2"/>
  <c r="BA207" i="2"/>
  <c r="AZ207" i="2"/>
  <c r="AY207" i="2"/>
  <c r="AX207" i="2"/>
  <c r="AW207" i="2"/>
  <c r="AV207" i="2"/>
  <c r="AU207" i="2"/>
  <c r="AT207" i="2"/>
  <c r="AS207" i="2"/>
  <c r="AR207" i="2"/>
  <c r="AQ207" i="2"/>
  <c r="AP207" i="2"/>
  <c r="AO207" i="2"/>
  <c r="AN207" i="2"/>
  <c r="AM207" i="2"/>
  <c r="AL207" i="2"/>
  <c r="AK207" i="2"/>
  <c r="AJ207" i="2"/>
  <c r="AI207" i="2"/>
  <c r="AH207" i="2"/>
  <c r="AG207" i="2"/>
  <c r="AF207" i="2"/>
  <c r="AE207" i="2"/>
  <c r="AD207" i="2"/>
  <c r="AC207" i="2"/>
  <c r="AB207" i="2"/>
  <c r="AA207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BF206" i="2"/>
  <c r="BE206" i="2"/>
  <c r="BD206" i="2"/>
  <c r="BC206" i="2"/>
  <c r="BB206" i="2"/>
  <c r="BA206" i="2"/>
  <c r="AZ206" i="2"/>
  <c r="AY206" i="2"/>
  <c r="AX206" i="2"/>
  <c r="AW206" i="2"/>
  <c r="AV206" i="2"/>
  <c r="AU206" i="2"/>
  <c r="AT206" i="2"/>
  <c r="AS206" i="2"/>
  <c r="AR206" i="2"/>
  <c r="AQ206" i="2"/>
  <c r="AP206" i="2"/>
  <c r="AO206" i="2"/>
  <c r="AN206" i="2"/>
  <c r="AM206" i="2"/>
  <c r="AL206" i="2"/>
  <c r="AK206" i="2"/>
  <c r="AJ206" i="2"/>
  <c r="AI206" i="2"/>
  <c r="AH206" i="2"/>
  <c r="AG206" i="2"/>
  <c r="AF206" i="2"/>
  <c r="AE206" i="2"/>
  <c r="AD206" i="2"/>
  <c r="AC206" i="2"/>
  <c r="AB206" i="2"/>
  <c r="AA206" i="2"/>
  <c r="Z206" i="2"/>
  <c r="Y206" i="2"/>
  <c r="X206" i="2"/>
  <c r="W206" i="2"/>
  <c r="V206" i="2"/>
  <c r="U206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G206" i="2"/>
  <c r="F206" i="2"/>
  <c r="E206" i="2"/>
  <c r="D206" i="2"/>
  <c r="C206" i="2"/>
  <c r="BF205" i="2"/>
  <c r="BE205" i="2"/>
  <c r="BD205" i="2"/>
  <c r="BC205" i="2"/>
  <c r="BB205" i="2"/>
  <c r="BA205" i="2"/>
  <c r="AZ205" i="2"/>
  <c r="AY205" i="2"/>
  <c r="AX205" i="2"/>
  <c r="AW205" i="2"/>
  <c r="AV205" i="2"/>
  <c r="AU205" i="2"/>
  <c r="AT205" i="2"/>
  <c r="AS205" i="2"/>
  <c r="AR205" i="2"/>
  <c r="AQ205" i="2"/>
  <c r="AP205" i="2"/>
  <c r="AO205" i="2"/>
  <c r="AN205" i="2"/>
  <c r="AM205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BF204" i="2"/>
  <c r="BE204" i="2"/>
  <c r="BD204" i="2"/>
  <c r="BC204" i="2"/>
  <c r="BB204" i="2"/>
  <c r="BA204" i="2"/>
  <c r="AZ204" i="2"/>
  <c r="AY204" i="2"/>
  <c r="AX204" i="2"/>
  <c r="AW204" i="2"/>
  <c r="AV204" i="2"/>
  <c r="AU204" i="2"/>
  <c r="AT204" i="2"/>
  <c r="AS204" i="2"/>
  <c r="AR204" i="2"/>
  <c r="AQ204" i="2"/>
  <c r="AP204" i="2"/>
  <c r="AO204" i="2"/>
  <c r="AN204" i="2"/>
  <c r="AM204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BF202" i="2"/>
  <c r="BE202" i="2"/>
  <c r="BD202" i="2"/>
  <c r="BC202" i="2"/>
  <c r="BB202" i="2"/>
  <c r="BA202" i="2"/>
  <c r="AZ202" i="2"/>
  <c r="AY202" i="2"/>
  <c r="AX202" i="2"/>
  <c r="AW202" i="2"/>
  <c r="AV202" i="2"/>
  <c r="AU202" i="2"/>
  <c r="AT202" i="2"/>
  <c r="AS202" i="2"/>
  <c r="AR202" i="2"/>
  <c r="AQ202" i="2"/>
  <c r="AP202" i="2"/>
  <c r="AO202" i="2"/>
  <c r="AN202" i="2"/>
  <c r="AM202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BF201" i="2"/>
  <c r="BE201" i="2"/>
  <c r="BD201" i="2"/>
  <c r="BC201" i="2"/>
  <c r="BB201" i="2"/>
  <c r="BA201" i="2"/>
  <c r="AZ201" i="2"/>
  <c r="AY201" i="2"/>
  <c r="AX201" i="2"/>
  <c r="AW201" i="2"/>
  <c r="AV201" i="2"/>
  <c r="AU201" i="2"/>
  <c r="AT201" i="2"/>
  <c r="AS201" i="2"/>
  <c r="AR201" i="2"/>
  <c r="AQ201" i="2"/>
  <c r="AP201" i="2"/>
  <c r="AO201" i="2"/>
  <c r="AN201" i="2"/>
  <c r="AM201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BF200" i="2"/>
  <c r="BE200" i="2"/>
  <c r="BD200" i="2"/>
  <c r="BC200" i="2"/>
  <c r="BB200" i="2"/>
  <c r="BA200" i="2"/>
  <c r="AZ200" i="2"/>
  <c r="AY200" i="2"/>
  <c r="AX200" i="2"/>
  <c r="AW200" i="2"/>
  <c r="AV200" i="2"/>
  <c r="AU200" i="2"/>
  <c r="AT200" i="2"/>
  <c r="AS200" i="2"/>
  <c r="AR200" i="2"/>
  <c r="AQ200" i="2"/>
  <c r="AP200" i="2"/>
  <c r="AO200" i="2"/>
  <c r="AN200" i="2"/>
  <c r="AM200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BF199" i="2"/>
  <c r="BE199" i="2"/>
  <c r="BD199" i="2"/>
  <c r="BC199" i="2"/>
  <c r="BB199" i="2"/>
  <c r="BA199" i="2"/>
  <c r="AZ199" i="2"/>
  <c r="AY199" i="2"/>
  <c r="AX199" i="2"/>
  <c r="AW199" i="2"/>
  <c r="AV199" i="2"/>
  <c r="AU199" i="2"/>
  <c r="AT199" i="2"/>
  <c r="AS199" i="2"/>
  <c r="AR199" i="2"/>
  <c r="AQ199" i="2"/>
  <c r="AP199" i="2"/>
  <c r="AO199" i="2"/>
  <c r="AN199" i="2"/>
  <c r="AM199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BF196" i="2"/>
  <c r="BE196" i="2"/>
  <c r="BD196" i="2"/>
  <c r="BC196" i="2"/>
  <c r="BB196" i="2"/>
  <c r="BA196" i="2"/>
  <c r="AZ196" i="2"/>
  <c r="AY196" i="2"/>
  <c r="AX196" i="2"/>
  <c r="AW196" i="2"/>
  <c r="AV196" i="2"/>
  <c r="AU196" i="2"/>
  <c r="AT196" i="2"/>
  <c r="AS196" i="2"/>
  <c r="AR196" i="2"/>
  <c r="AQ196" i="2"/>
  <c r="AP196" i="2"/>
  <c r="AO196" i="2"/>
  <c r="AN196" i="2"/>
  <c r="AM196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BF195" i="2"/>
  <c r="BE195" i="2"/>
  <c r="BD195" i="2"/>
  <c r="BC195" i="2"/>
  <c r="BB195" i="2"/>
  <c r="BA195" i="2"/>
  <c r="AZ195" i="2"/>
  <c r="AY195" i="2"/>
  <c r="AX195" i="2"/>
  <c r="AW195" i="2"/>
  <c r="AV195" i="2"/>
  <c r="AU195" i="2"/>
  <c r="AT195" i="2"/>
  <c r="AS195" i="2"/>
  <c r="AR195" i="2"/>
  <c r="AQ195" i="2"/>
  <c r="AP195" i="2"/>
  <c r="AO195" i="2"/>
  <c r="AN195" i="2"/>
  <c r="AM195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BF194" i="2"/>
  <c r="BE194" i="2"/>
  <c r="BD194" i="2"/>
  <c r="BC194" i="2"/>
  <c r="BB194" i="2"/>
  <c r="BA194" i="2"/>
  <c r="AZ194" i="2"/>
  <c r="AY194" i="2"/>
  <c r="AX194" i="2"/>
  <c r="AW194" i="2"/>
  <c r="AV194" i="2"/>
  <c r="AU194" i="2"/>
  <c r="AT194" i="2"/>
  <c r="AS194" i="2"/>
  <c r="AR194" i="2"/>
  <c r="AQ194" i="2"/>
  <c r="AP194" i="2"/>
  <c r="AO194" i="2"/>
  <c r="AN194" i="2"/>
  <c r="AM194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BF193" i="2"/>
  <c r="BE193" i="2"/>
  <c r="BD193" i="2"/>
  <c r="BC193" i="2"/>
  <c r="BB193" i="2"/>
  <c r="BA193" i="2"/>
  <c r="AZ193" i="2"/>
  <c r="AY193" i="2"/>
  <c r="AX193" i="2"/>
  <c r="AW193" i="2"/>
  <c r="AV193" i="2"/>
  <c r="AU193" i="2"/>
  <c r="AT193" i="2"/>
  <c r="AS193" i="2"/>
  <c r="AR193" i="2"/>
  <c r="AQ193" i="2"/>
  <c r="AP193" i="2"/>
  <c r="AO193" i="2"/>
  <c r="AN193" i="2"/>
  <c r="AM193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BF192" i="2"/>
  <c r="BE192" i="2"/>
  <c r="BD192" i="2"/>
  <c r="BC192" i="2"/>
  <c r="BB192" i="2"/>
  <c r="BA192" i="2"/>
  <c r="AZ192" i="2"/>
  <c r="AY192" i="2"/>
  <c r="AX192" i="2"/>
  <c r="AW192" i="2"/>
  <c r="AV192" i="2"/>
  <c r="AU192" i="2"/>
  <c r="AT192" i="2"/>
  <c r="AS192" i="2"/>
  <c r="AR192" i="2"/>
  <c r="AQ192" i="2"/>
  <c r="AP192" i="2"/>
  <c r="AO192" i="2"/>
  <c r="AN192" i="2"/>
  <c r="AM192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BF103" i="2"/>
  <c r="BE103" i="2"/>
  <c r="BD103" i="2"/>
  <c r="BC103" i="2"/>
  <c r="BB103" i="2"/>
  <c r="BA103" i="2"/>
  <c r="AZ103" i="2"/>
  <c r="AY103" i="2"/>
  <c r="AX103" i="2"/>
  <c r="AW103" i="2"/>
  <c r="AV103" i="2"/>
  <c r="AU103" i="2"/>
  <c r="AT103" i="2"/>
  <c r="AS103" i="2"/>
  <c r="AR103" i="2"/>
  <c r="AQ103" i="2"/>
  <c r="AP103" i="2"/>
  <c r="AO103" i="2"/>
  <c r="AN103" i="2"/>
  <c r="AM103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BF102" i="2"/>
  <c r="BE102" i="2"/>
  <c r="BD102" i="2"/>
  <c r="BC102" i="2"/>
  <c r="BB102" i="2"/>
  <c r="BA102" i="2"/>
  <c r="AZ102" i="2"/>
  <c r="AY102" i="2"/>
  <c r="AX102" i="2"/>
  <c r="AW102" i="2"/>
  <c r="AV102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BF101" i="2"/>
  <c r="BE101" i="2"/>
  <c r="BD101" i="2"/>
  <c r="BC101" i="2"/>
  <c r="BB101" i="2"/>
  <c r="BA101" i="2"/>
  <c r="AZ101" i="2"/>
  <c r="AY101" i="2"/>
  <c r="AX101" i="2"/>
  <c r="AW101" i="2"/>
  <c r="AV101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BF100" i="2"/>
  <c r="BE100" i="2"/>
  <c r="BD100" i="2"/>
  <c r="BC100" i="2"/>
  <c r="BB100" i="2"/>
  <c r="BA100" i="2"/>
  <c r="AZ100" i="2"/>
  <c r="AY100" i="2"/>
  <c r="AX100" i="2"/>
  <c r="AW100" i="2"/>
  <c r="AV100" i="2"/>
  <c r="AU100" i="2"/>
  <c r="AT100" i="2"/>
  <c r="AS100" i="2"/>
  <c r="AR100" i="2"/>
  <c r="AQ100" i="2"/>
  <c r="AP100" i="2"/>
  <c r="AO100" i="2"/>
  <c r="AN100" i="2"/>
  <c r="AM100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BF97" i="2"/>
  <c r="BE97" i="2"/>
  <c r="BD97" i="2"/>
  <c r="BC97" i="2"/>
  <c r="BB97" i="2"/>
  <c r="BA97" i="2"/>
  <c r="AZ97" i="2"/>
  <c r="AY97" i="2"/>
  <c r="AX97" i="2"/>
  <c r="AW97" i="2"/>
  <c r="AV97" i="2"/>
  <c r="AU97" i="2"/>
  <c r="AT97" i="2"/>
  <c r="AS97" i="2"/>
  <c r="AR97" i="2"/>
  <c r="AQ97" i="2"/>
  <c r="AP97" i="2"/>
  <c r="AO97" i="2"/>
  <c r="AN97" i="2"/>
  <c r="AM97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BF94" i="2"/>
  <c r="BE94" i="2"/>
  <c r="BD94" i="2"/>
  <c r="BC94" i="2"/>
  <c r="BB94" i="2"/>
  <c r="BA94" i="2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BF93" i="2"/>
  <c r="BE93" i="2"/>
  <c r="BD93" i="2"/>
  <c r="BC93" i="2"/>
  <c r="BB93" i="2"/>
  <c r="BA93" i="2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BF89" i="2"/>
  <c r="BE89" i="2"/>
  <c r="BD89" i="2"/>
  <c r="BC89" i="2"/>
  <c r="BB89" i="2"/>
  <c r="BA89" i="2"/>
  <c r="AZ89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BF88" i="2"/>
  <c r="BE88" i="2"/>
  <c r="BD88" i="2"/>
  <c r="BC88" i="2"/>
  <c r="BB88" i="2"/>
  <c r="BA88" i="2"/>
  <c r="AZ88" i="2"/>
  <c r="AY88" i="2"/>
  <c r="AX88" i="2"/>
  <c r="AW88" i="2"/>
  <c r="AV88" i="2"/>
  <c r="AU88" i="2"/>
  <c r="AT88" i="2"/>
  <c r="AS88" i="2"/>
  <c r="AR88" i="2"/>
  <c r="AQ88" i="2"/>
  <c r="AP88" i="2"/>
  <c r="AO88" i="2"/>
  <c r="AN88" i="2"/>
  <c r="AM88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BF84" i="2"/>
  <c r="BE84" i="2"/>
  <c r="BD84" i="2"/>
  <c r="BC84" i="2"/>
  <c r="BB84" i="2"/>
  <c r="BA84" i="2"/>
  <c r="AZ84" i="2"/>
  <c r="AY84" i="2"/>
  <c r="AX84" i="2"/>
  <c r="AW84" i="2"/>
  <c r="AV84" i="2"/>
  <c r="AU84" i="2"/>
  <c r="AT84" i="2"/>
  <c r="AS84" i="2"/>
  <c r="AR84" i="2"/>
  <c r="AQ84" i="2"/>
  <c r="AP84" i="2"/>
  <c r="AO84" i="2"/>
  <c r="AN84" i="2"/>
  <c r="AM84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F83" i="2"/>
  <c r="BE83" i="2"/>
  <c r="BD83" i="2"/>
  <c r="BC83" i="2"/>
  <c r="BB83" i="2"/>
  <c r="BA83" i="2"/>
  <c r="AZ83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BF82" i="2"/>
  <c r="BE82" i="2"/>
  <c r="BD82" i="2"/>
  <c r="BC82" i="2"/>
  <c r="BB82" i="2"/>
  <c r="BA82" i="2"/>
  <c r="AZ82" i="2"/>
  <c r="AY82" i="2"/>
  <c r="AX82" i="2"/>
  <c r="AW82" i="2"/>
  <c r="AV82" i="2"/>
  <c r="AU82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F81" i="2"/>
  <c r="BE81" i="2"/>
  <c r="BD81" i="2"/>
  <c r="BC81" i="2"/>
  <c r="BB81" i="2"/>
  <c r="BA81" i="2"/>
  <c r="AZ81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BF216" i="2" l="1"/>
  <c r="BE217" i="2"/>
  <c r="BF218" i="2"/>
  <c r="BF219" i="2"/>
  <c r="BE210" i="2"/>
  <c r="BE209" i="2" s="1"/>
  <c r="BF281" i="2"/>
  <c r="BF284" i="2"/>
  <c r="AM223" i="2"/>
  <c r="AU87" i="2"/>
  <c r="BD87" i="2"/>
  <c r="AP279" i="2"/>
  <c r="AT64" i="2"/>
  <c r="BF60" i="2"/>
  <c r="BF65" i="2"/>
  <c r="BE69" i="2"/>
  <c r="BD75" i="2"/>
  <c r="BF75" i="2"/>
  <c r="BF99" i="2"/>
  <c r="BF258" i="2"/>
  <c r="BF186" i="2"/>
  <c r="BE188" i="2"/>
  <c r="BF188" i="2"/>
  <c r="BD189" i="2"/>
  <c r="BE189" i="2"/>
  <c r="BE190" i="2"/>
  <c r="BF190" i="2"/>
  <c r="BD184" i="2"/>
  <c r="BE184" i="2"/>
  <c r="BF184" i="2"/>
  <c r="BD185" i="2"/>
  <c r="BE185" i="2"/>
  <c r="BF185" i="2"/>
  <c r="BD186" i="2"/>
  <c r="BE186" i="2"/>
  <c r="BD187" i="2"/>
  <c r="BE187" i="2"/>
  <c r="BF187" i="2"/>
  <c r="BD188" i="2"/>
  <c r="BF189" i="2"/>
  <c r="BD190" i="2"/>
  <c r="BE223" i="2"/>
  <c r="BE198" i="2"/>
  <c r="BE216" i="2"/>
  <c r="BE258" i="2"/>
  <c r="BF279" i="2"/>
  <c r="BE282" i="2"/>
  <c r="BF331" i="2"/>
  <c r="BD332" i="2"/>
  <c r="BE332" i="2"/>
  <c r="BE334" i="2"/>
  <c r="BF334" i="2"/>
  <c r="BD337" i="2"/>
  <c r="BE337" i="2"/>
  <c r="BF337" i="2"/>
  <c r="BF332" i="2"/>
  <c r="BD333" i="2"/>
  <c r="BE335" i="2"/>
  <c r="BF335" i="2"/>
  <c r="BD331" i="2"/>
  <c r="BE331" i="2"/>
  <c r="BF333" i="2"/>
  <c r="BD334" i="2"/>
  <c r="BD336" i="2"/>
  <c r="BE336" i="2"/>
  <c r="BF336" i="2"/>
  <c r="BE333" i="2"/>
  <c r="BD335" i="2"/>
  <c r="BD363" i="2"/>
  <c r="BE368" i="2"/>
  <c r="BE364" i="2"/>
  <c r="BF364" i="2"/>
  <c r="BE367" i="2"/>
  <c r="BF365" i="2"/>
  <c r="BD367" i="2"/>
  <c r="BD418" i="2"/>
  <c r="BF419" i="2"/>
  <c r="BD421" i="2"/>
  <c r="BD422" i="2"/>
  <c r="BE422" i="2"/>
  <c r="BD424" i="2"/>
  <c r="BE424" i="2"/>
  <c r="BF424" i="2"/>
  <c r="BD426" i="2"/>
  <c r="BF425" i="2"/>
  <c r="BE427" i="2"/>
  <c r="BE428" i="2"/>
  <c r="BF428" i="2"/>
  <c r="BD428" i="2"/>
  <c r="BF418" i="2"/>
  <c r="BE418" i="2"/>
  <c r="BD419" i="2"/>
  <c r="BE419" i="2"/>
  <c r="BD420" i="2"/>
  <c r="BE420" i="2"/>
  <c r="BF420" i="2"/>
  <c r="BE421" i="2"/>
  <c r="BF421" i="2"/>
  <c r="BF422" i="2"/>
  <c r="BF423" i="2"/>
  <c r="BD425" i="2"/>
  <c r="BE425" i="2"/>
  <c r="BE426" i="2"/>
  <c r="BF426" i="2"/>
  <c r="BF427" i="2"/>
  <c r="BF466" i="2"/>
  <c r="BF507" i="2"/>
  <c r="BE481" i="2"/>
  <c r="BF509" i="2"/>
  <c r="BE506" i="2"/>
  <c r="BF506" i="2"/>
  <c r="BD526" i="2"/>
  <c r="BE529" i="2"/>
  <c r="BD529" i="2"/>
  <c r="BD528" i="2"/>
  <c r="AO60" i="2"/>
  <c r="BA65" i="2"/>
  <c r="AO69" i="2"/>
  <c r="AP69" i="2"/>
  <c r="AW69" i="2"/>
  <c r="AX69" i="2"/>
  <c r="AM75" i="2"/>
  <c r="AN75" i="2"/>
  <c r="AO75" i="2"/>
  <c r="AR75" i="2"/>
  <c r="AT75" i="2"/>
  <c r="AU75" i="2"/>
  <c r="AV75" i="2"/>
  <c r="AW75" i="2"/>
  <c r="BB75" i="2"/>
  <c r="BC75" i="2"/>
  <c r="AS75" i="2"/>
  <c r="BA75" i="2"/>
  <c r="AZ75" i="2"/>
  <c r="AO87" i="2"/>
  <c r="AQ87" i="2"/>
  <c r="AR87" i="2"/>
  <c r="AR189" i="2"/>
  <c r="AZ189" i="2"/>
  <c r="BB189" i="2"/>
  <c r="BC189" i="2"/>
  <c r="AQ189" i="2"/>
  <c r="AY189" i="2"/>
  <c r="AP190" i="2"/>
  <c r="AQ190" i="2"/>
  <c r="AR190" i="2"/>
  <c r="AS190" i="2"/>
  <c r="AX190" i="2"/>
  <c r="AY190" i="2"/>
  <c r="AZ190" i="2"/>
  <c r="BA190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AZ184" i="2"/>
  <c r="BA184" i="2"/>
  <c r="BB184" i="2"/>
  <c r="BC184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AZ185" i="2"/>
  <c r="BA185" i="2"/>
  <c r="BB185" i="2"/>
  <c r="BC185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AZ186" i="2"/>
  <c r="BA186" i="2"/>
  <c r="BB186" i="2"/>
  <c r="BC186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AZ187" i="2"/>
  <c r="BA187" i="2"/>
  <c r="BB187" i="2"/>
  <c r="BC187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AZ188" i="2"/>
  <c r="BA188" i="2"/>
  <c r="BB188" i="2"/>
  <c r="BC188" i="2"/>
  <c r="AM189" i="2"/>
  <c r="AN189" i="2"/>
  <c r="AO189" i="2"/>
  <c r="AP189" i="2"/>
  <c r="AT189" i="2"/>
  <c r="AU189" i="2"/>
  <c r="AV189" i="2"/>
  <c r="AW189" i="2"/>
  <c r="AX189" i="2"/>
  <c r="AM190" i="2"/>
  <c r="AN190" i="2"/>
  <c r="AO190" i="2"/>
  <c r="AT190" i="2"/>
  <c r="AU190" i="2"/>
  <c r="AV190" i="2"/>
  <c r="AW190" i="2"/>
  <c r="BB190" i="2"/>
  <c r="BC190" i="2"/>
  <c r="AR216" i="2"/>
  <c r="AN217" i="2"/>
  <c r="AV217" i="2"/>
  <c r="BC217" i="2"/>
  <c r="AX218" i="2"/>
  <c r="AV220" i="2"/>
  <c r="AW216" i="2"/>
  <c r="AT218" i="2"/>
  <c r="AZ218" i="2"/>
  <c r="AO219" i="2"/>
  <c r="BB219" i="2"/>
  <c r="AO216" i="2"/>
  <c r="AZ255" i="2"/>
  <c r="AT256" i="2"/>
  <c r="AR256" i="2"/>
  <c r="AZ257" i="2"/>
  <c r="AR258" i="2"/>
  <c r="BC258" i="2"/>
  <c r="AV259" i="2"/>
  <c r="AQ256" i="2"/>
  <c r="AT283" i="2"/>
  <c r="AZ331" i="2"/>
  <c r="AQ332" i="2"/>
  <c r="AR332" i="2"/>
  <c r="AY332" i="2"/>
  <c r="AP333" i="2"/>
  <c r="AX333" i="2"/>
  <c r="AY333" i="2"/>
  <c r="AO334" i="2"/>
  <c r="AW334" i="2"/>
  <c r="AN335" i="2"/>
  <c r="AO335" i="2"/>
  <c r="AV335" i="2"/>
  <c r="AM336" i="2"/>
  <c r="AN336" i="2"/>
  <c r="AU336" i="2"/>
  <c r="BC336" i="2"/>
  <c r="AT337" i="2"/>
  <c r="BB337" i="2"/>
  <c r="AR335" i="2"/>
  <c r="AZ335" i="2"/>
  <c r="AQ336" i="2"/>
  <c r="AY336" i="2"/>
  <c r="AP337" i="2"/>
  <c r="AU337" i="2"/>
  <c r="AX337" i="2"/>
  <c r="AZ337" i="2"/>
  <c r="AS331" i="2"/>
  <c r="AT331" i="2"/>
  <c r="BB331" i="2"/>
  <c r="AS332" i="2"/>
  <c r="BA332" i="2"/>
  <c r="AR333" i="2"/>
  <c r="AZ333" i="2"/>
  <c r="AQ334" i="2"/>
  <c r="AP335" i="2"/>
  <c r="AX335" i="2"/>
  <c r="AO336" i="2"/>
  <c r="AW336" i="2"/>
  <c r="AN337" i="2"/>
  <c r="AR331" i="2"/>
  <c r="AY334" i="2"/>
  <c r="AV337" i="2"/>
  <c r="AP362" i="2"/>
  <c r="AX362" i="2"/>
  <c r="AW363" i="2"/>
  <c r="AN364" i="2"/>
  <c r="AM365" i="2"/>
  <c r="AU365" i="2"/>
  <c r="BC365" i="2"/>
  <c r="AT366" i="2"/>
  <c r="AM362" i="2"/>
  <c r="AO362" i="2"/>
  <c r="AU362" i="2"/>
  <c r="BC362" i="2"/>
  <c r="AN363" i="2"/>
  <c r="AU363" i="2"/>
  <c r="AV363" i="2"/>
  <c r="BB363" i="2"/>
  <c r="AM364" i="2"/>
  <c r="AS364" i="2"/>
  <c r="AT364" i="2"/>
  <c r="BA364" i="2"/>
  <c r="BC364" i="2"/>
  <c r="AR365" i="2"/>
  <c r="AT365" i="2"/>
  <c r="AZ365" i="2"/>
  <c r="BB365" i="2"/>
  <c r="AQ366" i="2"/>
  <c r="AS366" i="2"/>
  <c r="AX366" i="2"/>
  <c r="AY366" i="2"/>
  <c r="BA366" i="2"/>
  <c r="AR367" i="2"/>
  <c r="AX367" i="2"/>
  <c r="AZ367" i="2"/>
  <c r="AO368" i="2"/>
  <c r="AQ368" i="2"/>
  <c r="AW368" i="2"/>
  <c r="AY368" i="2"/>
  <c r="AN362" i="2"/>
  <c r="AV362" i="2"/>
  <c r="AW362" i="2"/>
  <c r="AZ362" i="2"/>
  <c r="AM363" i="2"/>
  <c r="AO363" i="2"/>
  <c r="AT363" i="2"/>
  <c r="BC363" i="2"/>
  <c r="AU364" i="2"/>
  <c r="AV364" i="2"/>
  <c r="AX364" i="2"/>
  <c r="BB364" i="2"/>
  <c r="AS365" i="2"/>
  <c r="AW365" i="2"/>
  <c r="BA365" i="2"/>
  <c r="AR366" i="2"/>
  <c r="BB366" i="2"/>
  <c r="AP367" i="2"/>
  <c r="AU367" i="2"/>
  <c r="AY367" i="2"/>
  <c r="AR419" i="2"/>
  <c r="AS419" i="2"/>
  <c r="AT419" i="2"/>
  <c r="BA419" i="2"/>
  <c r="BB419" i="2"/>
  <c r="AN423" i="2"/>
  <c r="AM421" i="2"/>
  <c r="AP421" i="2"/>
  <c r="AT421" i="2"/>
  <c r="AU421" i="2"/>
  <c r="AV421" i="2"/>
  <c r="AW421" i="2"/>
  <c r="BB421" i="2"/>
  <c r="BC421" i="2"/>
  <c r="AM422" i="2"/>
  <c r="AN422" i="2"/>
  <c r="AP422" i="2"/>
  <c r="AR422" i="2"/>
  <c r="AT422" i="2"/>
  <c r="AV422" i="2"/>
  <c r="AX422" i="2"/>
  <c r="AZ422" i="2"/>
  <c r="BA422" i="2"/>
  <c r="BB422" i="2"/>
  <c r="BC422" i="2"/>
  <c r="AQ426" i="2"/>
  <c r="AN424" i="2"/>
  <c r="AO424" i="2"/>
  <c r="AP424" i="2"/>
  <c r="AQ424" i="2"/>
  <c r="AV424" i="2"/>
  <c r="AW424" i="2"/>
  <c r="AX424" i="2"/>
  <c r="AY424" i="2"/>
  <c r="BC424" i="2"/>
  <c r="AN426" i="2"/>
  <c r="AT426" i="2"/>
  <c r="AU426" i="2"/>
  <c r="AV426" i="2"/>
  <c r="AW426" i="2"/>
  <c r="BB426" i="2"/>
  <c r="AM425" i="2"/>
  <c r="AO425" i="2"/>
  <c r="AQ425" i="2"/>
  <c r="AS425" i="2"/>
  <c r="AT425" i="2"/>
  <c r="AU425" i="2"/>
  <c r="AV425" i="2"/>
  <c r="AW425" i="2"/>
  <c r="AY425" i="2"/>
  <c r="BA425" i="2"/>
  <c r="BC425" i="2"/>
  <c r="AT427" i="2"/>
  <c r="BB427" i="2"/>
  <c r="AM428" i="2"/>
  <c r="AU428" i="2"/>
  <c r="AY428" i="2"/>
  <c r="BC428" i="2"/>
  <c r="AN428" i="2"/>
  <c r="AP428" i="2"/>
  <c r="AV428" i="2"/>
  <c r="AX428" i="2"/>
  <c r="AX429" i="2"/>
  <c r="AZ429" i="2"/>
  <c r="AY418" i="2"/>
  <c r="AX427" i="2"/>
  <c r="AO418" i="2"/>
  <c r="AQ418" i="2"/>
  <c r="AS418" i="2"/>
  <c r="AU418" i="2"/>
  <c r="AW418" i="2"/>
  <c r="AM419" i="2"/>
  <c r="AN419" i="2"/>
  <c r="AO419" i="2"/>
  <c r="AP419" i="2"/>
  <c r="AQ419" i="2"/>
  <c r="AU419" i="2"/>
  <c r="AV419" i="2"/>
  <c r="AW419" i="2"/>
  <c r="AX419" i="2"/>
  <c r="AY419" i="2"/>
  <c r="AZ419" i="2"/>
  <c r="BC419" i="2"/>
  <c r="AM420" i="2"/>
  <c r="AS420" i="2"/>
  <c r="AU420" i="2"/>
  <c r="AW420" i="2"/>
  <c r="BA420" i="2"/>
  <c r="BC420" i="2"/>
  <c r="AN421" i="2"/>
  <c r="AO421" i="2"/>
  <c r="AQ421" i="2"/>
  <c r="AR421" i="2"/>
  <c r="AS421" i="2"/>
  <c r="AX421" i="2"/>
  <c r="AY421" i="2"/>
  <c r="AZ421" i="2"/>
  <c r="BA421" i="2"/>
  <c r="AO422" i="2"/>
  <c r="AQ422" i="2"/>
  <c r="AS422" i="2"/>
  <c r="AU422" i="2"/>
  <c r="AW422" i="2"/>
  <c r="AY422" i="2"/>
  <c r="AR423" i="2"/>
  <c r="AV423" i="2"/>
  <c r="AX423" i="2"/>
  <c r="AZ423" i="2"/>
  <c r="AM424" i="2"/>
  <c r="AR424" i="2"/>
  <c r="AS424" i="2"/>
  <c r="AT424" i="2"/>
  <c r="AU424" i="2"/>
  <c r="AZ424" i="2"/>
  <c r="BA424" i="2"/>
  <c r="BB424" i="2"/>
  <c r="AN425" i="2"/>
  <c r="AP425" i="2"/>
  <c r="AR425" i="2"/>
  <c r="AX425" i="2"/>
  <c r="AZ425" i="2"/>
  <c r="BB425" i="2"/>
  <c r="AM426" i="2"/>
  <c r="AO426" i="2"/>
  <c r="AS426" i="2"/>
  <c r="AY426" i="2"/>
  <c r="BA426" i="2"/>
  <c r="BC426" i="2"/>
  <c r="AP427" i="2"/>
  <c r="AQ428" i="2"/>
  <c r="AS428" i="2"/>
  <c r="AW428" i="2"/>
  <c r="AO481" i="2"/>
  <c r="AR487" i="2"/>
  <c r="AR509" i="2"/>
  <c r="AO494" i="2"/>
  <c r="BC494" i="2"/>
  <c r="AZ510" i="2"/>
  <c r="AQ500" i="2"/>
  <c r="AM526" i="2"/>
  <c r="AS526" i="2"/>
  <c r="AU526" i="2"/>
  <c r="BA526" i="2"/>
  <c r="AR529" i="2"/>
  <c r="AZ529" i="2"/>
  <c r="AQ528" i="2"/>
  <c r="AY528" i="2"/>
  <c r="AT527" i="2"/>
  <c r="AU527" i="2"/>
  <c r="BB527" i="2"/>
  <c r="BC527" i="2"/>
  <c r="AP529" i="2"/>
  <c r="AX529" i="2"/>
  <c r="AN527" i="2"/>
  <c r="AR526" i="2"/>
  <c r="AV527" i="2"/>
  <c r="AZ526" i="2"/>
  <c r="BB528" i="2"/>
  <c r="BC526" i="2"/>
  <c r="AM527" i="2"/>
  <c r="AS528" i="2"/>
  <c r="AT528" i="2"/>
  <c r="BA528" i="2"/>
  <c r="BE510" i="2" l="1"/>
  <c r="BE476" i="2"/>
  <c r="AV279" i="2"/>
  <c r="AV526" i="2"/>
  <c r="AT466" i="2"/>
  <c r="AO473" i="2"/>
  <c r="AY420" i="2"/>
  <c r="AQ420" i="2"/>
  <c r="AU368" i="2"/>
  <c r="AS362" i="2"/>
  <c r="AV366" i="2"/>
  <c r="AY363" i="2"/>
  <c r="BE500" i="2"/>
  <c r="BE507" i="2"/>
  <c r="BE466" i="2"/>
  <c r="BF429" i="2"/>
  <c r="BD423" i="2"/>
  <c r="AY527" i="2"/>
  <c r="AQ527" i="2"/>
  <c r="AZ528" i="2"/>
  <c r="AR528" i="2"/>
  <c r="BB526" i="2"/>
  <c r="AT526" i="2"/>
  <c r="BC529" i="2"/>
  <c r="AU529" i="2"/>
  <c r="AM529" i="2"/>
  <c r="AW528" i="2"/>
  <c r="AO528" i="2"/>
  <c r="AY526" i="2"/>
  <c r="AQ526" i="2"/>
  <c r="AO466" i="2"/>
  <c r="AO476" i="2"/>
  <c r="AX420" i="2"/>
  <c r="AP420" i="2"/>
  <c r="BB368" i="2"/>
  <c r="AT368" i="2"/>
  <c r="BC367" i="2"/>
  <c r="AM367" i="2"/>
  <c r="AN366" i="2"/>
  <c r="AO365" i="2"/>
  <c r="AP364" i="2"/>
  <c r="AQ363" i="2"/>
  <c r="AR362" i="2"/>
  <c r="AU69" i="2"/>
  <c r="AV69" i="2"/>
  <c r="AN69" i="2"/>
  <c r="BE527" i="2"/>
  <c r="BF527" i="2"/>
  <c r="BF529" i="2"/>
  <c r="BD527" i="2"/>
  <c r="BE526" i="2"/>
  <c r="BE429" i="2"/>
  <c r="BD427" i="2"/>
  <c r="BE423" i="2"/>
  <c r="AO453" i="2"/>
  <c r="AZ427" i="2"/>
  <c r="AR427" i="2"/>
  <c r="AO420" i="2"/>
  <c r="AP423" i="2"/>
  <c r="BA418" i="2"/>
  <c r="BC69" i="2"/>
  <c r="AM69" i="2"/>
  <c r="BD429" i="2"/>
  <c r="BD362" i="2"/>
  <c r="AN526" i="2"/>
  <c r="AP527" i="2"/>
  <c r="AS527" i="2"/>
  <c r="AT529" i="2"/>
  <c r="AV528" i="2"/>
  <c r="AW529" i="2"/>
  <c r="AX526" i="2"/>
  <c r="AW527" i="2"/>
  <c r="AO527" i="2"/>
  <c r="AX528" i="2"/>
  <c r="AP528" i="2"/>
  <c r="AY529" i="2"/>
  <c r="AQ529" i="2"/>
  <c r="BA529" i="2"/>
  <c r="AS529" i="2"/>
  <c r="BC528" i="2"/>
  <c r="AU528" i="2"/>
  <c r="AM528" i="2"/>
  <c r="AV529" i="2"/>
  <c r="AN529" i="2"/>
  <c r="AW526" i="2"/>
  <c r="AO526" i="2"/>
  <c r="AV500" i="2"/>
  <c r="BB69" i="2"/>
  <c r="AT69" i="2"/>
  <c r="BE528" i="2"/>
  <c r="BF260" i="2"/>
  <c r="AX527" i="2"/>
  <c r="BA527" i="2"/>
  <c r="BB529" i="2"/>
  <c r="AN528" i="2"/>
  <c r="AO529" i="2"/>
  <c r="AP526" i="2"/>
  <c r="AZ466" i="2"/>
  <c r="AT472" i="2"/>
  <c r="BA189" i="2"/>
  <c r="AS189" i="2"/>
  <c r="BE260" i="2"/>
  <c r="BE256" i="2"/>
  <c r="BE75" i="2"/>
  <c r="AR472" i="2"/>
  <c r="BC337" i="2"/>
  <c r="AM337" i="2"/>
  <c r="AV336" i="2"/>
  <c r="AW335" i="2"/>
  <c r="AX334" i="2"/>
  <c r="AP334" i="2"/>
  <c r="AQ333" i="2"/>
  <c r="AZ332" i="2"/>
  <c r="BA331" i="2"/>
  <c r="BF259" i="2"/>
  <c r="BF235" i="2"/>
  <c r="BF255" i="2"/>
  <c r="BE285" i="2"/>
  <c r="BE284" i="2"/>
  <c r="BE281" i="2"/>
  <c r="BE218" i="2"/>
  <c r="AR429" i="2"/>
  <c r="BB429" i="2"/>
  <c r="AT429" i="2"/>
  <c r="AO428" i="2"/>
  <c r="AY427" i="2"/>
  <c r="AQ427" i="2"/>
  <c r="AZ418" i="2"/>
  <c r="AR418" i="2"/>
  <c r="BA368" i="2"/>
  <c r="AS368" i="2"/>
  <c r="AZ368" i="2"/>
  <c r="AR368" i="2"/>
  <c r="BA367" i="2"/>
  <c r="AS367" i="2"/>
  <c r="AW258" i="2"/>
  <c r="AZ220" i="2"/>
  <c r="AR217" i="2"/>
  <c r="AT216" i="2"/>
  <c r="BC87" i="2"/>
  <c r="BC86" i="2" s="1"/>
  <c r="AN87" i="2"/>
  <c r="AN86" i="2" s="1"/>
  <c r="BF510" i="2"/>
  <c r="BF494" i="2"/>
  <c r="BF476" i="2"/>
  <c r="BF460" i="2"/>
  <c r="BE259" i="2"/>
  <c r="BE235" i="2"/>
  <c r="BF87" i="2"/>
  <c r="BF86" i="2" s="1"/>
  <c r="AZ472" i="2"/>
  <c r="BA337" i="2"/>
  <c r="AS337" i="2"/>
  <c r="BB336" i="2"/>
  <c r="AT336" i="2"/>
  <c r="BC335" i="2"/>
  <c r="AU335" i="2"/>
  <c r="AM335" i="2"/>
  <c r="AV334" i="2"/>
  <c r="AN334" i="2"/>
  <c r="AW333" i="2"/>
  <c r="AO333" i="2"/>
  <c r="AX332" i="2"/>
  <c r="AP332" i="2"/>
  <c r="AY331" i="2"/>
  <c r="AQ331" i="2"/>
  <c r="AR337" i="2"/>
  <c r="BA336" i="2"/>
  <c r="AS336" i="2"/>
  <c r="BB335" i="2"/>
  <c r="AT335" i="2"/>
  <c r="BC334" i="2"/>
  <c r="AU334" i="2"/>
  <c r="AM334" i="2"/>
  <c r="AV333" i="2"/>
  <c r="AN333" i="2"/>
  <c r="AW332" i="2"/>
  <c r="AO332" i="2"/>
  <c r="AX331" i="2"/>
  <c r="AP331" i="2"/>
  <c r="AY337" i="2"/>
  <c r="AQ337" i="2"/>
  <c r="AZ336" i="2"/>
  <c r="AR336" i="2"/>
  <c r="BA335" i="2"/>
  <c r="AS335" i="2"/>
  <c r="BB334" i="2"/>
  <c r="AT334" i="2"/>
  <c r="BC333" i="2"/>
  <c r="AU333" i="2"/>
  <c r="AM333" i="2"/>
  <c r="AV332" i="2"/>
  <c r="AN332" i="2"/>
  <c r="AW331" i="2"/>
  <c r="AO331" i="2"/>
  <c r="AW99" i="2"/>
  <c r="AW98" i="2" s="1"/>
  <c r="BA69" i="2"/>
  <c r="AS69" i="2"/>
  <c r="BE494" i="2"/>
  <c r="BE508" i="2" s="1"/>
  <c r="BE460" i="2"/>
  <c r="BF244" i="2"/>
  <c r="BE220" i="2"/>
  <c r="BF69" i="2"/>
  <c r="AY87" i="2"/>
  <c r="AY86" i="2" s="1"/>
  <c r="AP87" i="2"/>
  <c r="AP86" i="2" s="1"/>
  <c r="AR223" i="2"/>
  <c r="AV473" i="2"/>
  <c r="AT420" i="2"/>
  <c r="AX368" i="2"/>
  <c r="AP368" i="2"/>
  <c r="AQ367" i="2"/>
  <c r="AZ366" i="2"/>
  <c r="AR255" i="2"/>
  <c r="AU218" i="2"/>
  <c r="AT99" i="2"/>
  <c r="AT98" i="2" s="1"/>
  <c r="AZ87" i="2"/>
  <c r="AZ86" i="2" s="1"/>
  <c r="AY75" i="2"/>
  <c r="AQ75" i="2"/>
  <c r="AY69" i="2"/>
  <c r="AQ69" i="2"/>
  <c r="AZ69" i="2"/>
  <c r="AR69" i="2"/>
  <c r="BF473" i="2"/>
  <c r="BE366" i="2"/>
  <c r="BF363" i="2"/>
  <c r="BD368" i="2"/>
  <c r="BE365" i="2"/>
  <c r="BF362" i="2"/>
  <c r="BE244" i="2"/>
  <c r="BE219" i="2"/>
  <c r="AX87" i="2"/>
  <c r="AX86" i="2" s="1"/>
  <c r="BA334" i="2"/>
  <c r="AS334" i="2"/>
  <c r="BB333" i="2"/>
  <c r="AT333" i="2"/>
  <c r="BC332" i="2"/>
  <c r="AU332" i="2"/>
  <c r="AM332" i="2"/>
  <c r="AV331" i="2"/>
  <c r="AN331" i="2"/>
  <c r="AW337" i="2"/>
  <c r="AO337" i="2"/>
  <c r="AX336" i="2"/>
  <c r="AP336" i="2"/>
  <c r="AY335" i="2"/>
  <c r="AQ335" i="2"/>
  <c r="AZ334" i="2"/>
  <c r="AR334" i="2"/>
  <c r="BA333" i="2"/>
  <c r="AS333" i="2"/>
  <c r="BB332" i="2"/>
  <c r="AT332" i="2"/>
  <c r="BC331" i="2"/>
  <c r="AU331" i="2"/>
  <c r="AM331" i="2"/>
  <c r="AV257" i="2"/>
  <c r="AW87" i="2"/>
  <c r="AW86" i="2" s="1"/>
  <c r="AX75" i="2"/>
  <c r="AP75" i="2"/>
  <c r="BF368" i="2"/>
  <c r="BD366" i="2"/>
  <c r="BE363" i="2"/>
  <c r="BF367" i="2"/>
  <c r="BD365" i="2"/>
  <c r="BE362" i="2"/>
  <c r="BF366" i="2"/>
  <c r="BD364" i="2"/>
  <c r="BF261" i="2"/>
  <c r="BF257" i="2"/>
  <c r="BF98" i="2"/>
  <c r="BD69" i="2"/>
  <c r="AR284" i="2"/>
  <c r="AV429" i="2"/>
  <c r="AN429" i="2"/>
  <c r="AP429" i="2"/>
  <c r="AY429" i="2"/>
  <c r="AQ429" i="2"/>
  <c r="AZ428" i="2"/>
  <c r="AR428" i="2"/>
  <c r="BA428" i="2"/>
  <c r="BC427" i="2"/>
  <c r="AU427" i="2"/>
  <c r="AM427" i="2"/>
  <c r="AV427" i="2"/>
  <c r="AN427" i="2"/>
  <c r="AX426" i="2"/>
  <c r="AP426" i="2"/>
  <c r="BB423" i="2"/>
  <c r="AT423" i="2"/>
  <c r="BC418" i="2"/>
  <c r="AM418" i="2"/>
  <c r="AV418" i="2"/>
  <c r="AN418" i="2"/>
  <c r="AV368" i="2"/>
  <c r="AN368" i="2"/>
  <c r="AW367" i="2"/>
  <c r="AO367" i="2"/>
  <c r="AP366" i="2"/>
  <c r="AY365" i="2"/>
  <c r="AQ365" i="2"/>
  <c r="AZ364" i="2"/>
  <c r="AR364" i="2"/>
  <c r="BA363" i="2"/>
  <c r="AS363" i="2"/>
  <c r="BB362" i="2"/>
  <c r="AT362" i="2"/>
  <c r="BC368" i="2"/>
  <c r="AM368" i="2"/>
  <c r="AV367" i="2"/>
  <c r="AN367" i="2"/>
  <c r="AW366" i="2"/>
  <c r="AO366" i="2"/>
  <c r="AX365" i="2"/>
  <c r="AP365" i="2"/>
  <c r="AY364" i="2"/>
  <c r="AQ364" i="2"/>
  <c r="AZ363" i="2"/>
  <c r="AR363" i="2"/>
  <c r="BA362" i="2"/>
  <c r="AP220" i="2"/>
  <c r="BE261" i="2"/>
  <c r="BE257" i="2"/>
  <c r="BE99" i="2"/>
  <c r="AV87" i="2"/>
  <c r="AM87" i="2"/>
  <c r="BF64" i="2"/>
  <c r="BF283" i="2"/>
  <c r="BF210" i="2"/>
  <c r="BF209" i="2" s="1"/>
  <c r="BF223" i="2"/>
  <c r="BF220" i="2"/>
  <c r="BF217" i="2"/>
  <c r="BF285" i="2"/>
  <c r="BF280" i="2"/>
  <c r="BE197" i="2"/>
  <c r="BE221" i="2" s="1"/>
  <c r="BE283" i="2"/>
  <c r="BF256" i="2"/>
  <c r="BF472" i="2"/>
  <c r="BE447" i="2"/>
  <c r="BE87" i="2"/>
  <c r="BE86" i="2" s="1"/>
  <c r="BE64" i="2"/>
  <c r="BF453" i="2"/>
  <c r="BF477" i="2" s="1"/>
  <c r="BF447" i="2"/>
  <c r="BE280" i="2"/>
  <c r="BE509" i="2"/>
  <c r="BE472" i="2"/>
  <c r="BE487" i="2"/>
  <c r="BE255" i="2"/>
  <c r="BE453" i="2"/>
  <c r="BF282" i="2"/>
  <c r="BF487" i="2"/>
  <c r="BF500" i="2"/>
  <c r="BF481" i="2"/>
  <c r="BE279" i="2"/>
  <c r="BF198" i="2"/>
  <c r="BD64" i="2"/>
  <c r="BD510" i="2"/>
  <c r="BD506" i="2"/>
  <c r="BD509" i="2"/>
  <c r="BD460" i="2"/>
  <c r="BD261" i="2"/>
  <c r="BD256" i="2"/>
  <c r="AT284" i="2"/>
  <c r="AR198" i="2"/>
  <c r="AN261" i="2"/>
  <c r="BB99" i="2"/>
  <c r="BB98" i="2" s="1"/>
  <c r="AV507" i="2"/>
  <c r="AT475" i="2"/>
  <c r="AO258" i="2"/>
  <c r="AZ198" i="2"/>
  <c r="AZ197" i="2" s="1"/>
  <c r="AU60" i="2"/>
  <c r="AO509" i="2"/>
  <c r="AO487" i="2"/>
  <c r="AR466" i="2"/>
  <c r="AR99" i="2"/>
  <c r="AR98" i="2" s="1"/>
  <c r="AW60" i="2"/>
  <c r="AO500" i="2"/>
  <c r="AQ481" i="2"/>
  <c r="AV453" i="2"/>
  <c r="AR244" i="2"/>
  <c r="AN500" i="2"/>
  <c r="AY509" i="2"/>
  <c r="AT453" i="2"/>
  <c r="AZ475" i="2"/>
  <c r="AQ510" i="2"/>
  <c r="AQ453" i="2"/>
  <c r="AP283" i="2"/>
  <c r="BC223" i="2"/>
  <c r="AZ99" i="2"/>
  <c r="AZ98" i="2" s="1"/>
  <c r="AZ487" i="2"/>
  <c r="AN260" i="2"/>
  <c r="AT494" i="2"/>
  <c r="AN453" i="2"/>
  <c r="BB280" i="2"/>
  <c r="AN259" i="2"/>
  <c r="AU217" i="2"/>
  <c r="AT281" i="2"/>
  <c r="AU257" i="2"/>
  <c r="BC466" i="2"/>
  <c r="BC453" i="2"/>
  <c r="AW500" i="2"/>
  <c r="BB259" i="2"/>
  <c r="AU487" i="2"/>
  <c r="AW487" i="2"/>
  <c r="BB256" i="2"/>
  <c r="BB261" i="2"/>
  <c r="BB260" i="2"/>
  <c r="AW481" i="2"/>
  <c r="AU481" i="2"/>
  <c r="BB472" i="2"/>
  <c r="AV256" i="2"/>
  <c r="AN257" i="2"/>
  <c r="AW466" i="2"/>
  <c r="AO281" i="2"/>
  <c r="AO244" i="2"/>
  <c r="AX99" i="2"/>
  <c r="AX98" i="2" s="1"/>
  <c r="AR86" i="2"/>
  <c r="AT282" i="2"/>
  <c r="AV506" i="2"/>
  <c r="AN475" i="2"/>
  <c r="AZ473" i="2"/>
  <c r="AR282" i="2"/>
  <c r="AT219" i="2"/>
  <c r="BC198" i="2"/>
  <c r="BC197" i="2" s="1"/>
  <c r="AZ217" i="2"/>
  <c r="AQ494" i="2"/>
  <c r="AV509" i="2"/>
  <c r="AR460" i="2"/>
  <c r="AV472" i="2"/>
  <c r="BC476" i="2"/>
  <c r="AY510" i="2"/>
  <c r="AU223" i="2"/>
  <c r="AX220" i="2"/>
  <c r="AV510" i="2"/>
  <c r="AN506" i="2"/>
  <c r="BC487" i="2"/>
  <c r="AT473" i="2"/>
  <c r="AR257" i="2"/>
  <c r="AT255" i="2"/>
  <c r="AP218" i="2"/>
  <c r="AZ216" i="2"/>
  <c r="AR220" i="2"/>
  <c r="AP510" i="2"/>
  <c r="AX472" i="2"/>
  <c r="AX509" i="2"/>
  <c r="BD65" i="2"/>
  <c r="AP60" i="2"/>
  <c r="AR261" i="2"/>
  <c r="BD283" i="2"/>
  <c r="BD280" i="2"/>
  <c r="AN280" i="2"/>
  <c r="AT285" i="2"/>
  <c r="BD284" i="2"/>
  <c r="AZ283" i="2"/>
  <c r="AY282" i="2"/>
  <c r="BB281" i="2"/>
  <c r="AP219" i="2"/>
  <c r="AM218" i="2"/>
  <c r="AT261" i="2"/>
  <c r="AO259" i="2"/>
  <c r="AN216" i="2"/>
  <c r="BD466" i="2"/>
  <c r="BD473" i="2"/>
  <c r="BD210" i="2"/>
  <c r="BD209" i="2" s="1"/>
  <c r="AM217" i="2"/>
  <c r="BB284" i="2"/>
  <c r="AV260" i="2"/>
  <c r="AW255" i="2"/>
  <c r="AR218" i="2"/>
  <c r="BC218" i="2"/>
  <c r="BD218" i="2"/>
  <c r="AT280" i="2"/>
  <c r="AO261" i="2"/>
  <c r="AN258" i="2"/>
  <c r="AT244" i="2"/>
  <c r="AZ256" i="2"/>
  <c r="AO256" i="2"/>
  <c r="BB216" i="2"/>
  <c r="AO99" i="2"/>
  <c r="AO98" i="2" s="1"/>
  <c r="AR64" i="2"/>
  <c r="BD472" i="2"/>
  <c r="AM244" i="2"/>
  <c r="AM258" i="2"/>
  <c r="AM261" i="2"/>
  <c r="AM466" i="2"/>
  <c r="AM453" i="2"/>
  <c r="AM487" i="2"/>
  <c r="AM494" i="2"/>
  <c r="AP285" i="2"/>
  <c r="AX60" i="2"/>
  <c r="AW509" i="2"/>
  <c r="AR506" i="2"/>
  <c r="AX475" i="2"/>
  <c r="AV475" i="2"/>
  <c r="AZ460" i="2"/>
  <c r="AX473" i="2"/>
  <c r="AW473" i="2"/>
  <c r="AN472" i="2"/>
  <c r="AP475" i="2"/>
  <c r="AZ285" i="2"/>
  <c r="BB282" i="2"/>
  <c r="AW281" i="2"/>
  <c r="AZ279" i="2"/>
  <c r="BC257" i="2"/>
  <c r="AN220" i="2"/>
  <c r="BB218" i="2"/>
  <c r="AV216" i="2"/>
  <c r="BD258" i="2"/>
  <c r="AW280" i="2"/>
  <c r="AO280" i="2"/>
  <c r="BA460" i="2"/>
  <c r="BA481" i="2"/>
  <c r="BA99" i="2"/>
  <c r="BA98" i="2" s="1"/>
  <c r="BA220" i="2"/>
  <c r="BA216" i="2"/>
  <c r="BA87" i="2"/>
  <c r="BA86" i="2" s="1"/>
  <c r="AS481" i="2"/>
  <c r="AS99" i="2"/>
  <c r="AS98" i="2" s="1"/>
  <c r="AS220" i="2"/>
  <c r="AS216" i="2"/>
  <c r="AS219" i="2"/>
  <c r="AS210" i="2"/>
  <c r="AS209" i="2" s="1"/>
  <c r="AS87" i="2"/>
  <c r="AS86" i="2" s="1"/>
  <c r="AN510" i="2"/>
  <c r="AN509" i="2"/>
  <c r="AZ506" i="2"/>
  <c r="AM476" i="2"/>
  <c r="AO279" i="2"/>
  <c r="AR260" i="2"/>
  <c r="AV261" i="2"/>
  <c r="BC259" i="2"/>
  <c r="AT258" i="2"/>
  <c r="AP255" i="2"/>
  <c r="AV99" i="2"/>
  <c r="AV98" i="2" s="1"/>
  <c r="AN282" i="2"/>
  <c r="AR279" i="2"/>
  <c r="AR510" i="2"/>
  <c r="AZ507" i="2"/>
  <c r="AW279" i="2"/>
  <c r="AN279" i="2"/>
  <c r="AT260" i="2"/>
  <c r="AT259" i="2"/>
  <c r="BB258" i="2"/>
  <c r="AO255" i="2"/>
  <c r="AZ223" i="2"/>
  <c r="AP65" i="2"/>
  <c r="AU64" i="2"/>
  <c r="AQ284" i="2"/>
  <c r="AV282" i="2"/>
  <c r="AQ210" i="2"/>
  <c r="AQ209" i="2" s="1"/>
  <c r="AY284" i="2"/>
  <c r="BD282" i="2"/>
  <c r="BD279" i="2"/>
  <c r="AY64" i="2"/>
  <c r="AY494" i="2"/>
  <c r="AQ507" i="2"/>
  <c r="AS281" i="2"/>
  <c r="AW244" i="2"/>
  <c r="AW256" i="2"/>
  <c r="AN256" i="2"/>
  <c r="AY210" i="2"/>
  <c r="AY209" i="2" s="1"/>
  <c r="AP210" i="2"/>
  <c r="AP209" i="2" s="1"/>
  <c r="AU198" i="2"/>
  <c r="AU197" i="2" s="1"/>
  <c r="AM198" i="2"/>
  <c r="AM197" i="2" s="1"/>
  <c r="AY65" i="2"/>
  <c r="AQ65" i="2"/>
  <c r="BA60" i="2"/>
  <c r="AS60" i="2"/>
  <c r="AU260" i="2"/>
  <c r="AM260" i="2"/>
  <c r="AY285" i="2"/>
  <c r="AY283" i="2"/>
  <c r="AQ283" i="2"/>
  <c r="BA281" i="2"/>
  <c r="AV281" i="2"/>
  <c r="AZ509" i="2"/>
  <c r="AY507" i="2"/>
  <c r="AU510" i="2"/>
  <c r="AR473" i="2"/>
  <c r="AQ473" i="2"/>
  <c r="AW283" i="2"/>
  <c r="AP281" i="2"/>
  <c r="AV280" i="2"/>
  <c r="BC244" i="2"/>
  <c r="AX258" i="2"/>
  <c r="AU235" i="2"/>
  <c r="AT235" i="2"/>
  <c r="AX210" i="2"/>
  <c r="AX209" i="2" s="1"/>
  <c r="AW260" i="2"/>
  <c r="AZ261" i="2"/>
  <c r="BD281" i="2"/>
  <c r="AX506" i="2"/>
  <c r="AO508" i="2"/>
  <c r="AR475" i="2"/>
  <c r="AR285" i="2"/>
  <c r="AN284" i="2"/>
  <c r="AZ281" i="2"/>
  <c r="BB255" i="2"/>
  <c r="AM257" i="2"/>
  <c r="AW65" i="2"/>
  <c r="AQ282" i="2"/>
  <c r="AY279" i="2"/>
  <c r="AQ279" i="2"/>
  <c r="AY99" i="2"/>
  <c r="AY98" i="2" s="1"/>
  <c r="AQ99" i="2"/>
  <c r="AQ98" i="2" s="1"/>
  <c r="AW210" i="2"/>
  <c r="AW209" i="2" s="1"/>
  <c r="AO210" i="2"/>
  <c r="AO209" i="2" s="1"/>
  <c r="AY220" i="2"/>
  <c r="AQ220" i="2"/>
  <c r="AQ217" i="2"/>
  <c r="AW223" i="2"/>
  <c r="AO223" i="2"/>
  <c r="AW220" i="2"/>
  <c r="AO220" i="2"/>
  <c r="AY219" i="2"/>
  <c r="AQ219" i="2"/>
  <c r="AY218" i="2"/>
  <c r="AQ218" i="2"/>
  <c r="AW217" i="2"/>
  <c r="AO217" i="2"/>
  <c r="AN99" i="2"/>
  <c r="AN98" i="2" s="1"/>
  <c r="BD223" i="2"/>
  <c r="AV223" i="2"/>
  <c r="BD220" i="2"/>
  <c r="AX219" i="2"/>
  <c r="BB223" i="2"/>
  <c r="BD198" i="2"/>
  <c r="BB220" i="2"/>
  <c r="AT220" i="2"/>
  <c r="BD219" i="2"/>
  <c r="AV218" i="2"/>
  <c r="AN218" i="2"/>
  <c r="BD216" i="2"/>
  <c r="AQ466" i="2"/>
  <c r="AY466" i="2"/>
  <c r="AY258" i="2"/>
  <c r="AQ258" i="2"/>
  <c r="AY257" i="2"/>
  <c r="AQ257" i="2"/>
  <c r="AW460" i="2"/>
  <c r="AO460" i="2"/>
  <c r="BC473" i="2"/>
  <c r="AU473" i="2"/>
  <c r="AM473" i="2"/>
  <c r="AY453" i="2"/>
  <c r="AW447" i="2"/>
  <c r="BC447" i="2"/>
  <c r="AU447" i="2"/>
  <c r="BC472" i="2"/>
  <c r="AU472" i="2"/>
  <c r="AM472" i="2"/>
  <c r="AY500" i="2"/>
  <c r="AW494" i="2"/>
  <c r="AU507" i="2"/>
  <c r="AY487" i="2"/>
  <c r="AQ487" i="2"/>
  <c r="AQ511" i="2" s="1"/>
  <c r="AY476" i="2"/>
  <c r="BC507" i="2"/>
  <c r="BC510" i="2"/>
  <c r="AM507" i="2"/>
  <c r="AM510" i="2"/>
  <c r="AX285" i="2"/>
  <c r="AX279" i="2"/>
  <c r="AY217" i="2"/>
  <c r="AU509" i="2"/>
  <c r="AO447" i="2"/>
  <c r="AO283" i="2"/>
  <c r="AV285" i="2"/>
  <c r="AS244" i="2"/>
  <c r="AM235" i="2"/>
  <c r="AM255" i="2"/>
  <c r="AM99" i="2"/>
  <c r="AM98" i="2" s="1"/>
  <c r="AQ244" i="2"/>
  <c r="BD60" i="2"/>
  <c r="BE60" i="2"/>
  <c r="AS235" i="2"/>
  <c r="AO472" i="2"/>
  <c r="AU460" i="2"/>
  <c r="BC460" i="2"/>
  <c r="AW259" i="2"/>
  <c r="BC235" i="2"/>
  <c r="BC255" i="2"/>
  <c r="AU99" i="2"/>
  <c r="AU98" i="2" s="1"/>
  <c r="AQ506" i="2"/>
  <c r="AT510" i="2"/>
  <c r="BB475" i="2"/>
  <c r="AN473" i="2"/>
  <c r="AV284" i="2"/>
  <c r="AX280" i="2"/>
  <c r="BA261" i="2"/>
  <c r="BB235" i="2"/>
  <c r="AX64" i="2"/>
  <c r="AS256" i="2"/>
  <c r="BA507" i="2"/>
  <c r="AQ285" i="2"/>
  <c r="AS65" i="2"/>
  <c r="AT65" i="2"/>
  <c r="BB64" i="2"/>
  <c r="BC64" i="2"/>
  <c r="AZ259" i="2"/>
  <c r="AZ260" i="2"/>
  <c r="AX284" i="2"/>
  <c r="AP284" i="2"/>
  <c r="AX282" i="2"/>
  <c r="AP282" i="2"/>
  <c r="BB285" i="2"/>
  <c r="BB283" i="2"/>
  <c r="AN281" i="2"/>
  <c r="AM509" i="2"/>
  <c r="BA219" i="2"/>
  <c r="AY244" i="2"/>
  <c r="BA235" i="2"/>
  <c r="AS261" i="2"/>
  <c r="AU259" i="2"/>
  <c r="AS507" i="2"/>
  <c r="AR507" i="2"/>
  <c r="AW261" i="2"/>
  <c r="AY506" i="2"/>
  <c r="AS473" i="2"/>
  <c r="AX283" i="2"/>
  <c r="AU255" i="2"/>
  <c r="AN507" i="2"/>
  <c r="AW507" i="2"/>
  <c r="AO507" i="2"/>
  <c r="AW472" i="2"/>
  <c r="AY460" i="2"/>
  <c r="AQ460" i="2"/>
  <c r="BA473" i="2"/>
  <c r="BB473" i="2"/>
  <c r="AV283" i="2"/>
  <c r="AS280" i="2"/>
  <c r="AS255" i="2"/>
  <c r="AU244" i="2"/>
  <c r="AU261" i="2"/>
  <c r="BC260" i="2"/>
  <c r="AX223" i="2"/>
  <c r="AO65" i="2"/>
  <c r="BA282" i="2"/>
  <c r="BC509" i="2"/>
  <c r="BB510" i="2"/>
  <c r="AW476" i="2"/>
  <c r="BC500" i="2"/>
  <c r="AU500" i="2"/>
  <c r="AM500" i="2"/>
  <c r="BC261" i="2"/>
  <c r="AZ284" i="2"/>
  <c r="AR281" i="2"/>
  <c r="AY280" i="2"/>
  <c r="AM259" i="2"/>
  <c r="AY256" i="2"/>
  <c r="AY198" i="2"/>
  <c r="AY197" i="2" s="1"/>
  <c r="AQ198" i="2"/>
  <c r="AQ197" i="2" s="1"/>
  <c r="AP223" i="2"/>
  <c r="BB60" i="2"/>
  <c r="BD260" i="2"/>
  <c r="BD257" i="2"/>
  <c r="AP64" i="2"/>
  <c r="AZ65" i="2"/>
  <c r="AR65" i="2"/>
  <c r="BC481" i="2"/>
  <c r="BC508" i="2" s="1"/>
  <c r="AM481" i="2"/>
  <c r="AM460" i="2"/>
  <c r="AV460" i="2"/>
  <c r="AN460" i="2"/>
  <c r="AY473" i="2"/>
  <c r="AV476" i="2"/>
  <c r="AN476" i="2"/>
  <c r="AW475" i="2"/>
  <c r="AO475" i="2"/>
  <c r="AY447" i="2"/>
  <c r="AQ447" i="2"/>
  <c r="AZ447" i="2"/>
  <c r="AR447" i="2"/>
  <c r="AN285" i="2"/>
  <c r="AW284" i="2"/>
  <c r="AO284" i="2"/>
  <c r="AN283" i="2"/>
  <c r="AW282" i="2"/>
  <c r="AO282" i="2"/>
  <c r="AX281" i="2"/>
  <c r="BB279" i="2"/>
  <c r="AT279" i="2"/>
  <c r="BB244" i="2"/>
  <c r="AU258" i="2"/>
  <c r="AV235" i="2"/>
  <c r="AN235" i="2"/>
  <c r="BA258" i="2"/>
  <c r="AS258" i="2"/>
  <c r="BB257" i="2"/>
  <c r="AT257" i="2"/>
  <c r="BC256" i="2"/>
  <c r="AU256" i="2"/>
  <c r="AM256" i="2"/>
  <c r="AV255" i="2"/>
  <c r="AN255" i="2"/>
  <c r="BB65" i="2"/>
  <c r="BD285" i="2"/>
  <c r="AN223" i="2"/>
  <c r="AT223" i="2"/>
  <c r="AS460" i="2"/>
  <c r="AZ282" i="2"/>
  <c r="BA280" i="2"/>
  <c r="AQ280" i="2"/>
  <c r="AP258" i="2"/>
  <c r="AP244" i="2"/>
  <c r="AR259" i="2"/>
  <c r="AZ258" i="2"/>
  <c r="AR235" i="2"/>
  <c r="BA210" i="2"/>
  <c r="BA209" i="2" s="1"/>
  <c r="BC99" i="2"/>
  <c r="BC98" i="2" s="1"/>
  <c r="AO260" i="2"/>
  <c r="AY481" i="2"/>
  <c r="AU453" i="2"/>
  <c r="AM447" i="2"/>
  <c r="AV447" i="2"/>
  <c r="AN447" i="2"/>
  <c r="AW285" i="2"/>
  <c r="AO285" i="2"/>
  <c r="AY281" i="2"/>
  <c r="AQ281" i="2"/>
  <c r="AZ280" i="2"/>
  <c r="AR280" i="2"/>
  <c r="AR283" i="2"/>
  <c r="AS282" i="2"/>
  <c r="AP280" i="2"/>
  <c r="AX244" i="2"/>
  <c r="AZ235" i="2"/>
  <c r="AW219" i="2"/>
  <c r="BC60" i="2"/>
  <c r="AT60" i="2"/>
  <c r="BD217" i="2"/>
  <c r="BD447" i="2"/>
  <c r="AX476" i="2"/>
  <c r="AP476" i="2"/>
  <c r="AS447" i="2"/>
  <c r="BB447" i="2"/>
  <c r="AT447" i="2"/>
  <c r="AV198" i="2"/>
  <c r="AV197" i="2" s="1"/>
  <c r="AN198" i="2"/>
  <c r="AN197" i="2" s="1"/>
  <c r="AX65" i="2"/>
  <c r="AQ64" i="2"/>
  <c r="BA64" i="2"/>
  <c r="AS64" i="2"/>
  <c r="AX460" i="2"/>
  <c r="AP460" i="2"/>
  <c r="AW453" i="2"/>
  <c r="AV258" i="2"/>
  <c r="AW235" i="2"/>
  <c r="AO235" i="2"/>
  <c r="AZ210" i="2"/>
  <c r="AZ209" i="2" s="1"/>
  <c r="AR210" i="2"/>
  <c r="AR209" i="2" s="1"/>
  <c r="AP99" i="2"/>
  <c r="AP98" i="2" s="1"/>
  <c r="AZ64" i="2"/>
  <c r="BD255" i="2"/>
  <c r="BD259" i="2"/>
  <c r="BB506" i="2"/>
  <c r="BB481" i="2"/>
  <c r="BB509" i="2"/>
  <c r="BB507" i="2"/>
  <c r="AT506" i="2"/>
  <c r="AT481" i="2"/>
  <c r="AT509" i="2"/>
  <c r="AT507" i="2"/>
  <c r="AZ219" i="2"/>
  <c r="AR219" i="2"/>
  <c r="BB217" i="2"/>
  <c r="AT217" i="2"/>
  <c r="BC216" i="2"/>
  <c r="AU216" i="2"/>
  <c r="AM216" i="2"/>
  <c r="AW198" i="2"/>
  <c r="AW197" i="2" s="1"/>
  <c r="AO198" i="2"/>
  <c r="AX198" i="2"/>
  <c r="AP198" i="2"/>
  <c r="AY223" i="2"/>
  <c r="AQ223" i="2"/>
  <c r="BC219" i="2"/>
  <c r="AU219" i="2"/>
  <c r="AM219" i="2"/>
  <c r="AX216" i="2"/>
  <c r="AP216" i="2"/>
  <c r="BD476" i="2"/>
  <c r="BD99" i="2"/>
  <c r="BD98" i="2" s="1"/>
  <c r="BD86" i="2"/>
  <c r="BE65" i="2"/>
  <c r="AV210" i="2"/>
  <c r="AV209" i="2" s="1"/>
  <c r="AN210" i="2"/>
  <c r="AN209" i="2" s="1"/>
  <c r="BC220" i="2"/>
  <c r="AU220" i="2"/>
  <c r="AM220" i="2"/>
  <c r="AV219" i="2"/>
  <c r="AN219" i="2"/>
  <c r="AW218" i="2"/>
  <c r="AO218" i="2"/>
  <c r="AX217" i="2"/>
  <c r="AP217" i="2"/>
  <c r="AY216" i="2"/>
  <c r="AQ216" i="2"/>
  <c r="BB198" i="2"/>
  <c r="BB197" i="2" s="1"/>
  <c r="AT198" i="2"/>
  <c r="AT197" i="2" s="1"/>
  <c r="AQ86" i="2"/>
  <c r="BB210" i="2"/>
  <c r="AT210" i="2"/>
  <c r="AT209" i="2" s="1"/>
  <c r="BC210" i="2"/>
  <c r="BC209" i="2" s="1"/>
  <c r="AU210" i="2"/>
  <c r="AU209" i="2" s="1"/>
  <c r="AM210" i="2"/>
  <c r="AM209" i="2" s="1"/>
  <c r="BA198" i="2"/>
  <c r="BA197" i="2" s="1"/>
  <c r="AS198" i="2"/>
  <c r="AS197" i="2" s="1"/>
  <c r="AV86" i="2"/>
  <c r="BC65" i="2"/>
  <c r="AV60" i="2"/>
  <c r="AN60" i="2"/>
  <c r="BD475" i="2"/>
  <c r="BE222" i="2"/>
  <c r="BE98" i="2"/>
  <c r="BF526" i="2"/>
  <c r="BE473" i="2"/>
  <c r="BF475" i="2"/>
  <c r="BF528" i="2"/>
  <c r="BE475" i="2"/>
  <c r="AZ420" i="2"/>
  <c r="AR420" i="2"/>
  <c r="BA423" i="2"/>
  <c r="AS423" i="2"/>
  <c r="BB500" i="2"/>
  <c r="AT500" i="2"/>
  <c r="AZ494" i="2"/>
  <c r="AR494" i="2"/>
  <c r="AX487" i="2"/>
  <c r="AP487" i="2"/>
  <c r="AV481" i="2"/>
  <c r="AN481" i="2"/>
  <c r="AW429" i="2"/>
  <c r="AO429" i="2"/>
  <c r="BA427" i="2"/>
  <c r="AS427" i="2"/>
  <c r="AY423" i="2"/>
  <c r="AQ423" i="2"/>
  <c r="BB418" i="2"/>
  <c r="AT418" i="2"/>
  <c r="AZ527" i="2"/>
  <c r="AR527" i="2"/>
  <c r="AW510" i="2"/>
  <c r="AO510" i="2"/>
  <c r="AU476" i="2"/>
  <c r="BA472" i="2"/>
  <c r="AS472" i="2"/>
  <c r="AV466" i="2"/>
  <c r="AN466" i="2"/>
  <c r="BB460" i="2"/>
  <c r="AT460" i="2"/>
  <c r="AZ453" i="2"/>
  <c r="AR453" i="2"/>
  <c r="BB476" i="2"/>
  <c r="AT476" i="2"/>
  <c r="BC475" i="2"/>
  <c r="AU475" i="2"/>
  <c r="AM475" i="2"/>
  <c r="AX447" i="2"/>
  <c r="AP447" i="2"/>
  <c r="BC279" i="2"/>
  <c r="BC281" i="2"/>
  <c r="BC282" i="2"/>
  <c r="BC283" i="2"/>
  <c r="BC280" i="2"/>
  <c r="AU279" i="2"/>
  <c r="AU281" i="2"/>
  <c r="AU282" i="2"/>
  <c r="AU283" i="2"/>
  <c r="AU280" i="2"/>
  <c r="AM279" i="2"/>
  <c r="AM281" i="2"/>
  <c r="AM282" i="2"/>
  <c r="AM283" i="2"/>
  <c r="AM280" i="2"/>
  <c r="AW506" i="2"/>
  <c r="AO506" i="2"/>
  <c r="AZ500" i="2"/>
  <c r="AZ511" i="2" s="1"/>
  <c r="AR500" i="2"/>
  <c r="AR511" i="2" s="1"/>
  <c r="AX494" i="2"/>
  <c r="AP494" i="2"/>
  <c r="AV487" i="2"/>
  <c r="AN487" i="2"/>
  <c r="AQ509" i="2"/>
  <c r="AS476" i="2"/>
  <c r="BC429" i="2"/>
  <c r="AU429" i="2"/>
  <c r="AM429" i="2"/>
  <c r="AV420" i="2"/>
  <c r="AN420" i="2"/>
  <c r="AW423" i="2"/>
  <c r="AO423" i="2"/>
  <c r="AQ476" i="2"/>
  <c r="AY472" i="2"/>
  <c r="AQ472" i="2"/>
  <c r="AZ476" i="2"/>
  <c r="AR476" i="2"/>
  <c r="BA475" i="2"/>
  <c r="AS475" i="2"/>
  <c r="BC506" i="2"/>
  <c r="AU506" i="2"/>
  <c r="AM506" i="2"/>
  <c r="AX500" i="2"/>
  <c r="AP500" i="2"/>
  <c r="AV494" i="2"/>
  <c r="AN494" i="2"/>
  <c r="BB487" i="2"/>
  <c r="AT487" i="2"/>
  <c r="AZ481" i="2"/>
  <c r="AR481" i="2"/>
  <c r="BA429" i="2"/>
  <c r="AS429" i="2"/>
  <c r="BB428" i="2"/>
  <c r="AT428" i="2"/>
  <c r="AW427" i="2"/>
  <c r="AO427" i="2"/>
  <c r="AZ426" i="2"/>
  <c r="AR426" i="2"/>
  <c r="BB420" i="2"/>
  <c r="BC423" i="2"/>
  <c r="AU423" i="2"/>
  <c r="AM423" i="2"/>
  <c r="AX418" i="2"/>
  <c r="AP418" i="2"/>
  <c r="AY475" i="2"/>
  <c r="AQ475" i="2"/>
  <c r="AW257" i="2"/>
  <c r="AV244" i="2"/>
  <c r="AN244" i="2"/>
  <c r="AX235" i="2"/>
  <c r="AP235" i="2"/>
  <c r="AY235" i="2"/>
  <c r="AQ235" i="2"/>
  <c r="AO86" i="2"/>
  <c r="AX259" i="2"/>
  <c r="AX260" i="2"/>
  <c r="AX261" i="2"/>
  <c r="AP259" i="2"/>
  <c r="AP260" i="2"/>
  <c r="AP261" i="2"/>
  <c r="AY60" i="2"/>
  <c r="AZ60" i="2"/>
  <c r="AY259" i="2"/>
  <c r="AY260" i="2"/>
  <c r="AY261" i="2"/>
  <c r="AQ60" i="2"/>
  <c r="AR60" i="2"/>
  <c r="AQ259" i="2"/>
  <c r="AQ260" i="2"/>
  <c r="AQ261" i="2"/>
  <c r="BA255" i="2"/>
  <c r="AU86" i="2"/>
  <c r="AM86" i="2"/>
  <c r="AQ255" i="2"/>
  <c r="AZ244" i="2"/>
  <c r="AR197" i="2"/>
  <c r="AU65" i="2"/>
  <c r="AV65" i="2"/>
  <c r="AN65" i="2"/>
  <c r="AV64" i="2"/>
  <c r="AW64" i="2"/>
  <c r="AN64" i="2"/>
  <c r="AO64" i="2"/>
  <c r="AY255" i="2"/>
  <c r="BB87" i="2"/>
  <c r="BB86" i="2" s="1"/>
  <c r="AT87" i="2"/>
  <c r="AT86" i="2" s="1"/>
  <c r="AX256" i="2"/>
  <c r="BB367" i="2"/>
  <c r="AT367" i="2"/>
  <c r="BC366" i="2"/>
  <c r="AU366" i="2"/>
  <c r="AM366" i="2"/>
  <c r="AV365" i="2"/>
  <c r="AN365" i="2"/>
  <c r="AW364" i="2"/>
  <c r="AO364" i="2"/>
  <c r="AX363" i="2"/>
  <c r="AP363" i="2"/>
  <c r="AY362" i="2"/>
  <c r="AQ362" i="2"/>
  <c r="BC285" i="2"/>
  <c r="AU285" i="2"/>
  <c r="AM285" i="2"/>
  <c r="BA283" i="2"/>
  <c r="BA284" i="2"/>
  <c r="BA285" i="2"/>
  <c r="BA279" i="2"/>
  <c r="AS283" i="2"/>
  <c r="AS284" i="2"/>
  <c r="AS285" i="2"/>
  <c r="AS279" i="2"/>
  <c r="BC284" i="2"/>
  <c r="AU284" i="2"/>
  <c r="AM284" i="2"/>
  <c r="AO257" i="2"/>
  <c r="I526" i="2"/>
  <c r="Q526" i="2"/>
  <c r="Y526" i="2"/>
  <c r="AG526" i="2"/>
  <c r="I528" i="2"/>
  <c r="Q528" i="2"/>
  <c r="Y528" i="2"/>
  <c r="AG528" i="2"/>
  <c r="E527" i="2"/>
  <c r="H527" i="2"/>
  <c r="M527" i="2"/>
  <c r="U527" i="2"/>
  <c r="AC527" i="2"/>
  <c r="AK527" i="2"/>
  <c r="AZ477" i="2" l="1"/>
  <c r="AW477" i="2"/>
  <c r="AN511" i="2"/>
  <c r="BB474" i="2"/>
  <c r="AR254" i="2"/>
  <c r="BC511" i="2"/>
  <c r="AR474" i="2"/>
  <c r="AO477" i="2"/>
  <c r="AY254" i="2"/>
  <c r="AV254" i="2"/>
  <c r="AR221" i="2"/>
  <c r="AW508" i="2"/>
  <c r="AT477" i="2"/>
  <c r="AU474" i="2"/>
  <c r="AW474" i="2"/>
  <c r="BF222" i="2"/>
  <c r="BE474" i="2"/>
  <c r="BF511" i="2"/>
  <c r="AS254" i="2"/>
  <c r="AY222" i="2"/>
  <c r="AZ221" i="2"/>
  <c r="AV477" i="2"/>
  <c r="AU254" i="2"/>
  <c r="AP222" i="2"/>
  <c r="AM477" i="2"/>
  <c r="BF197" i="2"/>
  <c r="BF221" i="2" s="1"/>
  <c r="AP254" i="2"/>
  <c r="AT474" i="2"/>
  <c r="AT254" i="2"/>
  <c r="BE511" i="2"/>
  <c r="AR477" i="2"/>
  <c r="AX474" i="2"/>
  <c r="AZ474" i="2"/>
  <c r="BC477" i="2"/>
  <c r="AO511" i="2"/>
  <c r="AQ508" i="2"/>
  <c r="AR508" i="2"/>
  <c r="AY477" i="2"/>
  <c r="BF474" i="2"/>
  <c r="AY508" i="2"/>
  <c r="AM254" i="2"/>
  <c r="AY511" i="2"/>
  <c r="BC254" i="2"/>
  <c r="AS222" i="2"/>
  <c r="AQ477" i="2"/>
  <c r="AN474" i="2"/>
  <c r="AM508" i="2"/>
  <c r="AT508" i="2"/>
  <c r="BD222" i="2"/>
  <c r="BF508" i="2"/>
  <c r="AV511" i="2"/>
  <c r="AQ222" i="2"/>
  <c r="AN254" i="2"/>
  <c r="AN477" i="2"/>
  <c r="AM474" i="2"/>
  <c r="AM511" i="2"/>
  <c r="AO254" i="2"/>
  <c r="BE477" i="2"/>
  <c r="AW254" i="2"/>
  <c r="AU222" i="2"/>
  <c r="AY474" i="2"/>
  <c r="AS487" i="2"/>
  <c r="AW511" i="2"/>
  <c r="BF254" i="2"/>
  <c r="BE254" i="2"/>
  <c r="AP466" i="2"/>
  <c r="AP481" i="2"/>
  <c r="AP508" i="2" s="1"/>
  <c r="BD500" i="2"/>
  <c r="BD244" i="2"/>
  <c r="BD235" i="2"/>
  <c r="BD453" i="2"/>
  <c r="BD477" i="2" s="1"/>
  <c r="BD197" i="2"/>
  <c r="BD221" i="2" s="1"/>
  <c r="BD481" i="2"/>
  <c r="BD487" i="2"/>
  <c r="BD494" i="2"/>
  <c r="BD507" i="2"/>
  <c r="AX222" i="2"/>
  <c r="AU511" i="2"/>
  <c r="AQ474" i="2"/>
  <c r="AO474" i="2"/>
  <c r="BA494" i="2"/>
  <c r="BA508" i="2" s="1"/>
  <c r="AU494" i="2"/>
  <c r="AU508" i="2" s="1"/>
  <c r="AU466" i="2"/>
  <c r="AU477" i="2" s="1"/>
  <c r="AZ254" i="2"/>
  <c r="AO222" i="2"/>
  <c r="AX254" i="2"/>
  <c r="AW222" i="2"/>
  <c r="AV474" i="2"/>
  <c r="BC221" i="2"/>
  <c r="AS474" i="2"/>
  <c r="BA223" i="2"/>
  <c r="AX466" i="2"/>
  <c r="AP453" i="2"/>
  <c r="BC222" i="2"/>
  <c r="AP474" i="2"/>
  <c r="AX453" i="2"/>
  <c r="AX481" i="2"/>
  <c r="AX508" i="2" s="1"/>
  <c r="BA500" i="2"/>
  <c r="BB453" i="2"/>
  <c r="AS509" i="2"/>
  <c r="BA218" i="2"/>
  <c r="BB494" i="2"/>
  <c r="BB508" i="2" s="1"/>
  <c r="BB466" i="2"/>
  <c r="AW221" i="2"/>
  <c r="AQ254" i="2"/>
  <c r="BA222" i="2"/>
  <c r="AS453" i="2"/>
  <c r="AS500" i="2"/>
  <c r="BA487" i="2"/>
  <c r="AO197" i="2"/>
  <c r="AO221" i="2" s="1"/>
  <c r="AP506" i="2"/>
  <c r="AX507" i="2"/>
  <c r="AP507" i="2"/>
  <c r="AX257" i="2"/>
  <c r="AS223" i="2"/>
  <c r="AS259" i="2"/>
  <c r="AP472" i="2"/>
  <c r="BD474" i="2"/>
  <c r="BC474" i="2"/>
  <c r="AS506" i="2"/>
  <c r="AP256" i="2"/>
  <c r="AP257" i="2"/>
  <c r="AP509" i="2"/>
  <c r="AS221" i="2"/>
  <c r="BA257" i="2"/>
  <c r="BA466" i="2"/>
  <c r="AX255" i="2"/>
  <c r="AX510" i="2"/>
  <c r="AP473" i="2"/>
  <c r="AS218" i="2"/>
  <c r="AS494" i="2"/>
  <c r="AS508" i="2" s="1"/>
  <c r="BA506" i="2"/>
  <c r="AQ221" i="2"/>
  <c r="BB254" i="2"/>
  <c r="AY221" i="2"/>
  <c r="BA217" i="2"/>
  <c r="BA453" i="2"/>
  <c r="AT222" i="2"/>
  <c r="BA256" i="2"/>
  <c r="BB222" i="2"/>
  <c r="AS257" i="2"/>
  <c r="BA260" i="2"/>
  <c r="AS466" i="2"/>
  <c r="BA244" i="2"/>
  <c r="BA254" i="2" s="1"/>
  <c r="BA259" i="2"/>
  <c r="BA476" i="2"/>
  <c r="BA510" i="2"/>
  <c r="AM222" i="2"/>
  <c r="BA509" i="2"/>
  <c r="AU221" i="2"/>
  <c r="AS217" i="2"/>
  <c r="AS260" i="2"/>
  <c r="AS510" i="2"/>
  <c r="BA447" i="2"/>
  <c r="BA474" i="2" s="1"/>
  <c r="BB209" i="2"/>
  <c r="BB221" i="2" s="1"/>
  <c r="BB511" i="2"/>
  <c r="AN222" i="2"/>
  <c r="AN221" i="2"/>
  <c r="AM221" i="2"/>
  <c r="AV222" i="2"/>
  <c r="AX197" i="2"/>
  <c r="AX221" i="2" s="1"/>
  <c r="BA221" i="2"/>
  <c r="AP197" i="2"/>
  <c r="AP221" i="2" s="1"/>
  <c r="AZ222" i="2"/>
  <c r="AV221" i="2"/>
  <c r="AT221" i="2"/>
  <c r="AR222" i="2"/>
  <c r="AV508" i="2"/>
  <c r="AP511" i="2"/>
  <c r="AX511" i="2"/>
  <c r="AZ508" i="2"/>
  <c r="AT511" i="2"/>
  <c r="AN508" i="2"/>
  <c r="AL528" i="2"/>
  <c r="AD528" i="2"/>
  <c r="V528" i="2"/>
  <c r="N528" i="2"/>
  <c r="F528" i="2"/>
  <c r="AL526" i="2"/>
  <c r="AD526" i="2"/>
  <c r="V526" i="2"/>
  <c r="N526" i="2"/>
  <c r="F526" i="2"/>
  <c r="AK528" i="2"/>
  <c r="AC528" i="2"/>
  <c r="U528" i="2"/>
  <c r="M528" i="2"/>
  <c r="E528" i="2"/>
  <c r="X527" i="2"/>
  <c r="AF527" i="2"/>
  <c r="P527" i="2"/>
  <c r="AI528" i="2"/>
  <c r="AA528" i="2"/>
  <c r="S528" i="2"/>
  <c r="K528" i="2"/>
  <c r="C528" i="2"/>
  <c r="AI526" i="2"/>
  <c r="AA526" i="2"/>
  <c r="S526" i="2"/>
  <c r="K526" i="2"/>
  <c r="C526" i="2"/>
  <c r="AF528" i="2"/>
  <c r="X528" i="2"/>
  <c r="P528" i="2"/>
  <c r="H528" i="2"/>
  <c r="AF526" i="2"/>
  <c r="X526" i="2"/>
  <c r="P526" i="2"/>
  <c r="H526" i="2"/>
  <c r="AJ529" i="2"/>
  <c r="AB529" i="2"/>
  <c r="T529" i="2"/>
  <c r="L529" i="2"/>
  <c r="D529" i="2"/>
  <c r="AJ528" i="2"/>
  <c r="AB528" i="2"/>
  <c r="T528" i="2"/>
  <c r="L528" i="2"/>
  <c r="D528" i="2"/>
  <c r="AJ526" i="2"/>
  <c r="AB526" i="2"/>
  <c r="T526" i="2"/>
  <c r="L526" i="2"/>
  <c r="D526" i="2"/>
  <c r="AI529" i="2"/>
  <c r="AA529" i="2"/>
  <c r="S529" i="2"/>
  <c r="K529" i="2"/>
  <c r="C529" i="2"/>
  <c r="AE527" i="2"/>
  <c r="W527" i="2"/>
  <c r="O527" i="2"/>
  <c r="G527" i="2"/>
  <c r="AH529" i="2"/>
  <c r="Z529" i="2"/>
  <c r="R529" i="2"/>
  <c r="J529" i="2"/>
  <c r="AL527" i="2"/>
  <c r="AD527" i="2"/>
  <c r="V527" i="2"/>
  <c r="N527" i="2"/>
  <c r="F527" i="2"/>
  <c r="AH528" i="2"/>
  <c r="Z528" i="2"/>
  <c r="R528" i="2"/>
  <c r="J528" i="2"/>
  <c r="AH526" i="2"/>
  <c r="Z526" i="2"/>
  <c r="R526" i="2"/>
  <c r="J526" i="2"/>
  <c r="AG529" i="2"/>
  <c r="Y529" i="2"/>
  <c r="Q529" i="2"/>
  <c r="I529" i="2"/>
  <c r="AF529" i="2"/>
  <c r="X529" i="2"/>
  <c r="P529" i="2"/>
  <c r="H529" i="2"/>
  <c r="AJ527" i="2"/>
  <c r="AB527" i="2"/>
  <c r="T527" i="2"/>
  <c r="L527" i="2"/>
  <c r="D527" i="2"/>
  <c r="AE529" i="2"/>
  <c r="W529" i="2"/>
  <c r="O529" i="2"/>
  <c r="G529" i="2"/>
  <c r="AI527" i="2"/>
  <c r="AA527" i="2"/>
  <c r="S527" i="2"/>
  <c r="K527" i="2"/>
  <c r="C527" i="2"/>
  <c r="AE528" i="2"/>
  <c r="W528" i="2"/>
  <c r="O528" i="2"/>
  <c r="G528" i="2"/>
  <c r="AE526" i="2"/>
  <c r="W526" i="2"/>
  <c r="O526" i="2"/>
  <c r="G526" i="2"/>
  <c r="AL529" i="2"/>
  <c r="AD529" i="2"/>
  <c r="V529" i="2"/>
  <c r="N529" i="2"/>
  <c r="F529" i="2"/>
  <c r="AH527" i="2"/>
  <c r="Z527" i="2"/>
  <c r="R527" i="2"/>
  <c r="J527" i="2"/>
  <c r="AK529" i="2"/>
  <c r="AC529" i="2"/>
  <c r="U529" i="2"/>
  <c r="M529" i="2"/>
  <c r="E529" i="2"/>
  <c r="AG527" i="2"/>
  <c r="Y527" i="2"/>
  <c r="Q527" i="2"/>
  <c r="I527" i="2"/>
  <c r="AK526" i="2"/>
  <c r="AC526" i="2"/>
  <c r="U526" i="2"/>
  <c r="M526" i="2"/>
  <c r="E526" i="2"/>
  <c r="C506" i="2"/>
  <c r="G506" i="2"/>
  <c r="O506" i="2"/>
  <c r="W506" i="2"/>
  <c r="AE506" i="2"/>
  <c r="K510" i="2"/>
  <c r="BA511" i="2" l="1"/>
  <c r="AS511" i="2"/>
  <c r="AP477" i="2"/>
  <c r="BD254" i="2"/>
  <c r="BD508" i="2"/>
  <c r="BD511" i="2"/>
  <c r="AX477" i="2"/>
  <c r="BB477" i="2"/>
  <c r="BA477" i="2"/>
  <c r="AS477" i="2"/>
  <c r="F507" i="2"/>
  <c r="AF510" i="2"/>
  <c r="X510" i="2"/>
  <c r="P510" i="2"/>
  <c r="H510" i="2"/>
  <c r="AF506" i="2"/>
  <c r="X506" i="2"/>
  <c r="P506" i="2"/>
  <c r="H506" i="2"/>
  <c r="C509" i="2"/>
  <c r="AH509" i="2"/>
  <c r="R509" i="2"/>
  <c r="Z509" i="2"/>
  <c r="J509" i="2"/>
  <c r="AI510" i="2"/>
  <c r="AA510" i="2"/>
  <c r="S510" i="2"/>
  <c r="AI506" i="2"/>
  <c r="AA506" i="2"/>
  <c r="S506" i="2"/>
  <c r="K506" i="2"/>
  <c r="AD507" i="2"/>
  <c r="V507" i="2"/>
  <c r="N507" i="2"/>
  <c r="AG507" i="2"/>
  <c r="Y507" i="2"/>
  <c r="Q507" i="2"/>
  <c r="I507" i="2"/>
  <c r="AG510" i="2"/>
  <c r="Y510" i="2"/>
  <c r="Q510" i="2"/>
  <c r="I510" i="2"/>
  <c r="AK509" i="2"/>
  <c r="AC509" i="2"/>
  <c r="U509" i="2"/>
  <c r="M509" i="2"/>
  <c r="E509" i="2"/>
  <c r="AK507" i="2"/>
  <c r="AC507" i="2"/>
  <c r="U507" i="2"/>
  <c r="M507" i="2"/>
  <c r="E507" i="2"/>
  <c r="AG506" i="2"/>
  <c r="Y506" i="2"/>
  <c r="Q506" i="2"/>
  <c r="I506" i="2"/>
  <c r="AJ509" i="2"/>
  <c r="AB509" i="2"/>
  <c r="T509" i="2"/>
  <c r="L509" i="2"/>
  <c r="D509" i="2"/>
  <c r="AE510" i="2"/>
  <c r="W510" i="2"/>
  <c r="O510" i="2"/>
  <c r="G510" i="2"/>
  <c r="AI509" i="2"/>
  <c r="AA509" i="2"/>
  <c r="S509" i="2"/>
  <c r="K509" i="2"/>
  <c r="AI507" i="2"/>
  <c r="AA507" i="2"/>
  <c r="S507" i="2"/>
  <c r="K507" i="2"/>
  <c r="AD510" i="2"/>
  <c r="V510" i="2"/>
  <c r="N510" i="2"/>
  <c r="F510" i="2"/>
  <c r="AH507" i="2"/>
  <c r="Z507" i="2"/>
  <c r="R507" i="2"/>
  <c r="J507" i="2"/>
  <c r="AD506" i="2"/>
  <c r="V506" i="2"/>
  <c r="N506" i="2"/>
  <c r="F506" i="2"/>
  <c r="AK510" i="2"/>
  <c r="AC510" i="2"/>
  <c r="U510" i="2"/>
  <c r="M510" i="2"/>
  <c r="E510" i="2"/>
  <c r="AG509" i="2"/>
  <c r="Y509" i="2"/>
  <c r="Q509" i="2"/>
  <c r="I509" i="2"/>
  <c r="AK506" i="2"/>
  <c r="AC506" i="2"/>
  <c r="U506" i="2"/>
  <c r="M506" i="2"/>
  <c r="E506" i="2"/>
  <c r="AJ507" i="2"/>
  <c r="AB507" i="2"/>
  <c r="T507" i="2"/>
  <c r="L507" i="2"/>
  <c r="D507" i="2"/>
  <c r="AJ510" i="2"/>
  <c r="AB510" i="2"/>
  <c r="T510" i="2"/>
  <c r="L510" i="2"/>
  <c r="D510" i="2"/>
  <c r="AF509" i="2"/>
  <c r="X509" i="2"/>
  <c r="P509" i="2"/>
  <c r="H509" i="2"/>
  <c r="AF507" i="2"/>
  <c r="X507" i="2"/>
  <c r="P507" i="2"/>
  <c r="H507" i="2"/>
  <c r="AJ506" i="2"/>
  <c r="AB506" i="2"/>
  <c r="T506" i="2"/>
  <c r="L506" i="2"/>
  <c r="D506" i="2"/>
  <c r="C510" i="2"/>
  <c r="AE509" i="2"/>
  <c r="W509" i="2"/>
  <c r="O509" i="2"/>
  <c r="G509" i="2"/>
  <c r="AE507" i="2"/>
  <c r="W507" i="2"/>
  <c r="O507" i="2"/>
  <c r="G507" i="2"/>
  <c r="AH510" i="2"/>
  <c r="Z510" i="2"/>
  <c r="R510" i="2"/>
  <c r="J510" i="2"/>
  <c r="AD509" i="2"/>
  <c r="V509" i="2"/>
  <c r="N509" i="2"/>
  <c r="F509" i="2"/>
  <c r="AH506" i="2"/>
  <c r="Z506" i="2"/>
  <c r="R506" i="2"/>
  <c r="J506" i="2"/>
  <c r="C507" i="2"/>
  <c r="AH494" i="2"/>
  <c r="R500" i="2"/>
  <c r="M494" i="2"/>
  <c r="AJ500" i="2"/>
  <c r="AB500" i="2"/>
  <c r="T500" i="2"/>
  <c r="L500" i="2"/>
  <c r="D500" i="2"/>
  <c r="AI500" i="2"/>
  <c r="AA500" i="2"/>
  <c r="S500" i="2"/>
  <c r="K500" i="2"/>
  <c r="C500" i="2"/>
  <c r="AA487" i="2"/>
  <c r="AE481" i="2"/>
  <c r="J500" i="2"/>
  <c r="AG500" i="2"/>
  <c r="Y500" i="2"/>
  <c r="Q500" i="2"/>
  <c r="I500" i="2"/>
  <c r="AK494" i="2"/>
  <c r="AC494" i="2"/>
  <c r="U494" i="2"/>
  <c r="E494" i="2"/>
  <c r="AF500" i="2"/>
  <c r="X500" i="2"/>
  <c r="P500" i="2"/>
  <c r="H500" i="2"/>
  <c r="AE500" i="2"/>
  <c r="W500" i="2"/>
  <c r="O500" i="2"/>
  <c r="G500" i="2"/>
  <c r="Z500" i="2"/>
  <c r="AD500" i="2"/>
  <c r="V500" i="2"/>
  <c r="N500" i="2"/>
  <c r="F500" i="2"/>
  <c r="Z494" i="2"/>
  <c r="R494" i="2"/>
  <c r="J494" i="2"/>
  <c r="AH500" i="2"/>
  <c r="AK500" i="2"/>
  <c r="AC500" i="2"/>
  <c r="U500" i="2"/>
  <c r="M500" i="2"/>
  <c r="E500" i="2"/>
  <c r="AG494" i="2"/>
  <c r="Y494" i="2"/>
  <c r="Q494" i="2"/>
  <c r="I494" i="2"/>
  <c r="AI487" i="2"/>
  <c r="AD494" i="2"/>
  <c r="V494" i="2"/>
  <c r="N494" i="2"/>
  <c r="F494" i="2"/>
  <c r="S487" i="2"/>
  <c r="W494" i="2"/>
  <c r="G481" i="2"/>
  <c r="AJ494" i="2"/>
  <c r="AB494" i="2"/>
  <c r="T494" i="2"/>
  <c r="L494" i="2"/>
  <c r="D494" i="2"/>
  <c r="AE494" i="2"/>
  <c r="AI494" i="2"/>
  <c r="AA494" i="2"/>
  <c r="S494" i="2"/>
  <c r="K494" i="2"/>
  <c r="C494" i="2"/>
  <c r="C481" i="2"/>
  <c r="G494" i="2"/>
  <c r="O481" i="2"/>
  <c r="O494" i="2"/>
  <c r="W481" i="2"/>
  <c r="K487" i="2"/>
  <c r="AF494" i="2"/>
  <c r="X494" i="2"/>
  <c r="P494" i="2"/>
  <c r="H494" i="2"/>
  <c r="AF481" i="2"/>
  <c r="X481" i="2"/>
  <c r="P481" i="2"/>
  <c r="H481" i="2"/>
  <c r="AK487" i="2"/>
  <c r="AC487" i="2"/>
  <c r="U487" i="2"/>
  <c r="M487" i="2"/>
  <c r="E487" i="2"/>
  <c r="AG481" i="2"/>
  <c r="Y481" i="2"/>
  <c r="Q481" i="2"/>
  <c r="I481" i="2"/>
  <c r="AH487" i="2"/>
  <c r="Z487" i="2"/>
  <c r="R487" i="2"/>
  <c r="J487" i="2"/>
  <c r="AD481" i="2"/>
  <c r="V481" i="2"/>
  <c r="N481" i="2"/>
  <c r="F481" i="2"/>
  <c r="AG487" i="2"/>
  <c r="Y487" i="2"/>
  <c r="Q487" i="2"/>
  <c r="I487" i="2"/>
  <c r="AK481" i="2"/>
  <c r="AC481" i="2"/>
  <c r="U481" i="2"/>
  <c r="M481" i="2"/>
  <c r="E481" i="2"/>
  <c r="AJ487" i="2"/>
  <c r="AB487" i="2"/>
  <c r="T487" i="2"/>
  <c r="L487" i="2"/>
  <c r="AF487" i="2"/>
  <c r="X487" i="2"/>
  <c r="P487" i="2"/>
  <c r="H487" i="2"/>
  <c r="AJ481" i="2"/>
  <c r="AB481" i="2"/>
  <c r="T481" i="2"/>
  <c r="L481" i="2"/>
  <c r="D481" i="2"/>
  <c r="C487" i="2"/>
  <c r="AE487" i="2"/>
  <c r="W487" i="2"/>
  <c r="O487" i="2"/>
  <c r="G487" i="2"/>
  <c r="AI481" i="2"/>
  <c r="AA481" i="2"/>
  <c r="S481" i="2"/>
  <c r="K481" i="2"/>
  <c r="D487" i="2"/>
  <c r="AD487" i="2"/>
  <c r="V487" i="2"/>
  <c r="N487" i="2"/>
  <c r="F487" i="2"/>
  <c r="AH481" i="2"/>
  <c r="Z481" i="2"/>
  <c r="R481" i="2"/>
  <c r="J481" i="2"/>
  <c r="AE476" i="2"/>
  <c r="AD453" i="2"/>
  <c r="V453" i="2"/>
  <c r="N453" i="2"/>
  <c r="F453" i="2"/>
  <c r="AI472" i="2"/>
  <c r="AA472" i="2"/>
  <c r="S472" i="2"/>
  <c r="K472" i="2"/>
  <c r="AE473" i="2"/>
  <c r="W473" i="2"/>
  <c r="O473" i="2"/>
  <c r="G473" i="2"/>
  <c r="AH472" i="2"/>
  <c r="Z472" i="2"/>
  <c r="R472" i="2"/>
  <c r="J472" i="2"/>
  <c r="C472" i="2"/>
  <c r="C475" i="2"/>
  <c r="AI466" i="2"/>
  <c r="AA466" i="2"/>
  <c r="S466" i="2"/>
  <c r="K466" i="2"/>
  <c r="AD466" i="2"/>
  <c r="V466" i="2"/>
  <c r="N466" i="2"/>
  <c r="F466" i="2"/>
  <c r="AK460" i="2"/>
  <c r="AC460" i="2"/>
  <c r="U460" i="2"/>
  <c r="M460" i="2"/>
  <c r="E460" i="2"/>
  <c r="AJ453" i="2"/>
  <c r="AB453" i="2"/>
  <c r="T453" i="2"/>
  <c r="L453" i="2"/>
  <c r="D453" i="2"/>
  <c r="W476" i="2"/>
  <c r="O476" i="2"/>
  <c r="G476" i="2"/>
  <c r="AH475" i="2"/>
  <c r="Z475" i="2"/>
  <c r="R475" i="2"/>
  <c r="J475" i="2"/>
  <c r="AD473" i="2"/>
  <c r="V473" i="2"/>
  <c r="N473" i="2"/>
  <c r="F473" i="2"/>
  <c r="AG472" i="2"/>
  <c r="Y472" i="2"/>
  <c r="Q472" i="2"/>
  <c r="I472" i="2"/>
  <c r="AE475" i="2"/>
  <c r="W475" i="2"/>
  <c r="O475" i="2"/>
  <c r="G475" i="2"/>
  <c r="AD472" i="2"/>
  <c r="V472" i="2"/>
  <c r="N472" i="2"/>
  <c r="F472" i="2"/>
  <c r="AG476" i="2"/>
  <c r="Y476" i="2"/>
  <c r="Q476" i="2"/>
  <c r="I476" i="2"/>
  <c r="AJ475" i="2"/>
  <c r="AB475" i="2"/>
  <c r="T475" i="2"/>
  <c r="L475" i="2"/>
  <c r="D475" i="2"/>
  <c r="AF473" i="2"/>
  <c r="X473" i="2"/>
  <c r="P473" i="2"/>
  <c r="H473" i="2"/>
  <c r="C476" i="2"/>
  <c r="AD476" i="2"/>
  <c r="V476" i="2"/>
  <c r="N476" i="2"/>
  <c r="F476" i="2"/>
  <c r="AG475" i="2"/>
  <c r="Y475" i="2"/>
  <c r="Q475" i="2"/>
  <c r="I475" i="2"/>
  <c r="AK473" i="2"/>
  <c r="AC473" i="2"/>
  <c r="U473" i="2"/>
  <c r="M473" i="2"/>
  <c r="E473" i="2"/>
  <c r="AF472" i="2"/>
  <c r="X472" i="2"/>
  <c r="P472" i="2"/>
  <c r="H472" i="2"/>
  <c r="AJ473" i="2"/>
  <c r="AB473" i="2"/>
  <c r="T473" i="2"/>
  <c r="L473" i="2"/>
  <c r="D473" i="2"/>
  <c r="AE472" i="2"/>
  <c r="W472" i="2"/>
  <c r="O472" i="2"/>
  <c r="G472" i="2"/>
  <c r="AJ476" i="2"/>
  <c r="AB476" i="2"/>
  <c r="T476" i="2"/>
  <c r="L476" i="2"/>
  <c r="D476" i="2"/>
  <c r="AI473" i="2"/>
  <c r="AA473" i="2"/>
  <c r="S473" i="2"/>
  <c r="K473" i="2"/>
  <c r="AK476" i="2"/>
  <c r="U476" i="2"/>
  <c r="E476" i="2"/>
  <c r="X475" i="2"/>
  <c r="P475" i="2"/>
  <c r="AI476" i="2"/>
  <c r="AA476" i="2"/>
  <c r="S476" i="2"/>
  <c r="K476" i="2"/>
  <c r="AD475" i="2"/>
  <c r="V475" i="2"/>
  <c r="N475" i="2"/>
  <c r="F475" i="2"/>
  <c r="AH473" i="2"/>
  <c r="Z473" i="2"/>
  <c r="R473" i="2"/>
  <c r="J473" i="2"/>
  <c r="AK472" i="2"/>
  <c r="AC472" i="2"/>
  <c r="U472" i="2"/>
  <c r="M472" i="2"/>
  <c r="E472" i="2"/>
  <c r="AC476" i="2"/>
  <c r="M476" i="2"/>
  <c r="AF475" i="2"/>
  <c r="H475" i="2"/>
  <c r="AE453" i="2"/>
  <c r="W453" i="2"/>
  <c r="O453" i="2"/>
  <c r="G453" i="2"/>
  <c r="AH476" i="2"/>
  <c r="Z476" i="2"/>
  <c r="R476" i="2"/>
  <c r="J476" i="2"/>
  <c r="AK475" i="2"/>
  <c r="AC475" i="2"/>
  <c r="U475" i="2"/>
  <c r="M475" i="2"/>
  <c r="E475" i="2"/>
  <c r="AG473" i="2"/>
  <c r="Y473" i="2"/>
  <c r="Q473" i="2"/>
  <c r="I473" i="2"/>
  <c r="AJ472" i="2"/>
  <c r="AB472" i="2"/>
  <c r="T472" i="2"/>
  <c r="L472" i="2"/>
  <c r="D472" i="2"/>
  <c r="AF476" i="2"/>
  <c r="X476" i="2"/>
  <c r="P476" i="2"/>
  <c r="H476" i="2"/>
  <c r="AI475" i="2"/>
  <c r="AA475" i="2"/>
  <c r="S475" i="2"/>
  <c r="K475" i="2"/>
  <c r="AE466" i="2"/>
  <c r="W466" i="2"/>
  <c r="O466" i="2"/>
  <c r="G466" i="2"/>
  <c r="AH453" i="2"/>
  <c r="Z453" i="2"/>
  <c r="R453" i="2"/>
  <c r="J453" i="2"/>
  <c r="AK453" i="2"/>
  <c r="AC453" i="2"/>
  <c r="U453" i="2"/>
  <c r="M453" i="2"/>
  <c r="E453" i="2"/>
  <c r="AF466" i="2"/>
  <c r="AI453" i="2"/>
  <c r="AA453" i="2"/>
  <c r="S453" i="2"/>
  <c r="K453" i="2"/>
  <c r="H466" i="2"/>
  <c r="P466" i="2"/>
  <c r="C453" i="2"/>
  <c r="AG453" i="2"/>
  <c r="Y453" i="2"/>
  <c r="Q453" i="2"/>
  <c r="I453" i="2"/>
  <c r="AF453" i="2"/>
  <c r="X453" i="2"/>
  <c r="P453" i="2"/>
  <c r="H453" i="2"/>
  <c r="X466" i="2"/>
  <c r="C473" i="2"/>
  <c r="C466" i="2"/>
  <c r="AK466" i="2"/>
  <c r="AC466" i="2"/>
  <c r="U466" i="2"/>
  <c r="M466" i="2"/>
  <c r="E466" i="2"/>
  <c r="AJ460" i="2"/>
  <c r="AB460" i="2"/>
  <c r="T460" i="2"/>
  <c r="L460" i="2"/>
  <c r="D460" i="2"/>
  <c r="AJ466" i="2"/>
  <c r="AB466" i="2"/>
  <c r="T466" i="2"/>
  <c r="L466" i="2"/>
  <c r="D466" i="2"/>
  <c r="AH466" i="2"/>
  <c r="Z466" i="2"/>
  <c r="R466" i="2"/>
  <c r="J466" i="2"/>
  <c r="C447" i="2"/>
  <c r="AG466" i="2"/>
  <c r="Y466" i="2"/>
  <c r="Q466" i="2"/>
  <c r="I466" i="2"/>
  <c r="AI460" i="2"/>
  <c r="AA460" i="2"/>
  <c r="S460" i="2"/>
  <c r="K460" i="2"/>
  <c r="AE460" i="2"/>
  <c r="W460" i="2"/>
  <c r="O460" i="2"/>
  <c r="G460" i="2"/>
  <c r="AH460" i="2"/>
  <c r="Z460" i="2"/>
  <c r="R460" i="2"/>
  <c r="J460" i="2"/>
  <c r="AH447" i="2"/>
  <c r="Z447" i="2"/>
  <c r="R447" i="2"/>
  <c r="J447" i="2"/>
  <c r="AF447" i="2"/>
  <c r="X447" i="2"/>
  <c r="P447" i="2"/>
  <c r="H447" i="2"/>
  <c r="I460" i="2"/>
  <c r="H460" i="2"/>
  <c r="Y460" i="2"/>
  <c r="P460" i="2"/>
  <c r="AG460" i="2"/>
  <c r="Q460" i="2"/>
  <c r="AF460" i="2"/>
  <c r="X460" i="2"/>
  <c r="C460" i="2"/>
  <c r="AD460" i="2"/>
  <c r="V460" i="2"/>
  <c r="N460" i="2"/>
  <c r="F460" i="2"/>
  <c r="AE447" i="2"/>
  <c r="W447" i="2"/>
  <c r="O447" i="2"/>
  <c r="G447" i="2"/>
  <c r="AK447" i="2"/>
  <c r="AC447" i="2"/>
  <c r="U447" i="2"/>
  <c r="M447" i="2"/>
  <c r="E447" i="2"/>
  <c r="AD447" i="2"/>
  <c r="V447" i="2"/>
  <c r="N447" i="2"/>
  <c r="F447" i="2"/>
  <c r="AG447" i="2"/>
  <c r="Y447" i="2"/>
  <c r="Q447" i="2"/>
  <c r="I447" i="2"/>
  <c r="AJ447" i="2"/>
  <c r="AB447" i="2"/>
  <c r="T447" i="2"/>
  <c r="L447" i="2"/>
  <c r="D447" i="2"/>
  <c r="AI447" i="2"/>
  <c r="AA447" i="2"/>
  <c r="S447" i="2"/>
  <c r="K447" i="2"/>
  <c r="AI508" i="2" l="1"/>
  <c r="S508" i="2"/>
  <c r="E508" i="2"/>
  <c r="K508" i="2"/>
  <c r="AA508" i="2"/>
  <c r="M508" i="2"/>
  <c r="P511" i="2"/>
  <c r="I508" i="2"/>
  <c r="AK511" i="2"/>
  <c r="AD511" i="2"/>
  <c r="AC511" i="2"/>
  <c r="X511" i="2"/>
  <c r="AH508" i="2"/>
  <c r="D508" i="2"/>
  <c r="AF511" i="2"/>
  <c r="N508" i="2"/>
  <c r="Q508" i="2"/>
  <c r="L508" i="2"/>
  <c r="AG508" i="2"/>
  <c r="G511" i="2"/>
  <c r="J511" i="2"/>
  <c r="R508" i="2"/>
  <c r="D511" i="2"/>
  <c r="AH511" i="2"/>
  <c r="V508" i="2"/>
  <c r="H508" i="2"/>
  <c r="K511" i="2"/>
  <c r="L511" i="2"/>
  <c r="Z508" i="2"/>
  <c r="T508" i="2"/>
  <c r="I511" i="2"/>
  <c r="X508" i="2"/>
  <c r="C511" i="2"/>
  <c r="O511" i="2"/>
  <c r="AJ511" i="2"/>
  <c r="U508" i="2"/>
  <c r="AJ508" i="2"/>
  <c r="AE511" i="2"/>
  <c r="F508" i="2"/>
  <c r="AC508" i="2"/>
  <c r="F511" i="2"/>
  <c r="AK508" i="2"/>
  <c r="AD508" i="2"/>
  <c r="Y508" i="2"/>
  <c r="G508" i="2"/>
  <c r="AI511" i="2"/>
  <c r="N511" i="2"/>
  <c r="T511" i="2"/>
  <c r="V511" i="2"/>
  <c r="AB508" i="2"/>
  <c r="AB511" i="2"/>
  <c r="Q511" i="2"/>
  <c r="E511" i="2"/>
  <c r="AF508" i="2"/>
  <c r="O508" i="2"/>
  <c r="S511" i="2"/>
  <c r="J508" i="2"/>
  <c r="W511" i="2"/>
  <c r="H511" i="2"/>
  <c r="AG511" i="2"/>
  <c r="Z511" i="2"/>
  <c r="U511" i="2"/>
  <c r="C508" i="2"/>
  <c r="AE508" i="2"/>
  <c r="AA511" i="2"/>
  <c r="P508" i="2"/>
  <c r="W508" i="2"/>
  <c r="Y511" i="2"/>
  <c r="R511" i="2"/>
  <c r="M511" i="2"/>
  <c r="U474" i="2"/>
  <c r="T477" i="2"/>
  <c r="L477" i="2"/>
  <c r="P477" i="2"/>
  <c r="I477" i="2"/>
  <c r="S477" i="2"/>
  <c r="F477" i="2"/>
  <c r="M474" i="2"/>
  <c r="K477" i="2"/>
  <c r="N477" i="2"/>
  <c r="V477" i="2"/>
  <c r="AD477" i="2"/>
  <c r="AA474" i="2"/>
  <c r="Q474" i="2"/>
  <c r="E474" i="2"/>
  <c r="AJ477" i="2"/>
  <c r="O477" i="2"/>
  <c r="AE477" i="2"/>
  <c r="AA477" i="2"/>
  <c r="AK474" i="2"/>
  <c r="AI477" i="2"/>
  <c r="G477" i="2"/>
  <c r="W477" i="2"/>
  <c r="AC474" i="2"/>
  <c r="D477" i="2"/>
  <c r="Z474" i="2"/>
  <c r="K474" i="2"/>
  <c r="AB477" i="2"/>
  <c r="AG474" i="2"/>
  <c r="T474" i="2"/>
  <c r="AB474" i="2"/>
  <c r="V474" i="2"/>
  <c r="G474" i="2"/>
  <c r="AG477" i="2"/>
  <c r="Z477" i="2"/>
  <c r="C477" i="2"/>
  <c r="L474" i="2"/>
  <c r="AD474" i="2"/>
  <c r="AH474" i="2"/>
  <c r="AE474" i="2"/>
  <c r="P474" i="2"/>
  <c r="O474" i="2"/>
  <c r="AH477" i="2"/>
  <c r="AI474" i="2"/>
  <c r="Y474" i="2"/>
  <c r="X474" i="2"/>
  <c r="AJ474" i="2"/>
  <c r="H477" i="2"/>
  <c r="E477" i="2"/>
  <c r="S474" i="2"/>
  <c r="I474" i="2"/>
  <c r="W474" i="2"/>
  <c r="H474" i="2"/>
  <c r="C474" i="2"/>
  <c r="M477" i="2"/>
  <c r="AF474" i="2"/>
  <c r="AK477" i="2"/>
  <c r="U477" i="2"/>
  <c r="AF477" i="2"/>
  <c r="AC477" i="2"/>
  <c r="D474" i="2"/>
  <c r="F474" i="2"/>
  <c r="J474" i="2"/>
  <c r="Q477" i="2"/>
  <c r="J477" i="2"/>
  <c r="X477" i="2"/>
  <c r="N474" i="2"/>
  <c r="R474" i="2"/>
  <c r="Y477" i="2"/>
  <c r="R477" i="2"/>
  <c r="C419" i="2" l="1"/>
  <c r="D419" i="2"/>
  <c r="E419" i="2"/>
  <c r="F419" i="2"/>
  <c r="G419" i="2"/>
  <c r="H419" i="2"/>
  <c r="C433" i="2" s="1"/>
  <c r="I419" i="2"/>
  <c r="J419" i="2"/>
  <c r="K419" i="2"/>
  <c r="L419" i="2"/>
  <c r="M419" i="2"/>
  <c r="N419" i="2"/>
  <c r="O419" i="2"/>
  <c r="P419" i="2"/>
  <c r="Q419" i="2"/>
  <c r="R419" i="2"/>
  <c r="D433" i="2" s="1"/>
  <c r="S419" i="2"/>
  <c r="T419" i="2"/>
  <c r="U419" i="2"/>
  <c r="V419" i="2"/>
  <c r="W419" i="2"/>
  <c r="X419" i="2"/>
  <c r="Y419" i="2"/>
  <c r="Z419" i="2"/>
  <c r="AA419" i="2"/>
  <c r="AB419" i="2"/>
  <c r="E433" i="2" s="1"/>
  <c r="AC419" i="2"/>
  <c r="AD419" i="2"/>
  <c r="AE419" i="2"/>
  <c r="AF419" i="2"/>
  <c r="AG419" i="2"/>
  <c r="AH419" i="2"/>
  <c r="AI419" i="2"/>
  <c r="AJ419" i="2"/>
  <c r="AK419" i="2"/>
  <c r="AL419" i="2"/>
  <c r="F433" i="2" s="1"/>
  <c r="C421" i="2"/>
  <c r="D421" i="2"/>
  <c r="E421" i="2"/>
  <c r="F421" i="2"/>
  <c r="G421" i="2"/>
  <c r="H421" i="2"/>
  <c r="C435" i="2" s="1"/>
  <c r="I421" i="2"/>
  <c r="J421" i="2"/>
  <c r="K421" i="2"/>
  <c r="L421" i="2"/>
  <c r="M421" i="2"/>
  <c r="N421" i="2"/>
  <c r="O421" i="2"/>
  <c r="P421" i="2"/>
  <c r="Q421" i="2"/>
  <c r="R421" i="2"/>
  <c r="D435" i="2" s="1"/>
  <c r="S421" i="2"/>
  <c r="T421" i="2"/>
  <c r="U421" i="2"/>
  <c r="V421" i="2"/>
  <c r="W421" i="2"/>
  <c r="X421" i="2"/>
  <c r="Y421" i="2"/>
  <c r="Z421" i="2"/>
  <c r="AA421" i="2"/>
  <c r="AB421" i="2"/>
  <c r="E435" i="2" s="1"/>
  <c r="AC421" i="2"/>
  <c r="AD421" i="2"/>
  <c r="AE421" i="2"/>
  <c r="AF421" i="2"/>
  <c r="AG421" i="2"/>
  <c r="AH421" i="2"/>
  <c r="AI421" i="2"/>
  <c r="AJ421" i="2"/>
  <c r="AK421" i="2"/>
  <c r="AL421" i="2"/>
  <c r="F435" i="2" s="1"/>
  <c r="C422" i="2"/>
  <c r="D422" i="2"/>
  <c r="E422" i="2"/>
  <c r="F422" i="2"/>
  <c r="G422" i="2"/>
  <c r="H422" i="2"/>
  <c r="C436" i="2" s="1"/>
  <c r="I422" i="2"/>
  <c r="J422" i="2"/>
  <c r="K422" i="2"/>
  <c r="L422" i="2"/>
  <c r="M422" i="2"/>
  <c r="N422" i="2"/>
  <c r="O422" i="2"/>
  <c r="P422" i="2"/>
  <c r="Q422" i="2"/>
  <c r="R422" i="2"/>
  <c r="D436" i="2" s="1"/>
  <c r="S422" i="2"/>
  <c r="T422" i="2"/>
  <c r="U422" i="2"/>
  <c r="V422" i="2"/>
  <c r="W422" i="2"/>
  <c r="X422" i="2"/>
  <c r="Y422" i="2"/>
  <c r="Z422" i="2"/>
  <c r="AA422" i="2"/>
  <c r="AB422" i="2"/>
  <c r="E436" i="2" s="1"/>
  <c r="AC422" i="2"/>
  <c r="AD422" i="2"/>
  <c r="AE422" i="2"/>
  <c r="AF422" i="2"/>
  <c r="AG422" i="2"/>
  <c r="AH422" i="2"/>
  <c r="AI422" i="2"/>
  <c r="AJ422" i="2"/>
  <c r="AK422" i="2"/>
  <c r="AL422" i="2"/>
  <c r="F436" i="2" s="1"/>
  <c r="C424" i="2"/>
  <c r="D424" i="2"/>
  <c r="E424" i="2"/>
  <c r="F424" i="2"/>
  <c r="G424" i="2"/>
  <c r="H424" i="2"/>
  <c r="C438" i="2" s="1"/>
  <c r="I424" i="2"/>
  <c r="J424" i="2"/>
  <c r="K424" i="2"/>
  <c r="L424" i="2"/>
  <c r="M424" i="2"/>
  <c r="N424" i="2"/>
  <c r="O424" i="2"/>
  <c r="P424" i="2"/>
  <c r="Q424" i="2"/>
  <c r="R424" i="2"/>
  <c r="D438" i="2" s="1"/>
  <c r="S424" i="2"/>
  <c r="T424" i="2"/>
  <c r="U424" i="2"/>
  <c r="V424" i="2"/>
  <c r="W424" i="2"/>
  <c r="X424" i="2"/>
  <c r="Y424" i="2"/>
  <c r="Z424" i="2"/>
  <c r="AA424" i="2"/>
  <c r="AB424" i="2"/>
  <c r="E438" i="2" s="1"/>
  <c r="AC424" i="2"/>
  <c r="AD424" i="2"/>
  <c r="AE424" i="2"/>
  <c r="AF424" i="2"/>
  <c r="AG424" i="2"/>
  <c r="AH424" i="2"/>
  <c r="AI424" i="2"/>
  <c r="AJ424" i="2"/>
  <c r="AK424" i="2"/>
  <c r="AL424" i="2"/>
  <c r="F438" i="2" s="1"/>
  <c r="C426" i="2"/>
  <c r="D426" i="2"/>
  <c r="E426" i="2"/>
  <c r="F426" i="2"/>
  <c r="G426" i="2"/>
  <c r="H426" i="2"/>
  <c r="C440" i="2" s="1"/>
  <c r="I426" i="2"/>
  <c r="J426" i="2"/>
  <c r="K426" i="2"/>
  <c r="L426" i="2"/>
  <c r="M426" i="2"/>
  <c r="N426" i="2"/>
  <c r="O426" i="2"/>
  <c r="P426" i="2"/>
  <c r="Q426" i="2"/>
  <c r="R426" i="2"/>
  <c r="D440" i="2" s="1"/>
  <c r="S426" i="2"/>
  <c r="T426" i="2"/>
  <c r="U426" i="2"/>
  <c r="V426" i="2"/>
  <c r="W426" i="2"/>
  <c r="X426" i="2"/>
  <c r="Y426" i="2"/>
  <c r="Z426" i="2"/>
  <c r="AA426" i="2"/>
  <c r="AB426" i="2"/>
  <c r="E440" i="2" s="1"/>
  <c r="AC426" i="2"/>
  <c r="AD426" i="2"/>
  <c r="AE426" i="2"/>
  <c r="AF426" i="2"/>
  <c r="AG426" i="2"/>
  <c r="AH426" i="2"/>
  <c r="AI426" i="2"/>
  <c r="AJ426" i="2"/>
  <c r="AK426" i="2"/>
  <c r="AL426" i="2"/>
  <c r="F440" i="2" s="1"/>
  <c r="C425" i="2"/>
  <c r="D425" i="2"/>
  <c r="E425" i="2"/>
  <c r="F425" i="2"/>
  <c r="G425" i="2"/>
  <c r="H425" i="2"/>
  <c r="C439" i="2" s="1"/>
  <c r="I425" i="2"/>
  <c r="J425" i="2"/>
  <c r="K425" i="2"/>
  <c r="L425" i="2"/>
  <c r="M425" i="2"/>
  <c r="N425" i="2"/>
  <c r="O425" i="2"/>
  <c r="P425" i="2"/>
  <c r="Q425" i="2"/>
  <c r="R425" i="2"/>
  <c r="D439" i="2" s="1"/>
  <c r="S425" i="2"/>
  <c r="T425" i="2"/>
  <c r="U425" i="2"/>
  <c r="V425" i="2"/>
  <c r="W425" i="2"/>
  <c r="X425" i="2"/>
  <c r="Y425" i="2"/>
  <c r="Z425" i="2"/>
  <c r="AA425" i="2"/>
  <c r="AB425" i="2"/>
  <c r="E439" i="2" s="1"/>
  <c r="AC425" i="2"/>
  <c r="AD425" i="2"/>
  <c r="AE425" i="2"/>
  <c r="AF425" i="2"/>
  <c r="AG425" i="2"/>
  <c r="AH425" i="2"/>
  <c r="AI425" i="2"/>
  <c r="AJ425" i="2"/>
  <c r="AK425" i="2"/>
  <c r="AL425" i="2"/>
  <c r="F439" i="2" s="1"/>
  <c r="AJ428" i="2" l="1"/>
  <c r="AB428" i="2"/>
  <c r="E442" i="2" s="1"/>
  <c r="T428" i="2"/>
  <c r="L428" i="2"/>
  <c r="D428" i="2"/>
  <c r="AL428" i="2"/>
  <c r="F442" i="2" s="1"/>
  <c r="AD428" i="2"/>
  <c r="V428" i="2"/>
  <c r="N428" i="2"/>
  <c r="F428" i="2"/>
  <c r="AH427" i="2"/>
  <c r="Z427" i="2"/>
  <c r="R427" i="2"/>
  <c r="D441" i="2" s="1"/>
  <c r="J427" i="2"/>
  <c r="AH418" i="2"/>
  <c r="J418" i="2"/>
  <c r="AI428" i="2"/>
  <c r="AA428" i="2"/>
  <c r="S428" i="2"/>
  <c r="K428" i="2"/>
  <c r="C428" i="2"/>
  <c r="AE427" i="2"/>
  <c r="W427" i="2"/>
  <c r="O427" i="2"/>
  <c r="G427" i="2"/>
  <c r="AK429" i="2"/>
  <c r="AC429" i="2"/>
  <c r="U429" i="2"/>
  <c r="M429" i="2"/>
  <c r="E429" i="2"/>
  <c r="AK428" i="2"/>
  <c r="AC428" i="2"/>
  <c r="U428" i="2"/>
  <c r="M428" i="2"/>
  <c r="E428" i="2"/>
  <c r="AG427" i="2"/>
  <c r="Y427" i="2"/>
  <c r="Q427" i="2"/>
  <c r="I427" i="2"/>
  <c r="AG420" i="2"/>
  <c r="Y420" i="2"/>
  <c r="Q420" i="2"/>
  <c r="I420" i="2"/>
  <c r="AK423" i="2"/>
  <c r="AC423" i="2"/>
  <c r="U423" i="2"/>
  <c r="M423" i="2"/>
  <c r="E423" i="2"/>
  <c r="AG418" i="2"/>
  <c r="Y418" i="2"/>
  <c r="Q418" i="2"/>
  <c r="I418" i="2"/>
  <c r="V429" i="2"/>
  <c r="Z420" i="2"/>
  <c r="AD423" i="2"/>
  <c r="AJ429" i="2"/>
  <c r="AB429" i="2"/>
  <c r="E443" i="2" s="1"/>
  <c r="T429" i="2"/>
  <c r="L429" i="2"/>
  <c r="D429" i="2"/>
  <c r="AF427" i="2"/>
  <c r="X427" i="2"/>
  <c r="P427" i="2"/>
  <c r="H427" i="2"/>
  <c r="C441" i="2" s="1"/>
  <c r="AF420" i="2"/>
  <c r="X420" i="2"/>
  <c r="P420" i="2"/>
  <c r="H420" i="2"/>
  <c r="C434" i="2" s="1"/>
  <c r="AJ423" i="2"/>
  <c r="AB423" i="2"/>
  <c r="E437" i="2" s="1"/>
  <c r="T423" i="2"/>
  <c r="L423" i="2"/>
  <c r="D423" i="2"/>
  <c r="AF418" i="2"/>
  <c r="X418" i="2"/>
  <c r="P418" i="2"/>
  <c r="H418" i="2"/>
  <c r="C432" i="2" s="1"/>
  <c r="AI429" i="2"/>
  <c r="K429" i="2"/>
  <c r="AE420" i="2"/>
  <c r="O420" i="2"/>
  <c r="AI423" i="2"/>
  <c r="S423" i="2"/>
  <c r="K423" i="2"/>
  <c r="AE418" i="2"/>
  <c r="G418" i="2"/>
  <c r="AL429" i="2"/>
  <c r="F443" i="2" s="1"/>
  <c r="F429" i="2"/>
  <c r="AH420" i="2"/>
  <c r="AL423" i="2"/>
  <c r="F437" i="2" s="1"/>
  <c r="F423" i="2"/>
  <c r="S429" i="2"/>
  <c r="W420" i="2"/>
  <c r="G420" i="2"/>
  <c r="AA423" i="2"/>
  <c r="C423" i="2"/>
  <c r="O418" i="2"/>
  <c r="AH429" i="2"/>
  <c r="Z429" i="2"/>
  <c r="R429" i="2"/>
  <c r="D443" i="2" s="1"/>
  <c r="J429" i="2"/>
  <c r="AH428" i="2"/>
  <c r="Z428" i="2"/>
  <c r="R428" i="2"/>
  <c r="D442" i="2" s="1"/>
  <c r="J428" i="2"/>
  <c r="AL427" i="2"/>
  <c r="F441" i="2" s="1"/>
  <c r="AD427" i="2"/>
  <c r="V427" i="2"/>
  <c r="N427" i="2"/>
  <c r="F427" i="2"/>
  <c r="AL420" i="2"/>
  <c r="F434" i="2" s="1"/>
  <c r="AD420" i="2"/>
  <c r="V420" i="2"/>
  <c r="N420" i="2"/>
  <c r="F420" i="2"/>
  <c r="AH423" i="2"/>
  <c r="Z423" i="2"/>
  <c r="R423" i="2"/>
  <c r="D437" i="2" s="1"/>
  <c r="J423" i="2"/>
  <c r="AL418" i="2"/>
  <c r="F432" i="2" s="1"/>
  <c r="AD418" i="2"/>
  <c r="V418" i="2"/>
  <c r="N418" i="2"/>
  <c r="F418" i="2"/>
  <c r="AD429" i="2"/>
  <c r="J420" i="2"/>
  <c r="N423" i="2"/>
  <c r="R418" i="2"/>
  <c r="D432" i="2" s="1"/>
  <c r="AA429" i="2"/>
  <c r="C429" i="2"/>
  <c r="W418" i="2"/>
  <c r="AG429" i="2"/>
  <c r="Y429" i="2"/>
  <c r="Q429" i="2"/>
  <c r="I429" i="2"/>
  <c r="AG428" i="2"/>
  <c r="Y428" i="2"/>
  <c r="Q428" i="2"/>
  <c r="I428" i="2"/>
  <c r="AK427" i="2"/>
  <c r="AC427" i="2"/>
  <c r="U427" i="2"/>
  <c r="M427" i="2"/>
  <c r="E427" i="2"/>
  <c r="AK420" i="2"/>
  <c r="AC420" i="2"/>
  <c r="U420" i="2"/>
  <c r="M420" i="2"/>
  <c r="E420" i="2"/>
  <c r="AG423" i="2"/>
  <c r="Y423" i="2"/>
  <c r="Q423" i="2"/>
  <c r="I423" i="2"/>
  <c r="AK418" i="2"/>
  <c r="AC418" i="2"/>
  <c r="U418" i="2"/>
  <c r="M418" i="2"/>
  <c r="E418" i="2"/>
  <c r="AF429" i="2"/>
  <c r="X429" i="2"/>
  <c r="P429" i="2"/>
  <c r="H429" i="2"/>
  <c r="C443" i="2" s="1"/>
  <c r="AF428" i="2"/>
  <c r="X428" i="2"/>
  <c r="P428" i="2"/>
  <c r="H428" i="2"/>
  <c r="C442" i="2" s="1"/>
  <c r="AJ427" i="2"/>
  <c r="AB427" i="2"/>
  <c r="E441" i="2" s="1"/>
  <c r="T427" i="2"/>
  <c r="L427" i="2"/>
  <c r="D427" i="2"/>
  <c r="AJ420" i="2"/>
  <c r="AB420" i="2"/>
  <c r="E434" i="2" s="1"/>
  <c r="T420" i="2"/>
  <c r="L420" i="2"/>
  <c r="D420" i="2"/>
  <c r="AF423" i="2"/>
  <c r="X423" i="2"/>
  <c r="P423" i="2"/>
  <c r="H423" i="2"/>
  <c r="C437" i="2" s="1"/>
  <c r="AJ418" i="2"/>
  <c r="AB418" i="2"/>
  <c r="E432" i="2" s="1"/>
  <c r="T418" i="2"/>
  <c r="L418" i="2"/>
  <c r="D418" i="2"/>
  <c r="N429" i="2"/>
  <c r="R420" i="2"/>
  <c r="D434" i="2" s="1"/>
  <c r="V423" i="2"/>
  <c r="Z418" i="2"/>
  <c r="AE429" i="2"/>
  <c r="W429" i="2"/>
  <c r="O429" i="2"/>
  <c r="G429" i="2"/>
  <c r="AE428" i="2"/>
  <c r="W428" i="2"/>
  <c r="O428" i="2"/>
  <c r="G428" i="2"/>
  <c r="AI427" i="2"/>
  <c r="AA427" i="2"/>
  <c r="S427" i="2"/>
  <c r="K427" i="2"/>
  <c r="C427" i="2"/>
  <c r="AI420" i="2"/>
  <c r="AA420" i="2"/>
  <c r="S420" i="2"/>
  <c r="K420" i="2"/>
  <c r="C420" i="2"/>
  <c r="AE423" i="2"/>
  <c r="W423" i="2"/>
  <c r="O423" i="2"/>
  <c r="G423" i="2"/>
  <c r="AI418" i="2"/>
  <c r="AA418" i="2"/>
  <c r="S418" i="2"/>
  <c r="K418" i="2"/>
  <c r="C418" i="2"/>
  <c r="D362" i="2"/>
  <c r="T365" i="2"/>
  <c r="L367" i="2"/>
  <c r="AB363" i="2"/>
  <c r="X368" i="2"/>
  <c r="P368" i="2"/>
  <c r="AJ367" i="2"/>
  <c r="AB367" i="2"/>
  <c r="T367" i="2"/>
  <c r="AF366" i="2"/>
  <c r="X366" i="2"/>
  <c r="H366" i="2"/>
  <c r="AJ365" i="2"/>
  <c r="AB365" i="2"/>
  <c r="D365" i="2"/>
  <c r="AF364" i="2"/>
  <c r="P364" i="2"/>
  <c r="H364" i="2"/>
  <c r="AJ363" i="2"/>
  <c r="L363" i="2"/>
  <c r="D363" i="2"/>
  <c r="X362" i="2"/>
  <c r="P362" i="2"/>
  <c r="H362" i="2"/>
  <c r="AF368" i="2"/>
  <c r="H368" i="2"/>
  <c r="D367" i="2"/>
  <c r="P366" i="2"/>
  <c r="L365" i="2"/>
  <c r="X364" i="2"/>
  <c r="T363" i="2"/>
  <c r="AF362" i="2"/>
  <c r="AE362" i="2"/>
  <c r="W362" i="2"/>
  <c r="O362" i="2"/>
  <c r="G362" i="2"/>
  <c r="AI368" i="2"/>
  <c r="AA368" i="2"/>
  <c r="S368" i="2"/>
  <c r="K368" i="2"/>
  <c r="C368" i="2"/>
  <c r="AE367" i="2"/>
  <c r="W367" i="2"/>
  <c r="O367" i="2"/>
  <c r="G367" i="2"/>
  <c r="AI366" i="2"/>
  <c r="AA366" i="2"/>
  <c r="S366" i="2"/>
  <c r="K366" i="2"/>
  <c r="C366" i="2"/>
  <c r="AE365" i="2"/>
  <c r="W365" i="2"/>
  <c r="O365" i="2"/>
  <c r="G365" i="2"/>
  <c r="AI364" i="2"/>
  <c r="AA364" i="2"/>
  <c r="S364" i="2"/>
  <c r="K364" i="2"/>
  <c r="C364" i="2"/>
  <c r="AE363" i="2"/>
  <c r="W363" i="2"/>
  <c r="O363" i="2"/>
  <c r="G363" i="2"/>
  <c r="AI362" i="2"/>
  <c r="AA362" i="2"/>
  <c r="S362" i="2"/>
  <c r="K362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L363" i="2"/>
  <c r="AD363" i="2"/>
  <c r="V363" i="2"/>
  <c r="N363" i="2"/>
  <c r="F363" i="2"/>
  <c r="AH362" i="2"/>
  <c r="Z362" i="2"/>
  <c r="R362" i="2"/>
  <c r="J362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AK363" i="2"/>
  <c r="AC363" i="2"/>
  <c r="U363" i="2"/>
  <c r="M363" i="2"/>
  <c r="E363" i="2"/>
  <c r="AG362" i="2"/>
  <c r="Y362" i="2"/>
  <c r="Q362" i="2"/>
  <c r="I362" i="2"/>
  <c r="AJ364" i="2"/>
  <c r="AB364" i="2"/>
  <c r="T364" i="2"/>
  <c r="L364" i="2"/>
  <c r="D364" i="2"/>
  <c r="AF363" i="2"/>
  <c r="X363" i="2"/>
  <c r="P363" i="2"/>
  <c r="H363" i="2"/>
  <c r="AJ362" i="2"/>
  <c r="AB362" i="2"/>
  <c r="T362" i="2"/>
  <c r="L362" i="2"/>
  <c r="C362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AE364" i="2"/>
  <c r="W364" i="2"/>
  <c r="O364" i="2"/>
  <c r="G364" i="2"/>
  <c r="AI363" i="2"/>
  <c r="AA363" i="2"/>
  <c r="S363" i="2"/>
  <c r="K363" i="2"/>
  <c r="C363" i="2"/>
  <c r="AL368" i="2"/>
  <c r="AD368" i="2"/>
  <c r="V368" i="2"/>
  <c r="N368" i="2"/>
  <c r="F368" i="2"/>
  <c r="AH367" i="2"/>
  <c r="Z367" i="2"/>
  <c r="R367" i="2"/>
  <c r="J367" i="2"/>
  <c r="AL366" i="2"/>
  <c r="AD366" i="2"/>
  <c r="V366" i="2"/>
  <c r="N366" i="2"/>
  <c r="F366" i="2"/>
  <c r="AH365" i="2"/>
  <c r="Z365" i="2"/>
  <c r="R365" i="2"/>
  <c r="J365" i="2"/>
  <c r="AL364" i="2"/>
  <c r="AD364" i="2"/>
  <c r="V364" i="2"/>
  <c r="N364" i="2"/>
  <c r="F364" i="2"/>
  <c r="AH363" i="2"/>
  <c r="Z363" i="2"/>
  <c r="R363" i="2"/>
  <c r="J363" i="2"/>
  <c r="AL362" i="2"/>
  <c r="AD362" i="2"/>
  <c r="V362" i="2"/>
  <c r="N362" i="2"/>
  <c r="F362" i="2"/>
  <c r="AK368" i="2"/>
  <c r="AC368" i="2"/>
  <c r="U368" i="2"/>
  <c r="M368" i="2"/>
  <c r="E368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G363" i="2"/>
  <c r="Y363" i="2"/>
  <c r="Q363" i="2"/>
  <c r="I363" i="2"/>
  <c r="AK362" i="2"/>
  <c r="AC362" i="2"/>
  <c r="U362" i="2"/>
  <c r="M362" i="2"/>
  <c r="E362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F337" i="2"/>
  <c r="X337" i="2"/>
  <c r="P337" i="2"/>
  <c r="H337" i="2"/>
  <c r="AJ336" i="2"/>
  <c r="AB336" i="2"/>
  <c r="T336" i="2"/>
  <c r="L336" i="2"/>
  <c r="D336" i="2"/>
  <c r="AF335" i="2"/>
  <c r="X335" i="2"/>
  <c r="P335" i="2"/>
  <c r="H335" i="2"/>
  <c r="AJ334" i="2"/>
  <c r="AB334" i="2"/>
  <c r="T334" i="2"/>
  <c r="L334" i="2"/>
  <c r="D334" i="2"/>
  <c r="AF333" i="2"/>
  <c r="X333" i="2"/>
  <c r="P333" i="2"/>
  <c r="H333" i="2"/>
  <c r="O334" i="2"/>
  <c r="AI333" i="2"/>
  <c r="U336" i="2"/>
  <c r="M336" i="2"/>
  <c r="E336" i="2"/>
  <c r="AG335" i="2"/>
  <c r="Y335" i="2"/>
  <c r="Q335" i="2"/>
  <c r="I335" i="2"/>
  <c r="AK334" i="2"/>
  <c r="AC334" i="2"/>
  <c r="U334" i="2"/>
  <c r="M334" i="2"/>
  <c r="E334" i="2"/>
  <c r="AG333" i="2"/>
  <c r="Y333" i="2"/>
  <c r="Q333" i="2"/>
  <c r="I333" i="2"/>
  <c r="AK332" i="2"/>
  <c r="AC332" i="2"/>
  <c r="U332" i="2"/>
  <c r="M332" i="2"/>
  <c r="E332" i="2"/>
  <c r="AG331" i="2"/>
  <c r="Y331" i="2"/>
  <c r="Q331" i="2"/>
  <c r="I331" i="2"/>
  <c r="S337" i="2"/>
  <c r="K337" i="2"/>
  <c r="W332" i="2"/>
  <c r="G332" i="2"/>
  <c r="G336" i="2"/>
  <c r="AA335" i="2"/>
  <c r="S335" i="2"/>
  <c r="AA333" i="2"/>
  <c r="AI331" i="2"/>
  <c r="AI337" i="2"/>
  <c r="AA337" i="2"/>
  <c r="C337" i="2"/>
  <c r="AE336" i="2"/>
  <c r="W336" i="2"/>
  <c r="O336" i="2"/>
  <c r="AI335" i="2"/>
  <c r="K335" i="2"/>
  <c r="C335" i="2"/>
  <c r="AE334" i="2"/>
  <c r="W334" i="2"/>
  <c r="G334" i="2"/>
  <c r="S333" i="2"/>
  <c r="K333" i="2"/>
  <c r="C333" i="2"/>
  <c r="AE332" i="2"/>
  <c r="O332" i="2"/>
  <c r="AA331" i="2"/>
  <c r="S331" i="2"/>
  <c r="K331" i="2"/>
  <c r="C331" i="2"/>
  <c r="AL331" i="2"/>
  <c r="V337" i="2"/>
  <c r="Z336" i="2"/>
  <c r="AD335" i="2"/>
  <c r="N335" i="2"/>
  <c r="J334" i="2"/>
  <c r="V333" i="2"/>
  <c r="AH332" i="2"/>
  <c r="J332" i="2"/>
  <c r="N331" i="2"/>
  <c r="AK337" i="2"/>
  <c r="AC337" i="2"/>
  <c r="U337" i="2"/>
  <c r="M337" i="2"/>
  <c r="E337" i="2"/>
  <c r="AG336" i="2"/>
  <c r="Y336" i="2"/>
  <c r="Q336" i="2"/>
  <c r="I336" i="2"/>
  <c r="AK335" i="2"/>
  <c r="AC335" i="2"/>
  <c r="U335" i="2"/>
  <c r="M335" i="2"/>
  <c r="E335" i="2"/>
  <c r="F337" i="2"/>
  <c r="J336" i="2"/>
  <c r="AH334" i="2"/>
  <c r="AL333" i="2"/>
  <c r="Z332" i="2"/>
  <c r="N337" i="2"/>
  <c r="R336" i="2"/>
  <c r="V335" i="2"/>
  <c r="F335" i="2"/>
  <c r="R334" i="2"/>
  <c r="AD333" i="2"/>
  <c r="F333" i="2"/>
  <c r="R332" i="2"/>
  <c r="F331" i="2"/>
  <c r="AL337" i="2"/>
  <c r="AD331" i="2"/>
  <c r="AD337" i="2"/>
  <c r="AH336" i="2"/>
  <c r="AL335" i="2"/>
  <c r="Z334" i="2"/>
  <c r="N333" i="2"/>
  <c r="V331" i="2"/>
  <c r="AG334" i="2"/>
  <c r="Y334" i="2"/>
  <c r="Q334" i="2"/>
  <c r="I334" i="2"/>
  <c r="AK333" i="2"/>
  <c r="AC333" i="2"/>
  <c r="U333" i="2"/>
  <c r="M333" i="2"/>
  <c r="E333" i="2"/>
  <c r="AG332" i="2"/>
  <c r="Y332" i="2"/>
  <c r="Q332" i="2"/>
  <c r="I332" i="2"/>
  <c r="AK331" i="2"/>
  <c r="AC331" i="2"/>
  <c r="U331" i="2"/>
  <c r="M331" i="2"/>
  <c r="E331" i="2"/>
  <c r="AJ337" i="2"/>
  <c r="AB337" i="2"/>
  <c r="T337" i="2"/>
  <c r="L337" i="2"/>
  <c r="D337" i="2"/>
  <c r="AF336" i="2"/>
  <c r="X336" i="2"/>
  <c r="P336" i="2"/>
  <c r="H336" i="2"/>
  <c r="AJ335" i="2"/>
  <c r="AB335" i="2"/>
  <c r="T335" i="2"/>
  <c r="L335" i="2"/>
  <c r="D335" i="2"/>
  <c r="AF334" i="2"/>
  <c r="X334" i="2"/>
  <c r="P334" i="2"/>
  <c r="H334" i="2"/>
  <c r="AJ333" i="2"/>
  <c r="AB333" i="2"/>
  <c r="T333" i="2"/>
  <c r="L333" i="2"/>
  <c r="D333" i="2"/>
  <c r="AF332" i="2"/>
  <c r="X332" i="2"/>
  <c r="P332" i="2"/>
  <c r="H332" i="2"/>
  <c r="AJ331" i="2"/>
  <c r="AB331" i="2"/>
  <c r="T331" i="2"/>
  <c r="L331" i="2"/>
  <c r="D331" i="2"/>
  <c r="AH337" i="2"/>
  <c r="Z337" i="2"/>
  <c r="R337" i="2"/>
  <c r="J337" i="2"/>
  <c r="AL336" i="2"/>
  <c r="AD336" i="2"/>
  <c r="V336" i="2"/>
  <c r="N336" i="2"/>
  <c r="F336" i="2"/>
  <c r="AH335" i="2"/>
  <c r="Z335" i="2"/>
  <c r="R335" i="2"/>
  <c r="J335" i="2"/>
  <c r="AL334" i="2"/>
  <c r="AD334" i="2"/>
  <c r="V334" i="2"/>
  <c r="N334" i="2"/>
  <c r="F334" i="2"/>
  <c r="AH333" i="2"/>
  <c r="Z333" i="2"/>
  <c r="R333" i="2"/>
  <c r="J333" i="2"/>
  <c r="AL332" i="2"/>
  <c r="AD332" i="2"/>
  <c r="V332" i="2"/>
  <c r="N332" i="2"/>
  <c r="F332" i="2"/>
  <c r="AH331" i="2"/>
  <c r="Z331" i="2"/>
  <c r="R331" i="2"/>
  <c r="J331" i="2"/>
  <c r="AG337" i="2"/>
  <c r="Y337" i="2"/>
  <c r="Q337" i="2"/>
  <c r="I337" i="2"/>
  <c r="AK336" i="2"/>
  <c r="AC336" i="2"/>
  <c r="AE337" i="2"/>
  <c r="W337" i="2"/>
  <c r="O337" i="2"/>
  <c r="G337" i="2"/>
  <c r="AI336" i="2"/>
  <c r="AA336" i="2"/>
  <c r="S336" i="2"/>
  <c r="K336" i="2"/>
  <c r="C336" i="2"/>
  <c r="AE335" i="2"/>
  <c r="W335" i="2"/>
  <c r="O335" i="2"/>
  <c r="G335" i="2"/>
  <c r="AI334" i="2"/>
  <c r="AA334" i="2"/>
  <c r="S334" i="2"/>
  <c r="K334" i="2"/>
  <c r="C334" i="2"/>
  <c r="AE333" i="2"/>
  <c r="W333" i="2"/>
  <c r="O333" i="2"/>
  <c r="G333" i="2"/>
  <c r="AI332" i="2"/>
  <c r="AA332" i="2"/>
  <c r="S332" i="2"/>
  <c r="K332" i="2"/>
  <c r="C332" i="2"/>
  <c r="G331" i="2"/>
  <c r="O331" i="2"/>
  <c r="W331" i="2"/>
  <c r="AE331" i="2"/>
  <c r="H331" i="2"/>
  <c r="P331" i="2"/>
  <c r="X331" i="2"/>
  <c r="AF331" i="2"/>
  <c r="D332" i="2"/>
  <c r="L332" i="2"/>
  <c r="T332" i="2"/>
  <c r="AB332" i="2"/>
  <c r="AJ332" i="2"/>
  <c r="C283" i="2"/>
  <c r="AE283" i="2"/>
  <c r="W283" i="2"/>
  <c r="O283" i="2"/>
  <c r="G283" i="2"/>
  <c r="AI279" i="2"/>
  <c r="AA279" i="2"/>
  <c r="S279" i="2"/>
  <c r="K279" i="2"/>
  <c r="AI280" i="2"/>
  <c r="S280" i="2"/>
  <c r="K280" i="2"/>
  <c r="C281" i="2"/>
  <c r="C279" i="2"/>
  <c r="AH280" i="2"/>
  <c r="Z280" i="2"/>
  <c r="R280" i="2"/>
  <c r="C289" i="2" s="1"/>
  <c r="J280" i="2"/>
  <c r="AH282" i="2"/>
  <c r="Z282" i="2"/>
  <c r="R282" i="2"/>
  <c r="C291" i="2" s="1"/>
  <c r="J282" i="2"/>
  <c r="C284" i="2"/>
  <c r="AI284" i="2"/>
  <c r="AA284" i="2"/>
  <c r="S284" i="2"/>
  <c r="K284" i="2"/>
  <c r="AD283" i="2"/>
  <c r="V283" i="2"/>
  <c r="N283" i="2"/>
  <c r="F283" i="2"/>
  <c r="AH279" i="2"/>
  <c r="Z279" i="2"/>
  <c r="R279" i="2"/>
  <c r="C288" i="2" s="1"/>
  <c r="J279" i="2"/>
  <c r="AH284" i="2"/>
  <c r="AG285" i="2"/>
  <c r="Y285" i="2"/>
  <c r="Q285" i="2"/>
  <c r="I285" i="2"/>
  <c r="AF280" i="2"/>
  <c r="X280" i="2"/>
  <c r="P280" i="2"/>
  <c r="H280" i="2"/>
  <c r="AF285" i="2"/>
  <c r="X285" i="2"/>
  <c r="P285" i="2"/>
  <c r="H285" i="2"/>
  <c r="AG282" i="2"/>
  <c r="Y282" i="2"/>
  <c r="Q282" i="2"/>
  <c r="I282" i="2"/>
  <c r="C285" i="2"/>
  <c r="Z284" i="2"/>
  <c r="R284" i="2"/>
  <c r="C293" i="2" s="1"/>
  <c r="J284" i="2"/>
  <c r="AK283" i="2"/>
  <c r="AC283" i="2"/>
  <c r="U283" i="2"/>
  <c r="M283" i="2"/>
  <c r="E283" i="2"/>
  <c r="AF282" i="2"/>
  <c r="X282" i="2"/>
  <c r="P282" i="2"/>
  <c r="H282" i="2"/>
  <c r="AI281" i="2"/>
  <c r="AA281" i="2"/>
  <c r="S281" i="2"/>
  <c r="K281" i="2"/>
  <c r="AG279" i="2"/>
  <c r="Y279" i="2"/>
  <c r="Q279" i="2"/>
  <c r="I279" i="2"/>
  <c r="AG284" i="2"/>
  <c r="Y284" i="2"/>
  <c r="Q284" i="2"/>
  <c r="I284" i="2"/>
  <c r="AJ283" i="2"/>
  <c r="AB283" i="2"/>
  <c r="D292" i="2" s="1"/>
  <c r="T283" i="2"/>
  <c r="L283" i="2"/>
  <c r="D283" i="2"/>
  <c r="AE282" i="2"/>
  <c r="W282" i="2"/>
  <c r="O282" i="2"/>
  <c r="G282" i="2"/>
  <c r="AH281" i="2"/>
  <c r="Z281" i="2"/>
  <c r="R281" i="2"/>
  <c r="C290" i="2" s="1"/>
  <c r="J281" i="2"/>
  <c r="AK280" i="2"/>
  <c r="AC280" i="2"/>
  <c r="U280" i="2"/>
  <c r="M280" i="2"/>
  <c r="E280" i="2"/>
  <c r="AF279" i="2"/>
  <c r="X279" i="2"/>
  <c r="P279" i="2"/>
  <c r="H279" i="2"/>
  <c r="AF284" i="2"/>
  <c r="X284" i="2"/>
  <c r="P284" i="2"/>
  <c r="H284" i="2"/>
  <c r="AI283" i="2"/>
  <c r="AA283" i="2"/>
  <c r="S283" i="2"/>
  <c r="K283" i="2"/>
  <c r="AG281" i="2"/>
  <c r="Y281" i="2"/>
  <c r="Q281" i="2"/>
  <c r="I281" i="2"/>
  <c r="AE279" i="2"/>
  <c r="W279" i="2"/>
  <c r="O279" i="2"/>
  <c r="G279" i="2"/>
  <c r="C282" i="2"/>
  <c r="AJ281" i="2"/>
  <c r="AB281" i="2"/>
  <c r="D290" i="2" s="1"/>
  <c r="T281" i="2"/>
  <c r="L281" i="2"/>
  <c r="D281" i="2"/>
  <c r="AE280" i="2"/>
  <c r="W280" i="2"/>
  <c r="O280" i="2"/>
  <c r="G280" i="2"/>
  <c r="AA280" i="2"/>
  <c r="AK285" i="2"/>
  <c r="AC285" i="2"/>
  <c r="U285" i="2"/>
  <c r="M285" i="2"/>
  <c r="E285" i="2"/>
  <c r="AD282" i="2"/>
  <c r="V282" i="2"/>
  <c r="N282" i="2"/>
  <c r="F282" i="2"/>
  <c r="AJ280" i="2"/>
  <c r="AB280" i="2"/>
  <c r="D289" i="2" s="1"/>
  <c r="T280" i="2"/>
  <c r="L280" i="2"/>
  <c r="D280" i="2"/>
  <c r="AJ285" i="2"/>
  <c r="AB285" i="2"/>
  <c r="D294" i="2" s="1"/>
  <c r="T285" i="2"/>
  <c r="L285" i="2"/>
  <c r="D285" i="2"/>
  <c r="AE284" i="2"/>
  <c r="W284" i="2"/>
  <c r="O284" i="2"/>
  <c r="G284" i="2"/>
  <c r="AH283" i="2"/>
  <c r="Z283" i="2"/>
  <c r="R283" i="2"/>
  <c r="C292" i="2" s="1"/>
  <c r="J283" i="2"/>
  <c r="AK282" i="2"/>
  <c r="AC282" i="2"/>
  <c r="U282" i="2"/>
  <c r="M282" i="2"/>
  <c r="E282" i="2"/>
  <c r="AF281" i="2"/>
  <c r="X281" i="2"/>
  <c r="P281" i="2"/>
  <c r="H281" i="2"/>
  <c r="AD279" i="2"/>
  <c r="V279" i="2"/>
  <c r="N279" i="2"/>
  <c r="F279" i="2"/>
  <c r="AI285" i="2"/>
  <c r="AA285" i="2"/>
  <c r="S285" i="2"/>
  <c r="K285" i="2"/>
  <c r="AD284" i="2"/>
  <c r="V284" i="2"/>
  <c r="N284" i="2"/>
  <c r="F284" i="2"/>
  <c r="AG283" i="2"/>
  <c r="Y283" i="2"/>
  <c r="Q283" i="2"/>
  <c r="I283" i="2"/>
  <c r="AJ282" i="2"/>
  <c r="AB282" i="2"/>
  <c r="D291" i="2" s="1"/>
  <c r="T282" i="2"/>
  <c r="L282" i="2"/>
  <c r="D282" i="2"/>
  <c r="AK279" i="2"/>
  <c r="AC279" i="2"/>
  <c r="U279" i="2"/>
  <c r="M279" i="2"/>
  <c r="E279" i="2"/>
  <c r="AH285" i="2"/>
  <c r="Z285" i="2"/>
  <c r="R285" i="2"/>
  <c r="C294" i="2" s="1"/>
  <c r="J285" i="2"/>
  <c r="AK284" i="2"/>
  <c r="AC284" i="2"/>
  <c r="U284" i="2"/>
  <c r="M284" i="2"/>
  <c r="E284" i="2"/>
  <c r="AF283" i="2"/>
  <c r="X283" i="2"/>
  <c r="P283" i="2"/>
  <c r="H283" i="2"/>
  <c r="AI282" i="2"/>
  <c r="AA282" i="2"/>
  <c r="S282" i="2"/>
  <c r="K282" i="2"/>
  <c r="AD281" i="2"/>
  <c r="V281" i="2"/>
  <c r="N281" i="2"/>
  <c r="F281" i="2"/>
  <c r="AG280" i="2"/>
  <c r="Y280" i="2"/>
  <c r="Q280" i="2"/>
  <c r="I280" i="2"/>
  <c r="AJ279" i="2"/>
  <c r="AB279" i="2"/>
  <c r="D288" i="2" s="1"/>
  <c r="T279" i="2"/>
  <c r="L279" i="2"/>
  <c r="D279" i="2"/>
  <c r="AD285" i="2"/>
  <c r="V285" i="2"/>
  <c r="N285" i="2"/>
  <c r="F285" i="2"/>
  <c r="AJ284" i="2"/>
  <c r="AB284" i="2"/>
  <c r="D293" i="2" s="1"/>
  <c r="T284" i="2"/>
  <c r="L284" i="2"/>
  <c r="D284" i="2"/>
  <c r="AK281" i="2"/>
  <c r="AC281" i="2"/>
  <c r="U281" i="2"/>
  <c r="M281" i="2"/>
  <c r="E281" i="2"/>
  <c r="C280" i="2"/>
  <c r="AE285" i="2"/>
  <c r="W285" i="2"/>
  <c r="O285" i="2"/>
  <c r="G285" i="2"/>
  <c r="AD280" i="2"/>
  <c r="V280" i="2"/>
  <c r="N280" i="2"/>
  <c r="F280" i="2"/>
  <c r="G281" i="2"/>
  <c r="O281" i="2"/>
  <c r="W281" i="2"/>
  <c r="AE281" i="2"/>
  <c r="F69" i="2" l="1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AL190" i="2" l="1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AL186" i="2"/>
  <c r="AK186" i="2"/>
  <c r="AJ186" i="2"/>
  <c r="AI186" i="2"/>
  <c r="AH186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AL184" i="2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90" i="2"/>
  <c r="C189" i="2"/>
  <c r="C188" i="2"/>
  <c r="C187" i="2"/>
  <c r="C186" i="2"/>
  <c r="C185" i="2"/>
  <c r="C184" i="2"/>
  <c r="D146" i="2"/>
  <c r="C151" i="2"/>
  <c r="D147" i="2" l="1"/>
  <c r="D152" i="2"/>
  <c r="C152" i="2"/>
  <c r="E151" i="2"/>
  <c r="D153" i="2"/>
  <c r="E152" i="2"/>
  <c r="C146" i="2"/>
  <c r="E146" i="2"/>
  <c r="D149" i="2" l="1"/>
  <c r="D151" i="2"/>
  <c r="C147" i="2"/>
  <c r="E148" i="2"/>
  <c r="C149" i="2"/>
  <c r="E150" i="2"/>
  <c r="C153" i="2"/>
  <c r="D148" i="2"/>
  <c r="D150" i="2"/>
  <c r="E147" i="2"/>
  <c r="C148" i="2"/>
  <c r="E149" i="2"/>
  <c r="C150" i="2"/>
  <c r="E153" i="2"/>
  <c r="AL75" i="2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E159" i="2" l="1"/>
  <c r="C157" i="2"/>
  <c r="E161" i="2"/>
  <c r="D161" i="2"/>
  <c r="C161" i="2"/>
  <c r="E160" i="2"/>
  <c r="C160" i="2"/>
  <c r="C159" i="2"/>
  <c r="E158" i="2"/>
  <c r="D158" i="2"/>
  <c r="C158" i="2"/>
  <c r="E157" i="2"/>
  <c r="D157" i="2"/>
  <c r="C156" i="2"/>
  <c r="D160" i="2"/>
  <c r="D156" i="2"/>
  <c r="E156" i="2" l="1"/>
  <c r="D159" i="2"/>
  <c r="B65" i="2" l="1"/>
  <c r="B73" i="2" s="1"/>
  <c r="B64" i="2"/>
  <c r="B67" i="2" s="1"/>
  <c r="AD216" i="2" l="1"/>
  <c r="AD99" i="2"/>
  <c r="AD198" i="2"/>
  <c r="Z217" i="2"/>
  <c r="R218" i="2"/>
  <c r="C228" i="2" s="1"/>
  <c r="R259" i="2"/>
  <c r="J220" i="2"/>
  <c r="J198" i="2"/>
  <c r="F219" i="2"/>
  <c r="AG210" i="2"/>
  <c r="AG256" i="2"/>
  <c r="Y256" i="2"/>
  <c r="Y258" i="2"/>
  <c r="Q220" i="2"/>
  <c r="Q210" i="2"/>
  <c r="Q209" i="2" s="1"/>
  <c r="Q258" i="2"/>
  <c r="Q256" i="2"/>
  <c r="E256" i="2"/>
  <c r="AJ219" i="2"/>
  <c r="AJ210" i="2"/>
  <c r="AF223" i="2"/>
  <c r="AF210" i="2"/>
  <c r="AF260" i="2"/>
  <c r="AF257" i="2"/>
  <c r="AF256" i="2"/>
  <c r="AF258" i="2"/>
  <c r="P257" i="2"/>
  <c r="P256" i="2"/>
  <c r="P258" i="2"/>
  <c r="H261" i="2"/>
  <c r="H257" i="2"/>
  <c r="H256" i="2"/>
  <c r="H258" i="2"/>
  <c r="D99" i="2"/>
  <c r="AH60" i="2"/>
  <c r="AH65" i="2"/>
  <c r="AH64" i="2"/>
  <c r="V198" i="2"/>
  <c r="AK60" i="2"/>
  <c r="AK65" i="2"/>
  <c r="AK64" i="2"/>
  <c r="AC60" i="2"/>
  <c r="AC65" i="2"/>
  <c r="AC64" i="2"/>
  <c r="U60" i="2"/>
  <c r="U65" i="2"/>
  <c r="U64" i="2"/>
  <c r="U210" i="2"/>
  <c r="M60" i="2"/>
  <c r="M65" i="2"/>
  <c r="M64" i="2"/>
  <c r="I60" i="2"/>
  <c r="I65" i="2"/>
  <c r="I64" i="2"/>
  <c r="I257" i="2"/>
  <c r="AI60" i="2"/>
  <c r="AI65" i="2"/>
  <c r="AI64" i="2"/>
  <c r="AE60" i="2"/>
  <c r="AE65" i="2"/>
  <c r="AE64" i="2"/>
  <c r="AA60" i="2"/>
  <c r="AA65" i="2"/>
  <c r="AA64" i="2"/>
  <c r="W60" i="2"/>
  <c r="W65" i="2"/>
  <c r="W64" i="2"/>
  <c r="S60" i="2"/>
  <c r="S65" i="2"/>
  <c r="S64" i="2"/>
  <c r="O60" i="2"/>
  <c r="O65" i="2"/>
  <c r="O64" i="2"/>
  <c r="K60" i="2"/>
  <c r="K65" i="2"/>
  <c r="K64" i="2"/>
  <c r="G65" i="2"/>
  <c r="G64" i="2"/>
  <c r="C219" i="2"/>
  <c r="AJ261" i="2" l="1"/>
  <c r="H260" i="2"/>
  <c r="AB258" i="2"/>
  <c r="AF261" i="2"/>
  <c r="AJ256" i="2"/>
  <c r="E257" i="2"/>
  <c r="AG99" i="2"/>
  <c r="AG98" i="2" s="1"/>
  <c r="AG216" i="2"/>
  <c r="F259" i="2"/>
  <c r="F210" i="2"/>
  <c r="F209" i="2" s="1"/>
  <c r="Z216" i="2"/>
  <c r="AD98" i="2"/>
  <c r="P260" i="2"/>
  <c r="T260" i="2"/>
  <c r="AF209" i="2"/>
  <c r="AF220" i="2"/>
  <c r="C259" i="2"/>
  <c r="K260" i="2"/>
  <c r="E218" i="2"/>
  <c r="Y257" i="2"/>
  <c r="Z259" i="2"/>
  <c r="AD244" i="2"/>
  <c r="AD223" i="2"/>
  <c r="O218" i="2"/>
  <c r="I261" i="2"/>
  <c r="P261" i="2"/>
  <c r="AJ209" i="2"/>
  <c r="AG218" i="2"/>
  <c r="C258" i="2"/>
  <c r="C220" i="2"/>
  <c r="S210" i="2"/>
  <c r="S209" i="2" s="1"/>
  <c r="W223" i="2"/>
  <c r="AE218" i="2"/>
  <c r="AI99" i="2"/>
  <c r="AI98" i="2" s="1"/>
  <c r="AC198" i="2"/>
  <c r="AC197" i="2" s="1"/>
  <c r="AC218" i="2"/>
  <c r="V259" i="2"/>
  <c r="D98" i="2"/>
  <c r="J218" i="2"/>
  <c r="AA256" i="2"/>
  <c r="F216" i="2"/>
  <c r="F223" i="2"/>
  <c r="Z210" i="2"/>
  <c r="Z209" i="2" s="1"/>
  <c r="Q261" i="2"/>
  <c r="J210" i="2"/>
  <c r="J222" i="2" s="1"/>
  <c r="J259" i="2"/>
  <c r="G223" i="2"/>
  <c r="U260" i="2"/>
  <c r="J219" i="2"/>
  <c r="Z244" i="2"/>
  <c r="K223" i="2"/>
  <c r="D198" i="2"/>
  <c r="D197" i="2" s="1"/>
  <c r="C210" i="2"/>
  <c r="G261" i="2"/>
  <c r="AE210" i="2"/>
  <c r="AE209" i="2" s="1"/>
  <c r="AE217" i="2"/>
  <c r="M99" i="2"/>
  <c r="M98" i="2" s="1"/>
  <c r="O99" i="2"/>
  <c r="O98" i="2" s="1"/>
  <c r="W218" i="2"/>
  <c r="AE259" i="2"/>
  <c r="U258" i="2"/>
  <c r="AC261" i="2"/>
  <c r="AK256" i="2"/>
  <c r="N217" i="2"/>
  <c r="Y220" i="2"/>
  <c r="O198" i="2"/>
  <c r="O197" i="2" s="1"/>
  <c r="L256" i="2"/>
  <c r="L217" i="2"/>
  <c r="P223" i="2"/>
  <c r="T261" i="2"/>
  <c r="X256" i="2"/>
  <c r="AG257" i="2"/>
  <c r="W256" i="2"/>
  <c r="AC220" i="2"/>
  <c r="D260" i="2"/>
  <c r="H217" i="2"/>
  <c r="AB257" i="2"/>
  <c r="AB223" i="2"/>
  <c r="D233" i="2" s="1"/>
  <c r="AJ260" i="2"/>
  <c r="AD219" i="2"/>
  <c r="K256" i="2"/>
  <c r="O210" i="2"/>
  <c r="O209" i="2" s="1"/>
  <c r="AA260" i="2"/>
  <c r="I223" i="2"/>
  <c r="U223" i="2"/>
  <c r="U209" i="2"/>
  <c r="U219" i="2"/>
  <c r="U216" i="2"/>
  <c r="AC260" i="2"/>
  <c r="AK210" i="2"/>
  <c r="AK209" i="2" s="1"/>
  <c r="N256" i="2"/>
  <c r="V257" i="2"/>
  <c r="V218" i="2"/>
  <c r="AH244" i="2"/>
  <c r="D218" i="2"/>
  <c r="P198" i="2"/>
  <c r="P197" i="2" s="1"/>
  <c r="X219" i="2"/>
  <c r="AB218" i="2"/>
  <c r="D228" i="2" s="1"/>
  <c r="Q219" i="2"/>
  <c r="Q218" i="2"/>
  <c r="Y261" i="2"/>
  <c r="U259" i="2"/>
  <c r="G256" i="2"/>
  <c r="K99" i="2"/>
  <c r="K98" i="2" s="1"/>
  <c r="O259" i="2"/>
  <c r="O219" i="2"/>
  <c r="AA99" i="2"/>
  <c r="AA98" i="2" s="1"/>
  <c r="AE219" i="2"/>
  <c r="I258" i="2"/>
  <c r="I210" i="2"/>
  <c r="I209" i="2" s="1"/>
  <c r="AK260" i="2"/>
  <c r="AK218" i="2"/>
  <c r="V256" i="2"/>
  <c r="V210" i="2"/>
  <c r="V209" i="2" s="1"/>
  <c r="AH99" i="2"/>
  <c r="AH98" i="2" s="1"/>
  <c r="AH223" i="2"/>
  <c r="D219" i="2"/>
  <c r="D223" i="2"/>
  <c r="L258" i="2"/>
  <c r="C198" i="2"/>
  <c r="C197" i="2" s="1"/>
  <c r="O261" i="2"/>
  <c r="H198" i="2"/>
  <c r="H197" i="2" s="1"/>
  <c r="H218" i="2"/>
  <c r="L261" i="2"/>
  <c r="T219" i="2"/>
  <c r="C218" i="2"/>
  <c r="G259" i="2"/>
  <c r="G217" i="2"/>
  <c r="G218" i="2"/>
  <c r="K210" i="2"/>
  <c r="K209" i="2" s="1"/>
  <c r="O216" i="2"/>
  <c r="W257" i="2"/>
  <c r="W219" i="2"/>
  <c r="W210" i="2"/>
  <c r="W209" i="2" s="1"/>
  <c r="AA223" i="2"/>
  <c r="AE261" i="2"/>
  <c r="AE198" i="2"/>
  <c r="AE197" i="2" s="1"/>
  <c r="AI257" i="2"/>
  <c r="AI198" i="2"/>
  <c r="AI197" i="2" s="1"/>
  <c r="I260" i="2"/>
  <c r="I256" i="2"/>
  <c r="M256" i="2"/>
  <c r="M244" i="2"/>
  <c r="M216" i="2"/>
  <c r="U261" i="2"/>
  <c r="U244" i="2"/>
  <c r="AC223" i="2"/>
  <c r="AC99" i="2"/>
  <c r="AC98" i="2" s="1"/>
  <c r="AK261" i="2"/>
  <c r="AK99" i="2"/>
  <c r="AK98" i="2" s="1"/>
  <c r="N258" i="2"/>
  <c r="N219" i="2"/>
  <c r="N210" i="2"/>
  <c r="N209" i="2" s="1"/>
  <c r="V216" i="2"/>
  <c r="V220" i="2"/>
  <c r="AH256" i="2"/>
  <c r="D261" i="2"/>
  <c r="H216" i="2"/>
  <c r="AB259" i="2"/>
  <c r="E210" i="2"/>
  <c r="E209" i="2" s="1"/>
  <c r="Q223" i="2"/>
  <c r="Y99" i="2"/>
  <c r="Y98" i="2" s="1"/>
  <c r="Y198" i="2"/>
  <c r="Y197" i="2" s="1"/>
  <c r="R220" i="2"/>
  <c r="C230" i="2" s="1"/>
  <c r="AD259" i="2"/>
  <c r="S99" i="2"/>
  <c r="S98" i="2" s="1"/>
  <c r="X217" i="2"/>
  <c r="AC257" i="2"/>
  <c r="L259" i="2"/>
  <c r="P218" i="2"/>
  <c r="T218" i="2"/>
  <c r="X99" i="2"/>
  <c r="X98" i="2" s="1"/>
  <c r="AB261" i="2"/>
  <c r="Z198" i="2"/>
  <c r="C256" i="2"/>
  <c r="S220" i="2"/>
  <c r="AA217" i="2"/>
  <c r="AI223" i="2"/>
  <c r="I244" i="2"/>
  <c r="I220" i="2"/>
  <c r="I219" i="2"/>
  <c r="M198" i="2"/>
  <c r="M197" i="2" s="1"/>
  <c r="AK223" i="2"/>
  <c r="AH210" i="2"/>
  <c r="AH209" i="2" s="1"/>
  <c r="D210" i="2"/>
  <c r="D209" i="2" s="1"/>
  <c r="P244" i="2"/>
  <c r="AB210" i="2"/>
  <c r="AB209" i="2" s="1"/>
  <c r="AB216" i="2"/>
  <c r="D226" i="2" s="1"/>
  <c r="E258" i="2"/>
  <c r="Q260" i="2"/>
  <c r="AG220" i="2"/>
  <c r="O258" i="2"/>
  <c r="S258" i="2"/>
  <c r="M223" i="2"/>
  <c r="AK257" i="2"/>
  <c r="AH258" i="2"/>
  <c r="L219" i="2"/>
  <c r="P219" i="2"/>
  <c r="X258" i="2"/>
  <c r="AB244" i="2"/>
  <c r="AB99" i="2"/>
  <c r="AB98" i="2" s="1"/>
  <c r="E223" i="2"/>
  <c r="C99" i="2"/>
  <c r="C98" i="2" s="1"/>
  <c r="O257" i="2"/>
  <c r="O220" i="2"/>
  <c r="AI220" i="2"/>
  <c r="R223" i="2"/>
  <c r="C233" i="2" s="1"/>
  <c r="AD220" i="2"/>
  <c r="AD217" i="2"/>
  <c r="C261" i="2"/>
  <c r="C257" i="2"/>
  <c r="C255" i="2"/>
  <c r="C235" i="2"/>
  <c r="C216" i="2"/>
  <c r="G219" i="2"/>
  <c r="G210" i="2"/>
  <c r="G209" i="2" s="1"/>
  <c r="G198" i="2"/>
  <c r="G197" i="2" s="1"/>
  <c r="K259" i="2"/>
  <c r="K217" i="2"/>
  <c r="K219" i="2"/>
  <c r="O244" i="2"/>
  <c r="S259" i="2"/>
  <c r="S261" i="2"/>
  <c r="S244" i="2"/>
  <c r="S217" i="2"/>
  <c r="S198" i="2"/>
  <c r="S216" i="2"/>
  <c r="W258" i="2"/>
  <c r="AA258" i="2"/>
  <c r="AA219" i="2"/>
  <c r="AA210" i="2"/>
  <c r="AA209" i="2" s="1"/>
  <c r="AE257" i="2"/>
  <c r="AE244" i="2"/>
  <c r="AE220" i="2"/>
  <c r="AI258" i="2"/>
  <c r="AI244" i="2"/>
  <c r="AI216" i="2"/>
  <c r="I255" i="2"/>
  <c r="I235" i="2"/>
  <c r="I99" i="2"/>
  <c r="I98" i="2" s="1"/>
  <c r="M258" i="2"/>
  <c r="M218" i="2"/>
  <c r="AC210" i="2"/>
  <c r="AC209" i="2" s="1"/>
  <c r="AK259" i="2"/>
  <c r="N198" i="2"/>
  <c r="N218" i="2"/>
  <c r="V244" i="2"/>
  <c r="V99" i="2"/>
  <c r="V98" i="2" s="1"/>
  <c r="V65" i="2"/>
  <c r="AH259" i="2"/>
  <c r="AH261" i="2"/>
  <c r="AH220" i="2"/>
  <c r="D257" i="2"/>
  <c r="D220" i="2"/>
  <c r="H259" i="2"/>
  <c r="P210" i="2"/>
  <c r="P209" i="2" s="1"/>
  <c r="P217" i="2"/>
  <c r="P60" i="2"/>
  <c r="T257" i="2"/>
  <c r="X261" i="2"/>
  <c r="X244" i="2"/>
  <c r="X210" i="2"/>
  <c r="X209" i="2" s="1"/>
  <c r="X220" i="2"/>
  <c r="X218" i="2"/>
  <c r="X64" i="2"/>
  <c r="X60" i="2"/>
  <c r="AB255" i="2"/>
  <c r="AB235" i="2"/>
  <c r="AB198" i="2"/>
  <c r="AB217" i="2"/>
  <c r="D227" i="2" s="1"/>
  <c r="AF99" i="2"/>
  <c r="AF98" i="2" s="1"/>
  <c r="AF219" i="2"/>
  <c r="AJ257" i="2"/>
  <c r="AJ99" i="2"/>
  <c r="AJ98" i="2" s="1"/>
  <c r="AJ220" i="2"/>
  <c r="AJ217" i="2"/>
  <c r="E260" i="2"/>
  <c r="E244" i="2"/>
  <c r="E65" i="2"/>
  <c r="Q257" i="2"/>
  <c r="Q217" i="2"/>
  <c r="Y260" i="2"/>
  <c r="Y210" i="2"/>
  <c r="Y209" i="2" s="1"/>
  <c r="Y219" i="2"/>
  <c r="Y216" i="2"/>
  <c r="Y65" i="2"/>
  <c r="AG260" i="2"/>
  <c r="AG209" i="2"/>
  <c r="AG198" i="2"/>
  <c r="AG222" i="2" s="1"/>
  <c r="F260" i="2"/>
  <c r="F218" i="2"/>
  <c r="J258" i="2"/>
  <c r="J216" i="2"/>
  <c r="J223" i="2"/>
  <c r="J64" i="2"/>
  <c r="J65" i="2"/>
  <c r="R258" i="2"/>
  <c r="R219" i="2"/>
  <c r="C229" i="2" s="1"/>
  <c r="Z260" i="2"/>
  <c r="AD218" i="2"/>
  <c r="C244" i="2"/>
  <c r="AI87" i="2"/>
  <c r="AI86" i="2" s="1"/>
  <c r="S87" i="2"/>
  <c r="S86" i="2" s="1"/>
  <c r="C87" i="2"/>
  <c r="C86" i="2" s="1"/>
  <c r="AH87" i="2"/>
  <c r="AH86" i="2" s="1"/>
  <c r="Z87" i="2"/>
  <c r="Z86" i="2" s="1"/>
  <c r="R87" i="2"/>
  <c r="R86" i="2" s="1"/>
  <c r="J87" i="2"/>
  <c r="J86" i="2" s="1"/>
  <c r="AG87" i="2"/>
  <c r="AG86" i="2" s="1"/>
  <c r="Y87" i="2"/>
  <c r="Y86" i="2" s="1"/>
  <c r="AF87" i="2"/>
  <c r="AF86" i="2" s="1"/>
  <c r="X87" i="2"/>
  <c r="X86" i="2" s="1"/>
  <c r="P87" i="2"/>
  <c r="P86" i="2" s="1"/>
  <c r="AE87" i="2"/>
  <c r="AE86" i="2" s="1"/>
  <c r="W87" i="2"/>
  <c r="W86" i="2" s="1"/>
  <c r="O87" i="2"/>
  <c r="O86" i="2" s="1"/>
  <c r="G87" i="2"/>
  <c r="G86" i="2" s="1"/>
  <c r="AD87" i="2"/>
  <c r="AD86" i="2" s="1"/>
  <c r="V87" i="2"/>
  <c r="V86" i="2" s="1"/>
  <c r="N87" i="2"/>
  <c r="N86" i="2" s="1"/>
  <c r="AK87" i="2"/>
  <c r="AK86" i="2" s="1"/>
  <c r="AC87" i="2"/>
  <c r="AC86" i="2" s="1"/>
  <c r="U87" i="2"/>
  <c r="U86" i="2" s="1"/>
  <c r="M87" i="2"/>
  <c r="M86" i="2" s="1"/>
  <c r="AJ87" i="2"/>
  <c r="AJ86" i="2" s="1"/>
  <c r="AB87" i="2"/>
  <c r="D87" i="2"/>
  <c r="D86" i="2" s="1"/>
  <c r="G99" i="2"/>
  <c r="G98" i="2" s="1"/>
  <c r="K258" i="2"/>
  <c r="O256" i="2"/>
  <c r="S256" i="2"/>
  <c r="AA259" i="2"/>
  <c r="AA257" i="2"/>
  <c r="AI259" i="2"/>
  <c r="U255" i="2"/>
  <c r="U235" i="2"/>
  <c r="N259" i="2"/>
  <c r="V255" i="2"/>
  <c r="V235" i="2"/>
  <c r="AH217" i="2"/>
  <c r="D244" i="2"/>
  <c r="D64" i="2"/>
  <c r="H65" i="2"/>
  <c r="L210" i="2"/>
  <c r="L209" i="2" s="1"/>
  <c r="P99" i="2"/>
  <c r="P98" i="2" s="1"/>
  <c r="T259" i="2"/>
  <c r="T244" i="2"/>
  <c r="T87" i="2"/>
  <c r="T86" i="2" s="1"/>
  <c r="T210" i="2"/>
  <c r="T209" i="2" s="1"/>
  <c r="T64" i="2"/>
  <c r="X216" i="2"/>
  <c r="AF217" i="2"/>
  <c r="E87" i="2"/>
  <c r="E86" i="2" s="1"/>
  <c r="Q60" i="2"/>
  <c r="F99" i="2"/>
  <c r="F98" i="2" s="1"/>
  <c r="F64" i="2"/>
  <c r="J257" i="2"/>
  <c r="R257" i="2"/>
  <c r="R99" i="2"/>
  <c r="AD255" i="2"/>
  <c r="AD235" i="2"/>
  <c r="AD197" i="2"/>
  <c r="G255" i="2"/>
  <c r="G235" i="2"/>
  <c r="G216" i="2"/>
  <c r="K257" i="2"/>
  <c r="O260" i="2"/>
  <c r="S260" i="2"/>
  <c r="W261" i="2"/>
  <c r="W99" i="2"/>
  <c r="W98" i="2" s="1"/>
  <c r="AA261" i="2"/>
  <c r="AA244" i="2"/>
  <c r="AE256" i="2"/>
  <c r="AI261" i="2"/>
  <c r="AI217" i="2"/>
  <c r="I259" i="2"/>
  <c r="M255" i="2"/>
  <c r="M235" i="2"/>
  <c r="U257" i="2"/>
  <c r="AC219" i="2"/>
  <c r="AK220" i="2"/>
  <c r="AK217" i="2"/>
  <c r="N257" i="2"/>
  <c r="N223" i="2"/>
  <c r="AH260" i="2"/>
  <c r="AH218" i="2"/>
  <c r="D259" i="2"/>
  <c r="D256" i="2"/>
  <c r="D65" i="2"/>
  <c r="H87" i="2"/>
  <c r="H86" i="2" s="1"/>
  <c r="H210" i="2"/>
  <c r="H209" i="2" s="1"/>
  <c r="L260" i="2"/>
  <c r="L99" i="2"/>
  <c r="L98" i="2" s="1"/>
  <c r="L223" i="2"/>
  <c r="T256" i="2"/>
  <c r="T99" i="2"/>
  <c r="T98" i="2" s="1"/>
  <c r="T198" i="2"/>
  <c r="X260" i="2"/>
  <c r="X65" i="2"/>
  <c r="D110" i="2"/>
  <c r="D119" i="2"/>
  <c r="D108" i="2"/>
  <c r="D117" i="2"/>
  <c r="AF259" i="2"/>
  <c r="AJ244" i="2"/>
  <c r="Q65" i="2"/>
  <c r="Q64" i="2"/>
  <c r="F255" i="2"/>
  <c r="F235" i="2"/>
  <c r="F87" i="2"/>
  <c r="F86" i="2" s="1"/>
  <c r="F65" i="2"/>
  <c r="J261" i="2"/>
  <c r="R261" i="2"/>
  <c r="R217" i="2"/>
  <c r="C227" i="2" s="1"/>
  <c r="R64" i="2"/>
  <c r="R65" i="2"/>
  <c r="Z255" i="2"/>
  <c r="Z235" i="2"/>
  <c r="C223" i="2"/>
  <c r="G258" i="2"/>
  <c r="G244" i="2"/>
  <c r="G220" i="2"/>
  <c r="K261" i="2"/>
  <c r="K244" i="2"/>
  <c r="K87" i="2"/>
  <c r="K86" i="2" s="1"/>
  <c r="K218" i="2"/>
  <c r="S219" i="2"/>
  <c r="S223" i="2"/>
  <c r="W244" i="2"/>
  <c r="W217" i="2"/>
  <c r="AA220" i="2"/>
  <c r="AA218" i="2"/>
  <c r="AE260" i="2"/>
  <c r="AE216" i="2"/>
  <c r="AI256" i="2"/>
  <c r="AI219" i="2"/>
  <c r="I87" i="2"/>
  <c r="I86" i="2" s="1"/>
  <c r="M260" i="2"/>
  <c r="M261" i="2"/>
  <c r="M220" i="2"/>
  <c r="U218" i="2"/>
  <c r="AC259" i="2"/>
  <c r="AC216" i="2"/>
  <c r="AK258" i="2"/>
  <c r="N261" i="2"/>
  <c r="N99" i="2"/>
  <c r="N98" i="2" s="1"/>
  <c r="V258" i="2"/>
  <c r="V217" i="2"/>
  <c r="AH216" i="2"/>
  <c r="H99" i="2"/>
  <c r="H98" i="2" s="1"/>
  <c r="H219" i="2"/>
  <c r="H223" i="2"/>
  <c r="L244" i="2"/>
  <c r="L64" i="2"/>
  <c r="L60" i="2"/>
  <c r="P220" i="2"/>
  <c r="P64" i="2"/>
  <c r="T65" i="2"/>
  <c r="T60" i="2"/>
  <c r="D114" i="2"/>
  <c r="D122" i="2"/>
  <c r="AJ64" i="2"/>
  <c r="AJ65" i="2"/>
  <c r="AJ60" i="2"/>
  <c r="Y255" i="2"/>
  <c r="Y235" i="2"/>
  <c r="Y259" i="2"/>
  <c r="Y217" i="2"/>
  <c r="Y64" i="2"/>
  <c r="AG259" i="2"/>
  <c r="AG64" i="2"/>
  <c r="F244" i="2"/>
  <c r="J244" i="2"/>
  <c r="J256" i="2"/>
  <c r="R256" i="2"/>
  <c r="C109" i="2"/>
  <c r="C118" i="2"/>
  <c r="R60" i="2"/>
  <c r="Z99" i="2"/>
  <c r="Z98" i="2" s="1"/>
  <c r="Z60" i="2"/>
  <c r="AD258" i="2"/>
  <c r="G257" i="2"/>
  <c r="K220" i="2"/>
  <c r="K216" i="2"/>
  <c r="O255" i="2"/>
  <c r="O235" i="2"/>
  <c r="O217" i="2"/>
  <c r="S255" i="2"/>
  <c r="S235" i="2"/>
  <c r="W259" i="2"/>
  <c r="W260" i="2"/>
  <c r="W220" i="2"/>
  <c r="AA87" i="2"/>
  <c r="AA86" i="2" s="1"/>
  <c r="AA216" i="2"/>
  <c r="AI260" i="2"/>
  <c r="AI210" i="2"/>
  <c r="AI209" i="2" s="1"/>
  <c r="U256" i="2"/>
  <c r="U99" i="2"/>
  <c r="U98" i="2" s="1"/>
  <c r="U198" i="2"/>
  <c r="U222" i="2" s="1"/>
  <c r="N220" i="2"/>
  <c r="V60" i="2"/>
  <c r="AH255" i="2"/>
  <c r="AH235" i="2"/>
  <c r="H255" i="2"/>
  <c r="H235" i="2"/>
  <c r="H244" i="2"/>
  <c r="L255" i="2"/>
  <c r="L235" i="2"/>
  <c r="L87" i="2"/>
  <c r="L86" i="2" s="1"/>
  <c r="L220" i="2"/>
  <c r="L218" i="2"/>
  <c r="X255" i="2"/>
  <c r="X235" i="2"/>
  <c r="X198" i="2"/>
  <c r="X197" i="2" s="1"/>
  <c r="AJ198" i="2"/>
  <c r="Q244" i="2"/>
  <c r="Q198" i="2"/>
  <c r="Q222" i="2" s="1"/>
  <c r="Y244" i="2"/>
  <c r="AG223" i="2"/>
  <c r="F258" i="2"/>
  <c r="J260" i="2"/>
  <c r="J217" i="2"/>
  <c r="R260" i="2"/>
  <c r="C110" i="2"/>
  <c r="C119" i="2"/>
  <c r="C108" i="2"/>
  <c r="C117" i="2"/>
  <c r="R216" i="2"/>
  <c r="C226" i="2" s="1"/>
  <c r="Z258" i="2"/>
  <c r="Z219" i="2"/>
  <c r="Z223" i="2"/>
  <c r="Z65" i="2"/>
  <c r="AD257" i="2"/>
  <c r="AD210" i="2"/>
  <c r="AD209" i="2" s="1"/>
  <c r="AD60" i="2"/>
  <c r="K198" i="2"/>
  <c r="K197" i="2" s="1"/>
  <c r="O223" i="2"/>
  <c r="AA198" i="2"/>
  <c r="AA197" i="2" s="1"/>
  <c r="AE255" i="2"/>
  <c r="AE235" i="2"/>
  <c r="I218" i="2"/>
  <c r="M217" i="2"/>
  <c r="U220" i="2"/>
  <c r="U217" i="2"/>
  <c r="AC256" i="2"/>
  <c r="AC255" i="2"/>
  <c r="AC235" i="2"/>
  <c r="AC217" i="2"/>
  <c r="AK255" i="2"/>
  <c r="AK235" i="2"/>
  <c r="N244" i="2"/>
  <c r="N260" i="2"/>
  <c r="N60" i="2"/>
  <c r="V261" i="2"/>
  <c r="V197" i="2"/>
  <c r="AH198" i="2"/>
  <c r="D255" i="2"/>
  <c r="D235" i="2"/>
  <c r="D216" i="2"/>
  <c r="H220" i="2"/>
  <c r="L216" i="2"/>
  <c r="P259" i="2"/>
  <c r="P255" i="2"/>
  <c r="P235" i="2"/>
  <c r="P216" i="2"/>
  <c r="T255" i="2"/>
  <c r="T235" i="2"/>
  <c r="T223" i="2"/>
  <c r="T216" i="2"/>
  <c r="X259" i="2"/>
  <c r="AB256" i="2"/>
  <c r="D109" i="2"/>
  <c r="D118" i="2"/>
  <c r="D111" i="2"/>
  <c r="D120" i="2"/>
  <c r="AB220" i="2"/>
  <c r="D230" i="2" s="1"/>
  <c r="AB64" i="2"/>
  <c r="AB65" i="2"/>
  <c r="AF218" i="2"/>
  <c r="AJ255" i="2"/>
  <c r="AJ235" i="2"/>
  <c r="AJ218" i="2"/>
  <c r="E64" i="2"/>
  <c r="Q259" i="2"/>
  <c r="Q216" i="2"/>
  <c r="Y223" i="2"/>
  <c r="AG255" i="2"/>
  <c r="AG235" i="2"/>
  <c r="AG258" i="2"/>
  <c r="AG244" i="2"/>
  <c r="AG217" i="2"/>
  <c r="AG60" i="2"/>
  <c r="F257" i="2"/>
  <c r="F198" i="2"/>
  <c r="F220" i="2"/>
  <c r="R244" i="2"/>
  <c r="C107" i="2"/>
  <c r="C114" i="2"/>
  <c r="C122" i="2"/>
  <c r="Z257" i="2"/>
  <c r="AD261" i="2"/>
  <c r="AD65" i="2"/>
  <c r="W255" i="2"/>
  <c r="W235" i="2"/>
  <c r="AA255" i="2"/>
  <c r="AA235" i="2"/>
  <c r="AE223" i="2"/>
  <c r="AI255" i="2"/>
  <c r="AI235" i="2"/>
  <c r="I216" i="2"/>
  <c r="AC258" i="2"/>
  <c r="N64" i="2"/>
  <c r="N65" i="2"/>
  <c r="L65" i="2"/>
  <c r="P65" i="2"/>
  <c r="X223" i="2"/>
  <c r="AB260" i="2"/>
  <c r="AB219" i="2"/>
  <c r="D229" i="2" s="1"/>
  <c r="D107" i="2"/>
  <c r="AF255" i="2"/>
  <c r="AF235" i="2"/>
  <c r="AF244" i="2"/>
  <c r="AF198" i="2"/>
  <c r="AF222" i="2" s="1"/>
  <c r="AF216" i="2"/>
  <c r="AF64" i="2"/>
  <c r="AF65" i="2"/>
  <c r="AF60" i="2"/>
  <c r="AJ259" i="2"/>
  <c r="AJ223" i="2"/>
  <c r="AJ216" i="2"/>
  <c r="E255" i="2"/>
  <c r="E235" i="2"/>
  <c r="E259" i="2"/>
  <c r="E198" i="2"/>
  <c r="E216" i="2"/>
  <c r="Q255" i="2"/>
  <c r="Q235" i="2"/>
  <c r="Q87" i="2"/>
  <c r="Q86" i="2" s="1"/>
  <c r="Q99" i="2"/>
  <c r="Q98" i="2" s="1"/>
  <c r="Y60" i="2"/>
  <c r="AG261" i="2"/>
  <c r="AG65" i="2"/>
  <c r="F261" i="2"/>
  <c r="F217" i="2"/>
  <c r="J255" i="2"/>
  <c r="J235" i="2"/>
  <c r="J99" i="2"/>
  <c r="J98" i="2" s="1"/>
  <c r="R255" i="2"/>
  <c r="R235" i="2"/>
  <c r="R198" i="2"/>
  <c r="R197" i="2" s="1"/>
  <c r="R210" i="2"/>
  <c r="R209" i="2" s="1"/>
  <c r="Z261" i="2"/>
  <c r="Z218" i="2"/>
  <c r="Z220" i="2"/>
  <c r="AD256" i="2"/>
  <c r="C217" i="2"/>
  <c r="G260" i="2"/>
  <c r="K255" i="2"/>
  <c r="K235" i="2"/>
  <c r="S257" i="2"/>
  <c r="S218" i="2"/>
  <c r="W198" i="2"/>
  <c r="W222" i="2" s="1"/>
  <c r="W216" i="2"/>
  <c r="AE258" i="2"/>
  <c r="AE99" i="2"/>
  <c r="AE98" i="2" s="1"/>
  <c r="AI218" i="2"/>
  <c r="I198" i="2"/>
  <c r="I217" i="2"/>
  <c r="M257" i="2"/>
  <c r="M259" i="2"/>
  <c r="M210" i="2"/>
  <c r="M209" i="2" s="1"/>
  <c r="M219" i="2"/>
  <c r="AC244" i="2"/>
  <c r="AK244" i="2"/>
  <c r="AK198" i="2"/>
  <c r="AK219" i="2"/>
  <c r="AK216" i="2"/>
  <c r="N255" i="2"/>
  <c r="N235" i="2"/>
  <c r="N216" i="2"/>
  <c r="V260" i="2"/>
  <c r="V219" i="2"/>
  <c r="V223" i="2"/>
  <c r="V64" i="2"/>
  <c r="AH257" i="2"/>
  <c r="AH219" i="2"/>
  <c r="D258" i="2"/>
  <c r="D217" i="2"/>
  <c r="H64" i="2"/>
  <c r="H60" i="2"/>
  <c r="L257" i="2"/>
  <c r="L198" i="2"/>
  <c r="L197" i="2" s="1"/>
  <c r="T258" i="2"/>
  <c r="T220" i="2"/>
  <c r="T217" i="2"/>
  <c r="X257" i="2"/>
  <c r="AB60" i="2"/>
  <c r="AJ258" i="2"/>
  <c r="E261" i="2"/>
  <c r="E220" i="2"/>
  <c r="E99" i="2"/>
  <c r="E98" i="2" s="1"/>
  <c r="E219" i="2"/>
  <c r="E217" i="2"/>
  <c r="Y218" i="2"/>
  <c r="AG219" i="2"/>
  <c r="F256" i="2"/>
  <c r="J197" i="2"/>
  <c r="J60" i="2"/>
  <c r="C111" i="2"/>
  <c r="C120" i="2"/>
  <c r="Z256" i="2"/>
  <c r="Z64" i="2"/>
  <c r="AD260" i="2"/>
  <c r="AD64" i="2"/>
  <c r="C260" i="2"/>
  <c r="AD254" i="2" l="1"/>
  <c r="F222" i="2"/>
  <c r="Z222" i="2"/>
  <c r="AE254" i="2"/>
  <c r="N222" i="2"/>
  <c r="AE222" i="2"/>
  <c r="AB222" i="2"/>
  <c r="D232" i="2" s="1"/>
  <c r="J209" i="2"/>
  <c r="J221" i="2" s="1"/>
  <c r="V221" i="2"/>
  <c r="AC221" i="2"/>
  <c r="X221" i="2"/>
  <c r="I254" i="2"/>
  <c r="Z254" i="2"/>
  <c r="C222" i="2"/>
  <c r="AB254" i="2"/>
  <c r="D221" i="2"/>
  <c r="E254" i="2"/>
  <c r="P254" i="2"/>
  <c r="X222" i="2"/>
  <c r="S222" i="2"/>
  <c r="D222" i="2"/>
  <c r="AH222" i="2"/>
  <c r="Y254" i="2"/>
  <c r="AC222" i="2"/>
  <c r="C209" i="2"/>
  <c r="C221" i="2" s="1"/>
  <c r="I222" i="2"/>
  <c r="H254" i="2"/>
  <c r="AI221" i="2"/>
  <c r="M254" i="2"/>
  <c r="AD222" i="2"/>
  <c r="M222" i="2"/>
  <c r="AE221" i="2"/>
  <c r="J254" i="2"/>
  <c r="T222" i="2"/>
  <c r="V222" i="2"/>
  <c r="AK222" i="2"/>
  <c r="AG254" i="2"/>
  <c r="AA254" i="2"/>
  <c r="T254" i="2"/>
  <c r="S197" i="2"/>
  <c r="S221" i="2" s="1"/>
  <c r="N197" i="2"/>
  <c r="N221" i="2" s="1"/>
  <c r="K254" i="2"/>
  <c r="O221" i="2"/>
  <c r="W254" i="2"/>
  <c r="K222" i="2"/>
  <c r="P222" i="2"/>
  <c r="O254" i="2"/>
  <c r="U254" i="2"/>
  <c r="W197" i="2"/>
  <c r="W221" i="2" s="1"/>
  <c r="E222" i="2"/>
  <c r="N254" i="2"/>
  <c r="Y221" i="2"/>
  <c r="AI254" i="2"/>
  <c r="AH254" i="2"/>
  <c r="H221" i="2"/>
  <c r="O222" i="2"/>
  <c r="AH197" i="2"/>
  <c r="AH221" i="2" s="1"/>
  <c r="Q197" i="2"/>
  <c r="Q221" i="2" s="1"/>
  <c r="V254" i="2"/>
  <c r="E197" i="2"/>
  <c r="E221" i="2" s="1"/>
  <c r="AJ254" i="2"/>
  <c r="X254" i="2"/>
  <c r="AB197" i="2"/>
  <c r="AB221" i="2" s="1"/>
  <c r="D231" i="2" s="1"/>
  <c r="AI222" i="2"/>
  <c r="Z197" i="2"/>
  <c r="Z221" i="2" s="1"/>
  <c r="H222" i="2"/>
  <c r="AB86" i="2"/>
  <c r="D112" i="2" s="1"/>
  <c r="D113" i="2"/>
  <c r="R221" i="2"/>
  <c r="C231" i="2" s="1"/>
  <c r="R254" i="2"/>
  <c r="AF197" i="2"/>
  <c r="AF221" i="2" s="1"/>
  <c r="P221" i="2"/>
  <c r="AK197" i="2"/>
  <c r="AK221" i="2" s="1"/>
  <c r="U197" i="2"/>
  <c r="U221" i="2" s="1"/>
  <c r="T197" i="2"/>
  <c r="T221" i="2" s="1"/>
  <c r="I197" i="2"/>
  <c r="I221" i="2" s="1"/>
  <c r="D254" i="2"/>
  <c r="L254" i="2"/>
  <c r="G221" i="2"/>
  <c r="AK254" i="2"/>
  <c r="AD221" i="2"/>
  <c r="Y222" i="2"/>
  <c r="G254" i="2"/>
  <c r="AC254" i="2"/>
  <c r="AJ197" i="2"/>
  <c r="AJ221" i="2" s="1"/>
  <c r="AJ222" i="2"/>
  <c r="C113" i="2"/>
  <c r="R222" i="2"/>
  <c r="C232" i="2" s="1"/>
  <c r="R98" i="2"/>
  <c r="Q254" i="2"/>
  <c r="AF254" i="2"/>
  <c r="K221" i="2"/>
  <c r="S254" i="2"/>
  <c r="L221" i="2"/>
  <c r="L222" i="2"/>
  <c r="AA221" i="2"/>
  <c r="AG197" i="2"/>
  <c r="AG221" i="2" s="1"/>
  <c r="AA222" i="2"/>
  <c r="C254" i="2"/>
  <c r="M221" i="2"/>
  <c r="F254" i="2"/>
  <c r="F197" i="2"/>
  <c r="F221" i="2" s="1"/>
  <c r="G222" i="2"/>
  <c r="D121" i="2" l="1"/>
  <c r="C112" i="2"/>
  <c r="C121" i="2"/>
  <c r="AL198" i="2" l="1"/>
  <c r="AL87" i="2"/>
  <c r="AL259" i="2"/>
  <c r="AL447" i="2"/>
  <c r="AL460" i="2" l="1"/>
  <c r="AL474" i="2" s="1"/>
  <c r="AL216" i="2"/>
  <c r="E226" i="2" s="1"/>
  <c r="AL220" i="2"/>
  <c r="E230" i="2" s="1"/>
  <c r="AL285" i="2"/>
  <c r="E294" i="2" s="1"/>
  <c r="AL284" i="2"/>
  <c r="E293" i="2" s="1"/>
  <c r="AL99" i="2"/>
  <c r="AL98" i="2" s="1"/>
  <c r="AL218" i="2"/>
  <c r="E228" i="2" s="1"/>
  <c r="AL453" i="2"/>
  <c r="AL473" i="2"/>
  <c r="AL86" i="2"/>
  <c r="AL280" i="2"/>
  <c r="E289" i="2" s="1"/>
  <c r="AL466" i="2"/>
  <c r="AL472" i="2"/>
  <c r="AL258" i="2"/>
  <c r="E119" i="2"/>
  <c r="E110" i="2"/>
  <c r="AM65" i="2"/>
  <c r="AL65" i="2"/>
  <c r="AL509" i="2"/>
  <c r="AL257" i="2"/>
  <c r="E107" i="2"/>
  <c r="AL244" i="2"/>
  <c r="AL510" i="2"/>
  <c r="AL494" i="2"/>
  <c r="AL261" i="2"/>
  <c r="E108" i="2"/>
  <c r="E117" i="2"/>
  <c r="AL282" i="2"/>
  <c r="E291" i="2" s="1"/>
  <c r="AL283" i="2"/>
  <c r="E292" i="2" s="1"/>
  <c r="AM60" i="2"/>
  <c r="AL60" i="2"/>
  <c r="AL481" i="2"/>
  <c r="AL256" i="2"/>
  <c r="E114" i="2"/>
  <c r="E122" i="2"/>
  <c r="AL217" i="2"/>
  <c r="E227" i="2" s="1"/>
  <c r="AL475" i="2"/>
  <c r="AL500" i="2"/>
  <c r="AL506" i="2"/>
  <c r="AL260" i="2"/>
  <c r="AL197" i="2"/>
  <c r="AL487" i="2"/>
  <c r="AL507" i="2"/>
  <c r="E120" i="2"/>
  <c r="E111" i="2"/>
  <c r="AL210" i="2"/>
  <c r="AL209" i="2" s="1"/>
  <c r="AL281" i="2"/>
  <c r="E290" i="2" s="1"/>
  <c r="AL476" i="2"/>
  <c r="AL255" i="2"/>
  <c r="AL235" i="2"/>
  <c r="E118" i="2"/>
  <c r="E109" i="2"/>
  <c r="AL219" i="2"/>
  <c r="E229" i="2" s="1"/>
  <c r="AL223" i="2"/>
  <c r="E233" i="2" s="1"/>
  <c r="AL279" i="2"/>
  <c r="E288" i="2" s="1"/>
  <c r="AM64" i="2"/>
  <c r="AL64" i="2"/>
  <c r="AL508" i="2" l="1"/>
  <c r="E113" i="2"/>
  <c r="AL477" i="2"/>
  <c r="AL222" i="2"/>
  <c r="E232" i="2" s="1"/>
  <c r="AL254" i="2"/>
  <c r="AL221" i="2"/>
  <c r="E231" i="2" s="1"/>
  <c r="E121" i="2"/>
  <c r="E112" i="2"/>
  <c r="AL511" i="2"/>
</calcChain>
</file>

<file path=xl/sharedStrings.xml><?xml version="1.0" encoding="utf-8"?>
<sst xmlns="http://schemas.openxmlformats.org/spreadsheetml/2006/main" count="400" uniqueCount="106">
  <si>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</si>
  <si>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</si>
  <si>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</si>
  <si>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</si>
  <si>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</si>
  <si>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</si>
  <si>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</si>
  <si>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</si>
  <si>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</si>
  <si>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</si>
  <si>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</si>
  <si>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</si>
  <si>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</si>
  <si>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</t>
  </si>
  <si>
    <t>Année</t>
  </si>
  <si>
    <t>2030</t>
  </si>
  <si>
    <t>2040</t>
  </si>
  <si>
    <t>2050</t>
  </si>
  <si>
    <t>GDP</t>
  </si>
  <si>
    <t>Consumption</t>
  </si>
  <si>
    <t>Net exports</t>
  </si>
  <si>
    <t>Investment</t>
  </si>
  <si>
    <t>Exports</t>
  </si>
  <si>
    <t>Imports</t>
  </si>
  <si>
    <t>Production</t>
  </si>
  <si>
    <t>Households</t>
  </si>
  <si>
    <t>Firms</t>
  </si>
  <si>
    <t>Total</t>
  </si>
  <si>
    <t>Transport</t>
  </si>
  <si>
    <t>Oil&amp;Gas</t>
  </si>
  <si>
    <t>Industry</t>
  </si>
  <si>
    <t>Oil &amp; Gas</t>
  </si>
  <si>
    <t>Renewable Oil &amp; Gas</t>
  </si>
  <si>
    <t>Electricity</t>
  </si>
  <si>
    <t>biogas</t>
  </si>
  <si>
    <t>biofuel</t>
  </si>
  <si>
    <t>Renewable Oil&amp;Gas</t>
  </si>
  <si>
    <t>total oil&amp;gas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</si>
  <si>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</si>
  <si>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</si>
  <si>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</si>
  <si>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</si>
  <si>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</si>
  <si>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</si>
  <si>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</si>
  <si>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</si>
  <si>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</si>
  <si>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Households (housing)</t>
  </si>
  <si>
    <t>Households (transport)</t>
  </si>
  <si>
    <t>Consommation</t>
  </si>
  <si>
    <t>CI</t>
  </si>
  <si>
    <t>Y</t>
  </si>
  <si>
    <t>MAT</t>
  </si>
  <si>
    <t>Fuel</t>
  </si>
  <si>
    <t>Gas</t>
  </si>
  <si>
    <t>Electric</t>
  </si>
  <si>
    <t>Vehicles</t>
  </si>
  <si>
    <t>A</t>
  </si>
  <si>
    <t>B</t>
  </si>
  <si>
    <t>C</t>
  </si>
  <si>
    <t>D</t>
  </si>
  <si>
    <t>E</t>
  </si>
  <si>
    <t>F</t>
  </si>
  <si>
    <t>G</t>
  </si>
  <si>
    <t>Food</t>
  </si>
  <si>
    <t>Glass</t>
  </si>
  <si>
    <t>Chemicals</t>
  </si>
  <si>
    <t>Metal</t>
  </si>
  <si>
    <t>Road transport</t>
  </si>
  <si>
    <t>Air transport</t>
  </si>
  <si>
    <t>Other transport</t>
  </si>
  <si>
    <t>Other industry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</si>
  <si>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</si>
  <si>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</si>
  <si>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</si>
  <si>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</si>
  <si>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</si>
  <si>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</si>
  <si>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</si>
  <si>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</si>
  <si>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</si>
  <si>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</si>
  <si>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</si>
  <si>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</si>
  <si>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</si>
  <si>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</si>
  <si>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</si>
  <si>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</si>
  <si>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</si>
  <si>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</si>
  <si>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</si>
  <si>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</si>
  <si>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</si>
  <si>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</si>
  <si>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</si>
  <si>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</si>
  <si>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</si>
  <si>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</si>
  <si>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</si>
  <si>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</si>
  <si>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</si>
  <si>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</si>
  <si>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</si>
  <si>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Households' consumption</t>
  </si>
  <si>
    <t>Firms' consumption</t>
  </si>
  <si>
    <t>Net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</si>
</sst>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sharedStrings" Target="sharedStrings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styles" Target="styles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theme" Target="theme/theme1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externalLink" Target="externalLinks/externalLink1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1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</a:t>
            </a:r>
            <a:r>
              <a:rPr lang="fr-FR" sz="2400" baseline="0"/>
              <a:t> on GDP - </a:t>
            </a:r>
            <a:r>
              <a:rPr lang="fr-FR" sz="2400" b="1" u="sng" baseline="0"/>
              <a:t>Physical damages of a 3°C Scenario </a:t>
            </a:r>
            <a:r>
              <a:rPr lang="fr-FR" sz="1600" baseline="0"/>
              <a:t>(% deviation from status quo)</a:t>
            </a:r>
            <a:endParaRPr lang="fr-FR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Consumption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Données!$C$7:$BF$7</c:f>
              <c:numCache>
                <c:formatCode>#,##0.0</c:formatCode>
                <c:ptCount val="56"/>
                <c:pt idx="0">
                  <c:v>-0.22865022750476488</c:v>
                </c:pt>
                <c:pt idx="1">
                  <c:v>-0.56532103615386065</c:v>
                </c:pt>
                <c:pt idx="2">
                  <c:v>-0.89467593571698389</c:v>
                </c:pt>
                <c:pt idx="3">
                  <c:v>-1.2029682420186654</c:v>
                </c:pt>
                <c:pt idx="4">
                  <c:v>-1.4903520259974274</c:v>
                </c:pt>
                <c:pt idx="5">
                  <c:v>-1.7563557432359549</c:v>
                </c:pt>
                <c:pt idx="6">
                  <c:v>-1.9987923965879415</c:v>
                </c:pt>
                <c:pt idx="7">
                  <c:v>-2.2107726689349296</c:v>
                </c:pt>
                <c:pt idx="8">
                  <c:v>-2.3865683887135622</c:v>
                </c:pt>
                <c:pt idx="9">
                  <c:v>-2.5223894982665227</c:v>
                </c:pt>
                <c:pt idx="10">
                  <c:v>-2.6159192828216127</c:v>
                </c:pt>
                <c:pt idx="11">
                  <c:v>-2.6745563786150619</c:v>
                </c:pt>
                <c:pt idx="12">
                  <c:v>-2.6997875458519802</c:v>
                </c:pt>
                <c:pt idx="13">
                  <c:v>-2.6975045714891932</c:v>
                </c:pt>
                <c:pt idx="14">
                  <c:v>-2.6746219093811887</c:v>
                </c:pt>
                <c:pt idx="15">
                  <c:v>-2.638236301623178</c:v>
                </c:pt>
                <c:pt idx="16">
                  <c:v>-2.5969061428103504</c:v>
                </c:pt>
                <c:pt idx="17">
                  <c:v>-2.5554002748119373</c:v>
                </c:pt>
                <c:pt idx="18">
                  <c:v>-2.5176938509247626</c:v>
                </c:pt>
                <c:pt idx="19">
                  <c:v>-2.4864418162195969</c:v>
                </c:pt>
                <c:pt idx="20">
                  <c:v>-2.464090487480842</c:v>
                </c:pt>
                <c:pt idx="21">
                  <c:v>-2.4490068906321349</c:v>
                </c:pt>
                <c:pt idx="22">
                  <c:v>-2.4425003936813146</c:v>
                </c:pt>
                <c:pt idx="23">
                  <c:v>-2.4441291519028545</c:v>
                </c:pt>
                <c:pt idx="24">
                  <c:v>-2.4531493973614662</c:v>
                </c:pt>
                <c:pt idx="25">
                  <c:v>-2.4709651688430534</c:v>
                </c:pt>
                <c:pt idx="26">
                  <c:v>-2.4908107341052514</c:v>
                </c:pt>
                <c:pt idx="27">
                  <c:v>-2.5139540157852194</c:v>
                </c:pt>
                <c:pt idx="28">
                  <c:v>-2.5397644421668981</c:v>
                </c:pt>
                <c:pt idx="29">
                  <c:v>-2.5677364265709599</c:v>
                </c:pt>
                <c:pt idx="30">
                  <c:v>-2.5974106789083349</c:v>
                </c:pt>
                <c:pt idx="31">
                  <c:v>-2.6279187291667094</c:v>
                </c:pt>
                <c:pt idx="32">
                  <c:v>-2.6590882399618696</c:v>
                </c:pt>
                <c:pt idx="33">
                  <c:v>-2.6906721994977882</c:v>
                </c:pt>
                <c:pt idx="34">
                  <c:v>-2.7224728239552816</c:v>
                </c:pt>
                <c:pt idx="35">
                  <c:v>-2.7543235862370103</c:v>
                </c:pt>
                <c:pt idx="36">
                  <c:v>-2.7826561965768142</c:v>
                </c:pt>
                <c:pt idx="37">
                  <c:v>-2.8082932924431447</c:v>
                </c:pt>
                <c:pt idx="38">
                  <c:v>-2.8318235221312484</c:v>
                </c:pt>
                <c:pt idx="39">
                  <c:v>-2.8538866208917648</c:v>
                </c:pt>
                <c:pt idx="40">
                  <c:v>-2.8750322759276128</c:v>
                </c:pt>
                <c:pt idx="41">
                  <c:v>-2.8950577987482533</c:v>
                </c:pt>
                <c:pt idx="42">
                  <c:v>-2.9145454844105712</c:v>
                </c:pt>
                <c:pt idx="43">
                  <c:v>-2.9338104515648693</c:v>
                </c:pt>
                <c:pt idx="44">
                  <c:v>-2.9531030401527554</c:v>
                </c:pt>
                <c:pt idx="45">
                  <c:v>-2.9726150482023681</c:v>
                </c:pt>
                <c:pt idx="46">
                  <c:v>-2.9903944901770609</c:v>
                </c:pt>
                <c:pt idx="47">
                  <c:v>-3.0076084670299159</c:v>
                </c:pt>
                <c:pt idx="48">
                  <c:v>-3.4639076848637491</c:v>
                </c:pt>
                <c:pt idx="49">
                  <c:v>-4.0743808944875068</c:v>
                </c:pt>
                <c:pt idx="50">
                  <c:v>-4.732733609705166</c:v>
                </c:pt>
                <c:pt idx="51">
                  <c:v>2.4627260846567238E-2</c:v>
                </c:pt>
                <c:pt idx="52">
                  <c:v>2.6598171712759654E-2</c:v>
                </c:pt>
                <c:pt idx="53">
                  <c:v>2.8484324639781216E-2</c:v>
                </c:pt>
                <c:pt idx="54">
                  <c:v>3.0234981441569546E-2</c:v>
                </c:pt>
                <c:pt idx="55">
                  <c:v>3.1819722090826522E-2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Données!$C$10:$BF$10</c:f>
              <c:numCache>
                <c:formatCode>#,##0.0</c:formatCode>
                <c:ptCount val="56"/>
                <c:pt idx="0">
                  <c:v>-0.21438918413539168</c:v>
                </c:pt>
                <c:pt idx="1">
                  <c:v>-0.33320621412426371</c:v>
                </c:pt>
                <c:pt idx="2">
                  <c:v>-0.3969262066320649</c:v>
                </c:pt>
                <c:pt idx="3">
                  <c:v>-0.43933265590599158</c:v>
                </c:pt>
                <c:pt idx="4">
                  <c:v>-0.48002468926697645</c:v>
                </c:pt>
                <c:pt idx="5">
                  <c:v>-0.5293808316661428</c:v>
                </c:pt>
                <c:pt idx="6">
                  <c:v>-0.59188169262972801</c:v>
                </c:pt>
                <c:pt idx="7">
                  <c:v>-0.66681177249908841</c:v>
                </c:pt>
                <c:pt idx="8">
                  <c:v>-0.75126117377509405</c:v>
                </c:pt>
                <c:pt idx="9">
                  <c:v>-0.84130317008747191</c:v>
                </c:pt>
                <c:pt idx="10">
                  <c:v>-0.93253917796288277</c:v>
                </c:pt>
                <c:pt idx="11">
                  <c:v>-1.0239403059804131</c:v>
                </c:pt>
                <c:pt idx="12">
                  <c:v>-1.1119851618819068</c:v>
                </c:pt>
                <c:pt idx="13">
                  <c:v>-1.195030154926366</c:v>
                </c:pt>
                <c:pt idx="14">
                  <c:v>-1.2723615948502485</c:v>
                </c:pt>
                <c:pt idx="15">
                  <c:v>-1.343959692526872</c:v>
                </c:pt>
                <c:pt idx="16">
                  <c:v>-1.4113152614651867</c:v>
                </c:pt>
                <c:pt idx="17">
                  <c:v>-1.4746343689938617</c:v>
                </c:pt>
                <c:pt idx="18">
                  <c:v>-1.5344242437775817</c:v>
                </c:pt>
                <c:pt idx="19">
                  <c:v>-1.5912268011205564</c:v>
                </c:pt>
                <c:pt idx="20">
                  <c:v>-1.6460385406796538</c:v>
                </c:pt>
                <c:pt idx="21">
                  <c:v>-1.6979610200583459</c:v>
                </c:pt>
                <c:pt idx="22">
                  <c:v>-1.7479759734778031</c:v>
                </c:pt>
                <c:pt idx="23">
                  <c:v>-1.7961927870115382</c:v>
                </c:pt>
                <c:pt idx="24">
                  <c:v>-1.842674053671066</c:v>
                </c:pt>
                <c:pt idx="25">
                  <c:v>-1.8890327560554456</c:v>
                </c:pt>
                <c:pt idx="26">
                  <c:v>-1.9318382531669553</c:v>
                </c:pt>
                <c:pt idx="27">
                  <c:v>-1.9724674915266032</c:v>
                </c:pt>
                <c:pt idx="28">
                  <c:v>-2.0108938920126866</c:v>
                </c:pt>
                <c:pt idx="29">
                  <c:v>-2.0471198161281725</c:v>
                </c:pt>
                <c:pt idx="30">
                  <c:v>-2.0811638496348728</c:v>
                </c:pt>
                <c:pt idx="31">
                  <c:v>-2.1128407901325459</c:v>
                </c:pt>
                <c:pt idx="32">
                  <c:v>-2.1422541293343156</c:v>
                </c:pt>
                <c:pt idx="33">
                  <c:v>-2.1694709206298812</c:v>
                </c:pt>
                <c:pt idx="34">
                  <c:v>-2.1945521590753714</c:v>
                </c:pt>
                <c:pt idx="35">
                  <c:v>-2.2175601195224526</c:v>
                </c:pt>
                <c:pt idx="36">
                  <c:v>-2.2371582829687595</c:v>
                </c:pt>
                <c:pt idx="37">
                  <c:v>-2.2535055779504982</c:v>
                </c:pt>
                <c:pt idx="38">
                  <c:v>-2.2670167330591724</c:v>
                </c:pt>
                <c:pt idx="39">
                  <c:v>-2.2780114455939766</c:v>
                </c:pt>
                <c:pt idx="40">
                  <c:v>-2.2867714711268783</c:v>
                </c:pt>
                <c:pt idx="41">
                  <c:v>-2.2932731561786821</c:v>
                </c:pt>
                <c:pt idx="42">
                  <c:v>-2.2978283834194713</c:v>
                </c:pt>
                <c:pt idx="43">
                  <c:v>-2.3006736796311529</c:v>
                </c:pt>
                <c:pt idx="44">
                  <c:v>-2.3020080003303174</c:v>
                </c:pt>
                <c:pt idx="45">
                  <c:v>-2.3020013095706173</c:v>
                </c:pt>
                <c:pt idx="46">
                  <c:v>-2.2998702817862924</c:v>
                </c:pt>
                <c:pt idx="47">
                  <c:v>-2.2960687188745132</c:v>
                </c:pt>
                <c:pt idx="48">
                  <c:v>-2.4758539895929408</c:v>
                </c:pt>
                <c:pt idx="49">
                  <c:v>-2.6896053336652104</c:v>
                </c:pt>
                <c:pt idx="50">
                  <c:v>-2.9134177166302933</c:v>
                </c:pt>
                <c:pt idx="51">
                  <c:v>-4.521236430945175E-3</c:v>
                </c:pt>
                <c:pt idx="52">
                  <c:v>7.2949558812879342E-4</c:v>
                </c:pt>
                <c:pt idx="53">
                  <c:v>6.3874356486643144E-3</c:v>
                </c:pt>
                <c:pt idx="54">
                  <c:v>1.2419202628000638E-2</c:v>
                </c:pt>
                <c:pt idx="55">
                  <c:v>1.8789179124359609E-2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Données!$C$12:$BF$12</c:f>
              <c:numCache>
                <c:formatCode>#,##0.0</c:formatCode>
                <c:ptCount val="56"/>
                <c:pt idx="0">
                  <c:v>-1.1636909578457058</c:v>
                </c:pt>
                <c:pt idx="1">
                  <c:v>-1.0039557865570834</c:v>
                </c:pt>
                <c:pt idx="2">
                  <c:v>-0.8642285042534319</c:v>
                </c:pt>
                <c:pt idx="3">
                  <c:v>-0.72459805363879659</c:v>
                </c:pt>
                <c:pt idx="4">
                  <c:v>-0.58851838665808454</c:v>
                </c:pt>
                <c:pt idx="5">
                  <c:v>-0.46213717884236449</c:v>
                </c:pt>
                <c:pt idx="6">
                  <c:v>-0.35149216464736521</c:v>
                </c:pt>
                <c:pt idx="7">
                  <c:v>-0.26037724196107148</c:v>
                </c:pt>
                <c:pt idx="8">
                  <c:v>-0.19154612493083301</c:v>
                </c:pt>
                <c:pt idx="9">
                  <c:v>-0.14617088859397787</c:v>
                </c:pt>
                <c:pt idx="10">
                  <c:v>-0.12505127133726401</c:v>
                </c:pt>
                <c:pt idx="11">
                  <c:v>-0.1279946062294719</c:v>
                </c:pt>
                <c:pt idx="12">
                  <c:v>-0.14948448679743609</c:v>
                </c:pt>
                <c:pt idx="13">
                  <c:v>-0.18676872831966862</c:v>
                </c:pt>
                <c:pt idx="14">
                  <c:v>-0.23673146406463341</c:v>
                </c:pt>
                <c:pt idx="15">
                  <c:v>-0.29625230017067761</c:v>
                </c:pt>
                <c:pt idx="16">
                  <c:v>-0.36616404557521509</c:v>
                </c:pt>
                <c:pt idx="17">
                  <c:v>-0.43944439223708898</c:v>
                </c:pt>
                <c:pt idx="18">
                  <c:v>-0.51427177350978548</c:v>
                </c:pt>
                <c:pt idx="19">
                  <c:v>-0.58910451687858023</c:v>
                </c:pt>
                <c:pt idx="20">
                  <c:v>-0.66176721485181433</c:v>
                </c:pt>
                <c:pt idx="21">
                  <c:v>-0.73382333311046244</c:v>
                </c:pt>
                <c:pt idx="22">
                  <c:v>-0.80325419084777527</c:v>
                </c:pt>
                <c:pt idx="23">
                  <c:v>-0.86979854889311659</c:v>
                </c:pt>
                <c:pt idx="24">
                  <c:v>-0.93333670859223306</c:v>
                </c:pt>
                <c:pt idx="25">
                  <c:v>-0.99084467713184443</c:v>
                </c:pt>
                <c:pt idx="26">
                  <c:v>-1.0472372172708875</c:v>
                </c:pt>
                <c:pt idx="27">
                  <c:v>-1.1016429052857122</c:v>
                </c:pt>
                <c:pt idx="28">
                  <c:v>-1.154170670853004</c:v>
                </c:pt>
                <c:pt idx="29">
                  <c:v>-1.2049678801952433</c:v>
                </c:pt>
                <c:pt idx="30">
                  <c:v>-1.2542136514606552</c:v>
                </c:pt>
                <c:pt idx="31">
                  <c:v>-1.3014876871352854</c:v>
                </c:pt>
                <c:pt idx="32">
                  <c:v>-1.3477241137277174</c:v>
                </c:pt>
                <c:pt idx="33">
                  <c:v>-1.3930687333111096</c:v>
                </c:pt>
                <c:pt idx="34">
                  <c:v>-1.4376893619833937</c:v>
                </c:pt>
                <c:pt idx="35">
                  <c:v>-1.4817512241461617</c:v>
                </c:pt>
                <c:pt idx="36">
                  <c:v>-1.5196718303647958</c:v>
                </c:pt>
                <c:pt idx="37">
                  <c:v>-1.5586170248755482</c:v>
                </c:pt>
                <c:pt idx="38">
                  <c:v>-1.5981549933746715</c:v>
                </c:pt>
                <c:pt idx="39">
                  <c:v>-1.6381419724168049</c:v>
                </c:pt>
                <c:pt idx="40">
                  <c:v>-1.6785098521001562</c:v>
                </c:pt>
                <c:pt idx="41">
                  <c:v>-1.7184930947752837</c:v>
                </c:pt>
                <c:pt idx="42">
                  <c:v>-1.7589332558419875</c:v>
                </c:pt>
                <c:pt idx="43">
                  <c:v>-1.7997505271336536</c:v>
                </c:pt>
                <c:pt idx="44">
                  <c:v>-1.8408980752243904</c:v>
                </c:pt>
                <c:pt idx="45">
                  <c:v>-1.8823280451246873</c:v>
                </c:pt>
                <c:pt idx="46">
                  <c:v>-1.9217558406799617</c:v>
                </c:pt>
                <c:pt idx="47">
                  <c:v>-1.9616504994351618</c:v>
                </c:pt>
                <c:pt idx="48">
                  <c:v>-1.8744208728263851</c:v>
                </c:pt>
                <c:pt idx="49">
                  <c:v>-1.7865341576483873</c:v>
                </c:pt>
                <c:pt idx="50">
                  <c:v>-1.697510386157961</c:v>
                </c:pt>
                <c:pt idx="51">
                  <c:v>-0.19320109391079338</c:v>
                </c:pt>
                <c:pt idx="52">
                  <c:v>-0.20237502709255517</c:v>
                </c:pt>
                <c:pt idx="53">
                  <c:v>-0.21158891458899307</c:v>
                </c:pt>
                <c:pt idx="54">
                  <c:v>-0.22082829874555396</c:v>
                </c:pt>
                <c:pt idx="55">
                  <c:v>-0.23008438738529277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Données!$C$6:$BF$6</c15:sqref>
                        </c15:formulaRef>
                      </c:ext>
                    </c:extLst>
                    <c:numCache>
                      <c:formatCode>#,##0.0</c:formatCode>
                      <c:ptCount val="56"/>
                      <c:pt idx="0">
                        <c:v>-2.0185282324067244</c:v>
                      </c:pt>
                      <c:pt idx="1">
                        <c:v>-2.3124539959079371</c:v>
                      </c:pt>
                      <c:pt idx="2">
                        <c:v>-2.5643404424622318</c:v>
                      </c:pt>
                      <c:pt idx="3">
                        <c:v>-2.7684327490958172</c:v>
                      </c:pt>
                      <c:pt idx="4">
                        <c:v>-2.9538419969539986</c:v>
                      </c:pt>
                      <c:pt idx="5">
                        <c:v>-3.1413055203020512</c:v>
                      </c:pt>
                      <c:pt idx="6">
                        <c:v>-3.3417396111298014</c:v>
                      </c:pt>
                      <c:pt idx="7">
                        <c:v>-3.5514048617491634</c:v>
                      </c:pt>
                      <c:pt idx="8">
                        <c:v>-3.7635138280640246</c:v>
                      </c:pt>
                      <c:pt idx="9">
                        <c:v>-3.9700932356226182</c:v>
                      </c:pt>
                      <c:pt idx="10">
                        <c:v>-4.1639701547823371</c:v>
                      </c:pt>
                      <c:pt idx="11">
                        <c:v>-4.3510404676169401</c:v>
                      </c:pt>
                      <c:pt idx="12">
                        <c:v>-4.5213945554181461</c:v>
                      </c:pt>
                      <c:pt idx="13">
                        <c:v>-4.6757470451406764</c:v>
                      </c:pt>
                      <c:pt idx="14">
                        <c:v>-4.8166742177361161</c:v>
                      </c:pt>
                      <c:pt idx="15">
                        <c:v>-4.9478586280080066</c:v>
                      </c:pt>
                      <c:pt idx="16">
                        <c:v>-5.0817508809005263</c:v>
                      </c:pt>
                      <c:pt idx="17">
                        <c:v>-5.2146167209634946</c:v>
                      </c:pt>
                      <c:pt idx="18">
                        <c:v>-5.3491510972718643</c:v>
                      </c:pt>
                      <c:pt idx="19">
                        <c:v>-5.4869792560557684</c:v>
                      </c:pt>
                      <c:pt idx="20">
                        <c:v>-5.6290596325680902</c:v>
                      </c:pt>
                      <c:pt idx="21">
                        <c:v>-5.7749698325131771</c:v>
                      </c:pt>
                      <c:pt idx="22">
                        <c:v>-5.9244620397690184</c:v>
                      </c:pt>
                      <c:pt idx="23">
                        <c:v>-6.0768841174547061</c:v>
                      </c:pt>
                      <c:pt idx="24">
                        <c:v>-6.231357293876572</c:v>
                      </c:pt>
                      <c:pt idx="25">
                        <c:v>-6.3869663582979186</c:v>
                      </c:pt>
                      <c:pt idx="26">
                        <c:v>-6.5394516295275595</c:v>
                      </c:pt>
                      <c:pt idx="27">
                        <c:v>-6.690278264734129</c:v>
                      </c:pt>
                      <c:pt idx="28">
                        <c:v>-6.8388616296649829</c:v>
                      </c:pt>
                      <c:pt idx="29">
                        <c:v>-6.9848323264043444</c:v>
                      </c:pt>
                      <c:pt idx="30">
                        <c:v>-7.1279402849155904</c:v>
                      </c:pt>
                      <c:pt idx="31">
                        <c:v>-7.2664288223141416</c:v>
                      </c:pt>
                      <c:pt idx="32">
                        <c:v>-7.4014944626251804</c:v>
                      </c:pt>
                      <c:pt idx="33">
                        <c:v>-7.5331503164076885</c:v>
                      </c:pt>
                      <c:pt idx="34">
                        <c:v>-7.6614915826388907</c:v>
                      </c:pt>
                      <c:pt idx="35">
                        <c:v>-7.7866466309074678</c:v>
                      </c:pt>
                      <c:pt idx="36">
                        <c:v>-7.8953532785280949</c:v>
                      </c:pt>
                      <c:pt idx="37">
                        <c:v>-7.9985368547715758</c:v>
                      </c:pt>
                      <c:pt idx="38">
                        <c:v>-8.0967424521962368</c:v>
                      </c:pt>
                      <c:pt idx="39">
                        <c:v>-8.1908845704127486</c:v>
                      </c:pt>
                      <c:pt idx="40">
                        <c:v>-8.2818372173258048</c:v>
                      </c:pt>
                      <c:pt idx="41">
                        <c:v>-8.368313395226302</c:v>
                      </c:pt>
                      <c:pt idx="42">
                        <c:v>-8.4524855840895636</c:v>
                      </c:pt>
                      <c:pt idx="43">
                        <c:v>-8.5348936788492757</c:v>
                      </c:pt>
                      <c:pt idx="44">
                        <c:v>-8.6160078557593778</c:v>
                      </c:pt>
                      <c:pt idx="45">
                        <c:v>-8.6961961847667801</c:v>
                      </c:pt>
                      <c:pt idx="46">
                        <c:v>-8.7692221528212766</c:v>
                      </c:pt>
                      <c:pt idx="47">
                        <c:v>-8.8402716886527557</c:v>
                      </c:pt>
                      <c:pt idx="48">
                        <c:v>-9.9802132146582512</c:v>
                      </c:pt>
                      <c:pt idx="49">
                        <c:v>-11.045969750613294</c:v>
                      </c:pt>
                      <c:pt idx="50">
                        <c:v>-12.052518107159738</c:v>
                      </c:pt>
                      <c:pt idx="51">
                        <c:v>-0.23572931163051702</c:v>
                      </c:pt>
                      <c:pt idx="52">
                        <c:v>-0.23913277799035848</c:v>
                      </c:pt>
                      <c:pt idx="53">
                        <c:v>-0.24217281316902817</c:v>
                      </c:pt>
                      <c:pt idx="54">
                        <c:v>-0.24492995704027409</c:v>
                      </c:pt>
                      <c:pt idx="55">
                        <c:v>-0.24747210843392153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Données!$C$8:$BF$8</c15:sqref>
                        </c15:formulaRef>
                      </c:ext>
                    </c:extLst>
                    <c:numCache>
                      <c:formatCode>#,##0.0</c:formatCode>
                      <c:ptCount val="56"/>
                      <c:pt idx="0">
                        <c:v>-2.5968107634626074E-4</c:v>
                      </c:pt>
                      <c:pt idx="1">
                        <c:v>-2.5837884155434164E-2</c:v>
                      </c:pt>
                      <c:pt idx="2">
                        <c:v>-6.5894864722789312E-2</c:v>
                      </c:pt>
                      <c:pt idx="3">
                        <c:v>-0.10296652425204897</c:v>
                      </c:pt>
                      <c:pt idx="4">
                        <c:v>-0.13149391880112415</c:v>
                      </c:pt>
                      <c:pt idx="5">
                        <c:v>-0.15029326941273186</c:v>
                      </c:pt>
                      <c:pt idx="6">
                        <c:v>-0.16017754947607554</c:v>
                      </c:pt>
                      <c:pt idx="7">
                        <c:v>-0.16249780791135635</c:v>
                      </c:pt>
                      <c:pt idx="8">
                        <c:v>-0.15885154725587955</c:v>
                      </c:pt>
                      <c:pt idx="9">
                        <c:v>-0.15082810510551389</c:v>
                      </c:pt>
                      <c:pt idx="10">
                        <c:v>-0.13990095609095612</c:v>
                      </c:pt>
                      <c:pt idx="11">
                        <c:v>-0.1276200472871607</c:v>
                      </c:pt>
                      <c:pt idx="12">
                        <c:v>-0.11498184375198688</c:v>
                      </c:pt>
                      <c:pt idx="13">
                        <c:v>-0.10282548091257887</c:v>
                      </c:pt>
                      <c:pt idx="14">
                        <c:v>-9.1786589283603698E-2</c:v>
                      </c:pt>
                      <c:pt idx="15">
                        <c:v>-8.2259606284784875E-2</c:v>
                      </c:pt>
                      <c:pt idx="16">
                        <c:v>-7.4545606178293672E-2</c:v>
                      </c:pt>
                      <c:pt idx="17">
                        <c:v>-6.8603470327828972E-2</c:v>
                      </c:pt>
                      <c:pt idx="18">
                        <c:v>-6.4220938468147817E-2</c:v>
                      </c:pt>
                      <c:pt idx="19">
                        <c:v>-6.1169864701632652E-2</c:v>
                      </c:pt>
                      <c:pt idx="20">
                        <c:v>-5.9215807981299454E-2</c:v>
                      </c:pt>
                      <c:pt idx="21">
                        <c:v>-5.8056593543687605E-2</c:v>
                      </c:pt>
                      <c:pt idx="22">
                        <c:v>-5.7513307583110164E-2</c:v>
                      </c:pt>
                      <c:pt idx="23">
                        <c:v>-5.7410920776524016E-2</c:v>
                      </c:pt>
                      <c:pt idx="24">
                        <c:v>-5.7595956961284292E-2</c:v>
                      </c:pt>
                      <c:pt idx="25">
                        <c:v>-5.7996219504455229E-2</c:v>
                      </c:pt>
                      <c:pt idx="26">
                        <c:v>-5.8331411594478882E-2</c:v>
                      </c:pt>
                      <c:pt idx="27">
                        <c:v>-5.8612414388080382E-2</c:v>
                      </c:pt>
                      <c:pt idx="28">
                        <c:v>-5.8859937242467991E-2</c:v>
                      </c:pt>
                      <c:pt idx="29">
                        <c:v>-5.905663416971383E-2</c:v>
                      </c:pt>
                      <c:pt idx="30">
                        <c:v>-5.9186161939550945E-2</c:v>
                      </c:pt>
                      <c:pt idx="31">
                        <c:v>-5.9210350725384747E-2</c:v>
                      </c:pt>
                      <c:pt idx="32">
                        <c:v>-5.9124125156704614E-2</c:v>
                      </c:pt>
                      <c:pt idx="33">
                        <c:v>-5.8934896050953894E-2</c:v>
                      </c:pt>
                      <c:pt idx="34">
                        <c:v>-5.8639098109820938E-2</c:v>
                      </c:pt>
                      <c:pt idx="35">
                        <c:v>-5.8233714879561478E-2</c:v>
                      </c:pt>
                      <c:pt idx="36">
                        <c:v>-5.7540227607165463E-2</c:v>
                      </c:pt>
                      <c:pt idx="37">
                        <c:v>-5.6600048901768091E-2</c:v>
                      </c:pt>
                      <c:pt idx="38">
                        <c:v>-5.5563878274751982E-2</c:v>
                      </c:pt>
                      <c:pt idx="39">
                        <c:v>-5.4470501725756466E-2</c:v>
                      </c:pt>
                      <c:pt idx="40">
                        <c:v>-5.3338521426471615E-2</c:v>
                      </c:pt>
                      <c:pt idx="41">
                        <c:v>-5.2142479250427295E-2</c:v>
                      </c:pt>
                      <c:pt idx="42">
                        <c:v>-5.0887063690775836E-2</c:v>
                      </c:pt>
                      <c:pt idx="43">
                        <c:v>-4.9587968119249495E-2</c:v>
                      </c:pt>
                      <c:pt idx="44">
                        <c:v>-4.8243770900085817E-2</c:v>
                      </c:pt>
                      <c:pt idx="45">
                        <c:v>-4.685276630768035E-2</c:v>
                      </c:pt>
                      <c:pt idx="46">
                        <c:v>-4.5326050662120594E-2</c:v>
                      </c:pt>
                      <c:pt idx="47">
                        <c:v>-4.3699618451538975E-2</c:v>
                      </c:pt>
                      <c:pt idx="48">
                        <c:v>-0.16554008590513336</c:v>
                      </c:pt>
                      <c:pt idx="49">
                        <c:v>-0.22160565411345018</c:v>
                      </c:pt>
                      <c:pt idx="50">
                        <c:v>-0.25015777676765266</c:v>
                      </c:pt>
                      <c:pt idx="51">
                        <c:v>6.2562576488679683E-3</c:v>
                      </c:pt>
                      <c:pt idx="52">
                        <c:v>6.4977563843595931E-3</c:v>
                      </c:pt>
                      <c:pt idx="53">
                        <c:v>6.7405093711651069E-3</c:v>
                      </c:pt>
                      <c:pt idx="54">
                        <c:v>6.9831096687923509E-3</c:v>
                      </c:pt>
                      <c:pt idx="55">
                        <c:v>7.2267607524996134E-3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Données!$C$9:$BF$9</c15:sqref>
                        </c15:formulaRef>
                      </c:ext>
                    </c:extLst>
                    <c:numCache>
                      <c:formatCode>#,##0.0</c:formatCode>
                      <c:ptCount val="5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Données!$C$11:$BF$11</c15:sqref>
                        </c15:formulaRef>
                      </c:ext>
                    </c:extLst>
                    <c:numCache>
                      <c:formatCode>#,##0.0</c:formatCode>
                      <c:ptCount val="5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GDP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Données!$C$5:$BF$5</c:f>
              <c:numCache>
                <c:formatCode>#,##0.0</c:formatCode>
                <c:ptCount val="56"/>
                <c:pt idx="0">
                  <c:v>-1.6067303558553236</c:v>
                </c:pt>
                <c:pt idx="1">
                  <c:v>-1.902483018882839</c:v>
                </c:pt>
                <c:pt idx="2">
                  <c:v>-2.1558306156040485</c:v>
                </c:pt>
                <c:pt idx="3">
                  <c:v>-2.3668989777662186</c:v>
                </c:pt>
                <c:pt idx="4">
                  <c:v>-2.5588951664954895</c:v>
                </c:pt>
                <c:pt idx="5">
                  <c:v>-2.7478737325347891</c:v>
                </c:pt>
                <c:pt idx="6">
                  <c:v>-2.9421662747726174</c:v>
                </c:pt>
                <c:pt idx="7">
                  <c:v>-3.1379616627873141</c:v>
                </c:pt>
                <c:pt idx="8">
                  <c:v>-3.3293756589845125</c:v>
                </c:pt>
                <c:pt idx="9">
                  <c:v>-3.5098636089915258</c:v>
                </c:pt>
                <c:pt idx="10">
                  <c:v>-3.6735097518259985</c:v>
                </c:pt>
                <c:pt idx="11">
                  <c:v>-3.8264912830596853</c:v>
                </c:pt>
                <c:pt idx="12">
                  <c:v>-3.9612572174839378</c:v>
                </c:pt>
                <c:pt idx="13">
                  <c:v>-4.0793034961981061</c:v>
                </c:pt>
                <c:pt idx="14">
                  <c:v>-4.183714968296071</c:v>
                </c:pt>
                <c:pt idx="15">
                  <c:v>-4.2784482869998808</c:v>
                </c:pt>
                <c:pt idx="16">
                  <c:v>-4.3743854390281722</c:v>
                </c:pt>
                <c:pt idx="17">
                  <c:v>-4.4694790147092434</c:v>
                </c:pt>
                <c:pt idx="18">
                  <c:v>-4.5663898822306699</c:v>
                </c:pt>
                <c:pt idx="19">
                  <c:v>-4.6667731204004141</c:v>
                </c:pt>
                <c:pt idx="20">
                  <c:v>-4.771896225973304</c:v>
                </c:pt>
                <c:pt idx="21">
                  <c:v>-4.8807912908404028</c:v>
                </c:pt>
                <c:pt idx="22">
                  <c:v>-4.9937305248788588</c:v>
                </c:pt>
                <c:pt idx="23">
                  <c:v>-5.1101204976063963</c:v>
                </c:pt>
                <c:pt idx="24">
                  <c:v>-5.2291601435226598</c:v>
                </c:pt>
                <c:pt idx="25">
                  <c:v>-5.3508425988491481</c:v>
                </c:pt>
                <c:pt idx="26">
                  <c:v>-5.4698862233867445</c:v>
                </c:pt>
                <c:pt idx="27">
                  <c:v>-5.5880643877905145</c:v>
                </c:pt>
                <c:pt idx="28">
                  <c:v>-5.7048290050325967</c:v>
                </c:pt>
                <c:pt idx="29">
                  <c:v>-5.8198241319642356</c:v>
                </c:pt>
                <c:pt idx="30">
                  <c:v>-5.9327881740333659</c:v>
                </c:pt>
                <c:pt idx="31">
                  <c:v>-6.0422472064345367</c:v>
                </c:pt>
                <c:pt idx="32">
                  <c:v>-6.149066506308321</c:v>
                </c:pt>
                <c:pt idx="33">
                  <c:v>-6.2532118620604376</c:v>
                </c:pt>
                <c:pt idx="34">
                  <c:v>-6.3547143506894059</c:v>
                </c:pt>
                <c:pt idx="35">
                  <c:v>-6.4536349186979152</c:v>
                </c:pt>
                <c:pt idx="36">
                  <c:v>-6.5394863043749085</c:v>
                </c:pt>
                <c:pt idx="37">
                  <c:v>-6.6204159253455241</c:v>
                </c:pt>
                <c:pt idx="38">
                  <c:v>-6.6969952377598618</c:v>
                </c:pt>
                <c:pt idx="39">
                  <c:v>-6.7700400308956858</c:v>
                </c:pt>
                <c:pt idx="40">
                  <c:v>-6.8403135701467281</c:v>
                </c:pt>
                <c:pt idx="41">
                  <c:v>-6.9068240731531727</c:v>
                </c:pt>
                <c:pt idx="42">
                  <c:v>-6.9713071107987297</c:v>
                </c:pt>
                <c:pt idx="43">
                  <c:v>-7.0342346761380847</c:v>
                </c:pt>
                <c:pt idx="44">
                  <c:v>-7.096009163470784</c:v>
                </c:pt>
                <c:pt idx="45">
                  <c:v>-7.1569443855093233</c:v>
                </c:pt>
                <c:pt idx="46">
                  <c:v>-7.2120205807341131</c:v>
                </c:pt>
                <c:pt idx="47">
                  <c:v>-7.2653276586598476</c:v>
                </c:pt>
                <c:pt idx="48">
                  <c:v>-7.8141825640598572</c:v>
                </c:pt>
                <c:pt idx="49">
                  <c:v>-8.5505203810644979</c:v>
                </c:pt>
                <c:pt idx="50">
                  <c:v>-9.3436617288755741</c:v>
                </c:pt>
                <c:pt idx="51">
                  <c:v>-0.17309504926293906</c:v>
                </c:pt>
                <c:pt idx="52">
                  <c:v>-0.17504737969170625</c:v>
                </c:pt>
                <c:pt idx="53">
                  <c:v>-0.17671713472687811</c:v>
                </c:pt>
                <c:pt idx="54">
                  <c:v>-0.17817411467598854</c:v>
                </c:pt>
                <c:pt idx="55">
                  <c:v>-0.17947550510799548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  <c:max val="62094"/>
          <c:min val="42005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v>Constant 1 degree scenario</c:v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#,##0.0</c:formatCode>
                <c:ptCount val="36"/>
                <c:pt idx="1">
                  <c:v>2.016898231393971</c:v>
                </c:pt>
                <c:pt idx="2">
                  <c:v>1.9570724832149722</c:v>
                </c:pt>
                <c:pt idx="3">
                  <c:v>2.0465002902409157</c:v>
                </c:pt>
                <c:pt idx="4">
                  <c:v>2.1339298748144886</c:v>
                </c:pt>
                <c:pt idx="5">
                  <c:v>2.2249520797642308</c:v>
                </c:pt>
                <c:pt idx="6">
                  <c:v>2.321150314365461</c:v>
                </c:pt>
                <c:pt idx="7">
                  <c:v>2.3892596609295991</c:v>
                </c:pt>
                <c:pt idx="8">
                  <c:v>2.4577416520740192</c:v>
                </c:pt>
                <c:pt idx="9">
                  <c:v>2.5145625606175281</c:v>
                </c:pt>
                <c:pt idx="10">
                  <c:v>2.5498066195260405</c:v>
                </c:pt>
                <c:pt idx="11">
                  <c:v>2.62029660958778</c:v>
                </c:pt>
                <c:pt idx="12">
                  <c:v>2.6309347532455396</c:v>
                </c:pt>
                <c:pt idx="13">
                  <c:v>2.6478045583327559</c:v>
                </c:pt>
                <c:pt idx="14">
                  <c:v>2.6540370593813201</c:v>
                </c:pt>
                <c:pt idx="15">
                  <c:v>2.651263380116764</c:v>
                </c:pt>
                <c:pt idx="16">
                  <c:v>2.6413453024342504</c:v>
                </c:pt>
                <c:pt idx="17">
                  <c:v>2.6261576862214975</c:v>
                </c:pt>
                <c:pt idx="18">
                  <c:v>2.6074279502759534</c:v>
                </c:pt>
                <c:pt idx="19">
                  <c:v>2.586646302051343</c:v>
                </c:pt>
                <c:pt idx="20">
                  <c:v>2.5707183906596098</c:v>
                </c:pt>
                <c:pt idx="21">
                  <c:v>2.5275434246605055</c:v>
                </c:pt>
                <c:pt idx="22">
                  <c:v>2.5144861716872802</c:v>
                </c:pt>
                <c:pt idx="23">
                  <c:v>2.4933482966103648</c:v>
                </c:pt>
                <c:pt idx="24">
                  <c:v>2.4752378931613972</c:v>
                </c:pt>
                <c:pt idx="25">
                  <c:v>2.4748811039162266</c:v>
                </c:pt>
                <c:pt idx="26">
                  <c:v>2.4128645975035168</c:v>
                </c:pt>
                <c:pt idx="27">
                  <c:v>2.4032380863608038</c:v>
                </c:pt>
                <c:pt idx="28">
                  <c:v>2.3802615841009844</c:v>
                </c:pt>
                <c:pt idx="29">
                  <c:v>2.3601546416295749</c:v>
                </c:pt>
                <c:pt idx="30">
                  <c:v>2.3438693992108517</c:v>
                </c:pt>
                <c:pt idx="31">
                  <c:v>2.3318134335537755</c:v>
                </c:pt>
                <c:pt idx="32">
                  <c:v>2.323925136924454</c:v>
                </c:pt>
                <c:pt idx="33">
                  <c:v>2.319817165203375</c:v>
                </c:pt>
                <c:pt idx="34">
                  <c:v>2.3189175052987121</c:v>
                </c:pt>
                <c:pt idx="35">
                  <c:v>2.3205828631193803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v>3 degrees scenario</c:v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Données!$C$65:$AL$65</c:f>
              <c:numCache>
                <c:formatCode>#,##0.0</c:formatCode>
                <c:ptCount val="36"/>
                <c:pt idx="1">
                  <c:v>1.3274629251406989</c:v>
                </c:pt>
                <c:pt idx="2">
                  <c:v>1.1352747583183609</c:v>
                </c:pt>
                <c:pt idx="3">
                  <c:v>1.2546612177148475</c:v>
                </c:pt>
                <c:pt idx="4">
                  <c:v>1.4358729313782348</c:v>
                </c:pt>
                <c:pt idx="5">
                  <c:v>1.6508164872039766</c:v>
                </c:pt>
                <c:pt idx="6">
                  <c:v>1.8802924049017511</c:v>
                </c:pt>
                <c:pt idx="7">
                  <c:v>2.0755836649040571</c:v>
                </c:pt>
                <c:pt idx="8">
                  <c:v>2.2584177764430668</c:v>
                </c:pt>
                <c:pt idx="9">
                  <c:v>2.4127614280274656</c:v>
                </c:pt>
                <c:pt idx="10">
                  <c:v>2.5274540882526342</c:v>
                </c:pt>
                <c:pt idx="11">
                  <c:v>2.6643279044657575</c:v>
                </c:pt>
                <c:pt idx="12">
                  <c:v>2.7213163049492506</c:v>
                </c:pt>
                <c:pt idx="13">
                  <c:v>2.7730191949982608</c:v>
                </c:pt>
                <c:pt idx="14">
                  <c:v>2.8037085221455316</c:v>
                </c:pt>
                <c:pt idx="15">
                  <c:v>2.8172925257225145</c:v>
                </c:pt>
                <c:pt idx="16">
                  <c:v>2.820742432698542</c:v>
                </c:pt>
                <c:pt idx="17">
                  <c:v>2.8102874438582726</c:v>
                </c:pt>
                <c:pt idx="18">
                  <c:v>2.7934710260743678</c:v>
                </c:pt>
                <c:pt idx="19">
                  <c:v>2.7715689924177278</c:v>
                </c:pt>
                <c:pt idx="20">
                  <c:v>2.7521836950036738</c:v>
                </c:pt>
                <c:pt idx="21">
                  <c:v>2.7031330094794859</c:v>
                </c:pt>
                <c:pt idx="22">
                  <c:v>2.6841590232124402</c:v>
                </c:pt>
                <c:pt idx="23">
                  <c:v>2.6560018340713754</c:v>
                </c:pt>
                <c:pt idx="24">
                  <c:v>2.6305965315218671</c:v>
                </c:pt>
                <c:pt idx="25">
                  <c:v>2.6228970762230297</c:v>
                </c:pt>
                <c:pt idx="26">
                  <c:v>2.5503171450159456</c:v>
                </c:pt>
                <c:pt idx="27">
                  <c:v>2.5343310249575479</c:v>
                </c:pt>
                <c:pt idx="28">
                  <c:v>2.5047699411912205</c:v>
                </c:pt>
                <c:pt idx="29">
                  <c:v>2.4791111651275122</c:v>
                </c:pt>
                <c:pt idx="30">
                  <c:v>2.4583494266747774</c:v>
                </c:pt>
                <c:pt idx="31">
                  <c:v>2.441930212372645</c:v>
                </c:pt>
                <c:pt idx="32">
                  <c:v>2.4316599594528698</c:v>
                </c:pt>
                <c:pt idx="33">
                  <c:v>2.4260143211842333</c:v>
                </c:pt>
                <c:pt idx="34">
                  <c:v>2.4246231791553274</c:v>
                </c:pt>
                <c:pt idx="35">
                  <c:v>2.4267609850319394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CO2 emissions (MtCO2/y)</a:t>
            </a:r>
          </a:p>
        </c:rich>
      </c:tx>
      <c:layout>
        <c:manualLayout>
          <c:xMode val="edge"/>
          <c:yMode val="edge"/>
          <c:x val="0.2902562701424663"/>
          <c:y val="2.72455102666561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90139843901638717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Données!$C$67:$AL$67</c:f>
              <c:numCache>
                <c:formatCode>#,##0</c:formatCode>
                <c:ptCount val="36"/>
                <c:pt idx="0">
                  <c:v>350.56780099999997</c:v>
                </c:pt>
                <c:pt idx="1">
                  <c:v>352.95129300000002</c:v>
                </c:pt>
                <c:pt idx="2">
                  <c:v>355.06172720000001</c:v>
                </c:pt>
                <c:pt idx="3">
                  <c:v>357.43533389999999</c:v>
                </c:pt>
                <c:pt idx="4">
                  <c:v>360.22980919999998</c:v>
                </c:pt>
                <c:pt idx="5">
                  <c:v>363.44432999999998</c:v>
                </c:pt>
                <c:pt idx="6">
                  <c:v>366.8496323</c:v>
                </c:pt>
                <c:pt idx="7">
                  <c:v>370.46238840000001</c:v>
                </c:pt>
                <c:pt idx="8">
                  <c:v>374.25175089999999</c:v>
                </c:pt>
                <c:pt idx="9">
                  <c:v>378.1786358</c:v>
                </c:pt>
                <c:pt idx="10">
                  <c:v>382.50815039999998</c:v>
                </c:pt>
                <c:pt idx="11">
                  <c:v>386.76306010000002</c:v>
                </c:pt>
                <c:pt idx="12">
                  <c:v>391.01417249999997</c:v>
                </c:pt>
                <c:pt idx="13">
                  <c:v>395.27655600000003</c:v>
                </c:pt>
                <c:pt idx="14">
                  <c:v>399.54966139999999</c:v>
                </c:pt>
                <c:pt idx="15">
                  <c:v>403.83108090000002</c:v>
                </c:pt>
                <c:pt idx="16">
                  <c:v>408.12046359999999</c:v>
                </c:pt>
                <c:pt idx="17">
                  <c:v>412.41994299999999</c:v>
                </c:pt>
                <c:pt idx="18">
                  <c:v>416.73419560000002</c:v>
                </c:pt>
                <c:pt idx="19">
                  <c:v>421.06970310000003</c:v>
                </c:pt>
                <c:pt idx="20">
                  <c:v>425.21727750000002</c:v>
                </c:pt>
                <c:pt idx="21">
                  <c:v>429.5089183</c:v>
                </c:pt>
                <c:pt idx="22">
                  <c:v>433.88625400000001</c:v>
                </c:pt>
                <c:pt idx="23">
                  <c:v>438.33530289999999</c:v>
                </c:pt>
                <c:pt idx="24">
                  <c:v>442.85611499999999</c:v>
                </c:pt>
                <c:pt idx="25">
                  <c:v>446.83546280000002</c:v>
                </c:pt>
                <c:pt idx="26">
                  <c:v>450.90674689999997</c:v>
                </c:pt>
                <c:pt idx="27">
                  <c:v>455.02475879999997</c:v>
                </c:pt>
                <c:pt idx="28">
                  <c:v>459.1837587</c:v>
                </c:pt>
                <c:pt idx="29">
                  <c:v>463.39057889999998</c:v>
                </c:pt>
                <c:pt idx="30">
                  <c:v>467.65443269999997</c:v>
                </c:pt>
                <c:pt idx="31">
                  <c:v>471.98342239999999</c:v>
                </c:pt>
                <c:pt idx="32">
                  <c:v>476.38359070000001</c:v>
                </c:pt>
                <c:pt idx="33">
                  <c:v>480.85870340000002</c:v>
                </c:pt>
                <c:pt idx="34">
                  <c:v>485.41044970000002</c:v>
                </c:pt>
                <c:pt idx="35">
                  <c:v>490.0388246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Données!$C$73:$AL$73</c:f>
              <c:numCache>
                <c:formatCode>#,##0</c:formatCode>
                <c:ptCount val="36"/>
                <c:pt idx="0">
                  <c:v>345.95056140000003</c:v>
                </c:pt>
                <c:pt idx="1">
                  <c:v>346.30684680000002</c:v>
                </c:pt>
                <c:pt idx="2">
                  <c:v>346.8074135</c:v>
                </c:pt>
                <c:pt idx="3">
                  <c:v>347.75810790000003</c:v>
                </c:pt>
                <c:pt idx="4">
                  <c:v>349.33482550000002</c:v>
                </c:pt>
                <c:pt idx="5">
                  <c:v>351.55375700000002</c:v>
                </c:pt>
                <c:pt idx="6">
                  <c:v>354.17438950000002</c:v>
                </c:pt>
                <c:pt idx="7">
                  <c:v>357.17400470000001</c:v>
                </c:pt>
                <c:pt idx="8">
                  <c:v>360.47826789999999</c:v>
                </c:pt>
                <c:pt idx="9">
                  <c:v>364.01000049999999</c:v>
                </c:pt>
                <c:pt idx="10">
                  <c:v>367.98838599999999</c:v>
                </c:pt>
                <c:pt idx="11">
                  <c:v>371.91245989999999</c:v>
                </c:pt>
                <c:pt idx="12">
                  <c:v>375.83453600000001</c:v>
                </c:pt>
                <c:pt idx="13">
                  <c:v>379.75571189999999</c:v>
                </c:pt>
                <c:pt idx="14">
                  <c:v>383.66417689999997</c:v>
                </c:pt>
                <c:pt idx="15">
                  <c:v>387.5491404</c:v>
                </c:pt>
                <c:pt idx="16">
                  <c:v>391.39071130000002</c:v>
                </c:pt>
                <c:pt idx="17">
                  <c:v>395.19492409999998</c:v>
                </c:pt>
                <c:pt idx="18">
                  <c:v>398.96864649999998</c:v>
                </c:pt>
                <c:pt idx="19">
                  <c:v>402.7206046</c:v>
                </c:pt>
                <c:pt idx="20">
                  <c:v>406.25471229999999</c:v>
                </c:pt>
                <c:pt idx="21">
                  <c:v>409.8916931</c:v>
                </c:pt>
                <c:pt idx="22">
                  <c:v>413.5824758</c:v>
                </c:pt>
                <c:pt idx="23">
                  <c:v>417.31881700000002</c:v>
                </c:pt>
                <c:pt idx="24">
                  <c:v>421.1059161</c:v>
                </c:pt>
                <c:pt idx="25">
                  <c:v>424.36888429999999</c:v>
                </c:pt>
                <c:pt idx="26">
                  <c:v>427.71445219999998</c:v>
                </c:pt>
                <c:pt idx="27">
                  <c:v>431.10695240000001</c:v>
                </c:pt>
                <c:pt idx="28">
                  <c:v>434.54468589999999</c:v>
                </c:pt>
                <c:pt idx="29">
                  <c:v>438.03730180000002</c:v>
                </c:pt>
                <c:pt idx="30">
                  <c:v>441.59613899999999</c:v>
                </c:pt>
                <c:pt idx="31">
                  <c:v>445.23300749999999</c:v>
                </c:pt>
                <c:pt idx="32">
                  <c:v>448.95465589999998</c:v>
                </c:pt>
                <c:pt idx="33">
                  <c:v>452.7653459</c:v>
                </c:pt>
                <c:pt idx="34">
                  <c:v>456.66733119999998</c:v>
                </c:pt>
                <c:pt idx="35">
                  <c:v>460.66110179999998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Households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Données!$C$68:$AL$68</c:f>
              <c:numCache>
                <c:formatCode>#,##0</c:formatCode>
                <c:ptCount val="36"/>
                <c:pt idx="0">
                  <c:v>119.490486</c:v>
                </c:pt>
                <c:pt idx="1">
                  <c:v>119.2695946</c:v>
                </c:pt>
                <c:pt idx="2">
                  <c:v>118.6722673</c:v>
                </c:pt>
                <c:pt idx="3">
                  <c:v>118.1256324</c:v>
                </c:pt>
                <c:pt idx="4">
                  <c:v>117.7519503</c:v>
                </c:pt>
                <c:pt idx="5">
                  <c:v>117.55945180000001</c:v>
                </c:pt>
                <c:pt idx="6">
                  <c:v>117.4938138</c:v>
                </c:pt>
                <c:pt idx="7">
                  <c:v>117.5343555</c:v>
                </c:pt>
                <c:pt idx="8">
                  <c:v>117.65840660000001</c:v>
                </c:pt>
                <c:pt idx="9">
                  <c:v>117.8465109</c:v>
                </c:pt>
                <c:pt idx="10">
                  <c:v>118.1288933</c:v>
                </c:pt>
                <c:pt idx="11">
                  <c:v>118.4286261</c:v>
                </c:pt>
                <c:pt idx="12">
                  <c:v>118.7472731</c:v>
                </c:pt>
                <c:pt idx="13">
                  <c:v>119.083034</c:v>
                </c:pt>
                <c:pt idx="14">
                  <c:v>119.4324179</c:v>
                </c:pt>
                <c:pt idx="15">
                  <c:v>119.79169659999999</c:v>
                </c:pt>
                <c:pt idx="16">
                  <c:v>120.15745819999999</c:v>
                </c:pt>
                <c:pt idx="17">
                  <c:v>120.52657019999999</c:v>
                </c:pt>
                <c:pt idx="18">
                  <c:v>120.8966695</c:v>
                </c:pt>
                <c:pt idx="19">
                  <c:v>121.2660879</c:v>
                </c:pt>
                <c:pt idx="20">
                  <c:v>121.6032735</c:v>
                </c:pt>
                <c:pt idx="21">
                  <c:v>121.9509509</c:v>
                </c:pt>
                <c:pt idx="22">
                  <c:v>122.30270160000001</c:v>
                </c:pt>
                <c:pt idx="23">
                  <c:v>122.6552592</c:v>
                </c:pt>
                <c:pt idx="24">
                  <c:v>123.0076612</c:v>
                </c:pt>
                <c:pt idx="25">
                  <c:v>123.2760461</c:v>
                </c:pt>
                <c:pt idx="26">
                  <c:v>123.5407101</c:v>
                </c:pt>
                <c:pt idx="27">
                  <c:v>123.8016434</c:v>
                </c:pt>
                <c:pt idx="28">
                  <c:v>124.05866</c:v>
                </c:pt>
                <c:pt idx="29">
                  <c:v>124.3127605</c:v>
                </c:pt>
                <c:pt idx="30">
                  <c:v>124.5653451</c:v>
                </c:pt>
                <c:pt idx="31">
                  <c:v>124.81781669999999</c:v>
                </c:pt>
                <c:pt idx="32">
                  <c:v>125.0715964</c:v>
                </c:pt>
                <c:pt idx="33">
                  <c:v>125.32804230000001</c:v>
                </c:pt>
                <c:pt idx="34">
                  <c:v>125.58841200000001</c:v>
                </c:pt>
                <c:pt idx="35">
                  <c:v>125.8538408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Households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Données!$C$74:$AL$74</c:f>
              <c:numCache>
                <c:formatCode>#,##0</c:formatCode>
                <c:ptCount val="36"/>
                <c:pt idx="0">
                  <c:v>119.490486</c:v>
                </c:pt>
                <c:pt idx="1">
                  <c:v>119.14151560000001</c:v>
                </c:pt>
                <c:pt idx="2">
                  <c:v>118.2210645</c:v>
                </c:pt>
                <c:pt idx="3">
                  <c:v>117.25862859999999</c:v>
                </c:pt>
                <c:pt idx="4">
                  <c:v>116.44516659999999</c:v>
                </c:pt>
                <c:pt idx="5">
                  <c:v>115.8346245</c:v>
                </c:pt>
                <c:pt idx="6">
                  <c:v>115.39634270000001</c:v>
                </c:pt>
                <c:pt idx="7">
                  <c:v>115.1135963</c:v>
                </c:pt>
                <c:pt idx="8">
                  <c:v>114.95985570000001</c:v>
                </c:pt>
                <c:pt idx="9">
                  <c:v>114.911511</c:v>
                </c:pt>
                <c:pt idx="10">
                  <c:v>114.9914275</c:v>
                </c:pt>
                <c:pt idx="11">
                  <c:v>115.11434490000001</c:v>
                </c:pt>
                <c:pt idx="12">
                  <c:v>115.27963560000001</c:v>
                </c:pt>
                <c:pt idx="13">
                  <c:v>115.4829115</c:v>
                </c:pt>
                <c:pt idx="14">
                  <c:v>115.7172554</c:v>
                </c:pt>
                <c:pt idx="15">
                  <c:v>115.9752069</c:v>
                </c:pt>
                <c:pt idx="16">
                  <c:v>116.2440888</c:v>
                </c:pt>
                <c:pt idx="17">
                  <c:v>116.52071050000001</c:v>
                </c:pt>
                <c:pt idx="18">
                  <c:v>116.8012174</c:v>
                </c:pt>
                <c:pt idx="19">
                  <c:v>117.08205100000001</c:v>
                </c:pt>
                <c:pt idx="20">
                  <c:v>117.3309919</c:v>
                </c:pt>
                <c:pt idx="21">
                  <c:v>117.5882189</c:v>
                </c:pt>
                <c:pt idx="22">
                  <c:v>117.8465752</c:v>
                </c:pt>
                <c:pt idx="23">
                  <c:v>118.1023761</c:v>
                </c:pt>
                <c:pt idx="24">
                  <c:v>118.35453750000001</c:v>
                </c:pt>
                <c:pt idx="25">
                  <c:v>118.5229411</c:v>
                </c:pt>
                <c:pt idx="26">
                  <c:v>118.6873271</c:v>
                </c:pt>
                <c:pt idx="27">
                  <c:v>118.8467052</c:v>
                </c:pt>
                <c:pt idx="28">
                  <c:v>119.0006978</c:v>
                </c:pt>
                <c:pt idx="29">
                  <c:v>119.15050789999999</c:v>
                </c:pt>
                <c:pt idx="30">
                  <c:v>119.2979296</c:v>
                </c:pt>
                <c:pt idx="31">
                  <c:v>119.44617049999999</c:v>
                </c:pt>
                <c:pt idx="32">
                  <c:v>119.5964094</c:v>
                </c:pt>
                <c:pt idx="33">
                  <c:v>119.7501094</c:v>
                </c:pt>
                <c:pt idx="34">
                  <c:v>119.9087949</c:v>
                </c:pt>
                <c:pt idx="35">
                  <c:v>120.07393089999999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226.46007542480001</c:v>
                      </c:pt>
                      <c:pt idx="1">
                        <c:v>227.16533110729998</c:v>
                      </c:pt>
                      <c:pt idx="2">
                        <c:v>228.58634898789998</c:v>
                      </c:pt>
                      <c:pt idx="3">
                        <c:v>230.49947931630001</c:v>
                      </c:pt>
                      <c:pt idx="4">
                        <c:v>232.88965883740002</c:v>
                      </c:pt>
                      <c:pt idx="5">
                        <c:v>235.71913254020001</c:v>
                      </c:pt>
                      <c:pt idx="6">
                        <c:v>238.77804683439999</c:v>
                      </c:pt>
                      <c:pt idx="7">
                        <c:v>242.060408497</c:v>
                      </c:pt>
                      <c:pt idx="8">
                        <c:v>245.51841218950003</c:v>
                      </c:pt>
                      <c:pt idx="9">
                        <c:v>249.0984894504</c:v>
                      </c:pt>
                      <c:pt idx="10">
                        <c:v>252.9969585151</c:v>
                      </c:pt>
                      <c:pt idx="11">
                        <c:v>256.79811496600001</c:v>
                      </c:pt>
                      <c:pt idx="12">
                        <c:v>260.5549003452</c:v>
                      </c:pt>
                      <c:pt idx="13">
                        <c:v>264.27280038629999</c:v>
                      </c:pt>
                      <c:pt idx="14">
                        <c:v>267.94692156479999</c:v>
                      </c:pt>
                      <c:pt idx="15">
                        <c:v>271.5739333642</c:v>
                      </c:pt>
                      <c:pt idx="16">
                        <c:v>275.14662252840003</c:v>
                      </c:pt>
                      <c:pt idx="17">
                        <c:v>278.67421364250004</c:v>
                      </c:pt>
                      <c:pt idx="18">
                        <c:v>282.1674290903</c:v>
                      </c:pt>
                      <c:pt idx="19">
                        <c:v>285.63855360369996</c:v>
                      </c:pt>
                      <c:pt idx="20">
                        <c:v>288.92372036090001</c:v>
                      </c:pt>
                      <c:pt idx="21">
                        <c:v>292.30347426769998</c:v>
                      </c:pt>
                      <c:pt idx="22">
                        <c:v>295.73590061220006</c:v>
                      </c:pt>
                      <c:pt idx="23">
                        <c:v>299.21644084349998</c:v>
                      </c:pt>
                      <c:pt idx="24">
                        <c:v>302.75137855949998</c:v>
                      </c:pt>
                      <c:pt idx="25">
                        <c:v>305.84594315530001</c:v>
                      </c:pt>
                      <c:pt idx="26">
                        <c:v>309.02712507600006</c:v>
                      </c:pt>
                      <c:pt idx="27">
                        <c:v>312.26024713500004</c:v>
                      </c:pt>
                      <c:pt idx="28">
                        <c:v>315.54398798199998</c:v>
                      </c:pt>
                      <c:pt idx="29">
                        <c:v>318.88679399440002</c:v>
                      </c:pt>
                      <c:pt idx="30">
                        <c:v>322.29820943430002</c:v>
                      </c:pt>
                      <c:pt idx="31">
                        <c:v>325.78683699009997</c:v>
                      </c:pt>
                      <c:pt idx="32">
                        <c:v>329.35824644759998</c:v>
                      </c:pt>
                      <c:pt idx="33">
                        <c:v>333.01523644219998</c:v>
                      </c:pt>
                      <c:pt idx="34">
                        <c:v>336.75853634239996</c:v>
                      </c:pt>
                      <c:pt idx="35">
                        <c:v>340.58717091310001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231.07731508809999</c:v>
                      </c:pt>
                      <c:pt idx="1">
                        <c:v>233.6816983654</c:v>
                      </c:pt>
                      <c:pt idx="2">
                        <c:v>236.38945989219999</c:v>
                      </c:pt>
                      <c:pt idx="3">
                        <c:v>239.30970145330002</c:v>
                      </c:pt>
                      <c:pt idx="4">
                        <c:v>242.47785881990001</c:v>
                      </c:pt>
                      <c:pt idx="5">
                        <c:v>245.8848781017</c:v>
                      </c:pt>
                      <c:pt idx="6">
                        <c:v>249.35581848450002</c:v>
                      </c:pt>
                      <c:pt idx="7">
                        <c:v>252.9280329334</c:v>
                      </c:pt>
                      <c:pt idx="8">
                        <c:v>256.59334429749998</c:v>
                      </c:pt>
                      <c:pt idx="9">
                        <c:v>260.33212493579998</c:v>
                      </c:pt>
                      <c:pt idx="10">
                        <c:v>264.37925713559997</c:v>
                      </c:pt>
                      <c:pt idx="11">
                        <c:v>268.33443394749997</c:v>
                      </c:pt>
                      <c:pt idx="12">
                        <c:v>272.26689945920003</c:v>
                      </c:pt>
                      <c:pt idx="13">
                        <c:v>276.19352206980005</c:v>
                      </c:pt>
                      <c:pt idx="14">
                        <c:v>280.11724355789994</c:v>
                      </c:pt>
                      <c:pt idx="15">
                        <c:v>284.03938426100001</c:v>
                      </c:pt>
                      <c:pt idx="16">
                        <c:v>287.96300535950002</c:v>
                      </c:pt>
                      <c:pt idx="17">
                        <c:v>291.89337276139997</c:v>
                      </c:pt>
                      <c:pt idx="18">
                        <c:v>295.8375261617</c:v>
                      </c:pt>
                      <c:pt idx="19">
                        <c:v>299.80361514239996</c:v>
                      </c:pt>
                      <c:pt idx="20">
                        <c:v>303.61400405030003</c:v>
                      </c:pt>
                      <c:pt idx="21">
                        <c:v>307.5579673702</c:v>
                      </c:pt>
                      <c:pt idx="22">
                        <c:v>311.58355236790004</c:v>
                      </c:pt>
                      <c:pt idx="23">
                        <c:v>315.68004378399996</c:v>
                      </c:pt>
                      <c:pt idx="24">
                        <c:v>319.84845371839998</c:v>
                      </c:pt>
                      <c:pt idx="25">
                        <c:v>323.5594167077</c:v>
                      </c:pt>
                      <c:pt idx="26">
                        <c:v>327.36603673000002</c:v>
                      </c:pt>
                      <c:pt idx="27">
                        <c:v>331.22311549889997</c:v>
                      </c:pt>
                      <c:pt idx="28">
                        <c:v>335.12509862490003</c:v>
                      </c:pt>
                      <c:pt idx="29">
                        <c:v>339.07781847929999</c:v>
                      </c:pt>
                      <c:pt idx="30">
                        <c:v>343.0890875975</c:v>
                      </c:pt>
                      <c:pt idx="31">
                        <c:v>347.16560567599998</c:v>
                      </c:pt>
                      <c:pt idx="32">
                        <c:v>351.31199430530006</c:v>
                      </c:pt>
                      <c:pt idx="33">
                        <c:v>355.5306610746</c:v>
                      </c:pt>
                      <c:pt idx="34">
                        <c:v>359.82203770639995</c:v>
                      </c:pt>
                      <c:pt idx="35">
                        <c:v>364.18498377110001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Données!$B$473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Données!$C$473:$AL$473</c:f>
              <c:numCache>
                <c:formatCode>0.0%</c:formatCode>
                <c:ptCount val="36"/>
                <c:pt idx="0">
                  <c:v>-1.0511694985017286E-3</c:v>
                </c:pt>
                <c:pt idx="1">
                  <c:v>-1.3146772799242439E-3</c:v>
                </c:pt>
                <c:pt idx="2">
                  <c:v>-1.4241986941707755E-3</c:v>
                </c:pt>
                <c:pt idx="3">
                  <c:v>-1.4939832768313774E-3</c:v>
                </c:pt>
                <c:pt idx="4">
                  <c:v>-1.5491788369231291E-3</c:v>
                </c:pt>
                <c:pt idx="5">
                  <c:v>-1.5985291588888567E-3</c:v>
                </c:pt>
                <c:pt idx="6">
                  <c:v>-1.6473720726199075E-3</c:v>
                </c:pt>
                <c:pt idx="7">
                  <c:v>-1.6980246616653187E-3</c:v>
                </c:pt>
                <c:pt idx="8">
                  <c:v>-1.751722116984863E-3</c:v>
                </c:pt>
                <c:pt idx="9">
                  <c:v>-1.8089529687424547E-3</c:v>
                </c:pt>
                <c:pt idx="10">
                  <c:v>-1.8703601206811488E-3</c:v>
                </c:pt>
                <c:pt idx="11">
                  <c:v>-1.9384431201712974E-3</c:v>
                </c:pt>
                <c:pt idx="12">
                  <c:v>-2.0105821865781313E-3</c:v>
                </c:pt>
                <c:pt idx="13">
                  <c:v>-2.0861320180033719E-3</c:v>
                </c:pt>
                <c:pt idx="14">
                  <c:v>-2.1649240500871414E-3</c:v>
                </c:pt>
                <c:pt idx="15">
                  <c:v>-2.2468939908338306E-3</c:v>
                </c:pt>
                <c:pt idx="16">
                  <c:v>-2.3356191006779757E-3</c:v>
                </c:pt>
                <c:pt idx="17">
                  <c:v>-2.42788243241901E-3</c:v>
                </c:pt>
                <c:pt idx="18">
                  <c:v>-2.5228362157664586E-3</c:v>
                </c:pt>
                <c:pt idx="19">
                  <c:v>-2.6199741175180966E-3</c:v>
                </c:pt>
                <c:pt idx="20">
                  <c:v>-2.7182925423274986E-3</c:v>
                </c:pt>
                <c:pt idx="21">
                  <c:v>-2.8181917172800629E-3</c:v>
                </c:pt>
                <c:pt idx="22">
                  <c:v>-2.9185188187760311E-3</c:v>
                </c:pt>
                <c:pt idx="23">
                  <c:v>-3.0186356792396177E-3</c:v>
                </c:pt>
                <c:pt idx="24">
                  <c:v>-3.1179996514882798E-3</c:v>
                </c:pt>
                <c:pt idx="25">
                  <c:v>-3.2145963433881379E-3</c:v>
                </c:pt>
                <c:pt idx="26">
                  <c:v>-3.3093588239224109E-3</c:v>
                </c:pt>
                <c:pt idx="27">
                  <c:v>-3.4021590288569287E-3</c:v>
                </c:pt>
                <c:pt idx="28">
                  <c:v>-3.4928142529296997E-3</c:v>
                </c:pt>
                <c:pt idx="29">
                  <c:v>-3.5811721699440836E-3</c:v>
                </c:pt>
                <c:pt idx="30">
                  <c:v>-3.6671401045764718E-3</c:v>
                </c:pt>
                <c:pt idx="31">
                  <c:v>-3.7500088143434464E-3</c:v>
                </c:pt>
                <c:pt idx="32">
                  <c:v>-3.8303287215923597E-3</c:v>
                </c:pt>
                <c:pt idx="33">
                  <c:v>-3.9082348810902875E-3</c:v>
                </c:pt>
                <c:pt idx="34">
                  <c:v>-3.9838096210845697E-3</c:v>
                </c:pt>
                <c:pt idx="35">
                  <c:v>-4.0571472466438127E-3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Données!$B$474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Données!$C$474:$AL$474</c:f>
              <c:numCache>
                <c:formatCode>0.0%</c:formatCode>
                <c:ptCount val="36"/>
                <c:pt idx="0">
                  <c:v>-4.2564543722189629E-3</c:v>
                </c:pt>
                <c:pt idx="1">
                  <c:v>-5.7790714510522912E-3</c:v>
                </c:pt>
                <c:pt idx="2">
                  <c:v>-7.0240096572718414E-3</c:v>
                </c:pt>
                <c:pt idx="3">
                  <c:v>-8.2026921929080256E-3</c:v>
                </c:pt>
                <c:pt idx="4">
                  <c:v>-9.2758043278525614E-3</c:v>
                </c:pt>
                <c:pt idx="5">
                  <c:v>-1.0205904919049991E-2</c:v>
                </c:pt>
                <c:pt idx="6">
                  <c:v>-1.0986638468056413E-2</c:v>
                </c:pt>
                <c:pt idx="7">
                  <c:v>-1.1627430265101447E-2</c:v>
                </c:pt>
                <c:pt idx="8">
                  <c:v>-1.2145090289335268E-2</c:v>
                </c:pt>
                <c:pt idx="9">
                  <c:v>-1.2556191114998658E-2</c:v>
                </c:pt>
                <c:pt idx="10">
                  <c:v>-1.2875538848458113E-2</c:v>
                </c:pt>
                <c:pt idx="11">
                  <c:v>-1.3136586614356077E-2</c:v>
                </c:pt>
                <c:pt idx="12">
                  <c:v>-1.3346381161602789E-2</c:v>
                </c:pt>
                <c:pt idx="13">
                  <c:v>-1.3518308819757645E-2</c:v>
                </c:pt>
                <c:pt idx="14">
                  <c:v>-1.3666988520827528E-2</c:v>
                </c:pt>
                <c:pt idx="15">
                  <c:v>-1.3806215632539252E-2</c:v>
                </c:pt>
                <c:pt idx="16">
                  <c:v>-1.396081868163083E-2</c:v>
                </c:pt>
                <c:pt idx="17">
                  <c:v>-1.4132160251460074E-2</c:v>
                </c:pt>
                <c:pt idx="18">
                  <c:v>-1.4324726885123889E-2</c:v>
                </c:pt>
                <c:pt idx="19">
                  <c:v>-1.4541709283602006E-2</c:v>
                </c:pt>
                <c:pt idx="20">
                  <c:v>-1.4784967582323668E-2</c:v>
                </c:pt>
                <c:pt idx="21">
                  <c:v>-1.5052311792777332E-2</c:v>
                </c:pt>
                <c:pt idx="22">
                  <c:v>-1.5340977778017037E-2</c:v>
                </c:pt>
                <c:pt idx="23">
                  <c:v>-1.564795092660853E-2</c:v>
                </c:pt>
                <c:pt idx="24">
                  <c:v>-1.5969547134886491E-2</c:v>
                </c:pt>
                <c:pt idx="25">
                  <c:v>-1.630258960127141E-2</c:v>
                </c:pt>
                <c:pt idx="26">
                  <c:v>-1.6638383930849834E-2</c:v>
                </c:pt>
                <c:pt idx="27">
                  <c:v>-1.6973495376077178E-2</c:v>
                </c:pt>
                <c:pt idx="28">
                  <c:v>-1.7304849414199519E-2</c:v>
                </c:pt>
                <c:pt idx="29">
                  <c:v>-1.7629627849587298E-2</c:v>
                </c:pt>
                <c:pt idx="30">
                  <c:v>-1.7945476485119266E-2</c:v>
                </c:pt>
                <c:pt idx="31">
                  <c:v>-1.824848313547215E-2</c:v>
                </c:pt>
                <c:pt idx="32">
                  <c:v>-1.8538279899501329E-2</c:v>
                </c:pt>
                <c:pt idx="33">
                  <c:v>-1.8814028983475239E-2</c:v>
                </c:pt>
                <c:pt idx="34">
                  <c:v>-1.9074939175010394E-2</c:v>
                </c:pt>
                <c:pt idx="35">
                  <c:v>-1.9320418777154718E-2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Données!$B$475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Données!$C$475:$AL$475</c:f>
              <c:numCache>
                <c:formatCode>0.0%</c:formatCode>
                <c:ptCount val="36"/>
                <c:pt idx="0">
                  <c:v>-3.2720276205186441E-3</c:v>
                </c:pt>
                <c:pt idx="1">
                  <c:v>-4.3865676427693656E-3</c:v>
                </c:pt>
                <c:pt idx="2">
                  <c:v>-5.4077012431352758E-3</c:v>
                </c:pt>
                <c:pt idx="3">
                  <c:v>-6.3817717310904768E-3</c:v>
                </c:pt>
                <c:pt idx="4">
                  <c:v>-7.2201926107876742E-3</c:v>
                </c:pt>
                <c:pt idx="5">
                  <c:v>-7.8749374106352743E-3</c:v>
                </c:pt>
                <c:pt idx="6">
                  <c:v>-8.3448194714745329E-3</c:v>
                </c:pt>
                <c:pt idx="7">
                  <c:v>-8.6636304717274126E-3</c:v>
                </c:pt>
                <c:pt idx="8">
                  <c:v>-8.8748608232230488E-3</c:v>
                </c:pt>
                <c:pt idx="9">
                  <c:v>-9.0153953755847515E-3</c:v>
                </c:pt>
                <c:pt idx="10">
                  <c:v>-9.1164118688421333E-3</c:v>
                </c:pt>
                <c:pt idx="11">
                  <c:v>-9.2102867447868674E-3</c:v>
                </c:pt>
                <c:pt idx="12">
                  <c:v>-9.3071840906729965E-3</c:v>
                </c:pt>
                <c:pt idx="13">
                  <c:v>-9.4163249381515358E-3</c:v>
                </c:pt>
                <c:pt idx="14">
                  <c:v>-9.5439821657852045E-3</c:v>
                </c:pt>
                <c:pt idx="15">
                  <c:v>-9.6934577998604009E-3</c:v>
                </c:pt>
                <c:pt idx="16">
                  <c:v>-9.8760939294563338E-3</c:v>
                </c:pt>
                <c:pt idx="17">
                  <c:v>-1.0084125603921907E-2</c:v>
                </c:pt>
                <c:pt idx="18">
                  <c:v>-1.0313572727480293E-2</c:v>
                </c:pt>
                <c:pt idx="19">
                  <c:v>-1.0561159439395493E-2</c:v>
                </c:pt>
                <c:pt idx="20">
                  <c:v>-1.082279384034807E-2</c:v>
                </c:pt>
                <c:pt idx="21">
                  <c:v>-1.1096472028682653E-2</c:v>
                </c:pt>
                <c:pt idx="22">
                  <c:v>-1.1377750821908254E-2</c:v>
                </c:pt>
                <c:pt idx="23">
                  <c:v>-1.1663306218755715E-2</c:v>
                </c:pt>
                <c:pt idx="24">
                  <c:v>-1.1950118166237273E-2</c:v>
                </c:pt>
                <c:pt idx="25">
                  <c:v>-1.2232768091847028E-2</c:v>
                </c:pt>
                <c:pt idx="26">
                  <c:v>-1.2509771892324106E-2</c:v>
                </c:pt>
                <c:pt idx="27">
                  <c:v>-1.2779548536690777E-2</c:v>
                </c:pt>
                <c:pt idx="28">
                  <c:v>-1.3040782977284712E-2</c:v>
                </c:pt>
                <c:pt idx="29">
                  <c:v>-1.3292234014508525E-2</c:v>
                </c:pt>
                <c:pt idx="30">
                  <c:v>-1.3532978880145867E-2</c:v>
                </c:pt>
                <c:pt idx="31">
                  <c:v>-1.3760902792390605E-2</c:v>
                </c:pt>
                <c:pt idx="32">
                  <c:v>-1.39767505421162E-2</c:v>
                </c:pt>
                <c:pt idx="33">
                  <c:v>-1.4180766012960113E-2</c:v>
                </c:pt>
                <c:pt idx="34">
                  <c:v>-1.4373077175816254E-2</c:v>
                </c:pt>
                <c:pt idx="35">
                  <c:v>-1.4553857060527827E-2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Données!$B$476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Données!$C$476:$AL$476</c:f>
              <c:numCache>
                <c:formatCode>0.0%</c:formatCode>
                <c:ptCount val="36"/>
                <c:pt idx="0">
                  <c:v>-3.734886380669513E-3</c:v>
                </c:pt>
                <c:pt idx="1">
                  <c:v>-5.4037640284246352E-3</c:v>
                </c:pt>
                <c:pt idx="2">
                  <c:v>-6.6917782226540616E-3</c:v>
                </c:pt>
                <c:pt idx="3">
                  <c:v>-7.6731550908803762E-3</c:v>
                </c:pt>
                <c:pt idx="4">
                  <c:v>-8.3316893733284113E-3</c:v>
                </c:pt>
                <c:pt idx="5">
                  <c:v>-8.6930713627132398E-3</c:v>
                </c:pt>
                <c:pt idx="6">
                  <c:v>-8.822637825297127E-3</c:v>
                </c:pt>
                <c:pt idx="7">
                  <c:v>-8.793806380312583E-3</c:v>
                </c:pt>
                <c:pt idx="8">
                  <c:v>-8.6768637480399424E-3</c:v>
                </c:pt>
                <c:pt idx="9">
                  <c:v>-8.5308460540082925E-3</c:v>
                </c:pt>
                <c:pt idx="10">
                  <c:v>-8.4009171920713804E-3</c:v>
                </c:pt>
                <c:pt idx="11">
                  <c:v>-8.3311850267852525E-3</c:v>
                </c:pt>
                <c:pt idx="12">
                  <c:v>-8.3370962357549334E-3</c:v>
                </c:pt>
                <c:pt idx="13">
                  <c:v>-8.4258793924451673E-3</c:v>
                </c:pt>
                <c:pt idx="14">
                  <c:v>-8.5985562712254139E-3</c:v>
                </c:pt>
                <c:pt idx="15">
                  <c:v>-8.8509393759169681E-3</c:v>
                </c:pt>
                <c:pt idx="16">
                  <c:v>-9.1866475738567478E-3</c:v>
                </c:pt>
                <c:pt idx="17">
                  <c:v>-9.5924417221245339E-3</c:v>
                </c:pt>
                <c:pt idx="18">
                  <c:v>-1.0054525622081097E-2</c:v>
                </c:pt>
                <c:pt idx="19">
                  <c:v>-1.0560078468527353E-2</c:v>
                </c:pt>
                <c:pt idx="20">
                  <c:v>-1.1097219976760896E-2</c:v>
                </c:pt>
                <c:pt idx="21">
                  <c:v>-1.165616265240259E-2</c:v>
                </c:pt>
                <c:pt idx="22">
                  <c:v>-1.2226588364454232E-2</c:v>
                </c:pt>
                <c:pt idx="23">
                  <c:v>-1.2801607278384683E-2</c:v>
                </c:pt>
                <c:pt idx="24">
                  <c:v>-1.3375462956050594E-2</c:v>
                </c:pt>
                <c:pt idx="25">
                  <c:v>-1.3942542209574698E-2</c:v>
                </c:pt>
                <c:pt idx="26">
                  <c:v>-1.4497694172811989E-2</c:v>
                </c:pt>
                <c:pt idx="27">
                  <c:v>-1.503607700609194E-2</c:v>
                </c:pt>
                <c:pt idx="28">
                  <c:v>-1.555739485095539E-2</c:v>
                </c:pt>
                <c:pt idx="29">
                  <c:v>-1.6061804480020297E-2</c:v>
                </c:pt>
                <c:pt idx="30">
                  <c:v>-1.6549850530468934E-2</c:v>
                </c:pt>
                <c:pt idx="31">
                  <c:v>-1.7020781224928103E-2</c:v>
                </c:pt>
                <c:pt idx="32">
                  <c:v>-1.7475705649793154E-2</c:v>
                </c:pt>
                <c:pt idx="33">
                  <c:v>-1.7916274215087624E-2</c:v>
                </c:pt>
                <c:pt idx="34">
                  <c:v>-1.8344045652623091E-2</c:v>
                </c:pt>
                <c:pt idx="35">
                  <c:v>-1.8760472431797869E-2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Données!$B$477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Données!$C$477:$AL$477</c:f>
              <c:numCache>
                <c:formatCode>0.0%</c:formatCode>
                <c:ptCount val="36"/>
                <c:pt idx="0">
                  <c:v>-2.5059545392069373E-3</c:v>
                </c:pt>
                <c:pt idx="1">
                  <c:v>-3.5003050062450232E-3</c:v>
                </c:pt>
                <c:pt idx="2">
                  <c:v>-4.1144596099157429E-3</c:v>
                </c:pt>
                <c:pt idx="3">
                  <c:v>-4.5529639387315952E-3</c:v>
                </c:pt>
                <c:pt idx="4">
                  <c:v>-4.8750212079989412E-3</c:v>
                </c:pt>
                <c:pt idx="5">
                  <c:v>-5.1120826900887704E-3</c:v>
                </c:pt>
                <c:pt idx="6">
                  <c:v>-5.2944863619642192E-3</c:v>
                </c:pt>
                <c:pt idx="7">
                  <c:v>-5.4440518910054952E-3</c:v>
                </c:pt>
                <c:pt idx="8">
                  <c:v>-5.5784486103488832E-3</c:v>
                </c:pt>
                <c:pt idx="9">
                  <c:v>-5.710971997488822E-3</c:v>
                </c:pt>
                <c:pt idx="10">
                  <c:v>-5.8552985009306547E-3</c:v>
                </c:pt>
                <c:pt idx="11">
                  <c:v>-6.0279149163773365E-3</c:v>
                </c:pt>
                <c:pt idx="12">
                  <c:v>-6.2251768949984692E-3</c:v>
                </c:pt>
                <c:pt idx="13">
                  <c:v>-6.445076312109237E-3</c:v>
                </c:pt>
                <c:pt idx="14">
                  <c:v>-6.6859419595264027E-3</c:v>
                </c:pt>
                <c:pt idx="15">
                  <c:v>-6.945874522028243E-3</c:v>
                </c:pt>
                <c:pt idx="16">
                  <c:v>-7.2359606234610446E-3</c:v>
                </c:pt>
                <c:pt idx="17">
                  <c:v>-7.5443293597153988E-3</c:v>
                </c:pt>
                <c:pt idx="18">
                  <c:v>-7.8658194676592165E-3</c:v>
                </c:pt>
                <c:pt idx="19">
                  <c:v>-8.1969517005868256E-3</c:v>
                </c:pt>
                <c:pt idx="20">
                  <c:v>-8.533617785032404E-3</c:v>
                </c:pt>
                <c:pt idx="21">
                  <c:v>-8.8757171303957185E-3</c:v>
                </c:pt>
                <c:pt idx="22">
                  <c:v>-9.2197844903661955E-3</c:v>
                </c:pt>
                <c:pt idx="23">
                  <c:v>-9.5638555445407263E-3</c:v>
                </c:pt>
                <c:pt idx="24">
                  <c:v>-9.9063123690533231E-3</c:v>
                </c:pt>
                <c:pt idx="25">
                  <c:v>-1.0241293564783911E-2</c:v>
                </c:pt>
                <c:pt idx="26">
                  <c:v>-1.0569836811272375E-2</c:v>
                </c:pt>
                <c:pt idx="27">
                  <c:v>-1.0892172986148219E-2</c:v>
                </c:pt>
                <c:pt idx="28">
                  <c:v>-1.1208390644907357E-2</c:v>
                </c:pt>
                <c:pt idx="29">
                  <c:v>-1.1518423337912717E-2</c:v>
                </c:pt>
                <c:pt idx="30">
                  <c:v>-1.1822297429793762E-2</c:v>
                </c:pt>
                <c:pt idx="31">
                  <c:v>-1.211731063094695E-2</c:v>
                </c:pt>
                <c:pt idx="32">
                  <c:v>-1.2405097268748335E-2</c:v>
                </c:pt>
                <c:pt idx="33">
                  <c:v>-1.2686267851185734E-2</c:v>
                </c:pt>
                <c:pt idx="34">
                  <c:v>-1.2961241889443765E-2</c:v>
                </c:pt>
                <c:pt idx="35">
                  <c:v>-1.3230410078528439E-2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Données!$B$472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Données!$C$472:$AL$472</c:f>
              <c:numCache>
                <c:formatCode>0.0%</c:formatCode>
                <c:ptCount val="36"/>
                <c:pt idx="0">
                  <c:v>-1.4820492319320144E-2</c:v>
                </c:pt>
                <c:pt idx="1">
                  <c:v>-2.0384385311726594E-2</c:v>
                </c:pt>
                <c:pt idx="2">
                  <c:v>-2.4662147242812904E-2</c:v>
                </c:pt>
                <c:pt idx="3">
                  <c:v>-2.8304566269730214E-2</c:v>
                </c:pt>
                <c:pt idx="4">
                  <c:v>-3.125188636948939E-2</c:v>
                </c:pt>
                <c:pt idx="5">
                  <c:v>-3.3484525409310795E-2</c:v>
                </c:pt>
                <c:pt idx="6">
                  <c:v>-3.5095954171695865E-2</c:v>
                </c:pt>
                <c:pt idx="7">
                  <c:v>-3.6226943889530627E-2</c:v>
                </c:pt>
                <c:pt idx="8">
                  <c:v>-3.702698585422326E-2</c:v>
                </c:pt>
                <c:pt idx="9">
                  <c:v>-3.7622357706345699E-2</c:v>
                </c:pt>
                <c:pt idx="10">
                  <c:v>-3.8118526495235949E-2</c:v>
                </c:pt>
                <c:pt idx="11">
                  <c:v>-3.8644416050598096E-2</c:v>
                </c:pt>
                <c:pt idx="12">
                  <c:v>-3.922642047838365E-2</c:v>
                </c:pt>
                <c:pt idx="13">
                  <c:v>-3.9891721531696844E-2</c:v>
                </c:pt>
                <c:pt idx="14">
                  <c:v>-4.0660393104942738E-2</c:v>
                </c:pt>
                <c:pt idx="15">
                  <c:v>-4.1543381228761778E-2</c:v>
                </c:pt>
                <c:pt idx="16">
                  <c:v>-4.2595139685818184E-2</c:v>
                </c:pt>
                <c:pt idx="17">
                  <c:v>-4.3780939548405562E-2</c:v>
                </c:pt>
                <c:pt idx="18">
                  <c:v>-4.5081481071058804E-2</c:v>
                </c:pt>
                <c:pt idx="19">
                  <c:v>-4.6479872973694603E-2</c:v>
                </c:pt>
                <c:pt idx="20">
                  <c:v>-4.7956891759321163E-2</c:v>
                </c:pt>
                <c:pt idx="21">
                  <c:v>-4.9498855405466502E-2</c:v>
                </c:pt>
                <c:pt idx="22">
                  <c:v>-5.108362016752388E-2</c:v>
                </c:pt>
                <c:pt idx="23">
                  <c:v>-5.2695355889771256E-2</c:v>
                </c:pt>
                <c:pt idx="24">
                  <c:v>-5.4319440571032329E-2</c:v>
                </c:pt>
                <c:pt idx="25">
                  <c:v>-5.5933789497114472E-2</c:v>
                </c:pt>
                <c:pt idx="26">
                  <c:v>-5.7525045607653813E-2</c:v>
                </c:pt>
                <c:pt idx="27">
                  <c:v>-5.9083452815719251E-2</c:v>
                </c:pt>
                <c:pt idx="28">
                  <c:v>-6.0604232145581527E-2</c:v>
                </c:pt>
                <c:pt idx="29">
                  <c:v>-6.2083262013649998E-2</c:v>
                </c:pt>
                <c:pt idx="30">
                  <c:v>-6.351774355629658E-2</c:v>
                </c:pt>
                <c:pt idx="31">
                  <c:v>-6.4897486715699948E-2</c:v>
                </c:pt>
                <c:pt idx="32">
                  <c:v>-6.6226162112076215E-2</c:v>
                </c:pt>
                <c:pt idx="33">
                  <c:v>-6.7505571669022046E-2</c:v>
                </c:pt>
                <c:pt idx="34">
                  <c:v>-6.8737113731829336E-2</c:v>
                </c:pt>
                <c:pt idx="35">
                  <c:v>-6.9922305665582551E-2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9274551549754362E-2"/>
          <c:y val="0.83157658690065972"/>
          <c:w val="0.91015582410303764"/>
          <c:h val="0.155849883942365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Net energy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Données!$B$527</c:f>
              <c:strCache>
                <c:ptCount val="1"/>
                <c:pt idx="0">
                  <c:v>Households' consumption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Données!$C$527:$AL$527</c:f>
              <c:numCache>
                <c:formatCode>0%</c:formatCode>
                <c:ptCount val="36"/>
                <c:pt idx="0">
                  <c:v>0</c:v>
                </c:pt>
                <c:pt idx="1">
                  <c:v>-1.1882336293315991E-4</c:v>
                </c:pt>
                <c:pt idx="2">
                  <c:v>-1.1385790977209481E-3</c:v>
                </c:pt>
                <c:pt idx="3">
                  <c:v>-2.5685141771614336E-3</c:v>
                </c:pt>
                <c:pt idx="4">
                  <c:v>-4.0955334528810202E-3</c:v>
                </c:pt>
                <c:pt idx="5">
                  <c:v>-5.5293398010267678E-3</c:v>
                </c:pt>
                <c:pt idx="6">
                  <c:v>-6.7859008652497244E-3</c:v>
                </c:pt>
                <c:pt idx="7">
                  <c:v>-7.8521900722165871E-3</c:v>
                </c:pt>
                <c:pt idx="8">
                  <c:v>-8.7473065249432033E-3</c:v>
                </c:pt>
                <c:pt idx="9">
                  <c:v>-9.4929141955389061E-3</c:v>
                </c:pt>
                <c:pt idx="10">
                  <c:v>-1.0108951628016585E-2</c:v>
                </c:pt>
                <c:pt idx="11">
                  <c:v>-1.0646191233647273E-2</c:v>
                </c:pt>
                <c:pt idx="12">
                  <c:v>-1.1107061673491139E-2</c:v>
                </c:pt>
                <c:pt idx="13">
                  <c:v>-1.1501889121277933E-2</c:v>
                </c:pt>
                <c:pt idx="14">
                  <c:v>-1.1843459066768067E-2</c:v>
                </c:pt>
                <c:pt idx="15">
                  <c:v>-1.2144170904011849E-2</c:v>
                </c:pt>
                <c:pt idx="16">
                  <c:v>-1.2436747497558303E-2</c:v>
                </c:pt>
                <c:pt idx="17">
                  <c:v>-1.2717234081592615E-2</c:v>
                </c:pt>
                <c:pt idx="18">
                  <c:v>-1.2987526007491363E-2</c:v>
                </c:pt>
                <c:pt idx="19">
                  <c:v>-1.3251281618948074E-2</c:v>
                </c:pt>
                <c:pt idx="20">
                  <c:v>-1.351542144590063E-2</c:v>
                </c:pt>
                <c:pt idx="21">
                  <c:v>-1.3775378204839621E-2</c:v>
                </c:pt>
                <c:pt idx="22">
                  <c:v>-1.4035083461272222E-2</c:v>
                </c:pt>
                <c:pt idx="23">
                  <c:v>-1.4295758370777E-2</c:v>
                </c:pt>
                <c:pt idx="24">
                  <c:v>-1.4557413338443867E-2</c:v>
                </c:pt>
                <c:pt idx="25">
                  <c:v>-1.4829069924468819E-2</c:v>
                </c:pt>
                <c:pt idx="26">
                  <c:v>-1.508772663905791E-2</c:v>
                </c:pt>
                <c:pt idx="27">
                  <c:v>-1.5341314409904439E-2</c:v>
                </c:pt>
                <c:pt idx="28">
                  <c:v>-1.5591978026069531E-2</c:v>
                </c:pt>
                <c:pt idx="29">
                  <c:v>-1.5839794445928108E-2</c:v>
                </c:pt>
                <c:pt idx="30">
                  <c:v>-1.6084229484638019E-2</c:v>
                </c:pt>
                <c:pt idx="31">
                  <c:v>-1.632000323131455E-2</c:v>
                </c:pt>
                <c:pt idx="32">
                  <c:v>-1.6548899750361751E-2</c:v>
                </c:pt>
                <c:pt idx="33">
                  <c:v>-1.6771375590939955E-2</c:v>
                </c:pt>
                <c:pt idx="34">
                  <c:v>-1.6987333192783949E-2</c:v>
                </c:pt>
                <c:pt idx="35">
                  <c:v>-1.7196502111619875E-2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Données!$B$528</c:f>
              <c:strCache>
                <c:ptCount val="1"/>
                <c:pt idx="0">
                  <c:v>Firms' consumption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Données!$C$528:$AL$528</c:f>
              <c:numCache>
                <c:formatCode>0%</c:formatCode>
                <c:ptCount val="36"/>
                <c:pt idx="0">
                  <c:v>-3.1176892218702883E-2</c:v>
                </c:pt>
                <c:pt idx="1">
                  <c:v>-4.1895759987513534E-2</c:v>
                </c:pt>
                <c:pt idx="2">
                  <c:v>-4.826698562036659E-2</c:v>
                </c:pt>
                <c:pt idx="3">
                  <c:v>-5.2966085772377561E-2</c:v>
                </c:pt>
                <c:pt idx="4">
                  <c:v>-5.6423552094287489E-2</c:v>
                </c:pt>
                <c:pt idx="5">
                  <c:v>-5.8832282608351189E-2</c:v>
                </c:pt>
                <c:pt idx="6">
                  <c:v>-6.0435341819663715E-2</c:v>
                </c:pt>
                <c:pt idx="7">
                  <c:v>-6.1462710536748455E-2</c:v>
                </c:pt>
                <c:pt idx="8">
                  <c:v>-6.213072668243478E-2</c:v>
                </c:pt>
                <c:pt idx="9">
                  <c:v>-6.2616969583696835E-2</c:v>
                </c:pt>
                <c:pt idx="10">
                  <c:v>-6.306489149242743E-2</c:v>
                </c:pt>
                <c:pt idx="11">
                  <c:v>-6.3645305501541502E-2</c:v>
                </c:pt>
                <c:pt idx="12">
                  <c:v>-6.4384368651533574E-2</c:v>
                </c:pt>
                <c:pt idx="13">
                  <c:v>-6.5316229917925087E-2</c:v>
                </c:pt>
                <c:pt idx="14">
                  <c:v>-6.6461809357897209E-2</c:v>
                </c:pt>
                <c:pt idx="15">
                  <c:v>-6.7828363384573362E-2</c:v>
                </c:pt>
                <c:pt idx="16">
                  <c:v>-6.9479349402057244E-2</c:v>
                </c:pt>
                <c:pt idx="17">
                  <c:v>-7.1361239440250093E-2</c:v>
                </c:pt>
                <c:pt idx="18">
                  <c:v>-7.3440454094805388E-2</c:v>
                </c:pt>
                <c:pt idx="19">
                  <c:v>-7.5686076269874974E-2</c:v>
                </c:pt>
                <c:pt idx="20">
                  <c:v>-7.8060728953141714E-2</c:v>
                </c:pt>
                <c:pt idx="21">
                  <c:v>-8.0542327119402304E-2</c:v>
                </c:pt>
                <c:pt idx="22">
                  <c:v>-8.3095403569982837E-2</c:v>
                </c:pt>
                <c:pt idx="23">
                  <c:v>-8.5690570186887055E-2</c:v>
                </c:pt>
                <c:pt idx="24">
                  <c:v>-8.8303277198287303E-2</c:v>
                </c:pt>
                <c:pt idx="25">
                  <c:v>-9.0891023879530422E-2</c:v>
                </c:pt>
                <c:pt idx="26">
                  <c:v>-9.344074813322456E-2</c:v>
                </c:pt>
                <c:pt idx="27">
                  <c:v>-9.5939546313640364E-2</c:v>
                </c:pt>
                <c:pt idx="28">
                  <c:v>-9.8374417829235866E-2</c:v>
                </c:pt>
                <c:pt idx="29">
                  <c:v>-0.10073813036084119</c:v>
                </c:pt>
                <c:pt idx="30">
                  <c:v>-0.10302675749320096</c:v>
                </c:pt>
                <c:pt idx="31">
                  <c:v>-0.10522900994559953</c:v>
                </c:pt>
                <c:pt idx="32">
                  <c:v>-0.10734905484940858</c:v>
                </c:pt>
                <c:pt idx="33">
                  <c:v>-0.10938976103158848</c:v>
                </c:pt>
                <c:pt idx="34">
                  <c:v>-0.11135388877263015</c:v>
                </c:pt>
                <c:pt idx="35">
                  <c:v>-0.11324455307615383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Données!$B$529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Données!$C$529:$AL$529</c:f>
              <c:numCache>
                <c:formatCode>0%</c:formatCode>
                <c:ptCount val="36"/>
                <c:pt idx="0">
                  <c:v>8.1860266742626291E-3</c:v>
                </c:pt>
                <c:pt idx="1">
                  <c:v>1.353233642979507E-2</c:v>
                </c:pt>
                <c:pt idx="2">
                  <c:v>1.683306013011945E-2</c:v>
                </c:pt>
                <c:pt idx="3">
                  <c:v>1.9614083816182435E-2</c:v>
                </c:pt>
                <c:pt idx="4">
                  <c:v>2.1947847066391649E-2</c:v>
                </c:pt>
                <c:pt idx="5">
                  <c:v>2.3782132272747118E-2</c:v>
                </c:pt>
                <c:pt idx="6">
                  <c:v>2.5136845663719289E-2</c:v>
                </c:pt>
                <c:pt idx="7">
                  <c:v>2.6084223693782074E-2</c:v>
                </c:pt>
                <c:pt idx="8">
                  <c:v>2.6717895986423032E-2</c:v>
                </c:pt>
                <c:pt idx="9">
                  <c:v>2.7121871721635476E-2</c:v>
                </c:pt>
                <c:pt idx="10">
                  <c:v>2.7360603508886167E-2</c:v>
                </c:pt>
                <c:pt idx="11">
                  <c:v>2.7533151591543178E-2</c:v>
                </c:pt>
                <c:pt idx="12">
                  <c:v>2.767262581794154E-2</c:v>
                </c:pt>
                <c:pt idx="13">
                  <c:v>2.7809717816974753E-2</c:v>
                </c:pt>
                <c:pt idx="14">
                  <c:v>2.7971808271245499E-2</c:v>
                </c:pt>
                <c:pt idx="15">
                  <c:v>2.8179909700434637E-2</c:v>
                </c:pt>
                <c:pt idx="16">
                  <c:v>2.8462799046612721E-2</c:v>
                </c:pt>
                <c:pt idx="17">
                  <c:v>2.8830706866187095E-2</c:v>
                </c:pt>
                <c:pt idx="18">
                  <c:v>2.9276659767034436E-2</c:v>
                </c:pt>
                <c:pt idx="19">
                  <c:v>2.9795833576531077E-2</c:v>
                </c:pt>
                <c:pt idx="20">
                  <c:v>3.0387576085878304E-2</c:v>
                </c:pt>
                <c:pt idx="21">
                  <c:v>3.1026092438677041E-2</c:v>
                </c:pt>
                <c:pt idx="22">
                  <c:v>3.171181516572865E-2</c:v>
                </c:pt>
                <c:pt idx="23">
                  <c:v>3.2431132186081395E-2</c:v>
                </c:pt>
                <c:pt idx="24">
                  <c:v>3.3172439084676431E-2</c:v>
                </c:pt>
                <c:pt idx="25">
                  <c:v>3.3941750026591361E-2</c:v>
                </c:pt>
                <c:pt idx="26">
                  <c:v>3.4687422954666591E-2</c:v>
                </c:pt>
                <c:pt idx="27">
                  <c:v>3.5418497703256425E-2</c:v>
                </c:pt>
                <c:pt idx="28">
                  <c:v>3.6126015372524585E-2</c:v>
                </c:pt>
                <c:pt idx="29">
                  <c:v>3.6803860105828472E-2</c:v>
                </c:pt>
                <c:pt idx="30">
                  <c:v>3.7447700393451758E-2</c:v>
                </c:pt>
                <c:pt idx="31">
                  <c:v>3.805369259121507E-2</c:v>
                </c:pt>
                <c:pt idx="32">
                  <c:v>3.8617825441559069E-2</c:v>
                </c:pt>
                <c:pt idx="33">
                  <c:v>3.9140331844644188E-2</c:v>
                </c:pt>
                <c:pt idx="34">
                  <c:v>3.9620974741453437E-2</c:v>
                </c:pt>
                <c:pt idx="35">
                  <c:v>4.0059776515420725E-2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Données!$B$526</c:f>
              <c:strCache>
                <c:ptCount val="1"/>
                <c:pt idx="0">
                  <c:v>Net production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Données!$C$526:$AL$526</c:f>
              <c:numCache>
                <c:formatCode>0%</c:formatCode>
                <c:ptCount val="36"/>
                <c:pt idx="0">
                  <c:v>-2.2990865472807598E-2</c:v>
                </c:pt>
                <c:pt idx="1">
                  <c:v>-2.8482246565326275E-2</c:v>
                </c:pt>
                <c:pt idx="2">
                  <c:v>-3.2572505011270847E-2</c:v>
                </c:pt>
                <c:pt idx="3">
                  <c:v>-3.5920515573286904E-2</c:v>
                </c:pt>
                <c:pt idx="4">
                  <c:v>-3.8571238480776926E-2</c:v>
                </c:pt>
                <c:pt idx="5">
                  <c:v>-4.057949103071834E-2</c:v>
                </c:pt>
                <c:pt idx="6">
                  <c:v>-4.2084397293747688E-2</c:v>
                </c:pt>
                <c:pt idx="7">
                  <c:v>-4.3230677050163258E-2</c:v>
                </c:pt>
                <c:pt idx="8">
                  <c:v>-4.4160137488303275E-2</c:v>
                </c:pt>
                <c:pt idx="9">
                  <c:v>-4.4988012653262022E-2</c:v>
                </c:pt>
                <c:pt idx="10">
                  <c:v>-4.5813240069904282E-2</c:v>
                </c:pt>
                <c:pt idx="11">
                  <c:v>-4.6758344495436921E-2</c:v>
                </c:pt>
                <c:pt idx="12">
                  <c:v>-4.7818804892180045E-2</c:v>
                </c:pt>
                <c:pt idx="13">
                  <c:v>-4.9008400967988419E-2</c:v>
                </c:pt>
                <c:pt idx="14">
                  <c:v>-5.0333460153419773E-2</c:v>
                </c:pt>
                <c:pt idx="15">
                  <c:v>-5.1792624588150593E-2</c:v>
                </c:pt>
                <c:pt idx="16">
                  <c:v>-5.3453297976538305E-2</c:v>
                </c:pt>
                <c:pt idx="17">
                  <c:v>-5.5247766227316419E-2</c:v>
                </c:pt>
                <c:pt idx="18">
                  <c:v>-5.7151320941494443E-2</c:v>
                </c:pt>
                <c:pt idx="19">
                  <c:v>-5.9141524132106715E-2</c:v>
                </c:pt>
                <c:pt idx="20">
                  <c:v>-6.1188574313164157E-2</c:v>
                </c:pt>
                <c:pt idx="21">
                  <c:v>-6.3291613475557895E-2</c:v>
                </c:pt>
                <c:pt idx="22">
                  <c:v>-6.5418670988693028E-2</c:v>
                </c:pt>
                <c:pt idx="23">
                  <c:v>-6.7555196776962756E-2</c:v>
                </c:pt>
                <c:pt idx="24">
                  <c:v>-6.9688251624156594E-2</c:v>
                </c:pt>
                <c:pt idx="25">
                  <c:v>-7.1778344118894721E-2</c:v>
                </c:pt>
                <c:pt idx="26">
                  <c:v>-7.3841052494900583E-2</c:v>
                </c:pt>
                <c:pt idx="27">
                  <c:v>-7.5862362796425886E-2</c:v>
                </c:pt>
                <c:pt idx="28">
                  <c:v>-7.7840380427289912E-2</c:v>
                </c:pt>
                <c:pt idx="29">
                  <c:v>-7.9774064425858104E-2</c:v>
                </c:pt>
                <c:pt idx="30">
                  <c:v>-8.1663286966177306E-2</c:v>
                </c:pt>
                <c:pt idx="31">
                  <c:v>-8.349532036943641E-2</c:v>
                </c:pt>
                <c:pt idx="32">
                  <c:v>-8.528012958692488E-2</c:v>
                </c:pt>
                <c:pt idx="33">
                  <c:v>-8.7020804671660068E-2</c:v>
                </c:pt>
                <c:pt idx="34">
                  <c:v>-8.8720247592405044E-2</c:v>
                </c:pt>
                <c:pt idx="35">
                  <c:v>-9.0381278672352905E-2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5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Primary energy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Données!$B$507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Données!$C$507:$AL$507</c:f>
              <c:numCache>
                <c:formatCode>0.0%</c:formatCode>
                <c:ptCount val="36"/>
                <c:pt idx="0">
                  <c:v>-5.7709205111874452E-4</c:v>
                </c:pt>
                <c:pt idx="1">
                  <c:v>-7.0764644637045051E-4</c:v>
                </c:pt>
                <c:pt idx="2">
                  <c:v>-7.6300038660589195E-4</c:v>
                </c:pt>
                <c:pt idx="3">
                  <c:v>-8.0636778470639426E-4</c:v>
                </c:pt>
                <c:pt idx="4">
                  <c:v>-8.4895410735975397E-4</c:v>
                </c:pt>
                <c:pt idx="5">
                  <c:v>-8.9268876757812518E-4</c:v>
                </c:pt>
                <c:pt idx="6">
                  <c:v>-9.3807931174995742E-4</c:v>
                </c:pt>
                <c:pt idx="7">
                  <c:v>-9.8431942393433858E-4</c:v>
                </c:pt>
                <c:pt idx="8">
                  <c:v>-1.0308080949192131E-3</c:v>
                </c:pt>
                <c:pt idx="9">
                  <c:v>-1.0770053532016403E-3</c:v>
                </c:pt>
                <c:pt idx="10">
                  <c:v>-1.1227199366251358E-3</c:v>
                </c:pt>
                <c:pt idx="11">
                  <c:v>-1.1697495517189545E-3</c:v>
                </c:pt>
                <c:pt idx="12">
                  <c:v>-1.2161794238865526E-3</c:v>
                </c:pt>
                <c:pt idx="13">
                  <c:v>-1.2618619892462645E-3</c:v>
                </c:pt>
                <c:pt idx="14">
                  <c:v>-1.3069909667867785E-3</c:v>
                </c:pt>
                <c:pt idx="15">
                  <c:v>-1.3518462856186265E-3</c:v>
                </c:pt>
                <c:pt idx="16">
                  <c:v>-1.3989874425594624E-3</c:v>
                </c:pt>
                <c:pt idx="17">
                  <c:v>-1.4466171071185942E-3</c:v>
                </c:pt>
                <c:pt idx="18">
                  <c:v>-1.4945620693875704E-3</c:v>
                </c:pt>
                <c:pt idx="19">
                  <c:v>-1.5428552541108917E-3</c:v>
                </c:pt>
                <c:pt idx="20">
                  <c:v>-1.5913354018296131E-3</c:v>
                </c:pt>
                <c:pt idx="21">
                  <c:v>-1.6401746990997296E-3</c:v>
                </c:pt>
                <c:pt idx="22">
                  <c:v>-1.6892029522932509E-3</c:v>
                </c:pt>
                <c:pt idx="23">
                  <c:v>-1.7382300370093987E-3</c:v>
                </c:pt>
                <c:pt idx="24">
                  <c:v>-1.7871022359681828E-3</c:v>
                </c:pt>
                <c:pt idx="25">
                  <c:v>-1.8351669256283015E-3</c:v>
                </c:pt>
                <c:pt idx="26">
                  <c:v>-1.8820695764047012E-3</c:v>
                </c:pt>
                <c:pt idx="27">
                  <c:v>-1.9284404389093639E-3</c:v>
                </c:pt>
                <c:pt idx="28">
                  <c:v>-1.9741894856464344E-3</c:v>
                </c:pt>
                <c:pt idx="29">
                  <c:v>-2.0192186765549611E-3</c:v>
                </c:pt>
                <c:pt idx="30">
                  <c:v>-2.063451133612196E-3</c:v>
                </c:pt>
                <c:pt idx="31">
                  <c:v>-2.1063805238067468E-3</c:v>
                </c:pt>
                <c:pt idx="32">
                  <c:v>-2.1483743556257127E-3</c:v>
                </c:pt>
                <c:pt idx="33">
                  <c:v>-2.1894757568913128E-3</c:v>
                </c:pt>
                <c:pt idx="34">
                  <c:v>-2.2296856382031105E-3</c:v>
                </c:pt>
                <c:pt idx="35">
                  <c:v>-2.2690095351473871E-3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Données!$B$508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Données!$C$508:$AL$508</c:f>
              <c:numCache>
                <c:formatCode>0.0%</c:formatCode>
                <c:ptCount val="36"/>
                <c:pt idx="0">
                  <c:v>-0.44595723244759566</c:v>
                </c:pt>
                <c:pt idx="1">
                  <c:v>-8.6295198603961992E-3</c:v>
                </c:pt>
                <c:pt idx="2">
                  <c:v>-9.7800040528330159E-3</c:v>
                </c:pt>
                <c:pt idx="3">
                  <c:v>-1.085899608134212E-2</c:v>
                </c:pt>
                <c:pt idx="4">
                  <c:v>-1.1862777674405875E-2</c:v>
                </c:pt>
                <c:pt idx="5">
                  <c:v>-1.2772026914870371E-2</c:v>
                </c:pt>
                <c:pt idx="6">
                  <c:v>-1.3585802061449761E-2</c:v>
                </c:pt>
                <c:pt idx="7">
                  <c:v>-1.4306886178482749E-2</c:v>
                </c:pt>
                <c:pt idx="8">
                  <c:v>-1.4944335334710042E-2</c:v>
                </c:pt>
                <c:pt idx="9">
                  <c:v>-1.5507858867078426E-2</c:v>
                </c:pt>
                <c:pt idx="10">
                  <c:v>-1.6010182226247494E-2</c:v>
                </c:pt>
                <c:pt idx="11">
                  <c:v>-1.6481184565396833E-2</c:v>
                </c:pt>
                <c:pt idx="12">
                  <c:v>-1.691488738864113E-2</c:v>
                </c:pt>
                <c:pt idx="13">
                  <c:v>-1.7320202320994241E-2</c:v>
                </c:pt>
                <c:pt idx="14">
                  <c:v>-1.770728991507662E-2</c:v>
                </c:pt>
                <c:pt idx="15">
                  <c:v>-1.8085886033287604E-2</c:v>
                </c:pt>
                <c:pt idx="16">
                  <c:v>-1.8488371805861062E-2</c:v>
                </c:pt>
                <c:pt idx="17">
                  <c:v>-1.890063822747344E-2</c:v>
                </c:pt>
                <c:pt idx="18">
                  <c:v>-1.9325613143487741E-2</c:v>
                </c:pt>
                <c:pt idx="19">
                  <c:v>-1.9765392917246761E-2</c:v>
                </c:pt>
                <c:pt idx="20">
                  <c:v>-2.0217835832563667E-2</c:v>
                </c:pt>
                <c:pt idx="21">
                  <c:v>-2.0688505373525092E-2</c:v>
                </c:pt>
                <c:pt idx="22">
                  <c:v>-2.1170940132220921E-2</c:v>
                </c:pt>
                <c:pt idx="23">
                  <c:v>-2.1663135504069887E-2</c:v>
                </c:pt>
                <c:pt idx="24">
                  <c:v>-2.2162573815074155E-2</c:v>
                </c:pt>
                <c:pt idx="25">
                  <c:v>-2.2657067373759762E-2</c:v>
                </c:pt>
                <c:pt idx="26">
                  <c:v>-2.3153031937430325E-2</c:v>
                </c:pt>
                <c:pt idx="27">
                  <c:v>-2.3646239328463395E-2</c:v>
                </c:pt>
                <c:pt idx="28">
                  <c:v>-2.4134725491294841E-2</c:v>
                </c:pt>
                <c:pt idx="29">
                  <c:v>-2.4616667264160074E-2</c:v>
                </c:pt>
                <c:pt idx="30">
                  <c:v>-2.5090522409898463E-2</c:v>
                </c:pt>
                <c:pt idx="31">
                  <c:v>-2.5550737859320098E-2</c:v>
                </c:pt>
                <c:pt idx="32">
                  <c:v>-2.6000105732178369E-2</c:v>
                </c:pt>
                <c:pt idx="33">
                  <c:v>-2.6438226410830882E-2</c:v>
                </c:pt>
                <c:pt idx="34">
                  <c:v>-2.6864738465505623E-2</c:v>
                </c:pt>
                <c:pt idx="35">
                  <c:v>-2.7279427957247672E-2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Données!$B$509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Données!$C$509:$AL$509</c:f>
              <c:numCache>
                <c:formatCode>0.0%</c:formatCode>
                <c:ptCount val="36"/>
                <c:pt idx="0">
                  <c:v>-1.5218344448216673E-3</c:v>
                </c:pt>
                <c:pt idx="1">
                  <c:v>-1.3164835027566261E-3</c:v>
                </c:pt>
                <c:pt idx="2">
                  <c:v>-1.421564659680528E-3</c:v>
                </c:pt>
                <c:pt idx="3">
                  <c:v>-1.6452036707961036E-3</c:v>
                </c:pt>
                <c:pt idx="4">
                  <c:v>-1.9113586194949919E-3</c:v>
                </c:pt>
                <c:pt idx="5">
                  <c:v>-2.1814261247311228E-3</c:v>
                </c:pt>
                <c:pt idx="6">
                  <c:v>-2.4374442050075717E-3</c:v>
                </c:pt>
                <c:pt idx="7">
                  <c:v>-2.677191192941721E-3</c:v>
                </c:pt>
                <c:pt idx="8">
                  <c:v>-2.9042462601104693E-3</c:v>
                </c:pt>
                <c:pt idx="9">
                  <c:v>-3.1210139194882028E-3</c:v>
                </c:pt>
                <c:pt idx="10">
                  <c:v>-3.3313230548631541E-3</c:v>
                </c:pt>
                <c:pt idx="11">
                  <c:v>-3.5404825805442643E-3</c:v>
                </c:pt>
                <c:pt idx="12">
                  <c:v>-3.7431675398115136E-3</c:v>
                </c:pt>
                <c:pt idx="13">
                  <c:v>-3.9391234804119725E-3</c:v>
                </c:pt>
                <c:pt idx="14">
                  <c:v>-4.1283400645740253E-3</c:v>
                </c:pt>
                <c:pt idx="15">
                  <c:v>-4.310920985374919E-3</c:v>
                </c:pt>
                <c:pt idx="16">
                  <c:v>-4.4965586552351364E-3</c:v>
                </c:pt>
                <c:pt idx="17">
                  <c:v>-4.675986548015848E-3</c:v>
                </c:pt>
                <c:pt idx="18">
                  <c:v>-4.8492799276848584E-3</c:v>
                </c:pt>
                <c:pt idx="19">
                  <c:v>-5.0167299038142909E-3</c:v>
                </c:pt>
                <c:pt idx="20">
                  <c:v>-5.1768619499452332E-3</c:v>
                </c:pt>
                <c:pt idx="21">
                  <c:v>-5.3346295023627248E-3</c:v>
                </c:pt>
                <c:pt idx="22">
                  <c:v>-5.4875543246697897E-3</c:v>
                </c:pt>
                <c:pt idx="23">
                  <c:v>-5.6364825278746068E-3</c:v>
                </c:pt>
                <c:pt idx="24">
                  <c:v>-5.781983294264938E-3</c:v>
                </c:pt>
                <c:pt idx="25">
                  <c:v>-5.9188654417702139E-3</c:v>
                </c:pt>
                <c:pt idx="26">
                  <c:v>-6.0549059167279724E-3</c:v>
                </c:pt>
                <c:pt idx="27">
                  <c:v>-6.1889876768266953E-3</c:v>
                </c:pt>
                <c:pt idx="28">
                  <c:v>-6.3220152710953877E-3</c:v>
                </c:pt>
                <c:pt idx="29">
                  <c:v>-6.4543597458309662E-3</c:v>
                </c:pt>
                <c:pt idx="30">
                  <c:v>-6.5861987038225763E-3</c:v>
                </c:pt>
                <c:pt idx="31">
                  <c:v>-6.7156557691989537E-3</c:v>
                </c:pt>
                <c:pt idx="32">
                  <c:v>-6.8448260429831561E-3</c:v>
                </c:pt>
                <c:pt idx="33">
                  <c:v>-6.9738965456359594E-3</c:v>
                </c:pt>
                <c:pt idx="34">
                  <c:v>-7.1029984324298169E-3</c:v>
                </c:pt>
                <c:pt idx="35">
                  <c:v>-7.2322242821175808E-3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Données!$B$510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Données!$C$510:$AL$510</c:f>
              <c:numCache>
                <c:formatCode>0.0%</c:formatCode>
                <c:ptCount val="36"/>
                <c:pt idx="0">
                  <c:v>-0.60914513419181826</c:v>
                </c:pt>
                <c:pt idx="1">
                  <c:v>-1.2542136189239167E-2</c:v>
                </c:pt>
                <c:pt idx="2">
                  <c:v>-1.4438524473381972E-2</c:v>
                </c:pt>
                <c:pt idx="3">
                  <c:v>-1.5806416187045844E-2</c:v>
                </c:pt>
                <c:pt idx="4">
                  <c:v>-1.6674157809218076E-2</c:v>
                </c:pt>
                <c:pt idx="5">
                  <c:v>-1.7106032331423972E-2</c:v>
                </c:pt>
                <c:pt idx="6">
                  <c:v>-1.7217260258847282E-2</c:v>
                </c:pt>
                <c:pt idx="7">
                  <c:v>-1.7124920197746894E-2</c:v>
                </c:pt>
                <c:pt idx="8">
                  <c:v>-1.6937364404436647E-2</c:v>
                </c:pt>
                <c:pt idx="9">
                  <c:v>-1.674181839620837E-2</c:v>
                </c:pt>
                <c:pt idx="10">
                  <c:v>-1.6603222975809347E-2</c:v>
                </c:pt>
                <c:pt idx="11">
                  <c:v>-1.6587272431590229E-2</c:v>
                </c:pt>
                <c:pt idx="12">
                  <c:v>-1.6705805291153591E-2</c:v>
                </c:pt>
                <c:pt idx="13">
                  <c:v>-1.696512681526802E-2</c:v>
                </c:pt>
                <c:pt idx="14">
                  <c:v>-1.7362214856642195E-2</c:v>
                </c:pt>
                <c:pt idx="15">
                  <c:v>-1.7886987876592413E-2</c:v>
                </c:pt>
                <c:pt idx="16">
                  <c:v>-1.8547733986683638E-2</c:v>
                </c:pt>
                <c:pt idx="17">
                  <c:v>-1.9316090331655864E-2</c:v>
                </c:pt>
                <c:pt idx="18">
                  <c:v>-2.0170013943518788E-2</c:v>
                </c:pt>
                <c:pt idx="19">
                  <c:v>-2.1088653763104755E-2</c:v>
                </c:pt>
                <c:pt idx="20">
                  <c:v>-2.2051531405161751E-2</c:v>
                </c:pt>
                <c:pt idx="21">
                  <c:v>-2.3045756332919286E-2</c:v>
                </c:pt>
                <c:pt idx="22">
                  <c:v>-2.405380980524216E-2</c:v>
                </c:pt>
                <c:pt idx="23">
                  <c:v>-2.5064958129313718E-2</c:v>
                </c:pt>
                <c:pt idx="24">
                  <c:v>-2.6070439712523708E-2</c:v>
                </c:pt>
                <c:pt idx="25">
                  <c:v>-2.7057824562927536E-2</c:v>
                </c:pt>
                <c:pt idx="26">
                  <c:v>-2.8024364835117447E-2</c:v>
                </c:pt>
                <c:pt idx="27">
                  <c:v>-2.896254322767423E-2</c:v>
                </c:pt>
                <c:pt idx="28">
                  <c:v>-2.98719914987663E-2</c:v>
                </c:pt>
                <c:pt idx="29">
                  <c:v>-3.0753504313470154E-2</c:v>
                </c:pt>
                <c:pt idx="30">
                  <c:v>-3.1608459263075879E-2</c:v>
                </c:pt>
                <c:pt idx="31">
                  <c:v>-3.2435285270586325E-2</c:v>
                </c:pt>
                <c:pt idx="32">
                  <c:v>-3.323692106124998E-2</c:v>
                </c:pt>
                <c:pt idx="33">
                  <c:v>-3.4016056138467206E-2</c:v>
                </c:pt>
                <c:pt idx="34">
                  <c:v>-3.477536562059115E-2</c:v>
                </c:pt>
                <c:pt idx="35">
                  <c:v>-3.5517337979403658E-2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Données!$B$511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Données!$C$511:$AL$511</c:f>
              <c:numCache>
                <c:formatCode>0.0%</c:formatCode>
                <c:ptCount val="36"/>
                <c:pt idx="0">
                  <c:v>-1.2037814518480273E-2</c:v>
                </c:pt>
                <c:pt idx="1">
                  <c:v>-5.450986120241137E-3</c:v>
                </c:pt>
                <c:pt idx="2">
                  <c:v>-6.334800622751169E-3</c:v>
                </c:pt>
                <c:pt idx="3">
                  <c:v>-6.9994444801678218E-3</c:v>
                </c:pt>
                <c:pt idx="4">
                  <c:v>-7.5052419468462995E-3</c:v>
                </c:pt>
                <c:pt idx="5">
                  <c:v>-7.8891503791494299E-3</c:v>
                </c:pt>
                <c:pt idx="6">
                  <c:v>-8.1911979644889877E-3</c:v>
                </c:pt>
                <c:pt idx="7">
                  <c:v>-8.441627211968547E-3</c:v>
                </c:pt>
                <c:pt idx="8">
                  <c:v>-8.6656761648849674E-3</c:v>
                </c:pt>
                <c:pt idx="9">
                  <c:v>-8.8826209570649906E-3</c:v>
                </c:pt>
                <c:pt idx="10">
                  <c:v>-9.1120888476478226E-3</c:v>
                </c:pt>
                <c:pt idx="11">
                  <c:v>-9.37616388017329E-3</c:v>
                </c:pt>
                <c:pt idx="12">
                  <c:v>-9.6706291046569654E-3</c:v>
                </c:pt>
                <c:pt idx="13">
                  <c:v>-9.9942246239021603E-3</c:v>
                </c:pt>
                <c:pt idx="14">
                  <c:v>-1.0345301888956325E-2</c:v>
                </c:pt>
                <c:pt idx="15">
                  <c:v>-1.072158120422334E-2</c:v>
                </c:pt>
                <c:pt idx="16">
                  <c:v>-1.1138369226602907E-2</c:v>
                </c:pt>
                <c:pt idx="17">
                  <c:v>-1.1578915371625633E-2</c:v>
                </c:pt>
                <c:pt idx="18">
                  <c:v>-1.2036855052756597E-2</c:v>
                </c:pt>
                <c:pt idx="19">
                  <c:v>-1.2507408286861742E-2</c:v>
                </c:pt>
                <c:pt idx="20">
                  <c:v>-1.2984212328546426E-2</c:v>
                </c:pt>
                <c:pt idx="21">
                  <c:v>-1.3468628072086175E-2</c:v>
                </c:pt>
                <c:pt idx="22">
                  <c:v>-1.3954783539728116E-2</c:v>
                </c:pt>
                <c:pt idx="23">
                  <c:v>-1.4440157325718827E-2</c:v>
                </c:pt>
                <c:pt idx="24">
                  <c:v>-1.4922673044534172E-2</c:v>
                </c:pt>
                <c:pt idx="25">
                  <c:v>-1.5392847882753573E-2</c:v>
                </c:pt>
                <c:pt idx="26">
                  <c:v>-1.5855349336228043E-2</c:v>
                </c:pt>
                <c:pt idx="27">
                  <c:v>-1.6308823021550439E-2</c:v>
                </c:pt>
                <c:pt idx="28">
                  <c:v>-1.6753232093493883E-2</c:v>
                </c:pt>
                <c:pt idx="29">
                  <c:v>-1.7188564017877189E-2</c:v>
                </c:pt>
                <c:pt idx="30">
                  <c:v>-1.7614987202109043E-2</c:v>
                </c:pt>
                <c:pt idx="31">
                  <c:v>-1.8029086435789664E-2</c:v>
                </c:pt>
                <c:pt idx="32">
                  <c:v>-1.8433168409638431E-2</c:v>
                </c:pt>
                <c:pt idx="33">
                  <c:v>-1.8827974411772294E-2</c:v>
                </c:pt>
                <c:pt idx="34">
                  <c:v>-1.9214113161501917E-2</c:v>
                </c:pt>
                <c:pt idx="35">
                  <c:v>-1.9592155795645192E-2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Données!$B$506</c:f>
              <c:strCache>
                <c:ptCount val="1"/>
                <c:pt idx="0">
                  <c:v>Primary energy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Données!$C$506:$AL$506</c:f>
              <c:numCache>
                <c:formatCode>0.0%</c:formatCode>
                <c:ptCount val="36"/>
                <c:pt idx="0">
                  <c:v>-2.3252905447122107E-2</c:v>
                </c:pt>
                <c:pt idx="1">
                  <c:v>-2.864677210566513E-2</c:v>
                </c:pt>
                <c:pt idx="2">
                  <c:v>-3.273789406283556E-2</c:v>
                </c:pt>
                <c:pt idx="3">
                  <c:v>-3.6116428210628326E-2</c:v>
                </c:pt>
                <c:pt idx="4">
                  <c:v>-3.8802490782753329E-2</c:v>
                </c:pt>
                <c:pt idx="5">
                  <c:v>-4.0841324614582786E-2</c:v>
                </c:pt>
                <c:pt idx="6">
                  <c:v>-4.2369784421966816E-2</c:v>
                </c:pt>
                <c:pt idx="7">
                  <c:v>-4.3534944718289448E-2</c:v>
                </c:pt>
                <c:pt idx="8">
                  <c:v>-4.4482430045697297E-2</c:v>
                </c:pt>
                <c:pt idx="9">
                  <c:v>-4.5330317430892442E-2</c:v>
                </c:pt>
                <c:pt idx="10">
                  <c:v>-4.6179537274867344E-2</c:v>
                </c:pt>
                <c:pt idx="11">
                  <c:v>-4.7154853137280295E-2</c:v>
                </c:pt>
                <c:pt idx="12">
                  <c:v>-4.8250669194316642E-2</c:v>
                </c:pt>
                <c:pt idx="13">
                  <c:v>-4.9480539152192526E-2</c:v>
                </c:pt>
                <c:pt idx="14">
                  <c:v>-5.0850137437688514E-2</c:v>
                </c:pt>
                <c:pt idx="15">
                  <c:v>-5.235722211555105E-2</c:v>
                </c:pt>
                <c:pt idx="16">
                  <c:v>-5.4070020832480248E-2</c:v>
                </c:pt>
                <c:pt idx="17">
                  <c:v>-5.5918247580137748E-2</c:v>
                </c:pt>
                <c:pt idx="18">
                  <c:v>-5.7876324233721022E-2</c:v>
                </c:pt>
                <c:pt idx="19">
                  <c:v>-5.9921039904905049E-2</c:v>
                </c:pt>
                <c:pt idx="20">
                  <c:v>-6.2021777326749072E-2</c:v>
                </c:pt>
                <c:pt idx="21">
                  <c:v>-6.4177693824639781E-2</c:v>
                </c:pt>
                <c:pt idx="22">
                  <c:v>-6.6356290666190199E-2</c:v>
                </c:pt>
                <c:pt idx="23">
                  <c:v>-6.8542963834472337E-2</c:v>
                </c:pt>
                <c:pt idx="24">
                  <c:v>-7.0724771891903071E-2</c:v>
                </c:pt>
                <c:pt idx="25">
                  <c:v>-7.2861772251092582E-2</c:v>
                </c:pt>
                <c:pt idx="26">
                  <c:v>-7.496972136825486E-2</c:v>
                </c:pt>
                <c:pt idx="27">
                  <c:v>-7.7035033888269822E-2</c:v>
                </c:pt>
                <c:pt idx="28">
                  <c:v>-7.9056153385992145E-2</c:v>
                </c:pt>
                <c:pt idx="29">
                  <c:v>-8.1032314023070984E-2</c:v>
                </c:pt>
                <c:pt idx="30">
                  <c:v>-8.2963618476383338E-2</c:v>
                </c:pt>
                <c:pt idx="31">
                  <c:v>-8.4837145838345784E-2</c:v>
                </c:pt>
                <c:pt idx="32">
                  <c:v>-8.6663395778233787E-2</c:v>
                </c:pt>
                <c:pt idx="33">
                  <c:v>-8.8445629343597454E-2</c:v>
                </c:pt>
                <c:pt idx="34">
                  <c:v>-9.0186901006039322E-2</c:v>
                </c:pt>
                <c:pt idx="35">
                  <c:v>-9.1890155515185312E-2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Données!$B$380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Données!$C$380:$AL$380</c:f>
              <c:numCache>
                <c:formatCode>#,##0</c:formatCode>
                <c:ptCount val="36"/>
                <c:pt idx="0">
                  <c:v>3.476542051</c:v>
                </c:pt>
                <c:pt idx="1">
                  <c:v>5.6319535050000002</c:v>
                </c:pt>
                <c:pt idx="2">
                  <c:v>7.7514221729999999</c:v>
                </c:pt>
                <c:pt idx="3">
                  <c:v>9.8057799540000001</c:v>
                </c:pt>
                <c:pt idx="4">
                  <c:v>11.77651236</c:v>
                </c:pt>
                <c:pt idx="5">
                  <c:v>13.65742822</c:v>
                </c:pt>
                <c:pt idx="6">
                  <c:v>15.428717130000001</c:v>
                </c:pt>
                <c:pt idx="7">
                  <c:v>17.12457509</c:v>
                </c:pt>
                <c:pt idx="8">
                  <c:v>18.76198042</c:v>
                </c:pt>
                <c:pt idx="9">
                  <c:v>20.35555587</c:v>
                </c:pt>
                <c:pt idx="10">
                  <c:v>21.958352649999998</c:v>
                </c:pt>
                <c:pt idx="11">
                  <c:v>23.50102145</c:v>
                </c:pt>
                <c:pt idx="12">
                  <c:v>25.024821320000001</c:v>
                </c:pt>
                <c:pt idx="13">
                  <c:v>26.53961589</c:v>
                </c:pt>
                <c:pt idx="14">
                  <c:v>28.050857730000001</c:v>
                </c:pt>
                <c:pt idx="15">
                  <c:v>29.561947709999998</c:v>
                </c:pt>
                <c:pt idx="16">
                  <c:v>31.07479966</c:v>
                </c:pt>
                <c:pt idx="17">
                  <c:v>32.589933440000003</c:v>
                </c:pt>
                <c:pt idx="18">
                  <c:v>34.10656479</c:v>
                </c:pt>
                <c:pt idx="19">
                  <c:v>35.622873439999999</c:v>
                </c:pt>
                <c:pt idx="20">
                  <c:v>37.10971773</c:v>
                </c:pt>
                <c:pt idx="21">
                  <c:v>38.617110619999998</c:v>
                </c:pt>
                <c:pt idx="22">
                  <c:v>40.119311539999998</c:v>
                </c:pt>
                <c:pt idx="23">
                  <c:v>41.611556989999997</c:v>
                </c:pt>
                <c:pt idx="24">
                  <c:v>43.090696489999999</c:v>
                </c:pt>
                <c:pt idx="25">
                  <c:v>44.481566809999997</c:v>
                </c:pt>
                <c:pt idx="26">
                  <c:v>45.892416140000002</c:v>
                </c:pt>
                <c:pt idx="27">
                  <c:v>47.29238969</c:v>
                </c:pt>
                <c:pt idx="28">
                  <c:v>48.679847940000002</c:v>
                </c:pt>
                <c:pt idx="29">
                  <c:v>50.054643009999999</c:v>
                </c:pt>
                <c:pt idx="30">
                  <c:v>51.416714450000001</c:v>
                </c:pt>
                <c:pt idx="31">
                  <c:v>52.765708529999998</c:v>
                </c:pt>
                <c:pt idx="32">
                  <c:v>54.101059309999997</c:v>
                </c:pt>
                <c:pt idx="33">
                  <c:v>55.422234830000001</c:v>
                </c:pt>
                <c:pt idx="34">
                  <c:v>56.728955020000001</c:v>
                </c:pt>
                <c:pt idx="35">
                  <c:v>58.021319079999998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Données!$B$381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Données!$C$381:$AL$381</c:f>
              <c:numCache>
                <c:formatCode>#,##0</c:formatCode>
                <c:ptCount val="36"/>
                <c:pt idx="0">
                  <c:v>68.80476281</c:v>
                </c:pt>
                <c:pt idx="1">
                  <c:v>77.344312630000005</c:v>
                </c:pt>
                <c:pt idx="2">
                  <c:v>86.456518540000005</c:v>
                </c:pt>
                <c:pt idx="3">
                  <c:v>95.506620490000003</c:v>
                </c:pt>
                <c:pt idx="4">
                  <c:v>104.4904925</c:v>
                </c:pt>
                <c:pt idx="5">
                  <c:v>113.4131521</c:v>
                </c:pt>
                <c:pt idx="6">
                  <c:v>121.65946099999999</c:v>
                </c:pt>
                <c:pt idx="7">
                  <c:v>129.85794279999999</c:v>
                </c:pt>
                <c:pt idx="8">
                  <c:v>138.0160827</c:v>
                </c:pt>
                <c:pt idx="9">
                  <c:v>146.1349353</c:v>
                </c:pt>
                <c:pt idx="10">
                  <c:v>155.25018370000001</c:v>
                </c:pt>
                <c:pt idx="11">
                  <c:v>163.284547</c:v>
                </c:pt>
                <c:pt idx="12">
                  <c:v>171.26500429999999</c:v>
                </c:pt>
                <c:pt idx="13">
                  <c:v>179.1907162</c:v>
                </c:pt>
                <c:pt idx="14">
                  <c:v>187.05869949999999</c:v>
                </c:pt>
                <c:pt idx="15">
                  <c:v>194.86662949999999</c:v>
                </c:pt>
                <c:pt idx="16">
                  <c:v>202.61330469999999</c:v>
                </c:pt>
                <c:pt idx="17">
                  <c:v>210.29853489999999</c:v>
                </c:pt>
                <c:pt idx="18">
                  <c:v>217.92295189999999</c:v>
                </c:pt>
                <c:pt idx="19">
                  <c:v>225.48785330000001</c:v>
                </c:pt>
                <c:pt idx="20">
                  <c:v>232.30786459999999</c:v>
                </c:pt>
                <c:pt idx="21">
                  <c:v>239.75730340000001</c:v>
                </c:pt>
                <c:pt idx="22">
                  <c:v>247.15545309999999</c:v>
                </c:pt>
                <c:pt idx="23">
                  <c:v>254.50286170000001</c:v>
                </c:pt>
                <c:pt idx="24">
                  <c:v>261.80166450000002</c:v>
                </c:pt>
                <c:pt idx="25">
                  <c:v>267.17838590000002</c:v>
                </c:pt>
                <c:pt idx="26">
                  <c:v>273.49995990000002</c:v>
                </c:pt>
                <c:pt idx="27">
                  <c:v>279.7796932</c:v>
                </c:pt>
                <c:pt idx="28">
                  <c:v>286.01694459999999</c:v>
                </c:pt>
                <c:pt idx="29">
                  <c:v>292.21252959999998</c:v>
                </c:pt>
                <c:pt idx="30">
                  <c:v>298.36725630000001</c:v>
                </c:pt>
                <c:pt idx="31">
                  <c:v>304.48168070000003</c:v>
                </c:pt>
                <c:pt idx="32">
                  <c:v>310.55622169999998</c:v>
                </c:pt>
                <c:pt idx="33">
                  <c:v>316.59130520000002</c:v>
                </c:pt>
                <c:pt idx="34">
                  <c:v>322.58742030000002</c:v>
                </c:pt>
                <c:pt idx="35">
                  <c:v>328.54509769999999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Données!$B$382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Données!$C$382:$AL$382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425.65319670000002</c:v>
                </c:pt>
                <c:pt idx="2">
                  <c:v>444.71117409999999</c:v>
                </c:pt>
                <c:pt idx="3">
                  <c:v>463.6601584</c:v>
                </c:pt>
                <c:pt idx="4">
                  <c:v>482.50184400000001</c:v>
                </c:pt>
                <c:pt idx="5">
                  <c:v>501.25235470000001</c:v>
                </c:pt>
                <c:pt idx="6">
                  <c:v>518.17936269999996</c:v>
                </c:pt>
                <c:pt idx="7">
                  <c:v>535.04021650000004</c:v>
                </c:pt>
                <c:pt idx="8">
                  <c:v>551.84608409999998</c:v>
                </c:pt>
                <c:pt idx="9">
                  <c:v>568.5970016</c:v>
                </c:pt>
                <c:pt idx="10">
                  <c:v>588.20102559999998</c:v>
                </c:pt>
                <c:pt idx="11">
                  <c:v>604.82916939999996</c:v>
                </c:pt>
                <c:pt idx="12">
                  <c:v>621.37431500000002</c:v>
                </c:pt>
                <c:pt idx="13">
                  <c:v>637.83164290000002</c:v>
                </c:pt>
                <c:pt idx="14">
                  <c:v>654.19414589999997</c:v>
                </c:pt>
                <c:pt idx="15">
                  <c:v>670.45631979999996</c:v>
                </c:pt>
                <c:pt idx="16">
                  <c:v>686.61482520000004</c:v>
                </c:pt>
                <c:pt idx="17">
                  <c:v>702.66835990000004</c:v>
                </c:pt>
                <c:pt idx="18">
                  <c:v>718.61737149999999</c:v>
                </c:pt>
                <c:pt idx="19">
                  <c:v>734.46372029999998</c:v>
                </c:pt>
                <c:pt idx="20">
                  <c:v>748.28112380000005</c:v>
                </c:pt>
                <c:pt idx="21">
                  <c:v>763.92530160000001</c:v>
                </c:pt>
                <c:pt idx="22">
                  <c:v>779.4792195</c:v>
                </c:pt>
                <c:pt idx="23">
                  <c:v>794.94456119999995</c:v>
                </c:pt>
                <c:pt idx="24">
                  <c:v>810.32523809999998</c:v>
                </c:pt>
                <c:pt idx="25">
                  <c:v>820.35930299999995</c:v>
                </c:pt>
                <c:pt idx="26">
                  <c:v>833.09291399999995</c:v>
                </c:pt>
                <c:pt idx="27">
                  <c:v>845.74538719999998</c:v>
                </c:pt>
                <c:pt idx="28">
                  <c:v>858.31600360000004</c:v>
                </c:pt>
                <c:pt idx="29">
                  <c:v>870.80603510000003</c:v>
                </c:pt>
                <c:pt idx="30">
                  <c:v>883.21691929999997</c:v>
                </c:pt>
                <c:pt idx="31">
                  <c:v>895.5499724</c:v>
                </c:pt>
                <c:pt idx="32">
                  <c:v>907.80651150000006</c:v>
                </c:pt>
                <c:pt idx="33">
                  <c:v>919.98796749999997</c:v>
                </c:pt>
                <c:pt idx="34">
                  <c:v>932.09587220000003</c:v>
                </c:pt>
                <c:pt idx="35">
                  <c:v>944.13175460000002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Données!$B$383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Données!$C$383:$AL$383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947.49142140000004</c:v>
                </c:pt>
                <c:pt idx="2">
                  <c:v>940.60971529999995</c:v>
                </c:pt>
                <c:pt idx="3">
                  <c:v>933.70978400000001</c:v>
                </c:pt>
                <c:pt idx="4">
                  <c:v>926.78036770000006</c:v>
                </c:pt>
                <c:pt idx="5">
                  <c:v>919.81350680000003</c:v>
                </c:pt>
                <c:pt idx="6">
                  <c:v>912.80738580000002</c:v>
                </c:pt>
                <c:pt idx="7">
                  <c:v>905.7675911</c:v>
                </c:pt>
                <c:pt idx="8">
                  <c:v>898.70813769999995</c:v>
                </c:pt>
                <c:pt idx="9">
                  <c:v>891.65031209999995</c:v>
                </c:pt>
                <c:pt idx="10">
                  <c:v>884.61805719999995</c:v>
                </c:pt>
                <c:pt idx="11">
                  <c:v>877.63533649999999</c:v>
                </c:pt>
                <c:pt idx="12">
                  <c:v>870.72072609999998</c:v>
                </c:pt>
                <c:pt idx="13">
                  <c:v>863.88902199999995</c:v>
                </c:pt>
                <c:pt idx="14">
                  <c:v>857.15424180000002</c:v>
                </c:pt>
                <c:pt idx="15">
                  <c:v>850.52638930000001</c:v>
                </c:pt>
                <c:pt idx="16">
                  <c:v>844.01105180000002</c:v>
                </c:pt>
                <c:pt idx="17">
                  <c:v>837.60964279999996</c:v>
                </c:pt>
                <c:pt idx="18">
                  <c:v>831.31979899999999</c:v>
                </c:pt>
                <c:pt idx="19">
                  <c:v>825.13614299999995</c:v>
                </c:pt>
                <c:pt idx="20">
                  <c:v>819.05115880000005</c:v>
                </c:pt>
                <c:pt idx="21">
                  <c:v>813.05575910000005</c:v>
                </c:pt>
                <c:pt idx="22">
                  <c:v>807.14138230000003</c:v>
                </c:pt>
                <c:pt idx="23">
                  <c:v>801.30001249999998</c:v>
                </c:pt>
                <c:pt idx="24">
                  <c:v>795.5222708</c:v>
                </c:pt>
                <c:pt idx="25">
                  <c:v>789.79943560000004</c:v>
                </c:pt>
                <c:pt idx="26">
                  <c:v>784.12327589999995</c:v>
                </c:pt>
                <c:pt idx="27">
                  <c:v>778.48953340000003</c:v>
                </c:pt>
                <c:pt idx="28">
                  <c:v>772.89784899999995</c:v>
                </c:pt>
                <c:pt idx="29">
                  <c:v>767.34628399999997</c:v>
                </c:pt>
                <c:pt idx="30">
                  <c:v>761.83294980000005</c:v>
                </c:pt>
                <c:pt idx="31">
                  <c:v>756.356179</c:v>
                </c:pt>
                <c:pt idx="32">
                  <c:v>750.91443589999994</c:v>
                </c:pt>
                <c:pt idx="33">
                  <c:v>745.50638579999998</c:v>
                </c:pt>
                <c:pt idx="34">
                  <c:v>740.13106210000001</c:v>
                </c:pt>
                <c:pt idx="35">
                  <c:v>734.78805239999997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Données!$B$384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Données!$C$384:$AL$384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867.92661069999997</c:v>
                </c:pt>
                <c:pt idx="2">
                  <c:v>857.30847940000001</c:v>
                </c:pt>
                <c:pt idx="3">
                  <c:v>846.9510252</c:v>
                </c:pt>
                <c:pt idx="4">
                  <c:v>836.88450309999996</c:v>
                </c:pt>
                <c:pt idx="5">
                  <c:v>827.10295729999996</c:v>
                </c:pt>
                <c:pt idx="6">
                  <c:v>817.57704820000004</c:v>
                </c:pt>
                <c:pt idx="7">
                  <c:v>808.26862029999995</c:v>
                </c:pt>
                <c:pt idx="8">
                  <c:v>799.13304010000002</c:v>
                </c:pt>
                <c:pt idx="9">
                  <c:v>790.13752339999996</c:v>
                </c:pt>
                <c:pt idx="10">
                  <c:v>781.25703129999999</c:v>
                </c:pt>
                <c:pt idx="11">
                  <c:v>772.47499400000004</c:v>
                </c:pt>
                <c:pt idx="12">
                  <c:v>763.79140280000001</c:v>
                </c:pt>
                <c:pt idx="13">
                  <c:v>755.18899269999997</c:v>
                </c:pt>
                <c:pt idx="14">
                  <c:v>746.65915749999999</c:v>
                </c:pt>
                <c:pt idx="15">
                  <c:v>738.1967224</c:v>
                </c:pt>
                <c:pt idx="16">
                  <c:v>729.79880079999998</c:v>
                </c:pt>
                <c:pt idx="17">
                  <c:v>721.46476610000002</c:v>
                </c:pt>
                <c:pt idx="18">
                  <c:v>713.19629669999995</c:v>
                </c:pt>
                <c:pt idx="19">
                  <c:v>704.99690239999995</c:v>
                </c:pt>
                <c:pt idx="20">
                  <c:v>696.87165619999996</c:v>
                </c:pt>
                <c:pt idx="21">
                  <c:v>688.82518210000001</c:v>
                </c:pt>
                <c:pt idx="22">
                  <c:v>680.85579480000001</c:v>
                </c:pt>
                <c:pt idx="23">
                  <c:v>672.97331459999998</c:v>
                </c:pt>
                <c:pt idx="24">
                  <c:v>665.18380769999999</c:v>
                </c:pt>
                <c:pt idx="25">
                  <c:v>657.49261509999997</c:v>
                </c:pt>
                <c:pt idx="26">
                  <c:v>649.90130429999999</c:v>
                </c:pt>
                <c:pt idx="27">
                  <c:v>642.3933217</c:v>
                </c:pt>
                <c:pt idx="28">
                  <c:v>634.97193049999998</c:v>
                </c:pt>
                <c:pt idx="29">
                  <c:v>627.63729760000001</c:v>
                </c:pt>
                <c:pt idx="30">
                  <c:v>620.38936779999995</c:v>
                </c:pt>
                <c:pt idx="31">
                  <c:v>613.22854559999996</c:v>
                </c:pt>
                <c:pt idx="32">
                  <c:v>606.15546670000003</c:v>
                </c:pt>
                <c:pt idx="33">
                  <c:v>599.1704489</c:v>
                </c:pt>
                <c:pt idx="34">
                  <c:v>592.27308249999999</c:v>
                </c:pt>
                <c:pt idx="35">
                  <c:v>585.46205110000005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Données!$B$385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Données!$C$385:$AL$385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137.95469990000001</c:v>
                </c:pt>
                <c:pt idx="2">
                  <c:v>136.090194</c:v>
                </c:pt>
                <c:pt idx="3">
                  <c:v>134.2599659</c:v>
                </c:pt>
                <c:pt idx="4">
                  <c:v>132.46626599999999</c:v>
                </c:pt>
                <c:pt idx="5">
                  <c:v>130.70855739999999</c:v>
                </c:pt>
                <c:pt idx="6">
                  <c:v>128.98414840000001</c:v>
                </c:pt>
                <c:pt idx="7">
                  <c:v>127.2892895</c:v>
                </c:pt>
                <c:pt idx="8">
                  <c:v>125.61957390000001</c:v>
                </c:pt>
                <c:pt idx="9">
                  <c:v>123.9713143</c:v>
                </c:pt>
                <c:pt idx="10">
                  <c:v>122.34151300000001</c:v>
                </c:pt>
                <c:pt idx="11">
                  <c:v>120.7279444</c:v>
                </c:pt>
                <c:pt idx="12">
                  <c:v>119.1298493</c:v>
                </c:pt>
                <c:pt idx="13">
                  <c:v>117.54580850000001</c:v>
                </c:pt>
                <c:pt idx="14">
                  <c:v>115.9752065</c:v>
                </c:pt>
                <c:pt idx="15">
                  <c:v>114.41786829999999</c:v>
                </c:pt>
                <c:pt idx="16">
                  <c:v>112.873925</c:v>
                </c:pt>
                <c:pt idx="17">
                  <c:v>111.3437519</c:v>
                </c:pt>
                <c:pt idx="18">
                  <c:v>109.8279165</c:v>
                </c:pt>
                <c:pt idx="19">
                  <c:v>108.3271187</c:v>
                </c:pt>
                <c:pt idx="20">
                  <c:v>106.8421519</c:v>
                </c:pt>
                <c:pt idx="21">
                  <c:v>105.3737979</c:v>
                </c:pt>
                <c:pt idx="22">
                  <c:v>103.92236509999999</c:v>
                </c:pt>
                <c:pt idx="23">
                  <c:v>102.4887401</c:v>
                </c:pt>
                <c:pt idx="24">
                  <c:v>101.0735119</c:v>
                </c:pt>
                <c:pt idx="25">
                  <c:v>99.677167119999993</c:v>
                </c:pt>
                <c:pt idx="26">
                  <c:v>98.300036090000006</c:v>
                </c:pt>
                <c:pt idx="27">
                  <c:v>96.941279019999996</c:v>
                </c:pt>
                <c:pt idx="28">
                  <c:v>95.601091179999997</c:v>
                </c:pt>
                <c:pt idx="29">
                  <c:v>94.279412699999995</c:v>
                </c:pt>
                <c:pt idx="30">
                  <c:v>92.976109100000002</c:v>
                </c:pt>
                <c:pt idx="31">
                  <c:v>91.691029279999995</c:v>
                </c:pt>
                <c:pt idx="32">
                  <c:v>90.424004170000003</c:v>
                </c:pt>
                <c:pt idx="33">
                  <c:v>89.174825380000001</c:v>
                </c:pt>
                <c:pt idx="34">
                  <c:v>87.943226300000006</c:v>
                </c:pt>
                <c:pt idx="35">
                  <c:v>86.728874689999998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Données!$B$386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Données!$C$386:$AL$386</c:f>
              <c:numCache>
                <c:formatCode>#,##0</c:formatCode>
                <c:ptCount val="36"/>
                <c:pt idx="0">
                  <c:v>3.874567114</c:v>
                </c:pt>
                <c:pt idx="1">
                  <c:v>3.7241786700000001</c:v>
                </c:pt>
                <c:pt idx="2">
                  <c:v>3.5806033149999998</c:v>
                </c:pt>
                <c:pt idx="3">
                  <c:v>3.4436508790000002</c:v>
                </c:pt>
                <c:pt idx="4">
                  <c:v>3.3132280110000001</c:v>
                </c:pt>
                <c:pt idx="5">
                  <c:v>3.1890435749999999</c:v>
                </c:pt>
                <c:pt idx="6">
                  <c:v>3.070666546</c:v>
                </c:pt>
                <c:pt idx="7">
                  <c:v>2.9576135360000002</c:v>
                </c:pt>
                <c:pt idx="8">
                  <c:v>2.849378545</c:v>
                </c:pt>
                <c:pt idx="9">
                  <c:v>2.745533226</c:v>
                </c:pt>
                <c:pt idx="10">
                  <c:v>2.6457183240000002</c:v>
                </c:pt>
                <c:pt idx="11">
                  <c:v>2.5496446050000001</c:v>
                </c:pt>
                <c:pt idx="12">
                  <c:v>2.4571336050000001</c:v>
                </c:pt>
                <c:pt idx="13">
                  <c:v>2.367970342</c:v>
                </c:pt>
                <c:pt idx="14">
                  <c:v>2.281999248</c:v>
                </c:pt>
                <c:pt idx="15">
                  <c:v>2.1990968460000002</c:v>
                </c:pt>
                <c:pt idx="16">
                  <c:v>2.1191610590000001</c:v>
                </c:pt>
                <c:pt idx="17">
                  <c:v>2.042105829</c:v>
                </c:pt>
                <c:pt idx="18">
                  <c:v>1.967856922</c:v>
                </c:pt>
                <c:pt idx="19">
                  <c:v>1.896347902</c:v>
                </c:pt>
                <c:pt idx="20">
                  <c:v>1.827517718</c:v>
                </c:pt>
                <c:pt idx="21">
                  <c:v>1.761304966</c:v>
                </c:pt>
                <c:pt idx="22">
                  <c:v>1.6976248860000001</c:v>
                </c:pt>
                <c:pt idx="23">
                  <c:v>1.6364238959999999</c:v>
                </c:pt>
                <c:pt idx="24">
                  <c:v>1.5776350699999999</c:v>
                </c:pt>
                <c:pt idx="25">
                  <c:v>1.521188843</c:v>
                </c:pt>
                <c:pt idx="26">
                  <c:v>1.46701072</c:v>
                </c:pt>
                <c:pt idx="27">
                  <c:v>1.4149761190000001</c:v>
                </c:pt>
                <c:pt idx="28">
                  <c:v>1.3650119679999999</c:v>
                </c:pt>
                <c:pt idx="29">
                  <c:v>1.3170373179999999</c:v>
                </c:pt>
                <c:pt idx="30">
                  <c:v>1.2709717970000001</c:v>
                </c:pt>
                <c:pt idx="31">
                  <c:v>1.226738119</c:v>
                </c:pt>
                <c:pt idx="32">
                  <c:v>1.184261923</c:v>
                </c:pt>
                <c:pt idx="33">
                  <c:v>1.143470827</c:v>
                </c:pt>
                <c:pt idx="34">
                  <c:v>1.104293639</c:v>
                </c:pt>
                <c:pt idx="35">
                  <c:v>1.0666600580000001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Données!$B$371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Données!$C$371:$AL$371</c:f>
              <c:numCache>
                <c:formatCode>#,##0</c:formatCode>
                <c:ptCount val="36"/>
                <c:pt idx="0">
                  <c:v>3.476542051</c:v>
                </c:pt>
                <c:pt idx="1">
                  <c:v>6.2681680880000004</c:v>
                </c:pt>
                <c:pt idx="2">
                  <c:v>9.2806592709999993</c:v>
                </c:pt>
                <c:pt idx="3">
                  <c:v>12.25316582</c:v>
                </c:pt>
                <c:pt idx="4">
                  <c:v>15.0159995</c:v>
                </c:pt>
                <c:pt idx="5">
                  <c:v>17.498123240000002</c:v>
                </c:pt>
                <c:pt idx="6">
                  <c:v>19.673925180000001</c:v>
                </c:pt>
                <c:pt idx="7">
                  <c:v>21.600766180000001</c:v>
                </c:pt>
                <c:pt idx="8">
                  <c:v>23.328704009999999</c:v>
                </c:pt>
                <c:pt idx="9">
                  <c:v>24.907364690000001</c:v>
                </c:pt>
                <c:pt idx="10">
                  <c:v>26.42358286</c:v>
                </c:pt>
                <c:pt idx="11">
                  <c:v>27.83808135</c:v>
                </c:pt>
                <c:pt idx="12">
                  <c:v>29.21661186</c:v>
                </c:pt>
                <c:pt idx="13">
                  <c:v>30.59006011</c:v>
                </c:pt>
                <c:pt idx="14">
                  <c:v>31.978152940000001</c:v>
                </c:pt>
                <c:pt idx="15">
                  <c:v>33.392030599999998</c:v>
                </c:pt>
                <c:pt idx="16">
                  <c:v>34.835538270000001</c:v>
                </c:pt>
                <c:pt idx="17">
                  <c:v>36.306546249999997</c:v>
                </c:pt>
                <c:pt idx="18">
                  <c:v>37.801797020000002</c:v>
                </c:pt>
                <c:pt idx="19">
                  <c:v>39.315817969999998</c:v>
                </c:pt>
                <c:pt idx="20">
                  <c:v>40.815262079999997</c:v>
                </c:pt>
                <c:pt idx="21">
                  <c:v>42.34589896</c:v>
                </c:pt>
                <c:pt idx="22">
                  <c:v>43.87788639</c:v>
                </c:pt>
                <c:pt idx="23">
                  <c:v>45.40300706</c:v>
                </c:pt>
                <c:pt idx="24">
                  <c:v>46.915159760000002</c:v>
                </c:pt>
                <c:pt idx="25">
                  <c:v>48.336923040000002</c:v>
                </c:pt>
                <c:pt idx="26">
                  <c:v>49.775006580000003</c:v>
                </c:pt>
                <c:pt idx="27">
                  <c:v>51.19718237</c:v>
                </c:pt>
                <c:pt idx="28">
                  <c:v>52.600241959999998</c:v>
                </c:pt>
                <c:pt idx="29">
                  <c:v>53.982705129999999</c:v>
                </c:pt>
                <c:pt idx="30">
                  <c:v>55.34355558</c:v>
                </c:pt>
                <c:pt idx="31">
                  <c:v>56.681925079999999</c:v>
                </c:pt>
                <c:pt idx="32">
                  <c:v>57.997188780000002</c:v>
                </c:pt>
                <c:pt idx="33">
                  <c:v>59.288477630000003</c:v>
                </c:pt>
                <c:pt idx="34">
                  <c:v>60.555311709999998</c:v>
                </c:pt>
                <c:pt idx="35">
                  <c:v>61.797732259999997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Données!$B$372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Données!$C$372:$AL$372</c:f>
              <c:numCache>
                <c:formatCode>#,##0</c:formatCode>
                <c:ptCount val="36"/>
                <c:pt idx="0">
                  <c:v>68.80476281</c:v>
                </c:pt>
                <c:pt idx="1">
                  <c:v>78.23714244</c:v>
                </c:pt>
                <c:pt idx="2">
                  <c:v>88.355438559999996</c:v>
                </c:pt>
                <c:pt idx="3">
                  <c:v>98.296244000000002</c:v>
                </c:pt>
                <c:pt idx="4">
                  <c:v>107.9361974</c:v>
                </c:pt>
                <c:pt idx="5">
                  <c:v>117.2650336</c:v>
                </c:pt>
                <c:pt idx="6">
                  <c:v>125.7165495</c:v>
                </c:pt>
                <c:pt idx="7">
                  <c:v>133.99232499999999</c:v>
                </c:pt>
                <c:pt idx="8">
                  <c:v>142.17091389999999</c:v>
                </c:pt>
                <c:pt idx="9">
                  <c:v>150.3074714</c:v>
                </c:pt>
                <c:pt idx="10">
                  <c:v>159.4697285</c:v>
                </c:pt>
                <c:pt idx="11">
                  <c:v>167.5916671</c:v>
                </c:pt>
                <c:pt idx="12">
                  <c:v>175.6958477</c:v>
                </c:pt>
                <c:pt idx="13">
                  <c:v>183.76907360000001</c:v>
                </c:pt>
                <c:pt idx="14">
                  <c:v>191.79360650000001</c:v>
                </c:pt>
                <c:pt idx="15">
                  <c:v>199.7546059</c:v>
                </c:pt>
                <c:pt idx="16">
                  <c:v>207.64282800000001</c:v>
                </c:pt>
                <c:pt idx="17">
                  <c:v>215.45366609999999</c:v>
                </c:pt>
                <c:pt idx="18">
                  <c:v>223.1880424</c:v>
                </c:pt>
                <c:pt idx="19">
                  <c:v>230.84929339999999</c:v>
                </c:pt>
                <c:pt idx="20">
                  <c:v>237.75493420000001</c:v>
                </c:pt>
                <c:pt idx="21">
                  <c:v>245.2822334</c:v>
                </c:pt>
                <c:pt idx="22">
                  <c:v>252.7536193</c:v>
                </c:pt>
                <c:pt idx="23">
                  <c:v>260.17245860000003</c:v>
                </c:pt>
                <c:pt idx="24">
                  <c:v>267.54325729999999</c:v>
                </c:pt>
                <c:pt idx="25">
                  <c:v>272.99461789999998</c:v>
                </c:pt>
                <c:pt idx="26">
                  <c:v>279.39459820000002</c:v>
                </c:pt>
                <c:pt idx="27">
                  <c:v>285.7584938</c:v>
                </c:pt>
                <c:pt idx="28">
                  <c:v>292.08694259999999</c:v>
                </c:pt>
                <c:pt idx="29">
                  <c:v>298.38188930000001</c:v>
                </c:pt>
                <c:pt idx="30">
                  <c:v>304.64524030000001</c:v>
                </c:pt>
                <c:pt idx="31">
                  <c:v>310.87852359999999</c:v>
                </c:pt>
                <c:pt idx="32">
                  <c:v>317.08328749999998</c:v>
                </c:pt>
                <c:pt idx="33">
                  <c:v>323.26070299999998</c:v>
                </c:pt>
                <c:pt idx="34">
                  <c:v>329.41200850000001</c:v>
                </c:pt>
                <c:pt idx="35">
                  <c:v>335.53848770000002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Données!$B$373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Données!$C$373:$AL$373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427.29661970000001</c:v>
                </c:pt>
                <c:pt idx="2">
                  <c:v>448.064367</c:v>
                </c:pt>
                <c:pt idx="3">
                  <c:v>468.4191644</c:v>
                </c:pt>
                <c:pt idx="4">
                  <c:v>488.20136439999999</c:v>
                </c:pt>
                <c:pt idx="5">
                  <c:v>507.44762109999999</c:v>
                </c:pt>
                <c:pt idx="6">
                  <c:v>524.5447921</c:v>
                </c:pt>
                <c:pt idx="7">
                  <c:v>541.39530379999997</c:v>
                </c:pt>
                <c:pt idx="8">
                  <c:v>558.13791040000001</c:v>
                </c:pt>
                <c:pt idx="9">
                  <c:v>574.86064069999998</c:v>
                </c:pt>
                <c:pt idx="10">
                  <c:v>594.51558850000004</c:v>
                </c:pt>
                <c:pt idx="11">
                  <c:v>611.28198399999997</c:v>
                </c:pt>
                <c:pt idx="12">
                  <c:v>628.03628679999997</c:v>
                </c:pt>
                <c:pt idx="13">
                  <c:v>644.74590679999994</c:v>
                </c:pt>
                <c:pt idx="14">
                  <c:v>661.37657569999999</c:v>
                </c:pt>
                <c:pt idx="15">
                  <c:v>677.90252610000005</c:v>
                </c:pt>
                <c:pt idx="16">
                  <c:v>694.30991610000001</c:v>
                </c:pt>
                <c:pt idx="17">
                  <c:v>710.59298190000004</c:v>
                </c:pt>
                <c:pt idx="18">
                  <c:v>726.75446729999999</c:v>
                </c:pt>
                <c:pt idx="19">
                  <c:v>742.8010544</c:v>
                </c:pt>
                <c:pt idx="20">
                  <c:v>756.81221849999997</c:v>
                </c:pt>
                <c:pt idx="21">
                  <c:v>772.64881439999999</c:v>
                </c:pt>
                <c:pt idx="22">
                  <c:v>788.39919980000002</c:v>
                </c:pt>
                <c:pt idx="23">
                  <c:v>804.06943999999999</c:v>
                </c:pt>
                <c:pt idx="24">
                  <c:v>819.66685340000004</c:v>
                </c:pt>
                <c:pt idx="25">
                  <c:v>829.93235419999996</c:v>
                </c:pt>
                <c:pt idx="26">
                  <c:v>842.91249119999998</c:v>
                </c:pt>
                <c:pt idx="27">
                  <c:v>855.82974679999995</c:v>
                </c:pt>
                <c:pt idx="28">
                  <c:v>868.68550500000003</c:v>
                </c:pt>
                <c:pt idx="29">
                  <c:v>881.48286910000002</c:v>
                </c:pt>
                <c:pt idx="30">
                  <c:v>894.22507780000001</c:v>
                </c:pt>
                <c:pt idx="31">
                  <c:v>906.91497730000003</c:v>
                </c:pt>
                <c:pt idx="32">
                  <c:v>919.55588890000001</c:v>
                </c:pt>
                <c:pt idx="33">
                  <c:v>932.15081710000004</c:v>
                </c:pt>
                <c:pt idx="34">
                  <c:v>944.70291210000005</c:v>
                </c:pt>
                <c:pt idx="35">
                  <c:v>957.21536179999998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Données!$B$374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Données!$C$374:$AL$374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947.61373990000004</c:v>
                </c:pt>
                <c:pt idx="2">
                  <c:v>941.27935119999995</c:v>
                </c:pt>
                <c:pt idx="3">
                  <c:v>935.14758819999997</c:v>
                </c:pt>
                <c:pt idx="4">
                  <c:v>929.02736540000001</c:v>
                </c:pt>
                <c:pt idx="5">
                  <c:v>922.8108479</c:v>
                </c:pt>
                <c:pt idx="6">
                  <c:v>916.44573800000001</c:v>
                </c:pt>
                <c:pt idx="7">
                  <c:v>909.90638090000004</c:v>
                </c:pt>
                <c:pt idx="8">
                  <c:v>903.18511090000004</c:v>
                </c:pt>
                <c:pt idx="9">
                  <c:v>896.29720759999998</c:v>
                </c:pt>
                <c:pt idx="10">
                  <c:v>889.28184290000002</c:v>
                </c:pt>
                <c:pt idx="11">
                  <c:v>882.19861249999997</c:v>
                </c:pt>
                <c:pt idx="12">
                  <c:v>875.1149739</c:v>
                </c:pt>
                <c:pt idx="13">
                  <c:v>868.09760500000004</c:v>
                </c:pt>
                <c:pt idx="14">
                  <c:v>861.20666989999995</c:v>
                </c:pt>
                <c:pt idx="15">
                  <c:v>854.4858428</c:v>
                </c:pt>
                <c:pt idx="16">
                  <c:v>847.96024260000002</c:v>
                </c:pt>
                <c:pt idx="17">
                  <c:v>841.63856810000004</c:v>
                </c:pt>
                <c:pt idx="18">
                  <c:v>835.51600470000005</c:v>
                </c:pt>
                <c:pt idx="19">
                  <c:v>829.57922959999996</c:v>
                </c:pt>
                <c:pt idx="20">
                  <c:v>823.80981120000001</c:v>
                </c:pt>
                <c:pt idx="21">
                  <c:v>818.18676310000001</c:v>
                </c:pt>
                <c:pt idx="22">
                  <c:v>812.68985710000004</c:v>
                </c:pt>
                <c:pt idx="23">
                  <c:v>807.3005167</c:v>
                </c:pt>
                <c:pt idx="24">
                  <c:v>802.00048730000003</c:v>
                </c:pt>
                <c:pt idx="25">
                  <c:v>796.77383810000003</c:v>
                </c:pt>
                <c:pt idx="26">
                  <c:v>791.60647359999996</c:v>
                </c:pt>
                <c:pt idx="27">
                  <c:v>786.48868389999996</c:v>
                </c:pt>
                <c:pt idx="28">
                  <c:v>781.41543539999998</c:v>
                </c:pt>
                <c:pt idx="29">
                  <c:v>776.38107460000003</c:v>
                </c:pt>
                <c:pt idx="30">
                  <c:v>771.38073169999996</c:v>
                </c:pt>
                <c:pt idx="31">
                  <c:v>766.41035460000001</c:v>
                </c:pt>
                <c:pt idx="32">
                  <c:v>761.46640339999999</c:v>
                </c:pt>
                <c:pt idx="33">
                  <c:v>756.54607929999997</c:v>
                </c:pt>
                <c:pt idx="34">
                  <c:v>751.64719409999998</c:v>
                </c:pt>
                <c:pt idx="35">
                  <c:v>746.76831970000001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Données!$B$375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Données!$C$375:$AL$375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864.78652279999994</c:v>
                </c:pt>
                <c:pt idx="2">
                  <c:v>850.19926399999997</c:v>
                </c:pt>
                <c:pt idx="3">
                  <c:v>836.04674379999994</c:v>
                </c:pt>
                <c:pt idx="4">
                  <c:v>822.94815080000001</c:v>
                </c:pt>
                <c:pt idx="5">
                  <c:v>811.04557850000003</c:v>
                </c:pt>
                <c:pt idx="6">
                  <c:v>800.19598029999997</c:v>
                </c:pt>
                <c:pt idx="7">
                  <c:v>790.15527599999996</c:v>
                </c:pt>
                <c:pt idx="8">
                  <c:v>780.67604470000003</c:v>
                </c:pt>
                <c:pt idx="9">
                  <c:v>771.56251810000003</c:v>
                </c:pt>
                <c:pt idx="10">
                  <c:v>762.67217860000005</c:v>
                </c:pt>
                <c:pt idx="11">
                  <c:v>753.90997249999998</c:v>
                </c:pt>
                <c:pt idx="12">
                  <c:v>745.22830320000003</c:v>
                </c:pt>
                <c:pt idx="13">
                  <c:v>736.5809974</c:v>
                </c:pt>
                <c:pt idx="14">
                  <c:v>727.94358020000004</c:v>
                </c:pt>
                <c:pt idx="15">
                  <c:v>719.30359550000003</c:v>
                </c:pt>
                <c:pt idx="16">
                  <c:v>710.65578919999996</c:v>
                </c:pt>
                <c:pt idx="17">
                  <c:v>702.00330580000002</c:v>
                </c:pt>
                <c:pt idx="18">
                  <c:v>693.34953370000005</c:v>
                </c:pt>
                <c:pt idx="19">
                  <c:v>684.70180449999998</c:v>
                </c:pt>
                <c:pt idx="20">
                  <c:v>676.07058949999998</c:v>
                </c:pt>
                <c:pt idx="21">
                  <c:v>667.46734119999996</c:v>
                </c:pt>
                <c:pt idx="22">
                  <c:v>658.89652860000001</c:v>
                </c:pt>
                <c:pt idx="23">
                  <c:v>650.37380429999996</c:v>
                </c:pt>
                <c:pt idx="24">
                  <c:v>641.91042789999995</c:v>
                </c:pt>
                <c:pt idx="25">
                  <c:v>633.51560099999995</c:v>
                </c:pt>
                <c:pt idx="26">
                  <c:v>625.19588320000003</c:v>
                </c:pt>
                <c:pt idx="27">
                  <c:v>616.93605400000001</c:v>
                </c:pt>
                <c:pt idx="28">
                  <c:v>608.74189320000005</c:v>
                </c:pt>
                <c:pt idx="29">
                  <c:v>600.61541539999996</c:v>
                </c:pt>
                <c:pt idx="30">
                  <c:v>592.55748770000002</c:v>
                </c:pt>
                <c:pt idx="31">
                  <c:v>584.56885139999997</c:v>
                </c:pt>
                <c:pt idx="32">
                  <c:v>576.64919259999999</c:v>
                </c:pt>
                <c:pt idx="33">
                  <c:v>568.79843059999996</c:v>
                </c:pt>
                <c:pt idx="34">
                  <c:v>561.01536899999996</c:v>
                </c:pt>
                <c:pt idx="35">
                  <c:v>553.29754500000001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Données!$B$376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Données!$C$376:$AL$376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137.80797530000001</c:v>
                </c:pt>
                <c:pt idx="2">
                  <c:v>135.76597770000001</c:v>
                </c:pt>
                <c:pt idx="3">
                  <c:v>133.75711580000001</c:v>
                </c:pt>
                <c:pt idx="4">
                  <c:v>131.80492570000001</c:v>
                </c:pt>
                <c:pt idx="5">
                  <c:v>129.9196642</c:v>
                </c:pt>
                <c:pt idx="6">
                  <c:v>128.1004739</c:v>
                </c:pt>
                <c:pt idx="7">
                  <c:v>126.3398116</c:v>
                </c:pt>
                <c:pt idx="8">
                  <c:v>124.62652559999999</c:v>
                </c:pt>
                <c:pt idx="9">
                  <c:v>122.9493803</c:v>
                </c:pt>
                <c:pt idx="10">
                  <c:v>121.29826559999999</c:v>
                </c:pt>
                <c:pt idx="11">
                  <c:v>119.6646707</c:v>
                </c:pt>
                <c:pt idx="12">
                  <c:v>118.04318739999999</c:v>
                </c:pt>
                <c:pt idx="13">
                  <c:v>116.428743</c:v>
                </c:pt>
                <c:pt idx="14">
                  <c:v>114.8183082</c:v>
                </c:pt>
                <c:pt idx="15">
                  <c:v>113.2104046</c:v>
                </c:pt>
                <c:pt idx="16">
                  <c:v>111.60460260000001</c:v>
                </c:pt>
                <c:pt idx="17">
                  <c:v>110.0016889</c:v>
                </c:pt>
                <c:pt idx="18">
                  <c:v>108.40279750000001</c:v>
                </c:pt>
                <c:pt idx="19">
                  <c:v>106.80947190000001</c:v>
                </c:pt>
                <c:pt idx="20">
                  <c:v>105.2235074</c:v>
                </c:pt>
                <c:pt idx="21">
                  <c:v>103.6468418</c:v>
                </c:pt>
                <c:pt idx="22">
                  <c:v>102.08079720000001</c:v>
                </c:pt>
                <c:pt idx="23">
                  <c:v>100.5271886</c:v>
                </c:pt>
                <c:pt idx="24">
                  <c:v>98.987416469999999</c:v>
                </c:pt>
                <c:pt idx="25">
                  <c:v>97.462602869999998</c:v>
                </c:pt>
                <c:pt idx="26">
                  <c:v>95.953945689999998</c:v>
                </c:pt>
                <c:pt idx="27">
                  <c:v>94.460926490000006</c:v>
                </c:pt>
                <c:pt idx="28">
                  <c:v>92.984072690000005</c:v>
                </c:pt>
                <c:pt idx="29">
                  <c:v>91.523555369999997</c:v>
                </c:pt>
                <c:pt idx="30">
                  <c:v>90.079352259999993</c:v>
                </c:pt>
                <c:pt idx="31">
                  <c:v>88.651373300000003</c:v>
                </c:pt>
                <c:pt idx="32">
                  <c:v>87.239334720000002</c:v>
                </c:pt>
                <c:pt idx="33">
                  <c:v>85.842914710000002</c:v>
                </c:pt>
                <c:pt idx="34">
                  <c:v>84.461693530000005</c:v>
                </c:pt>
                <c:pt idx="35">
                  <c:v>83.095153949999997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Données!$B$377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Données!$C$377:$AL$377</c:f>
              <c:numCache>
                <c:formatCode>#,##0</c:formatCode>
                <c:ptCount val="36"/>
                <c:pt idx="0">
                  <c:v>3.874567114</c:v>
                </c:pt>
                <c:pt idx="1">
                  <c:v>3.716205338</c:v>
                </c:pt>
                <c:pt idx="2">
                  <c:v>3.5630491580000001</c:v>
                </c:pt>
                <c:pt idx="3">
                  <c:v>3.4169627340000002</c:v>
                </c:pt>
                <c:pt idx="4">
                  <c:v>3.2792101699999998</c:v>
                </c:pt>
                <c:pt idx="5">
                  <c:v>3.1501316090000002</c:v>
                </c:pt>
                <c:pt idx="6">
                  <c:v>3.0293306790000001</c:v>
                </c:pt>
                <c:pt idx="7">
                  <c:v>2.9159853280000001</c:v>
                </c:pt>
                <c:pt idx="8">
                  <c:v>2.8090679729999999</c:v>
                </c:pt>
                <c:pt idx="9">
                  <c:v>2.7075930270000002</c:v>
                </c:pt>
                <c:pt idx="10">
                  <c:v>2.6106948449999998</c:v>
                </c:pt>
                <c:pt idx="11">
                  <c:v>2.517669105</c:v>
                </c:pt>
                <c:pt idx="12">
                  <c:v>2.4280415500000001</c:v>
                </c:pt>
                <c:pt idx="13">
                  <c:v>2.3413826900000001</c:v>
                </c:pt>
                <c:pt idx="14">
                  <c:v>2.257414732</c:v>
                </c:pt>
                <c:pt idx="15">
                  <c:v>2.1759682919999999</c:v>
                </c:pt>
                <c:pt idx="16">
                  <c:v>2.0969516499999998</c:v>
                </c:pt>
                <c:pt idx="17">
                  <c:v>2.0203377389999999</c:v>
                </c:pt>
                <c:pt idx="18">
                  <c:v>1.9461146460000001</c:v>
                </c:pt>
                <c:pt idx="19">
                  <c:v>1.874287292</c:v>
                </c:pt>
                <c:pt idx="20">
                  <c:v>1.80486792</c:v>
                </c:pt>
                <c:pt idx="21">
                  <c:v>1.737866777</c:v>
                </c:pt>
                <c:pt idx="22">
                  <c:v>1.6732628789999999</c:v>
                </c:pt>
                <c:pt idx="23">
                  <c:v>1.611055787</c:v>
                </c:pt>
                <c:pt idx="24">
                  <c:v>1.5512222600000001</c:v>
                </c:pt>
                <c:pt idx="25">
                  <c:v>1.4937253159999999</c:v>
                </c:pt>
                <c:pt idx="26">
                  <c:v>1.438518677</c:v>
                </c:pt>
                <c:pt idx="27">
                  <c:v>1.3854930080000001</c:v>
                </c:pt>
                <c:pt idx="28">
                  <c:v>1.3345878739999999</c:v>
                </c:pt>
                <c:pt idx="29">
                  <c:v>1.285730397</c:v>
                </c:pt>
                <c:pt idx="30">
                  <c:v>1.2388432629999999</c:v>
                </c:pt>
                <c:pt idx="31">
                  <c:v>1.193848311</c:v>
                </c:pt>
                <c:pt idx="32">
                  <c:v>1.1506651459999999</c:v>
                </c:pt>
                <c:pt idx="33">
                  <c:v>1.1092159669999999</c:v>
                </c:pt>
                <c:pt idx="34">
                  <c:v>1.0694231599999999</c:v>
                </c:pt>
                <c:pt idx="35">
                  <c:v>1.0312093010000001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Données!$B$362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Données!$C$362:$AL$362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7160.6966369087004</c:v>
                </c:pt>
                <c:pt idx="2">
                  <c:v>7267.4841833884002</c:v>
                </c:pt>
                <c:pt idx="3">
                  <c:v>7410.2813526046002</c:v>
                </c:pt>
                <c:pt idx="4">
                  <c:v>7578.1525086376996</c:v>
                </c:pt>
                <c:pt idx="5">
                  <c:v>7764.2130730793997</c:v>
                </c:pt>
                <c:pt idx="6">
                  <c:v>7962.9068510739999</c:v>
                </c:pt>
                <c:pt idx="7">
                  <c:v>8171.4029995235005</c:v>
                </c:pt>
                <c:pt idx="8">
                  <c:v>8387.7709897607001</c:v>
                </c:pt>
                <c:pt idx="9">
                  <c:v>8610.5427097086995</c:v>
                </c:pt>
                <c:pt idx="10">
                  <c:v>8840.7156392060006</c:v>
                </c:pt>
                <c:pt idx="11">
                  <c:v>9075.0293107078996</c:v>
                </c:pt>
                <c:pt idx="12">
                  <c:v>9312.6092692721995</c:v>
                </c:pt>
                <c:pt idx="13">
                  <c:v>9552.7645614508001</c:v>
                </c:pt>
                <c:pt idx="14">
                  <c:v>9794.6965871886005</c:v>
                </c:pt>
                <c:pt idx="15">
                  <c:v>10037.7222997931</c:v>
                </c:pt>
                <c:pt idx="16">
                  <c:v>10281.256810245201</c:v>
                </c:pt>
                <c:pt idx="17">
                  <c:v>10524.8068728093</c:v>
                </c:pt>
                <c:pt idx="18">
                  <c:v>10767.971165411001</c:v>
                </c:pt>
                <c:pt idx="19">
                  <c:v>11010.442207301601</c:v>
                </c:pt>
                <c:pt idx="20">
                  <c:v>11250.294424895001</c:v>
                </c:pt>
                <c:pt idx="21">
                  <c:v>11489.274305575</c:v>
                </c:pt>
                <c:pt idx="22">
                  <c:v>11727.352875964001</c:v>
                </c:pt>
                <c:pt idx="23">
                  <c:v>11964.483934134001</c:v>
                </c:pt>
                <c:pt idx="24">
                  <c:v>12200.816273417</c:v>
                </c:pt>
                <c:pt idx="25">
                  <c:v>12431.48825995</c:v>
                </c:pt>
                <c:pt idx="26">
                  <c:v>12659.815443850001</c:v>
                </c:pt>
                <c:pt idx="27">
                  <c:v>12886.232391916001</c:v>
                </c:pt>
                <c:pt idx="28">
                  <c:v>13110.950034661999</c:v>
                </c:pt>
                <c:pt idx="29">
                  <c:v>13334.451521356001</c:v>
                </c:pt>
                <c:pt idx="30">
                  <c:v>13557.186662444999</c:v>
                </c:pt>
                <c:pt idx="31">
                  <c:v>13779.574617545</c:v>
                </c:pt>
                <c:pt idx="32">
                  <c:v>14002.013471023001</c:v>
                </c:pt>
                <c:pt idx="33">
                  <c:v>14224.886873144</c:v>
                </c:pt>
                <c:pt idx="34">
                  <c:v>14448.565817627999</c:v>
                </c:pt>
                <c:pt idx="35">
                  <c:v>14673.406459573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Données!$B$363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Données!$C$363:$AL$363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8203.0100412847987</c:v>
                </c:pt>
                <c:pt idx="2">
                  <c:v>8200.3842621906988</c:v>
                </c:pt>
                <c:pt idx="3">
                  <c:v>8238.9543910702996</c:v>
                </c:pt>
                <c:pt idx="4">
                  <c:v>8307.4140099169999</c:v>
                </c:pt>
                <c:pt idx="5">
                  <c:v>8398.4528985172001</c:v>
                </c:pt>
                <c:pt idx="6">
                  <c:v>8506.1273908617004</c:v>
                </c:pt>
                <c:pt idx="7">
                  <c:v>8627.1631399436992</c:v>
                </c:pt>
                <c:pt idx="8">
                  <c:v>8759.2049467197012</c:v>
                </c:pt>
                <c:pt idx="9">
                  <c:v>8900.3851451786995</c:v>
                </c:pt>
                <c:pt idx="10">
                  <c:v>9051.192263425799</c:v>
                </c:pt>
                <c:pt idx="11">
                  <c:v>9208.1573533923001</c:v>
                </c:pt>
                <c:pt idx="12">
                  <c:v>9370.0835639200996</c:v>
                </c:pt>
                <c:pt idx="13">
                  <c:v>9535.9916514011984</c:v>
                </c:pt>
                <c:pt idx="14">
                  <c:v>9704.8326273799976</c:v>
                </c:pt>
                <c:pt idx="15">
                  <c:v>9875.6943603841992</c:v>
                </c:pt>
                <c:pt idx="16">
                  <c:v>10047.782648645602</c:v>
                </c:pt>
                <c:pt idx="17">
                  <c:v>10220.412026733698</c:v>
                </c:pt>
                <c:pt idx="18">
                  <c:v>10393.002681267299</c:v>
                </c:pt>
                <c:pt idx="19">
                  <c:v>10565.0789630454</c:v>
                </c:pt>
                <c:pt idx="20">
                  <c:v>10734.718767873301</c:v>
                </c:pt>
                <c:pt idx="21">
                  <c:v>10903.342328425701</c:v>
                </c:pt>
                <c:pt idx="22">
                  <c:v>11070.774211733</c:v>
                </c:pt>
                <c:pt idx="23">
                  <c:v>11236.821698888001</c:v>
                </c:pt>
                <c:pt idx="24">
                  <c:v>11401.474748974</c:v>
                </c:pt>
                <c:pt idx="25">
                  <c:v>11560.289246801</c:v>
                </c:pt>
                <c:pt idx="26">
                  <c:v>11716.107848563001</c:v>
                </c:pt>
                <c:pt idx="27">
                  <c:v>11869.231858779</c:v>
                </c:pt>
                <c:pt idx="28">
                  <c:v>12019.746994395002</c:v>
                </c:pt>
                <c:pt idx="29">
                  <c:v>12167.979196433002</c:v>
                </c:pt>
                <c:pt idx="30">
                  <c:v>12314.222586963</c:v>
                </c:pt>
                <c:pt idx="31">
                  <c:v>12458.740302277</c:v>
                </c:pt>
                <c:pt idx="32">
                  <c:v>12601.772206017</c:v>
                </c:pt>
                <c:pt idx="33">
                  <c:v>12743.540642666001</c:v>
                </c:pt>
                <c:pt idx="34">
                  <c:v>12884.252303018999</c:v>
                </c:pt>
                <c:pt idx="35">
                  <c:v>13024.096992290999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Données!$B$364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Données!$C$364:$AL$364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6662.2649886253002</c:v>
                </c:pt>
                <c:pt idx="2">
                  <c:v>6582.6437779908001</c:v>
                </c:pt>
                <c:pt idx="3">
                  <c:v>6536.5310821284002</c:v>
                </c:pt>
                <c:pt idx="4">
                  <c:v>6515.5196567694002</c:v>
                </c:pt>
                <c:pt idx="5">
                  <c:v>6514.0456901000007</c:v>
                </c:pt>
                <c:pt idx="6">
                  <c:v>6527.5571200494996</c:v>
                </c:pt>
                <c:pt idx="7">
                  <c:v>6553.3887507097998</c:v>
                </c:pt>
                <c:pt idx="8">
                  <c:v>6589.5517277525996</c:v>
                </c:pt>
                <c:pt idx="9">
                  <c:v>6634.4270115092004</c:v>
                </c:pt>
                <c:pt idx="10">
                  <c:v>6688.0221577623997</c:v>
                </c:pt>
                <c:pt idx="11">
                  <c:v>6747.6954638056995</c:v>
                </c:pt>
                <c:pt idx="12">
                  <c:v>6812.3681621183996</c:v>
                </c:pt>
                <c:pt idx="13">
                  <c:v>6881.1418339182001</c:v>
                </c:pt>
                <c:pt idx="14">
                  <c:v>6953.094382554299</c:v>
                </c:pt>
                <c:pt idx="15">
                  <c:v>7027.4177031880008</c:v>
                </c:pt>
                <c:pt idx="16">
                  <c:v>7103.4029417103002</c:v>
                </c:pt>
                <c:pt idx="17">
                  <c:v>7180.4320262821993</c:v>
                </c:pt>
                <c:pt idx="18">
                  <c:v>7257.9732452634998</c:v>
                </c:pt>
                <c:pt idx="19">
                  <c:v>7335.5779421824009</c:v>
                </c:pt>
                <c:pt idx="20">
                  <c:v>7411.8670444270992</c:v>
                </c:pt>
                <c:pt idx="21">
                  <c:v>7487.6583288104994</c:v>
                </c:pt>
                <c:pt idx="22">
                  <c:v>7562.7369630516996</c:v>
                </c:pt>
                <c:pt idx="23">
                  <c:v>7636.8778820342004</c:v>
                </c:pt>
                <c:pt idx="24">
                  <c:v>7709.9813633536005</c:v>
                </c:pt>
                <c:pt idx="25">
                  <c:v>7779.1181346721996</c:v>
                </c:pt>
                <c:pt idx="26">
                  <c:v>7846.0461702153998</c:v>
                </c:pt>
                <c:pt idx="27">
                  <c:v>7910.9071507299004</c:v>
                </c:pt>
                <c:pt idx="28">
                  <c:v>7973.6957825205</c:v>
                </c:pt>
                <c:pt idx="29">
                  <c:v>8034.5615393655999</c:v>
                </c:pt>
                <c:pt idx="30">
                  <c:v>8093.6338844960001</c:v>
                </c:pt>
                <c:pt idx="31">
                  <c:v>8151.0220052912991</c:v>
                </c:pt>
                <c:pt idx="32">
                  <c:v>8206.8193486675009</c:v>
                </c:pt>
                <c:pt idx="33">
                  <c:v>8261.1073237003002</c:v>
                </c:pt>
                <c:pt idx="34">
                  <c:v>8313.9568104803002</c:v>
                </c:pt>
                <c:pt idx="35">
                  <c:v>8365.4278435760007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Données!$B$365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Données!$C$365:$AL$365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4063.7600164022001</c:v>
                </c:pt>
                <c:pt idx="2">
                  <c:v>3987.5316842862003</c:v>
                </c:pt>
                <c:pt idx="3">
                  <c:v>3929.7055728091</c:v>
                </c:pt>
                <c:pt idx="4">
                  <c:v>3885.1911363613999</c:v>
                </c:pt>
                <c:pt idx="5">
                  <c:v>3850.6042755344997</c:v>
                </c:pt>
                <c:pt idx="6">
                  <c:v>3823.2251669348998</c:v>
                </c:pt>
                <c:pt idx="7">
                  <c:v>3801.4188462215998</c:v>
                </c:pt>
                <c:pt idx="8">
                  <c:v>3783.9691471826</c:v>
                </c:pt>
                <c:pt idx="9">
                  <c:v>3769.8931211941999</c:v>
                </c:pt>
                <c:pt idx="10">
                  <c:v>3759.0530571702002</c:v>
                </c:pt>
                <c:pt idx="11">
                  <c:v>3750.0163158787</c:v>
                </c:pt>
                <c:pt idx="12">
                  <c:v>3742.1533875319997</c:v>
                </c:pt>
                <c:pt idx="13">
                  <c:v>3734.9663627118998</c:v>
                </c:pt>
                <c:pt idx="14">
                  <c:v>3727.9674468478001</c:v>
                </c:pt>
                <c:pt idx="15">
                  <c:v>3720.7447959244996</c:v>
                </c:pt>
                <c:pt idx="16">
                  <c:v>3712.9525787145999</c:v>
                </c:pt>
                <c:pt idx="17">
                  <c:v>3704.3035201532002</c:v>
                </c:pt>
                <c:pt idx="18">
                  <c:v>3694.5632983943001</c:v>
                </c:pt>
                <c:pt idx="19">
                  <c:v>3683.5456499500001</c:v>
                </c:pt>
                <c:pt idx="20">
                  <c:v>3670.6813031187999</c:v>
                </c:pt>
                <c:pt idx="21">
                  <c:v>3656.3470805719999</c:v>
                </c:pt>
                <c:pt idx="22">
                  <c:v>3640.4861283882001</c:v>
                </c:pt>
                <c:pt idx="23">
                  <c:v>3623.0279227939</c:v>
                </c:pt>
                <c:pt idx="24">
                  <c:v>3603.9565421281</c:v>
                </c:pt>
                <c:pt idx="25">
                  <c:v>3582.1661016836001</c:v>
                </c:pt>
                <c:pt idx="26">
                  <c:v>3558.4002728415999</c:v>
                </c:pt>
                <c:pt idx="27">
                  <c:v>3532.7856969249001</c:v>
                </c:pt>
                <c:pt idx="28">
                  <c:v>3505.3694525279002</c:v>
                </c:pt>
                <c:pt idx="29">
                  <c:v>3476.2542828152996</c:v>
                </c:pt>
                <c:pt idx="30">
                  <c:v>3445.5307864720999</c:v>
                </c:pt>
                <c:pt idx="31">
                  <c:v>3413.2769249472999</c:v>
                </c:pt>
                <c:pt idx="32">
                  <c:v>3379.5601438839999</c:v>
                </c:pt>
                <c:pt idx="33">
                  <c:v>3344.4397114305002</c:v>
                </c:pt>
                <c:pt idx="34">
                  <c:v>3307.9685346700999</c:v>
                </c:pt>
                <c:pt idx="35">
                  <c:v>3270.1944065746002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Données!$B$366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Données!$C$366:$AL$366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2448.3052783134003</c:v>
                </c:pt>
                <c:pt idx="2">
                  <c:v>2403.6547314961999</c:v>
                </c:pt>
                <c:pt idx="3">
                  <c:v>2368.7228742733</c:v>
                </c:pt>
                <c:pt idx="4">
                  <c:v>2340.2956021785003</c:v>
                </c:pt>
                <c:pt idx="5">
                  <c:v>2316.2762527998998</c:v>
                </c:pt>
                <c:pt idx="6">
                  <c:v>2295.0282221123998</c:v>
                </c:pt>
                <c:pt idx="7">
                  <c:v>2275.598370616</c:v>
                </c:pt>
                <c:pt idx="8">
                  <c:v>2257.3090133833998</c:v>
                </c:pt>
                <c:pt idx="9">
                  <c:v>2239.6355618581001</c:v>
                </c:pt>
                <c:pt idx="10">
                  <c:v>2222.5405641839998</c:v>
                </c:pt>
                <c:pt idx="11">
                  <c:v>2205.2722309469996</c:v>
                </c:pt>
                <c:pt idx="12">
                  <c:v>2187.5366630644003</c:v>
                </c:pt>
                <c:pt idx="13">
                  <c:v>2169.1298735814999</c:v>
                </c:pt>
                <c:pt idx="14">
                  <c:v>2149.8600882696996</c:v>
                </c:pt>
                <c:pt idx="15">
                  <c:v>2129.5828214426001</c:v>
                </c:pt>
                <c:pt idx="16">
                  <c:v>2108.193823053</c:v>
                </c:pt>
                <c:pt idx="17">
                  <c:v>2085.6232371847996</c:v>
                </c:pt>
                <c:pt idx="18">
                  <c:v>2061.8308538524002</c:v>
                </c:pt>
                <c:pt idx="19">
                  <c:v>2036.8019549774001</c:v>
                </c:pt>
                <c:pt idx="20">
                  <c:v>2010.3382911121003</c:v>
                </c:pt>
                <c:pt idx="21">
                  <c:v>1982.7014913037999</c:v>
                </c:pt>
                <c:pt idx="22">
                  <c:v>1953.941568451</c:v>
                </c:pt>
                <c:pt idx="23">
                  <c:v>1924.0949162909001</c:v>
                </c:pt>
                <c:pt idx="24">
                  <c:v>1893.2218197504999</c:v>
                </c:pt>
                <c:pt idx="25">
                  <c:v>1860.8967764771999</c:v>
                </c:pt>
                <c:pt idx="26">
                  <c:v>1827.5284756484998</c:v>
                </c:pt>
                <c:pt idx="27">
                  <c:v>1793.2501971395</c:v>
                </c:pt>
                <c:pt idx="28">
                  <c:v>1758.1480862551</c:v>
                </c:pt>
                <c:pt idx="29">
                  <c:v>1722.3284110618999</c:v>
                </c:pt>
                <c:pt idx="30">
                  <c:v>1685.8876958412</c:v>
                </c:pt>
                <c:pt idx="31">
                  <c:v>1648.9127135673</c:v>
                </c:pt>
                <c:pt idx="32">
                  <c:v>1611.481872393</c:v>
                </c:pt>
                <c:pt idx="33">
                  <c:v>1573.6668284648001</c:v>
                </c:pt>
                <c:pt idx="34">
                  <c:v>1535.5338904431001</c:v>
                </c:pt>
                <c:pt idx="35">
                  <c:v>1497.1451358197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Données!$B$367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Données!$C$367:$AL$367</c:f>
              <c:numCache>
                <c:formatCode>#,##0</c:formatCode>
                <c:ptCount val="36"/>
                <c:pt idx="0">
                  <c:v>1245.466605953</c:v>
                </c:pt>
                <c:pt idx="1">
                  <c:v>1213.2639470725001</c:v>
                </c:pt>
                <c:pt idx="2">
                  <c:v>1186.4489195890999</c:v>
                </c:pt>
                <c:pt idx="3">
                  <c:v>1162.4617970855002</c:v>
                </c:pt>
                <c:pt idx="4">
                  <c:v>1139.6632623086</c:v>
                </c:pt>
                <c:pt idx="5">
                  <c:v>1117.0853941073001</c:v>
                </c:pt>
                <c:pt idx="6">
                  <c:v>1094.0765828613003</c:v>
                </c:pt>
                <c:pt idx="7">
                  <c:v>1070.3460294553001</c:v>
                </c:pt>
                <c:pt idx="8">
                  <c:v>1045.7628296447999</c:v>
                </c:pt>
                <c:pt idx="9">
                  <c:v>1020.2816572312</c:v>
                </c:pt>
                <c:pt idx="10">
                  <c:v>994.04243174560008</c:v>
                </c:pt>
                <c:pt idx="11">
                  <c:v>966.94772587649993</c:v>
                </c:pt>
                <c:pt idx="12">
                  <c:v>939.06314347480009</c:v>
                </c:pt>
                <c:pt idx="13">
                  <c:v>910.49485104330006</c:v>
                </c:pt>
                <c:pt idx="14">
                  <c:v>881.35071155280002</c:v>
                </c:pt>
                <c:pt idx="15">
                  <c:v>851.74897304349986</c:v>
                </c:pt>
                <c:pt idx="16">
                  <c:v>821.8133550414999</c:v>
                </c:pt>
                <c:pt idx="17">
                  <c:v>791.6689232399001</c:v>
                </c:pt>
                <c:pt idx="18">
                  <c:v>761.43885565630001</c:v>
                </c:pt>
                <c:pt idx="19">
                  <c:v>731.24197943290005</c:v>
                </c:pt>
                <c:pt idx="20">
                  <c:v>701.14960313819995</c:v>
                </c:pt>
                <c:pt idx="21">
                  <c:v>671.31783242250003</c:v>
                </c:pt>
                <c:pt idx="22">
                  <c:v>641.84716970240004</c:v>
                </c:pt>
                <c:pt idx="23">
                  <c:v>612.82120761819999</c:v>
                </c:pt>
                <c:pt idx="24">
                  <c:v>584.31770896670002</c:v>
                </c:pt>
                <c:pt idx="25">
                  <c:v>556.33144710379997</c:v>
                </c:pt>
                <c:pt idx="26">
                  <c:v>528.98141106000003</c:v>
                </c:pt>
                <c:pt idx="27">
                  <c:v>502.33509237380002</c:v>
                </c:pt>
                <c:pt idx="28">
                  <c:v>476.43975203649995</c:v>
                </c:pt>
                <c:pt idx="29">
                  <c:v>451.33663799569996</c:v>
                </c:pt>
                <c:pt idx="30">
                  <c:v>427.05750450150003</c:v>
                </c:pt>
                <c:pt idx="31">
                  <c:v>403.62552155169999</c:v>
                </c:pt>
                <c:pt idx="32">
                  <c:v>381.05639064630003</c:v>
                </c:pt>
                <c:pt idx="33">
                  <c:v>359.35942385609997</c:v>
                </c:pt>
                <c:pt idx="34">
                  <c:v>338.53849167020007</c:v>
                </c:pt>
                <c:pt idx="35">
                  <c:v>318.59281319489997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Données!$B$368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Données!$C$368:$AL$368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2188.0587180631001</c:v>
                </c:pt>
                <c:pt idx="2">
                  <c:v>2140.0529550510996</c:v>
                </c:pt>
                <c:pt idx="3">
                  <c:v>2093.8248479679</c:v>
                </c:pt>
                <c:pt idx="4">
                  <c:v>2046.4547657281</c:v>
                </c:pt>
                <c:pt idx="5">
                  <c:v>1996.4937014118</c:v>
                </c:pt>
                <c:pt idx="6">
                  <c:v>1943.2140862568999</c:v>
                </c:pt>
                <c:pt idx="7">
                  <c:v>1886.5838367595002</c:v>
                </c:pt>
                <c:pt idx="8">
                  <c:v>1826.8720844736001</c:v>
                </c:pt>
                <c:pt idx="9">
                  <c:v>1764.4852684523</c:v>
                </c:pt>
                <c:pt idx="10">
                  <c:v>1700.0768585791998</c:v>
                </c:pt>
                <c:pt idx="11">
                  <c:v>1633.9428664072998</c:v>
                </c:pt>
                <c:pt idx="12">
                  <c:v>1566.5741767417001</c:v>
                </c:pt>
                <c:pt idx="13">
                  <c:v>1498.4856647397</c:v>
                </c:pt>
                <c:pt idx="14">
                  <c:v>1430.1507262978998</c:v>
                </c:pt>
                <c:pt idx="15">
                  <c:v>1362.0111814331999</c:v>
                </c:pt>
                <c:pt idx="16">
                  <c:v>1294.4705188030998</c:v>
                </c:pt>
                <c:pt idx="17">
                  <c:v>1227.8895275839</c:v>
                </c:pt>
                <c:pt idx="18">
                  <c:v>1162.5842377361</c:v>
                </c:pt>
                <c:pt idx="19">
                  <c:v>1098.8257285269999</c:v>
                </c:pt>
                <c:pt idx="20">
                  <c:v>1036.8054655546998</c:v>
                </c:pt>
                <c:pt idx="21">
                  <c:v>976.75568836360003</c:v>
                </c:pt>
                <c:pt idx="22">
                  <c:v>918.82708215620005</c:v>
                </c:pt>
                <c:pt idx="23">
                  <c:v>863.12626514699991</c:v>
                </c:pt>
                <c:pt idx="24">
                  <c:v>809.73083719469992</c:v>
                </c:pt>
                <c:pt idx="25">
                  <c:v>758.6404643418</c:v>
                </c:pt>
                <c:pt idx="26">
                  <c:v>709.92341064519997</c:v>
                </c:pt>
                <c:pt idx="27">
                  <c:v>663.59534200389999</c:v>
                </c:pt>
                <c:pt idx="28">
                  <c:v>619.64242966490008</c:v>
                </c:pt>
                <c:pt idx="29">
                  <c:v>578.03510141219999</c:v>
                </c:pt>
                <c:pt idx="30">
                  <c:v>538.72840065450009</c:v>
                </c:pt>
                <c:pt idx="31">
                  <c:v>501.66488484390004</c:v>
                </c:pt>
                <c:pt idx="32">
                  <c:v>466.77733817049995</c:v>
                </c:pt>
                <c:pt idx="33">
                  <c:v>433.99114477049994</c:v>
                </c:pt>
                <c:pt idx="34">
                  <c:v>403.22629129039996</c:v>
                </c:pt>
                <c:pt idx="35">
                  <c:v>374.39902266629997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(shock)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Données!$B$331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Données!$C$331:$AL$331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7149.8130739032995</c:v>
                </c:pt>
                <c:pt idx="2">
                  <c:v>7233.7266097501997</c:v>
                </c:pt>
                <c:pt idx="3">
                  <c:v>7345.6213079264999</c:v>
                </c:pt>
                <c:pt idx="4">
                  <c:v>7477.5799109029003</c:v>
                </c:pt>
                <c:pt idx="5">
                  <c:v>7625.393539301499</c:v>
                </c:pt>
                <c:pt idx="6">
                  <c:v>7785.8344254773992</c:v>
                </c:pt>
                <c:pt idx="7">
                  <c:v>7957.9658216525004</c:v>
                </c:pt>
                <c:pt idx="8">
                  <c:v>8141.3011356300003</c:v>
                </c:pt>
                <c:pt idx="9">
                  <c:v>8335.3528628405984</c:v>
                </c:pt>
                <c:pt idx="10">
                  <c:v>8541.5781159271992</c:v>
                </c:pt>
                <c:pt idx="11">
                  <c:v>8756.8791090981995</c:v>
                </c:pt>
                <c:pt idx="12">
                  <c:v>8980.1950200972005</c:v>
                </c:pt>
                <c:pt idx="13">
                  <c:v>9210.4225201279005</c:v>
                </c:pt>
                <c:pt idx="14">
                  <c:v>9446.1772886011004</c:v>
                </c:pt>
                <c:pt idx="15">
                  <c:v>9686.1035673934985</c:v>
                </c:pt>
                <c:pt idx="16">
                  <c:v>9928.8588588946004</c:v>
                </c:pt>
                <c:pt idx="17">
                  <c:v>10173.278172345701</c:v>
                </c:pt>
                <c:pt idx="18">
                  <c:v>10418.390914187201</c:v>
                </c:pt>
                <c:pt idx="19">
                  <c:v>10663.400398685599</c:v>
                </c:pt>
                <c:pt idx="20">
                  <c:v>10906.012112215802</c:v>
                </c:pt>
                <c:pt idx="21">
                  <c:v>11147.656665082999</c:v>
                </c:pt>
                <c:pt idx="22">
                  <c:v>11388.080242234</c:v>
                </c:pt>
                <c:pt idx="23">
                  <c:v>11627.077649127999</c:v>
                </c:pt>
                <c:pt idx="24">
                  <c:v>11864.699732383</c:v>
                </c:pt>
                <c:pt idx="25">
                  <c:v>12096.094127134998</c:v>
                </c:pt>
                <c:pt idx="26">
                  <c:v>12324.597927770999</c:v>
                </c:pt>
                <c:pt idx="27">
                  <c:v>12550.66739099</c:v>
                </c:pt>
                <c:pt idx="28">
                  <c:v>12774.520724546999</c:v>
                </c:pt>
                <c:pt idx="29">
                  <c:v>12996.671741945001</c:v>
                </c:pt>
                <c:pt idx="30">
                  <c:v>13217.61133217</c:v>
                </c:pt>
                <c:pt idx="31">
                  <c:v>13437.824949266998</c:v>
                </c:pt>
                <c:pt idx="32">
                  <c:v>13657.769382012999</c:v>
                </c:pt>
                <c:pt idx="33">
                  <c:v>13877.881137246999</c:v>
                </c:pt>
                <c:pt idx="34">
                  <c:v>14098.589732697999</c:v>
                </c:pt>
                <c:pt idx="35">
                  <c:v>14320.310544145999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Données!$B$332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Données!$C$332:$AL$332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8192.8033071741011</c:v>
                </c:pt>
                <c:pt idx="2">
                  <c:v>8168.8093567706001</c:v>
                </c:pt>
                <c:pt idx="3">
                  <c:v>8178.7091665283997</c:v>
                </c:pt>
                <c:pt idx="4">
                  <c:v>8214.0814513334008</c:v>
                </c:pt>
                <c:pt idx="5">
                  <c:v>8270.1293885835985</c:v>
                </c:pt>
                <c:pt idx="6">
                  <c:v>8343.0662611696007</c:v>
                </c:pt>
                <c:pt idx="7">
                  <c:v>8431.3550854276</c:v>
                </c:pt>
                <c:pt idx="8">
                  <c:v>8533.9495626917997</c:v>
                </c:pt>
                <c:pt idx="9">
                  <c:v>8649.8547307178997</c:v>
                </c:pt>
                <c:pt idx="10">
                  <c:v>8779.9502019533993</c:v>
                </c:pt>
                <c:pt idx="11">
                  <c:v>8920.871523455</c:v>
                </c:pt>
                <c:pt idx="12">
                  <c:v>9071.2100906941014</c:v>
                </c:pt>
                <c:pt idx="13">
                  <c:v>9229.5699016100989</c:v>
                </c:pt>
                <c:pt idx="14">
                  <c:v>9394.3292554744985</c:v>
                </c:pt>
                <c:pt idx="15">
                  <c:v>9563.9290223878997</c:v>
                </c:pt>
                <c:pt idx="16">
                  <c:v>9736.8561323062004</c:v>
                </c:pt>
                <c:pt idx="17">
                  <c:v>9911.7921648441006</c:v>
                </c:pt>
                <c:pt idx="18">
                  <c:v>10087.626440782798</c:v>
                </c:pt>
                <c:pt idx="19">
                  <c:v>10263.431979814501</c:v>
                </c:pt>
                <c:pt idx="20">
                  <c:v>10436.946866582899</c:v>
                </c:pt>
                <c:pt idx="21">
                  <c:v>10609.3123812586</c:v>
                </c:pt>
                <c:pt idx="22">
                  <c:v>10780.1562617647</c:v>
                </c:pt>
                <c:pt idx="23">
                  <c:v>10949.150991441</c:v>
                </c:pt>
                <c:pt idx="24">
                  <c:v>11116.208807586001</c:v>
                </c:pt>
                <c:pt idx="25">
                  <c:v>11276.894851499001</c:v>
                </c:pt>
                <c:pt idx="26">
                  <c:v>11434.088202561001</c:v>
                </c:pt>
                <c:pt idx="27">
                  <c:v>11588.120596506002</c:v>
                </c:pt>
                <c:pt idx="28">
                  <c:v>11739.093090546001</c:v>
                </c:pt>
                <c:pt idx="29">
                  <c:v>11887.366845511999</c:v>
                </c:pt>
                <c:pt idx="30">
                  <c:v>12033.278670001</c:v>
                </c:pt>
                <c:pt idx="31">
                  <c:v>12177.154916153</c:v>
                </c:pt>
                <c:pt idx="32">
                  <c:v>12319.290615527998</c:v>
                </c:pt>
                <c:pt idx="33">
                  <c:v>12459.95615529</c:v>
                </c:pt>
                <c:pt idx="34">
                  <c:v>12599.409517243999</c:v>
                </c:pt>
                <c:pt idx="35">
                  <c:v>12737.890760025999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Données!$B$333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Données!$C$333:$AL$333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6655.3653742478991</c:v>
                </c:pt>
                <c:pt idx="2">
                  <c:v>6561.3567324473997</c:v>
                </c:pt>
                <c:pt idx="3">
                  <c:v>6496.0761768539005</c:v>
                </c:pt>
                <c:pt idx="4">
                  <c:v>6453.1025948936003</c:v>
                </c:pt>
                <c:pt idx="5">
                  <c:v>6428.5719620937007</c:v>
                </c:pt>
                <c:pt idx="6">
                  <c:v>6419.3700024637001</c:v>
                </c:pt>
                <c:pt idx="7">
                  <c:v>6423.9776730066997</c:v>
                </c:pt>
                <c:pt idx="8">
                  <c:v>6441.2588289793994</c:v>
                </c:pt>
                <c:pt idx="9">
                  <c:v>6470.1515896732999</c:v>
                </c:pt>
                <c:pt idx="10">
                  <c:v>6510.9001510885</c:v>
                </c:pt>
                <c:pt idx="11">
                  <c:v>6560.9006455071003</c:v>
                </c:pt>
                <c:pt idx="12">
                  <c:v>6618.9060683335001</c:v>
                </c:pt>
                <c:pt idx="13">
                  <c:v>6683.7161130187005</c:v>
                </c:pt>
                <c:pt idx="14">
                  <c:v>6754.0059565578995</c:v>
                </c:pt>
                <c:pt idx="15">
                  <c:v>6828.5195449030007</c:v>
                </c:pt>
                <c:pt idx="16">
                  <c:v>6906.0567154435003</c:v>
                </c:pt>
                <c:pt idx="17">
                  <c:v>6985.5698261923999</c:v>
                </c:pt>
                <c:pt idx="18">
                  <c:v>7066.1705646406008</c:v>
                </c:pt>
                <c:pt idx="19">
                  <c:v>7147.1103271835</c:v>
                </c:pt>
                <c:pt idx="20">
                  <c:v>7226.7846970747005</c:v>
                </c:pt>
                <c:pt idx="21">
                  <c:v>7305.8342130440997</c:v>
                </c:pt>
                <c:pt idx="22">
                  <c:v>7383.9201442704998</c:v>
                </c:pt>
                <c:pt idx="23">
                  <c:v>7460.7354893473994</c:v>
                </c:pt>
                <c:pt idx="24">
                  <c:v>7536.1369194312001</c:v>
                </c:pt>
                <c:pt idx="25">
                  <c:v>7607.2019520108006</c:v>
                </c:pt>
                <c:pt idx="26">
                  <c:v>7675.7229955155999</c:v>
                </c:pt>
                <c:pt idx="27">
                  <c:v>7741.8683459007998</c:v>
                </c:pt>
                <c:pt idx="28">
                  <c:v>7805.6480554658001</c:v>
                </c:pt>
                <c:pt idx="29">
                  <c:v>7867.2389291351992</c:v>
                </c:pt>
                <c:pt idx="30">
                  <c:v>7926.8013918716997</c:v>
                </c:pt>
                <c:pt idx="31">
                  <c:v>7984.4874815424</c:v>
                </c:pt>
                <c:pt idx="32">
                  <c:v>8040.4274701961003</c:v>
                </c:pt>
                <c:pt idx="33">
                  <c:v>8094.7338109987004</c:v>
                </c:pt>
                <c:pt idx="34">
                  <c:v>8147.5093787429005</c:v>
                </c:pt>
                <c:pt idx="35">
                  <c:v>8198.8445654037987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Données!$B$334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Données!$C$334:$AL$334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4060.3494199394004</c:v>
                </c:pt>
                <c:pt idx="2">
                  <c:v>3977.1436194254998</c:v>
                </c:pt>
                <c:pt idx="3">
                  <c:v>3910.3492566714999</c:v>
                </c:pt>
                <c:pt idx="4">
                  <c:v>3855.9332764503001</c:v>
                </c:pt>
                <c:pt idx="5">
                  <c:v>3811.3397583622996</c:v>
                </c:pt>
                <c:pt idx="6">
                  <c:v>3774.4981056086999</c:v>
                </c:pt>
                <c:pt idx="7">
                  <c:v>3744.2625302907004</c:v>
                </c:pt>
                <c:pt idx="8">
                  <c:v>3719.7558949930999</c:v>
                </c:pt>
                <c:pt idx="9">
                  <c:v>3700.1902003615996</c:v>
                </c:pt>
                <c:pt idx="10">
                  <c:v>3685.4786181658001</c:v>
                </c:pt>
                <c:pt idx="11">
                  <c:v>3674.1325253328005</c:v>
                </c:pt>
                <c:pt idx="12">
                  <c:v>3665.3838388825002</c:v>
                </c:pt>
                <c:pt idx="13">
                  <c:v>3658.5428485723</c:v>
                </c:pt>
                <c:pt idx="14">
                  <c:v>3652.8912875327001</c:v>
                </c:pt>
                <c:pt idx="15">
                  <c:v>3647.7760906909002</c:v>
                </c:pt>
                <c:pt idx="16">
                  <c:v>3642.6003733999996</c:v>
                </c:pt>
                <c:pt idx="17">
                  <c:v>3636.8643479514999</c:v>
                </c:pt>
                <c:pt idx="18">
                  <c:v>3630.165431636</c:v>
                </c:pt>
                <c:pt idx="19">
                  <c:v>3622.1827003367998</c:v>
                </c:pt>
                <c:pt idx="20">
                  <c:v>3612.2474209904003</c:v>
                </c:pt>
                <c:pt idx="21">
                  <c:v>3600.6733459164002</c:v>
                </c:pt>
                <c:pt idx="22">
                  <c:v>3587.3622055806995</c:v>
                </c:pt>
                <c:pt idx="23">
                  <c:v>3572.2218622849</c:v>
                </c:pt>
                <c:pt idx="24">
                  <c:v>3555.2324248037999</c:v>
                </c:pt>
                <c:pt idx="25">
                  <c:v>3535.2935970951003</c:v>
                </c:pt>
                <c:pt idx="26">
                  <c:v>3513.1835620415</c:v>
                </c:pt>
                <c:pt idx="27">
                  <c:v>3489.0528401272004</c:v>
                </c:pt>
                <c:pt idx="28">
                  <c:v>3462.9644251524001</c:v>
                </c:pt>
                <c:pt idx="29">
                  <c:v>3435.0400603984995</c:v>
                </c:pt>
                <c:pt idx="30">
                  <c:v>3405.3884810428003</c:v>
                </c:pt>
                <c:pt idx="31">
                  <c:v>3374.1080678293997</c:v>
                </c:pt>
                <c:pt idx="32">
                  <c:v>3341.2827851044003</c:v>
                </c:pt>
                <c:pt idx="33">
                  <c:v>3306.9841811001002</c:v>
                </c:pt>
                <c:pt idx="34">
                  <c:v>3271.2761231421</c:v>
                </c:pt>
                <c:pt idx="35">
                  <c:v>3234.2153322387003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Données!$B$335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Données!$C$335:$AL$335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2446.4365832146</c:v>
                </c:pt>
                <c:pt idx="2">
                  <c:v>2398.0384033710998</c:v>
                </c:pt>
                <c:pt idx="3">
                  <c:v>2358.4795910338999</c:v>
                </c:pt>
                <c:pt idx="4">
                  <c:v>2325.1603511809999</c:v>
                </c:pt>
                <c:pt idx="5">
                  <c:v>2296.4204839063</c:v>
                </c:pt>
                <c:pt idx="6">
                  <c:v>2270.9348480460999</c:v>
                </c:pt>
                <c:pt idx="7">
                  <c:v>2247.9678686268003</c:v>
                </c:pt>
                <c:pt idx="8">
                  <c:v>2226.9773353824999</c:v>
                </c:pt>
                <c:pt idx="9">
                  <c:v>2207.4989151171994</c:v>
                </c:pt>
                <c:pt idx="10">
                  <c:v>2189.4860895453999</c:v>
                </c:pt>
                <c:pt idx="11">
                  <c:v>2172.1167137106004</c:v>
                </c:pt>
                <c:pt idx="12">
                  <c:v>2154.9926542905</c:v>
                </c:pt>
                <c:pt idx="13">
                  <c:v>2137.7843767063</c:v>
                </c:pt>
                <c:pt idx="14">
                  <c:v>2120.1597525444004</c:v>
                </c:pt>
                <c:pt idx="15">
                  <c:v>2101.8344405388002</c:v>
                </c:pt>
                <c:pt idx="16">
                  <c:v>2082.5649478915002</c:v>
                </c:pt>
                <c:pt idx="17">
                  <c:v>2062.1676177656</c:v>
                </c:pt>
                <c:pt idx="18">
                  <c:v>2040.5166823097002</c:v>
                </c:pt>
                <c:pt idx="19">
                  <c:v>2017.5328195407001</c:v>
                </c:pt>
                <c:pt idx="20">
                  <c:v>1992.9719035508999</c:v>
                </c:pt>
                <c:pt idx="21">
                  <c:v>1967.0743005339</c:v>
                </c:pt>
                <c:pt idx="22">
                  <c:v>1939.8784335179998</c:v>
                </c:pt>
                <c:pt idx="23">
                  <c:v>1911.4190236287</c:v>
                </c:pt>
                <c:pt idx="24">
                  <c:v>1881.7633359804001</c:v>
                </c:pt>
                <c:pt idx="25">
                  <c:v>1850.4926104191998</c:v>
                </c:pt>
                <c:pt idx="26">
                  <c:v>1818.0423579265</c:v>
                </c:pt>
                <c:pt idx="27">
                  <c:v>1784.5643987303997</c:v>
                </c:pt>
                <c:pt idx="28">
                  <c:v>1750.1578993375001</c:v>
                </c:pt>
                <c:pt idx="29">
                  <c:v>1714.9425894939</c:v>
                </c:pt>
                <c:pt idx="30">
                  <c:v>1679.0269567902001</c:v>
                </c:pt>
                <c:pt idx="31">
                  <c:v>1642.509710929</c:v>
                </c:pt>
                <c:pt idx="32">
                  <c:v>1605.4787720378999</c:v>
                </c:pt>
                <c:pt idx="33">
                  <c:v>1568.0127110859</c:v>
                </c:pt>
                <c:pt idx="34">
                  <c:v>1530.1836324121</c:v>
                </c:pt>
                <c:pt idx="35">
                  <c:v>1492.0581424289003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Données!$B$336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Données!$C$336:$AL$336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1212.7436127041001</c:v>
                </c:pt>
                <c:pt idx="2">
                  <c:v>1184.9981395027</c:v>
                </c:pt>
                <c:pt idx="3">
                  <c:v>1160.1655734003</c:v>
                </c:pt>
                <c:pt idx="4">
                  <c:v>1136.8059438250002</c:v>
                </c:pt>
                <c:pt idx="5">
                  <c:v>1114.0140398276001</c:v>
                </c:pt>
                <c:pt idx="6">
                  <c:v>1091.1305527423001</c:v>
                </c:pt>
                <c:pt idx="7">
                  <c:v>1067.8325340977999</c:v>
                </c:pt>
                <c:pt idx="8">
                  <c:v>1043.9455234467</c:v>
                </c:pt>
                <c:pt idx="9">
                  <c:v>1019.3740458364999</c:v>
                </c:pt>
                <c:pt idx="10">
                  <c:v>994.2080765462</c:v>
                </c:pt>
                <c:pt idx="11">
                  <c:v>968.28451669979995</c:v>
                </c:pt>
                <c:pt idx="12">
                  <c:v>941.6121034718999</c:v>
                </c:pt>
                <c:pt idx="13">
                  <c:v>914.24671669779991</c:v>
                </c:pt>
                <c:pt idx="14">
                  <c:v>886.25065134710007</c:v>
                </c:pt>
                <c:pt idx="15">
                  <c:v>857.70486436280009</c:v>
                </c:pt>
                <c:pt idx="16">
                  <c:v>828.70256123799993</c:v>
                </c:pt>
                <c:pt idx="17">
                  <c:v>799.35036018949995</c:v>
                </c:pt>
                <c:pt idx="18">
                  <c:v>769.76467895600001</c:v>
                </c:pt>
                <c:pt idx="19">
                  <c:v>740.06513495050001</c:v>
                </c:pt>
                <c:pt idx="20">
                  <c:v>710.32808638549989</c:v>
                </c:pt>
                <c:pt idx="21">
                  <c:v>680.72375249160007</c:v>
                </c:pt>
                <c:pt idx="22">
                  <c:v>651.36656004359997</c:v>
                </c:pt>
                <c:pt idx="23">
                  <c:v>622.35464017570007</c:v>
                </c:pt>
                <c:pt idx="24">
                  <c:v>593.78068833659995</c:v>
                </c:pt>
                <c:pt idx="25">
                  <c:v>565.65052277550001</c:v>
                </c:pt>
                <c:pt idx="26">
                  <c:v>538.10020686260009</c:v>
                </c:pt>
                <c:pt idx="27">
                  <c:v>511.20987326260001</c:v>
                </c:pt>
                <c:pt idx="28">
                  <c:v>485.03641100689998</c:v>
                </c:pt>
                <c:pt idx="29">
                  <c:v>459.6294575782</c:v>
                </c:pt>
                <c:pt idx="30">
                  <c:v>435.02771104019996</c:v>
                </c:pt>
                <c:pt idx="31">
                  <c:v>411.26024130470006</c:v>
                </c:pt>
                <c:pt idx="32">
                  <c:v>388.3475279644</c:v>
                </c:pt>
                <c:pt idx="33">
                  <c:v>366.30264373009999</c:v>
                </c:pt>
                <c:pt idx="34">
                  <c:v>345.13256062940002</c:v>
                </c:pt>
                <c:pt idx="35">
                  <c:v>324.83904841199995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Données!$B$337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Données!$C$337:$AL$337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2187.6919758079998</c:v>
                </c:pt>
                <c:pt idx="2">
                  <c:v>2139.2786922057999</c:v>
                </c:pt>
                <c:pt idx="3">
                  <c:v>2093.4680078599004</c:v>
                </c:pt>
                <c:pt idx="4">
                  <c:v>2047.4886247653001</c:v>
                </c:pt>
                <c:pt idx="5">
                  <c:v>1999.7349950608</c:v>
                </c:pt>
                <c:pt idx="6">
                  <c:v>1949.2125137394</c:v>
                </c:pt>
                <c:pt idx="7">
                  <c:v>1895.6392468677002</c:v>
                </c:pt>
                <c:pt idx="8">
                  <c:v>1839.0789979767001</c:v>
                </c:pt>
                <c:pt idx="9">
                  <c:v>1779.7785926777001</c:v>
                </c:pt>
                <c:pt idx="10">
                  <c:v>1718.2839555503999</c:v>
                </c:pt>
                <c:pt idx="11">
                  <c:v>1654.7812934112999</c:v>
                </c:pt>
                <c:pt idx="12">
                  <c:v>1589.6967869241</c:v>
                </c:pt>
                <c:pt idx="13">
                  <c:v>1523.5095044344</c:v>
                </c:pt>
                <c:pt idx="14">
                  <c:v>1456.674038071</c:v>
                </c:pt>
                <c:pt idx="15">
                  <c:v>1389.6308461568001</c:v>
                </c:pt>
                <c:pt idx="16">
                  <c:v>1322.7939572268999</c:v>
                </c:pt>
                <c:pt idx="17">
                  <c:v>1256.5495797092999</c:v>
                </c:pt>
                <c:pt idx="18">
                  <c:v>1191.2513196417001</c:v>
                </c:pt>
                <c:pt idx="19">
                  <c:v>1127.2129405511</c:v>
                </c:pt>
                <c:pt idx="20">
                  <c:v>1064.6680511408999</c:v>
                </c:pt>
                <c:pt idx="21">
                  <c:v>1003.8976308675</c:v>
                </c:pt>
                <c:pt idx="22">
                  <c:v>945.09460832050001</c:v>
                </c:pt>
                <c:pt idx="23">
                  <c:v>888.4031776825999</c:v>
                </c:pt>
                <c:pt idx="24">
                  <c:v>833.9343432915</c:v>
                </c:pt>
                <c:pt idx="25">
                  <c:v>781.71275613630007</c:v>
                </c:pt>
                <c:pt idx="26">
                  <c:v>731.8348947720001</c:v>
                </c:pt>
                <c:pt idx="27">
                  <c:v>684.33713100569992</c:v>
                </c:pt>
                <c:pt idx="28">
                  <c:v>639.22094101339997</c:v>
                </c:pt>
                <c:pt idx="29">
                  <c:v>596.46886306260001</c:v>
                </c:pt>
                <c:pt idx="30">
                  <c:v>556.04513230680004</c:v>
                </c:pt>
                <c:pt idx="31">
                  <c:v>517.89923636280002</c:v>
                </c:pt>
                <c:pt idx="32">
                  <c:v>481.96894715580004</c:v>
                </c:pt>
                <c:pt idx="33">
                  <c:v>448.1830325711</c:v>
                </c:pt>
                <c:pt idx="34">
                  <c:v>416.46369169640002</c:v>
                </c:pt>
                <c:pt idx="35">
                  <c:v>386.72844960169999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(shock)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Données!$B$298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Données!$C$298:$AL$298</c:f>
              <c:numCache>
                <c:formatCode>#,##0</c:formatCode>
                <c:ptCount val="36"/>
                <c:pt idx="0">
                  <c:v>32271.24</c:v>
                </c:pt>
                <c:pt idx="1">
                  <c:v>31841.098460000001</c:v>
                </c:pt>
                <c:pt idx="2">
                  <c:v>31581.329119999999</c:v>
                </c:pt>
                <c:pt idx="3">
                  <c:v>31442.745340000001</c:v>
                </c:pt>
                <c:pt idx="4">
                  <c:v>31391.941989999999</c:v>
                </c:pt>
                <c:pt idx="5">
                  <c:v>31409.41416</c:v>
                </c:pt>
                <c:pt idx="6">
                  <c:v>31480.056919999999</c:v>
                </c:pt>
                <c:pt idx="7">
                  <c:v>31597.406660000001</c:v>
                </c:pt>
                <c:pt idx="8">
                  <c:v>31757.275119999998</c:v>
                </c:pt>
                <c:pt idx="9">
                  <c:v>31956.035879999999</c:v>
                </c:pt>
                <c:pt idx="10">
                  <c:v>32196.740030000001</c:v>
                </c:pt>
                <c:pt idx="11">
                  <c:v>32468.14084</c:v>
                </c:pt>
                <c:pt idx="12">
                  <c:v>32765.845539999998</c:v>
                </c:pt>
                <c:pt idx="13">
                  <c:v>33085.728300000002</c:v>
                </c:pt>
                <c:pt idx="14">
                  <c:v>33422.993499999997</c:v>
                </c:pt>
                <c:pt idx="15">
                  <c:v>33773.124109999997</c:v>
                </c:pt>
                <c:pt idx="16">
                  <c:v>34131.802750000003</c:v>
                </c:pt>
                <c:pt idx="17">
                  <c:v>34495.376649999998</c:v>
                </c:pt>
                <c:pt idx="18">
                  <c:v>34860.883099999999</c:v>
                </c:pt>
                <c:pt idx="19">
                  <c:v>35225.945140000003</c:v>
                </c:pt>
                <c:pt idx="20">
                  <c:v>35583.898119999998</c:v>
                </c:pt>
                <c:pt idx="21">
                  <c:v>35938.972349999996</c:v>
                </c:pt>
                <c:pt idx="22">
                  <c:v>36290.504269999998</c:v>
                </c:pt>
                <c:pt idx="23">
                  <c:v>36637.895729999997</c:v>
                </c:pt>
                <c:pt idx="24">
                  <c:v>36981.272709999997</c:v>
                </c:pt>
                <c:pt idx="25">
                  <c:v>37307.090219999998</c:v>
                </c:pt>
                <c:pt idx="26">
                  <c:v>37624.801240000001</c:v>
                </c:pt>
                <c:pt idx="27">
                  <c:v>37935.837789999998</c:v>
                </c:pt>
                <c:pt idx="28">
                  <c:v>38240.818059999998</c:v>
                </c:pt>
                <c:pt idx="29">
                  <c:v>38541.138500000001</c:v>
                </c:pt>
                <c:pt idx="30">
                  <c:v>38838.087639999998</c:v>
                </c:pt>
                <c:pt idx="31">
                  <c:v>39132.895320000003</c:v>
                </c:pt>
                <c:pt idx="32">
                  <c:v>39426.675340000002</c:v>
                </c:pt>
                <c:pt idx="33">
                  <c:v>39720.453170000001</c:v>
                </c:pt>
                <c:pt idx="34">
                  <c:v>40015.212030000002</c:v>
                </c:pt>
                <c:pt idx="35">
                  <c:v>40311.883130000002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Données!$B$299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Données!$C$299:$AL$299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1.9898469599999999</c:v>
                </c:pt>
                <c:pt idx="2">
                  <c:v>2.0518294350000001</c:v>
                </c:pt>
                <c:pt idx="3">
                  <c:v>2.1184205989999998</c:v>
                </c:pt>
                <c:pt idx="4">
                  <c:v>2.1873183009999999</c:v>
                </c:pt>
                <c:pt idx="5">
                  <c:v>2.2573136489999999</c:v>
                </c:pt>
                <c:pt idx="6">
                  <c:v>2.3275154300000001</c:v>
                </c:pt>
                <c:pt idx="7">
                  <c:v>2.397715351</c:v>
                </c:pt>
                <c:pt idx="8">
                  <c:v>2.467867027</c:v>
                </c:pt>
                <c:pt idx="9">
                  <c:v>2.5379467959999999</c:v>
                </c:pt>
                <c:pt idx="10">
                  <c:v>2.6084697480000001</c:v>
                </c:pt>
                <c:pt idx="11">
                  <c:v>2.6787375519999999</c:v>
                </c:pt>
                <c:pt idx="12">
                  <c:v>2.7485978050000002</c:v>
                </c:pt>
                <c:pt idx="13">
                  <c:v>2.8179013319999999</c:v>
                </c:pt>
                <c:pt idx="14">
                  <c:v>2.8864250419999999</c:v>
                </c:pt>
                <c:pt idx="15">
                  <c:v>2.9539518349999998</c:v>
                </c:pt>
                <c:pt idx="16">
                  <c:v>3.0202654230000001</c:v>
                </c:pt>
                <c:pt idx="17">
                  <c:v>3.0851906429999998</c:v>
                </c:pt>
                <c:pt idx="18">
                  <c:v>3.1485973739999999</c:v>
                </c:pt>
                <c:pt idx="19">
                  <c:v>3.2103934650000001</c:v>
                </c:pt>
                <c:pt idx="20">
                  <c:v>3.2701167710000001</c:v>
                </c:pt>
                <c:pt idx="21">
                  <c:v>3.328205756</c:v>
                </c:pt>
                <c:pt idx="22">
                  <c:v>3.384687998</c:v>
                </c:pt>
                <c:pt idx="23">
                  <c:v>3.4395905089999999</c:v>
                </c:pt>
                <c:pt idx="24">
                  <c:v>3.4929955349999999</c:v>
                </c:pt>
                <c:pt idx="25">
                  <c:v>3.5438324950000002</c:v>
                </c:pt>
                <c:pt idx="26">
                  <c:v>3.5929412479999998</c:v>
                </c:pt>
                <c:pt idx="27">
                  <c:v>3.6404971119999998</c:v>
                </c:pt>
                <c:pt idx="28">
                  <c:v>3.6866054419999998</c:v>
                </c:pt>
                <c:pt idx="29">
                  <c:v>3.7314344309999998</c:v>
                </c:pt>
                <c:pt idx="30">
                  <c:v>3.7751418220000001</c:v>
                </c:pt>
                <c:pt idx="31">
                  <c:v>3.8178789960000001</c:v>
                </c:pt>
                <c:pt idx="32">
                  <c:v>3.8597861619999998</c:v>
                </c:pt>
                <c:pt idx="33">
                  <c:v>3.9009946260000001</c:v>
                </c:pt>
                <c:pt idx="34">
                  <c:v>3.9416306460000001</c:v>
                </c:pt>
                <c:pt idx="35">
                  <c:v>3.981814645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Données!$B$300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Données!$C$300:$AL$300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62.115037030000003</c:v>
                </c:pt>
                <c:pt idx="2">
                  <c:v>79.97060304</c:v>
                </c:pt>
                <c:pt idx="3">
                  <c:v>98.005322680000006</c:v>
                </c:pt>
                <c:pt idx="4">
                  <c:v>116.0228491</c:v>
                </c:pt>
                <c:pt idx="5">
                  <c:v>133.9326945</c:v>
                </c:pt>
                <c:pt idx="6">
                  <c:v>151.6622788</c:v>
                </c:pt>
                <c:pt idx="7">
                  <c:v>169.1963816</c:v>
                </c:pt>
                <c:pt idx="8">
                  <c:v>186.52429309999999</c:v>
                </c:pt>
                <c:pt idx="9">
                  <c:v>203.62711540000001</c:v>
                </c:pt>
                <c:pt idx="10">
                  <c:v>220.53670650000001</c:v>
                </c:pt>
                <c:pt idx="11">
                  <c:v>237.14675149999999</c:v>
                </c:pt>
                <c:pt idx="12">
                  <c:v>253.4024258</c:v>
                </c:pt>
                <c:pt idx="13">
                  <c:v>269.24578029999998</c:v>
                </c:pt>
                <c:pt idx="14">
                  <c:v>284.60830529999998</c:v>
                </c:pt>
                <c:pt idx="15">
                  <c:v>299.42031300000002</c:v>
                </c:pt>
                <c:pt idx="16">
                  <c:v>313.61052999999998</c:v>
                </c:pt>
                <c:pt idx="17">
                  <c:v>327.11023540000002</c:v>
                </c:pt>
                <c:pt idx="18">
                  <c:v>339.8543416</c:v>
                </c:pt>
                <c:pt idx="19">
                  <c:v>351.78077309999998</c:v>
                </c:pt>
                <c:pt idx="20">
                  <c:v>362.79089299999998</c:v>
                </c:pt>
                <c:pt idx="21">
                  <c:v>372.87173369999999</c:v>
                </c:pt>
                <c:pt idx="22">
                  <c:v>381.96949599999999</c:v>
                </c:pt>
                <c:pt idx="23">
                  <c:v>390.02751160000003</c:v>
                </c:pt>
                <c:pt idx="24">
                  <c:v>396.9905531</c:v>
                </c:pt>
                <c:pt idx="25">
                  <c:v>402.70636100000002</c:v>
                </c:pt>
                <c:pt idx="26">
                  <c:v>407.17596550000002</c:v>
                </c:pt>
                <c:pt idx="27">
                  <c:v>410.34228200000001</c:v>
                </c:pt>
                <c:pt idx="28">
                  <c:v>412.13687499999997</c:v>
                </c:pt>
                <c:pt idx="29">
                  <c:v>412.48856110000003</c:v>
                </c:pt>
                <c:pt idx="30">
                  <c:v>411.31689319999998</c:v>
                </c:pt>
                <c:pt idx="31">
                  <c:v>408.53141299999999</c:v>
                </c:pt>
                <c:pt idx="32">
                  <c:v>404.03036550000002</c:v>
                </c:pt>
                <c:pt idx="33">
                  <c:v>397.6995081</c:v>
                </c:pt>
                <c:pt idx="34">
                  <c:v>389.41097200000002</c:v>
                </c:pt>
                <c:pt idx="35">
                  <c:v>379.02188949999999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Données!$B$297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Données!$C$296:$AL$296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Données!$C$297:$AL$297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31905.20335</c:v>
                      </c:pt>
                      <c:pt idx="2">
                        <c:v>31663.351549999999</c:v>
                      </c:pt>
                      <c:pt idx="3">
                        <c:v>31542.86908</c:v>
                      </c:pt>
                      <c:pt idx="4">
                        <c:v>31510.152150000002</c:v>
                      </c:pt>
                      <c:pt idx="5">
                        <c:v>31545.604169999999</c:v>
                      </c:pt>
                      <c:pt idx="6">
                        <c:v>31634.046709999999</c:v>
                      </c:pt>
                      <c:pt idx="7">
                        <c:v>31769.000759999999</c:v>
                      </c:pt>
                      <c:pt idx="8">
                        <c:v>31946.26728</c:v>
                      </c:pt>
                      <c:pt idx="9">
                        <c:v>32162.200939999999</c:v>
                      </c:pt>
                      <c:pt idx="10">
                        <c:v>32419.88521</c:v>
                      </c:pt>
                      <c:pt idx="11">
                        <c:v>32707.966329999999</c:v>
                      </c:pt>
                      <c:pt idx="12">
                        <c:v>33021.996570000003</c:v>
                      </c:pt>
                      <c:pt idx="13">
                        <c:v>33357.791989999998</c:v>
                      </c:pt>
                      <c:pt idx="14">
                        <c:v>33710.488239999999</c:v>
                      </c:pt>
                      <c:pt idx="15">
                        <c:v>34075.498390000001</c:v>
                      </c:pt>
                      <c:pt idx="16">
                        <c:v>34448.433559999998</c:v>
                      </c:pt>
                      <c:pt idx="17">
                        <c:v>34825.572090000001</c:v>
                      </c:pt>
                      <c:pt idx="18">
                        <c:v>35203.886059999997</c:v>
                      </c:pt>
                      <c:pt idx="19">
                        <c:v>35580.936329999997</c:v>
                      </c:pt>
                      <c:pt idx="20">
                        <c:v>35949.959170000002</c:v>
                      </c:pt>
                      <c:pt idx="21">
                        <c:v>36315.172330000001</c:v>
                      </c:pt>
                      <c:pt idx="22">
                        <c:v>36675.858500000002</c:v>
                      </c:pt>
                      <c:pt idx="23">
                        <c:v>37031.362880000001</c:v>
                      </c:pt>
                      <c:pt idx="24">
                        <c:v>37381.756309999997</c:v>
                      </c:pt>
                      <c:pt idx="25">
                        <c:v>37713.340470000003</c:v>
                      </c:pt>
                      <c:pt idx="26">
                        <c:v>38035.570200000002</c:v>
                      </c:pt>
                      <c:pt idx="27">
                        <c:v>38349.820630000002</c:v>
                      </c:pt>
                      <c:pt idx="28">
                        <c:v>38656.641609999999</c:v>
                      </c:pt>
                      <c:pt idx="29">
                        <c:v>38957.358560000001</c:v>
                      </c:pt>
                      <c:pt idx="30">
                        <c:v>39253.17974</c:v>
                      </c:pt>
                      <c:pt idx="31">
                        <c:v>39545.244680000003</c:v>
                      </c:pt>
                      <c:pt idx="32">
                        <c:v>39834.565560000003</c:v>
                      </c:pt>
                      <c:pt idx="33">
                        <c:v>40122.053740000003</c:v>
                      </c:pt>
                      <c:pt idx="34">
                        <c:v>40408.564709999999</c:v>
                      </c:pt>
                      <c:pt idx="35">
                        <c:v>40694.886910000001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A2B-4332-9B45-E28FEF7596CF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(baseline)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Données!$B$304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Données!$C$304:$AL$304</c:f>
              <c:numCache>
                <c:formatCode>#,##0</c:formatCode>
                <c:ptCount val="36"/>
                <c:pt idx="0">
                  <c:v>32271.24</c:v>
                </c:pt>
                <c:pt idx="1">
                  <c:v>31874.837589999999</c:v>
                </c:pt>
                <c:pt idx="2">
                  <c:v>31684.91403</c:v>
                </c:pt>
                <c:pt idx="3">
                  <c:v>31637.954160000001</c:v>
                </c:pt>
                <c:pt idx="4">
                  <c:v>31690.75186</c:v>
                </c:pt>
                <c:pt idx="5">
                  <c:v>31815.834490000001</c:v>
                </c:pt>
                <c:pt idx="6">
                  <c:v>31991.562399999999</c:v>
                </c:pt>
                <c:pt idx="7">
                  <c:v>32206.323950000002</c:v>
                </c:pt>
                <c:pt idx="8">
                  <c:v>32452.13493</c:v>
                </c:pt>
                <c:pt idx="9">
                  <c:v>32722.93</c:v>
                </c:pt>
                <c:pt idx="10">
                  <c:v>33020.785960000001</c:v>
                </c:pt>
                <c:pt idx="11">
                  <c:v>33334.43922</c:v>
                </c:pt>
                <c:pt idx="12">
                  <c:v>33660.400399999999</c:v>
                </c:pt>
                <c:pt idx="13">
                  <c:v>33996.042200000004</c:v>
                </c:pt>
                <c:pt idx="14">
                  <c:v>34338.52306</c:v>
                </c:pt>
                <c:pt idx="15">
                  <c:v>34685.467470000003</c:v>
                </c:pt>
                <c:pt idx="16">
                  <c:v>35034.886550000003</c:v>
                </c:pt>
                <c:pt idx="17">
                  <c:v>35385.132259999998</c:v>
                </c:pt>
                <c:pt idx="18">
                  <c:v>35734.874530000001</c:v>
                </c:pt>
                <c:pt idx="19">
                  <c:v>36083.086810000001</c:v>
                </c:pt>
                <c:pt idx="20">
                  <c:v>36424.09706</c:v>
                </c:pt>
                <c:pt idx="21">
                  <c:v>36762.881809999999</c:v>
                </c:pt>
                <c:pt idx="22">
                  <c:v>37099.27693</c:v>
                </c:pt>
                <c:pt idx="23">
                  <c:v>37432.98803</c:v>
                </c:pt>
                <c:pt idx="24">
                  <c:v>37764.264289999999</c:v>
                </c:pt>
                <c:pt idx="25">
                  <c:v>38079.465409999997</c:v>
                </c:pt>
                <c:pt idx="26">
                  <c:v>38387.787259999997</c:v>
                </c:pt>
                <c:pt idx="27">
                  <c:v>38690.457179999998</c:v>
                </c:pt>
                <c:pt idx="28">
                  <c:v>38987.948239999998</c:v>
                </c:pt>
                <c:pt idx="29">
                  <c:v>39281.451269999998</c:v>
                </c:pt>
                <c:pt idx="30">
                  <c:v>39572.028870000002</c:v>
                </c:pt>
                <c:pt idx="31">
                  <c:v>39860.622490000002</c:v>
                </c:pt>
                <c:pt idx="32">
                  <c:v>40148.0818</c:v>
                </c:pt>
                <c:pt idx="33">
                  <c:v>40435.188540000003</c:v>
                </c:pt>
                <c:pt idx="34">
                  <c:v>40722.668310000001</c:v>
                </c:pt>
                <c:pt idx="35">
                  <c:v>41011.192000000003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Données!$B$305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Données!$C$305:$AL$305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1.9926814180000001</c:v>
                </c:pt>
                <c:pt idx="2">
                  <c:v>2.0605751329999999</c:v>
                </c:pt>
                <c:pt idx="3">
                  <c:v>2.1349943269999998</c:v>
                </c:pt>
                <c:pt idx="4">
                  <c:v>2.2128360389999999</c:v>
                </c:pt>
                <c:pt idx="5">
                  <c:v>2.2922305540000001</c:v>
                </c:pt>
                <c:pt idx="6">
                  <c:v>2.3717354410000002</c:v>
                </c:pt>
                <c:pt idx="7">
                  <c:v>2.4506994039999999</c:v>
                </c:pt>
                <c:pt idx="8">
                  <c:v>2.5287406859999999</c:v>
                </c:pt>
                <c:pt idx="9">
                  <c:v>2.6056103940000002</c:v>
                </c:pt>
                <c:pt idx="10">
                  <c:v>2.6817195680000001</c:v>
                </c:pt>
                <c:pt idx="11">
                  <c:v>2.7563463929999998</c:v>
                </c:pt>
                <c:pt idx="12">
                  <c:v>2.8293936519999998</c:v>
                </c:pt>
                <c:pt idx="13">
                  <c:v>2.9008198109999999</c:v>
                </c:pt>
                <c:pt idx="14">
                  <c:v>2.9705507569999998</c:v>
                </c:pt>
                <c:pt idx="15">
                  <c:v>3.0385375849999998</c:v>
                </c:pt>
                <c:pt idx="16">
                  <c:v>3.1047513960000002</c:v>
                </c:pt>
                <c:pt idx="17">
                  <c:v>3.1691807289999998</c:v>
                </c:pt>
                <c:pt idx="18">
                  <c:v>3.231830778</c:v>
                </c:pt>
                <c:pt idx="19">
                  <c:v>3.2927232150000001</c:v>
                </c:pt>
                <c:pt idx="20">
                  <c:v>3.351481374</c:v>
                </c:pt>
                <c:pt idx="21">
                  <c:v>3.4086096459999999</c:v>
                </c:pt>
                <c:pt idx="22">
                  <c:v>3.4641815600000001</c:v>
                </c:pt>
                <c:pt idx="23">
                  <c:v>3.5182540320000002</c:v>
                </c:pt>
                <c:pt idx="24">
                  <c:v>3.5709241650000001</c:v>
                </c:pt>
                <c:pt idx="25">
                  <c:v>3.6211177509999999</c:v>
                </c:pt>
                <c:pt idx="26">
                  <c:v>3.669657033</c:v>
                </c:pt>
                <c:pt idx="27">
                  <c:v>3.7167035369999999</c:v>
                </c:pt>
                <c:pt idx="28">
                  <c:v>3.7623533560000002</c:v>
                </c:pt>
                <c:pt idx="29">
                  <c:v>3.8067599649999999</c:v>
                </c:pt>
                <c:pt idx="30">
                  <c:v>3.8500642639999998</c:v>
                </c:pt>
                <c:pt idx="31">
                  <c:v>3.8923951130000001</c:v>
                </c:pt>
                <c:pt idx="32">
                  <c:v>3.9338717609999998</c:v>
                </c:pt>
                <c:pt idx="33">
                  <c:v>3.9746058569999998</c:v>
                </c:pt>
                <c:pt idx="34">
                  <c:v>4.0147024629999999</c:v>
                </c:pt>
                <c:pt idx="35">
                  <c:v>4.054260223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Données!$B$306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Données!$C$306:$AL$306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62.529356249999999</c:v>
                </c:pt>
                <c:pt idx="2">
                  <c:v>81.225907860000007</c:v>
                </c:pt>
                <c:pt idx="3">
                  <c:v>100.39276460000001</c:v>
                </c:pt>
                <c:pt idx="4">
                  <c:v>119.7262479</c:v>
                </c:pt>
                <c:pt idx="5">
                  <c:v>139.044566</c:v>
                </c:pt>
                <c:pt idx="6">
                  <c:v>158.20128869999999</c:v>
                </c:pt>
                <c:pt idx="7">
                  <c:v>177.1273248</c:v>
                </c:pt>
                <c:pt idx="8">
                  <c:v>195.77706620000001</c:v>
                </c:pt>
                <c:pt idx="9">
                  <c:v>214.1148657</c:v>
                </c:pt>
                <c:pt idx="10">
                  <c:v>232.17528770000001</c:v>
                </c:pt>
                <c:pt idx="11">
                  <c:v>249.86570140000001</c:v>
                </c:pt>
                <c:pt idx="12">
                  <c:v>267.15857440000002</c:v>
                </c:pt>
                <c:pt idx="13">
                  <c:v>284.03178389999999</c:v>
                </c:pt>
                <c:pt idx="14">
                  <c:v>300.4589603</c:v>
                </c:pt>
                <c:pt idx="15">
                  <c:v>316.41612579999997</c:v>
                </c:pt>
                <c:pt idx="16">
                  <c:v>331.8813677</c:v>
                </c:pt>
                <c:pt idx="17">
                  <c:v>346.83469250000002</c:v>
                </c:pt>
                <c:pt idx="18">
                  <c:v>361.25797610000001</c:v>
                </c:pt>
                <c:pt idx="19">
                  <c:v>375.13488949999999</c:v>
                </c:pt>
                <c:pt idx="20">
                  <c:v>388.40635830000002</c:v>
                </c:pt>
                <c:pt idx="21">
                  <c:v>401.10662669999999</c:v>
                </c:pt>
                <c:pt idx="22">
                  <c:v>413.2248831</c:v>
                </c:pt>
                <c:pt idx="23">
                  <c:v>424.7475551</c:v>
                </c:pt>
                <c:pt idx="24">
                  <c:v>435.66407770000001</c:v>
                </c:pt>
                <c:pt idx="25">
                  <c:v>445.84390560000003</c:v>
                </c:pt>
                <c:pt idx="26">
                  <c:v>455.34611530000001</c:v>
                </c:pt>
                <c:pt idx="27">
                  <c:v>464.1638567</c:v>
                </c:pt>
                <c:pt idx="28">
                  <c:v>472.2819404</c:v>
                </c:pt>
                <c:pt idx="29">
                  <c:v>479.68866559999998</c:v>
                </c:pt>
                <c:pt idx="30">
                  <c:v>486.36858539999997</c:v>
                </c:pt>
                <c:pt idx="31">
                  <c:v>492.30208379999999</c:v>
                </c:pt>
                <c:pt idx="32">
                  <c:v>497.46509959999997</c:v>
                </c:pt>
                <c:pt idx="33">
                  <c:v>501.82879459999998</c:v>
                </c:pt>
                <c:pt idx="34">
                  <c:v>505.3591346</c:v>
                </c:pt>
                <c:pt idx="35">
                  <c:v>508.01641030000002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Données!$B$303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Données!$C$302:$AL$302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Données!$C$303:$AL$303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31939.359629999999</c:v>
                      </c:pt>
                      <c:pt idx="2">
                        <c:v>31768.200509999999</c:v>
                      </c:pt>
                      <c:pt idx="3">
                        <c:v>31740.481919999998</c:v>
                      </c:pt>
                      <c:pt idx="4">
                        <c:v>31812.69094</c:v>
                      </c:pt>
                      <c:pt idx="5">
                        <c:v>31957.171289999998</c:v>
                      </c:pt>
                      <c:pt idx="6">
                        <c:v>32152.135419999999</c:v>
                      </c:pt>
                      <c:pt idx="7">
                        <c:v>32385.901969999999</c:v>
                      </c:pt>
                      <c:pt idx="8">
                        <c:v>32650.440739999998</c:v>
                      </c:pt>
                      <c:pt idx="9">
                        <c:v>32939.650479999997</c:v>
                      </c:pt>
                      <c:pt idx="10">
                        <c:v>33255.642970000001</c:v>
                      </c:pt>
                      <c:pt idx="11">
                        <c:v>33587.061269999998</c:v>
                      </c:pt>
                      <c:pt idx="12">
                        <c:v>33930.388370000001</c:v>
                      </c:pt>
                      <c:pt idx="13">
                        <c:v>34282.97481</c:v>
                      </c:pt>
                      <c:pt idx="14">
                        <c:v>34641.952579999997</c:v>
                      </c:pt>
                      <c:pt idx="15">
                        <c:v>35004.922149999999</c:v>
                      </c:pt>
                      <c:pt idx="16">
                        <c:v>35369.872689999997</c:v>
                      </c:pt>
                      <c:pt idx="17">
                        <c:v>35735.136160000002</c:v>
                      </c:pt>
                      <c:pt idx="18">
                        <c:v>36099.364370000003</c:v>
                      </c:pt>
                      <c:pt idx="19">
                        <c:v>36461.514450000002</c:v>
                      </c:pt>
                      <c:pt idx="20">
                        <c:v>36815.854939999997</c:v>
                      </c:pt>
                      <c:pt idx="21">
                        <c:v>37167.397089999999</c:v>
                      </c:pt>
                      <c:pt idx="22">
                        <c:v>37515.966039999999</c:v>
                      </c:pt>
                      <c:pt idx="23">
                        <c:v>37861.253879999997</c:v>
                      </c:pt>
                      <c:pt idx="24">
                        <c:v>38203.499340000002</c:v>
                      </c:pt>
                      <c:pt idx="25">
                        <c:v>38528.930480000003</c:v>
                      </c:pt>
                      <c:pt idx="26">
                        <c:v>38846.803090000001</c:v>
                      </c:pt>
                      <c:pt idx="27">
                        <c:v>39158.337789999998</c:v>
                      </c:pt>
                      <c:pt idx="28">
                        <c:v>39463.992590000002</c:v>
                      </c:pt>
                      <c:pt idx="29">
                        <c:v>39764.946750000003</c:v>
                      </c:pt>
                      <c:pt idx="30">
                        <c:v>40062.247580000003</c:v>
                      </c:pt>
                      <c:pt idx="31">
                        <c:v>40356.817029999998</c:v>
                      </c:pt>
                      <c:pt idx="32">
                        <c:v>40649.48083</c:v>
                      </c:pt>
                      <c:pt idx="33">
                        <c:v>40940.992010000002</c:v>
                      </c:pt>
                      <c:pt idx="34">
                        <c:v>41232.04221</c:v>
                      </c:pt>
                      <c:pt idx="35">
                        <c:v>41523.262739999998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5BD4-4D49-89F4-ABF65BD94CDB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Employment</a:t>
            </a:r>
          </a:p>
          <a:p>
            <a:pPr>
              <a:defRPr/>
            </a:pPr>
            <a:r>
              <a:rPr lang="fr-FR" sz="1800" baseline="0"/>
              <a:t>(deviation in thousands)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6442019357368427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7456985577238018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Données!$B$227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Données!$C$227:$E$227</c:f>
              <c:numCache>
                <c:formatCode>#,##0</c:formatCode>
                <c:ptCount val="3"/>
                <c:pt idx="0">
                  <c:v>14.337409900000011</c:v>
                </c:pt>
                <c:pt idx="1">
                  <c:v>20.602377799999999</c:v>
                </c:pt>
                <c:pt idx="2">
                  <c:v>23.781647199999952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Données!$B$228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Données!$C$228:$E$228</c:f>
              <c:numCache>
                <c:formatCode>#,##0</c:formatCode>
                <c:ptCount val="3"/>
                <c:pt idx="0">
                  <c:v>-199.89247599999999</c:v>
                </c:pt>
                <c:pt idx="1">
                  <c:v>-299.90130700000009</c:v>
                </c:pt>
                <c:pt idx="2">
                  <c:v>-361.96591499999977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Données!$B$229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Données!$C$229:$E$229</c:f>
              <c:numCache>
                <c:formatCode>#,##0</c:formatCode>
                <c:ptCount val="3"/>
                <c:pt idx="0">
                  <c:v>-29.99601430000007</c:v>
                </c:pt>
                <c:pt idx="1">
                  <c:v>-39.869956900000034</c:v>
                </c:pt>
                <c:pt idx="2">
                  <c:v>-49.212449100000072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Données!$C$230:$E$230</c:f>
              <c:numCache>
                <c:formatCode>#,##0</c:formatCode>
                <c:ptCount val="3"/>
                <c:pt idx="0">
                  <c:v>-707.6151600000012</c:v>
                </c:pt>
                <c:pt idx="1">
                  <c:v>-826.4573100000016</c:v>
                </c:pt>
                <c:pt idx="2">
                  <c:v>-966.82344999999987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Données!$B$231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Données!$C$231:$E$231</c:f>
              <c:numCache>
                <c:formatCode>#,##0.0</c:formatCode>
                <c:ptCount val="3"/>
                <c:pt idx="0">
                  <c:v>-0.55285651410000014</c:v>
                </c:pt>
                <c:pt idx="1">
                  <c:v>-0.67668742960000117</c:v>
                </c:pt>
                <c:pt idx="2">
                  <c:v>-0.77992390059999828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Données!$B$232</c:f>
              <c:strCache>
                <c:ptCount val="1"/>
                <c:pt idx="0">
                  <c:v>Renewable Oil &amp; 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Données!$C$232:$E$232</c:f>
              <c:numCache>
                <c:formatCode>#,##0.0</c:formatCode>
                <c:ptCount val="3"/>
                <c:pt idx="0">
                  <c:v>-0.37996990589999946</c:v>
                </c:pt>
                <c:pt idx="1">
                  <c:v>-0.43923358040000071</c:v>
                </c:pt>
                <c:pt idx="2">
                  <c:v>-0.49203084939999986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Données!$B$233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Données!$C$233:$E$233</c:f>
              <c:numCache>
                <c:formatCode>#,##0.0</c:formatCode>
                <c:ptCount val="3"/>
                <c:pt idx="0">
                  <c:v>0.55927641999998912</c:v>
                </c:pt>
                <c:pt idx="1">
                  <c:v>0.66461169000000098</c:v>
                </c:pt>
                <c:pt idx="2">
                  <c:v>0.80711612000000343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Données!$B$226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Données!$C$226:$E$226</c:f>
              <c:numCache>
                <c:formatCode>#,##0</c:formatCode>
                <c:ptCount val="3"/>
                <c:pt idx="0">
                  <c:v>-923.53979000000254</c:v>
                </c:pt>
                <c:pt idx="1">
                  <c:v>-1146.0775099999992</c:v>
                </c:pt>
                <c:pt idx="2">
                  <c:v>-1354.6850099999974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Investment </a:t>
            </a:r>
            <a:r>
              <a:rPr lang="fr-FR" sz="1800"/>
              <a:t>(%deviation</a:t>
            </a:r>
            <a:r>
              <a:rPr lang="fr-FR" sz="1800" baseline="0"/>
              <a:t> from baseline</a:t>
            </a:r>
            <a:r>
              <a:rPr lang="fr-FR" sz="2800" baseline="0"/>
              <a:t>)</a:t>
            </a:r>
            <a:endParaRPr lang="fr-FR" sz="2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Données!$B$289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Données!$C$289:$E$289</c:f>
              <c:numCache>
                <c:formatCode>0.0%</c:formatCode>
                <c:ptCount val="3"/>
                <c:pt idx="0">
                  <c:v>-9.0572743380702941E-5</c:v>
                </c:pt>
                <c:pt idx="1">
                  <c:v>-1.4405393524164525E-4</c:v>
                </c:pt>
                <c:pt idx="2">
                  <c:v>-1.506953218115202E-4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FE-477E-A9C8-4FC424910435}"/>
            </c:ext>
          </c:extLst>
        </c:ser>
        <c:ser>
          <c:idx val="2"/>
          <c:order val="2"/>
          <c:tx>
            <c:strRef>
              <c:f>Données!$B$290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Données!$C$290:$E$290</c:f>
              <c:numCache>
                <c:formatCode>0.0%</c:formatCode>
                <c:ptCount val="3"/>
                <c:pt idx="0">
                  <c:v>-3.5702682406040895E-2</c:v>
                </c:pt>
                <c:pt idx="1">
                  <c:v>-5.2967227880695023E-2</c:v>
                </c:pt>
                <c:pt idx="2">
                  <c:v>-6.2104507270660241E-2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FE-477E-A9C8-4FC424910435}"/>
            </c:ext>
          </c:extLst>
        </c:ser>
        <c:ser>
          <c:idx val="3"/>
          <c:order val="3"/>
          <c:tx>
            <c:strRef>
              <c:f>Données!$B$291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Données!$C$291:$E$291</c:f>
              <c:numCache>
                <c:formatCode>0.0%</c:formatCode>
                <c:ptCount val="3"/>
                <c:pt idx="0">
                  <c:v>-1.0934742909466553E-3</c:v>
                </c:pt>
                <c:pt idx="1">
                  <c:v>-1.4874926911233222E-3</c:v>
                </c:pt>
                <c:pt idx="2">
                  <c:v>-1.782151702453812E-3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FE-477E-A9C8-4FC424910435}"/>
            </c:ext>
          </c:extLst>
        </c:ser>
        <c:ser>
          <c:idx val="4"/>
          <c:order val="4"/>
          <c:tx>
            <c:strRef>
              <c:f>Données!$B$292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Données!$C$292:$E$292</c:f>
              <c:numCache>
                <c:formatCode>0.0%</c:formatCode>
                <c:ptCount val="3"/>
                <c:pt idx="0">
                  <c:v>-2.4701563458625585E-2</c:v>
                </c:pt>
                <c:pt idx="1">
                  <c:v>-3.0402740792388742E-2</c:v>
                </c:pt>
                <c:pt idx="2">
                  <c:v>-3.407446252798365E-2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FE-477E-A9C8-4FC424910435}"/>
            </c:ext>
          </c:extLst>
        </c:ser>
        <c:ser>
          <c:idx val="5"/>
          <c:order val="5"/>
          <c:tx>
            <c:strRef>
              <c:f>Données!$B$293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Données!$C$293:$E$293</c:f>
              <c:numCache>
                <c:formatCode>0.0%</c:formatCode>
                <c:ptCount val="3"/>
                <c:pt idx="0">
                  <c:v>-3.2718202662733058E-4</c:v>
                </c:pt>
                <c:pt idx="1">
                  <c:v>-3.9000016541529251E-4</c:v>
                </c:pt>
                <c:pt idx="2">
                  <c:v>-4.3282233835563688E-4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CFE-477E-A9C8-4FC424910435}"/>
            </c:ext>
          </c:extLst>
        </c:ser>
        <c:ser>
          <c:idx val="6"/>
          <c:order val="6"/>
          <c:tx>
            <c:strRef>
              <c:f>Données!$B$294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Données!$C$294:$E$294</c:f>
              <c:numCache>
                <c:formatCode>0.0%</c:formatCode>
                <c:ptCount val="3"/>
                <c:pt idx="0">
                  <c:v>-2.2681536601343405E-4</c:v>
                </c:pt>
                <c:pt idx="1">
                  <c:v>-2.3000162399864108E-4</c:v>
                </c:pt>
                <c:pt idx="2">
                  <c:v>-2.2815965326912146E-4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4"/>
        <c:overlap val="100"/>
        <c:axId val="750236624"/>
        <c:axId val="750231704"/>
      </c:barChart>
      <c:lineChart>
        <c:grouping val="standard"/>
        <c:varyColors val="0"/>
        <c:ser>
          <c:idx val="0"/>
          <c:order val="0"/>
          <c:tx>
            <c:strRef>
              <c:f>Données!$B$288</c:f>
              <c:strCache>
                <c:ptCount val="1"/>
                <c:pt idx="0">
                  <c:v>Firms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Données!$C$288:$E$288</c:f>
              <c:numCache>
                <c:formatCode>0.0%</c:formatCode>
                <c:ptCount val="3"/>
                <c:pt idx="0">
                  <c:v>-6.2142290320407301E-2</c:v>
                </c:pt>
                <c:pt idx="1">
                  <c:v>-8.5621517212865261E-2</c:v>
                </c:pt>
                <c:pt idx="2">
                  <c:v>-9.8772798934343098E-2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236624"/>
        <c:axId val="750231704"/>
      </c:lineChart>
      <c:catAx>
        <c:axId val="75023662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1704"/>
        <c:crosses val="autoZero"/>
        <c:auto val="1"/>
        <c:lblAlgn val="ctr"/>
        <c:lblOffset val="100"/>
        <c:tickLblSkip val="10"/>
        <c:noMultiLvlLbl val="0"/>
      </c:catAx>
      <c:valAx>
        <c:axId val="750231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662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Firms' CO2</a:t>
            </a:r>
            <a:r>
              <a:rPr lang="fr-FR" sz="2800" baseline="0"/>
              <a:t> emissions</a:t>
            </a:r>
          </a:p>
          <a:p>
            <a:pPr>
              <a:defRPr/>
            </a:pPr>
            <a:r>
              <a:rPr lang="fr-FR" i="1" baseline="0"/>
              <a:t>MtCO2/y</a:t>
            </a:r>
            <a:endParaRPr lang="fr-FR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Données!$B$432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Données!$C$432:$F$432</c:f>
              <c:numCache>
                <c:formatCode>#,##0</c:formatCode>
                <c:ptCount val="4"/>
                <c:pt idx="0">
                  <c:v>15.1973334019</c:v>
                </c:pt>
                <c:pt idx="1">
                  <c:v>15.870915737999999</c:v>
                </c:pt>
                <c:pt idx="2">
                  <c:v>16.628835186</c:v>
                </c:pt>
                <c:pt idx="3">
                  <c:v>17.140809864500003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Données!$B$433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Données!$C$433:$F$433</c:f>
              <c:numCache>
                <c:formatCode>#,##0</c:formatCode>
                <c:ptCount val="4"/>
                <c:pt idx="0">
                  <c:v>8.7521886169999998</c:v>
                </c:pt>
                <c:pt idx="1">
                  <c:v>9.1797959050000006</c:v>
                </c:pt>
                <c:pt idx="2">
                  <c:v>9.4868968729999992</c:v>
                </c:pt>
                <c:pt idx="3">
                  <c:v>9.6798469279999999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Données!$B$434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Données!$C$434:$F$434</c:f>
              <c:numCache>
                <c:formatCode>#,##0</c:formatCode>
                <c:ptCount val="4"/>
                <c:pt idx="0">
                  <c:v>19.474331601000003</c:v>
                </c:pt>
                <c:pt idx="1">
                  <c:v>22.172336852000001</c:v>
                </c:pt>
                <c:pt idx="2">
                  <c:v>25.144306650000001</c:v>
                </c:pt>
                <c:pt idx="3">
                  <c:v>28.386130830000003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Données!$B$435</c:f>
              <c:strCache>
                <c:ptCount val="1"/>
                <c:pt idx="0">
                  <c:v>Chemicals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Données!$C$435:$F$435</c:f>
              <c:numCache>
                <c:formatCode>#,##0</c:formatCode>
                <c:ptCount val="4"/>
                <c:pt idx="0">
                  <c:v>13.88136832</c:v>
                </c:pt>
                <c:pt idx="1">
                  <c:v>15.758809490000001</c:v>
                </c:pt>
                <c:pt idx="2">
                  <c:v>17.371330929999999</c:v>
                </c:pt>
                <c:pt idx="3">
                  <c:v>19.11205867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Données!$B$436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Données!$C$436:$F$436</c:f>
              <c:numCache>
                <c:formatCode>#,##0</c:formatCode>
                <c:ptCount val="4"/>
                <c:pt idx="0">
                  <c:v>20.15570331</c:v>
                </c:pt>
                <c:pt idx="1">
                  <c:v>22.7956307</c:v>
                </c:pt>
                <c:pt idx="2">
                  <c:v>25.47645687</c:v>
                </c:pt>
                <c:pt idx="3">
                  <c:v>28.458192990000001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Données!$B$437</c:f>
              <c:strCache>
                <c:ptCount val="1"/>
                <c:pt idx="0">
                  <c:v>Other industry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Données!$C$437:$F$437</c:f>
              <c:numCache>
                <c:formatCode>#,##0</c:formatCode>
                <c:ptCount val="4"/>
                <c:pt idx="0">
                  <c:v>15.800617501999998</c:v>
                </c:pt>
                <c:pt idx="1">
                  <c:v>20.540480201000001</c:v>
                </c:pt>
                <c:pt idx="2">
                  <c:v>23.868610920000002</c:v>
                </c:pt>
                <c:pt idx="3">
                  <c:v>27.126097047000002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Données!$B$438</c:f>
              <c:strCache>
                <c:ptCount val="1"/>
                <c:pt idx="0">
                  <c:v>Road transport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Données!$C$438:$F$438</c:f>
              <c:numCache>
                <c:formatCode>#,##0</c:formatCode>
                <c:ptCount val="4"/>
                <c:pt idx="0">
                  <c:v>17.840787670000001</c:v>
                </c:pt>
                <c:pt idx="1">
                  <c:v>20.084443239999999</c:v>
                </c:pt>
                <c:pt idx="2">
                  <c:v>22.27754264</c:v>
                </c:pt>
                <c:pt idx="3">
                  <c:v>24.46573261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Données!$B$439</c:f>
              <c:strCache>
                <c:ptCount val="1"/>
                <c:pt idx="0">
                  <c:v>Air transport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Données!$C$439:$F$439</c:f>
              <c:numCache>
                <c:formatCode>#,##0</c:formatCode>
                <c:ptCount val="4"/>
                <c:pt idx="0">
                  <c:v>19.91664127</c:v>
                </c:pt>
                <c:pt idx="1">
                  <c:v>23.534873439999998</c:v>
                </c:pt>
                <c:pt idx="2">
                  <c:v>27.028236620000001</c:v>
                </c:pt>
                <c:pt idx="3">
                  <c:v>30.591829270000002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Données!$B$440</c:f>
              <c:strCache>
                <c:ptCount val="1"/>
                <c:pt idx="0">
                  <c:v>Other transport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Données!$C$440:$F$440</c:f>
              <c:numCache>
                <c:formatCode>#,##0</c:formatCode>
                <c:ptCount val="4"/>
                <c:pt idx="0">
                  <c:v>5.6720531780000005</c:v>
                </c:pt>
                <c:pt idx="1">
                  <c:v>6.4122949179999997</c:v>
                </c:pt>
                <c:pt idx="2">
                  <c:v>6.9822953129999998</c:v>
                </c:pt>
                <c:pt idx="3">
                  <c:v>7.6236075910000007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Données!$B$441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Données!$C$441:$F$441</c:f>
              <c:numCache>
                <c:formatCode>#,##0</c:formatCode>
                <c:ptCount val="4"/>
                <c:pt idx="0">
                  <c:v>51.421220566000002</c:v>
                </c:pt>
                <c:pt idx="1">
                  <c:v>62.613270778</c:v>
                </c:pt>
                <c:pt idx="2">
                  <c:v>74.410274393000009</c:v>
                </c:pt>
                <c:pt idx="3">
                  <c:v>86.226518224999992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Données!$B$442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Données!$C$442:$F$442</c:f>
              <c:numCache>
                <c:formatCode>#,##0</c:formatCode>
                <c:ptCount val="4"/>
                <c:pt idx="0">
                  <c:v>21.539883794000001</c:v>
                </c:pt>
                <c:pt idx="1">
                  <c:v>23.822694024</c:v>
                </c:pt>
                <c:pt idx="2">
                  <c:v>26.239495772999998</c:v>
                </c:pt>
                <c:pt idx="3">
                  <c:v>28.644554223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Données!$B$443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Données!$C$443:$F$443</c:f>
              <c:numCache>
                <c:formatCode>#,##0</c:formatCode>
                <c:ptCount val="4"/>
                <c:pt idx="0">
                  <c:v>26.067003277000001</c:v>
                </c:pt>
                <c:pt idx="1">
                  <c:v>28.788388131000001</c:v>
                </c:pt>
                <c:pt idx="2">
                  <c:v>30.931661042999998</c:v>
                </c:pt>
                <c:pt idx="3">
                  <c:v>33.131792619999999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Capital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Données!$B$185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Données!$C$185:$AL$185</c:f>
              <c:numCache>
                <c:formatCode>0%</c:formatCode>
                <c:ptCount val="36"/>
                <c:pt idx="0">
                  <c:v>1.7583890955782167E-2</c:v>
                </c:pt>
                <c:pt idx="1">
                  <c:v>1.5962939454043479E-2</c:v>
                </c:pt>
                <c:pt idx="2">
                  <c:v>1.1340211443878534E-2</c:v>
                </c:pt>
                <c:pt idx="3">
                  <c:v>6.4176002811684452E-3</c:v>
                </c:pt>
                <c:pt idx="4">
                  <c:v>2.6252231271810533E-3</c:v>
                </c:pt>
                <c:pt idx="5">
                  <c:v>6.1913066012775353E-4</c:v>
                </c:pt>
                <c:pt idx="6">
                  <c:v>5.5201004355853733E-4</c:v>
                </c:pt>
                <c:pt idx="7">
                  <c:v>2.2004526912278166E-3</c:v>
                </c:pt>
                <c:pt idx="8">
                  <c:v>5.155941284679777E-3</c:v>
                </c:pt>
                <c:pt idx="9">
                  <c:v>8.9274218312529463E-3</c:v>
                </c:pt>
                <c:pt idx="10">
                  <c:v>1.3029451589305463E-2</c:v>
                </c:pt>
                <c:pt idx="11">
                  <c:v>1.7103212183545047E-2</c:v>
                </c:pt>
                <c:pt idx="12">
                  <c:v>2.0779010051733326E-2</c:v>
                </c:pt>
                <c:pt idx="13">
                  <c:v>2.3844419716203546E-2</c:v>
                </c:pt>
                <c:pt idx="14">
                  <c:v>2.6201028954700778E-2</c:v>
                </c:pt>
                <c:pt idx="15">
                  <c:v>2.7846991629090656E-2</c:v>
                </c:pt>
                <c:pt idx="16">
                  <c:v>2.8910986723598375E-2</c:v>
                </c:pt>
                <c:pt idx="17">
                  <c:v>2.9466607252139676E-2</c:v>
                </c:pt>
                <c:pt idx="18">
                  <c:v>2.964861815964448E-2</c:v>
                </c:pt>
                <c:pt idx="19">
                  <c:v>2.9593855063567265E-2</c:v>
                </c:pt>
                <c:pt idx="20">
                  <c:v>2.9427751580840322E-2</c:v>
                </c:pt>
                <c:pt idx="21">
                  <c:v>2.9262046035275713E-2</c:v>
                </c:pt>
                <c:pt idx="22">
                  <c:v>2.9170095644050154E-2</c:v>
                </c:pt>
                <c:pt idx="23">
                  <c:v>2.9213553499417788E-2</c:v>
                </c:pt>
                <c:pt idx="24">
                  <c:v>2.9431321602525928E-2</c:v>
                </c:pt>
                <c:pt idx="25">
                  <c:v>2.9838404533523155E-2</c:v>
                </c:pt>
                <c:pt idx="26">
                  <c:v>3.0437310407956497E-2</c:v>
                </c:pt>
                <c:pt idx="27">
                  <c:v>3.1203919521896717E-2</c:v>
                </c:pt>
                <c:pt idx="28">
                  <c:v>3.2117066998742727E-2</c:v>
                </c:pt>
                <c:pt idx="29">
                  <c:v>3.3153124496003494E-2</c:v>
                </c:pt>
                <c:pt idx="30">
                  <c:v>3.4286403457042258E-2</c:v>
                </c:pt>
                <c:pt idx="31">
                  <c:v>3.5480202514491799E-2</c:v>
                </c:pt>
                <c:pt idx="32">
                  <c:v>3.6714478474590306E-2</c:v>
                </c:pt>
                <c:pt idx="33">
                  <c:v>3.7967547215943975E-2</c:v>
                </c:pt>
                <c:pt idx="34">
                  <c:v>3.9222581709182469E-2</c:v>
                </c:pt>
                <c:pt idx="35">
                  <c:v>4.0467805786151168E-2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Données!$B$186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Données!$C$186:$AL$186</c:f>
              <c:numCache>
                <c:formatCode>0%</c:formatCode>
                <c:ptCount val="36"/>
                <c:pt idx="0">
                  <c:v>2.5267362694855411E-2</c:v>
                </c:pt>
                <c:pt idx="1">
                  <c:v>2.6884409693163969E-2</c:v>
                </c:pt>
                <c:pt idx="2">
                  <c:v>2.6328108683013163E-2</c:v>
                </c:pt>
                <c:pt idx="3">
                  <c:v>2.4983473128842304E-2</c:v>
                </c:pt>
                <c:pt idx="4">
                  <c:v>2.3571838884569596E-2</c:v>
                </c:pt>
                <c:pt idx="5">
                  <c:v>2.2456636294273968E-2</c:v>
                </c:pt>
                <c:pt idx="6">
                  <c:v>2.1783922369846387E-2</c:v>
                </c:pt>
                <c:pt idx="7">
                  <c:v>2.1487251303823118E-2</c:v>
                </c:pt>
                <c:pt idx="8">
                  <c:v>2.1435087409702458E-2</c:v>
                </c:pt>
                <c:pt idx="9">
                  <c:v>2.1474076553426036E-2</c:v>
                </c:pt>
                <c:pt idx="10">
                  <c:v>2.1464589185187011E-2</c:v>
                </c:pt>
                <c:pt idx="11">
                  <c:v>2.1412561737470748E-2</c:v>
                </c:pt>
                <c:pt idx="12">
                  <c:v>2.1164934030069027E-2</c:v>
                </c:pt>
                <c:pt idx="13">
                  <c:v>2.0692194696679156E-2</c:v>
                </c:pt>
                <c:pt idx="14">
                  <c:v>2.0001068142422751E-2</c:v>
                </c:pt>
                <c:pt idx="15">
                  <c:v>1.9120666988354795E-2</c:v>
                </c:pt>
                <c:pt idx="16">
                  <c:v>1.8192007823084611E-2</c:v>
                </c:pt>
                <c:pt idx="17">
                  <c:v>1.7163835493102741E-2</c:v>
                </c:pt>
                <c:pt idx="18">
                  <c:v>1.6066923588480719E-2</c:v>
                </c:pt>
                <c:pt idx="19">
                  <c:v>1.4928473252577623E-2</c:v>
                </c:pt>
                <c:pt idx="20">
                  <c:v>1.3771294124572675E-2</c:v>
                </c:pt>
                <c:pt idx="21">
                  <c:v>1.2607077376923126E-2</c:v>
                </c:pt>
                <c:pt idx="22">
                  <c:v>1.1443094878831106E-2</c:v>
                </c:pt>
                <c:pt idx="23">
                  <c:v>1.0287244367315873E-2</c:v>
                </c:pt>
                <c:pt idx="24">
                  <c:v>9.1446694930958916E-3</c:v>
                </c:pt>
                <c:pt idx="25">
                  <c:v>8.021600120268646E-3</c:v>
                </c:pt>
                <c:pt idx="26">
                  <c:v>6.8891293722930236E-3</c:v>
                </c:pt>
                <c:pt idx="27">
                  <c:v>5.7743498297064821E-3</c:v>
                </c:pt>
                <c:pt idx="28">
                  <c:v>4.684986742213848E-3</c:v>
                </c:pt>
                <c:pt idx="29">
                  <c:v>3.6285435621739026E-3</c:v>
                </c:pt>
                <c:pt idx="30">
                  <c:v>2.6128367851039336E-3</c:v>
                </c:pt>
                <c:pt idx="31">
                  <c:v>1.6268084634709634E-3</c:v>
                </c:pt>
                <c:pt idx="32">
                  <c:v>6.9401500374000058E-4</c:v>
                </c:pt>
                <c:pt idx="33">
                  <c:v>-1.7744305094991031E-4</c:v>
                </c:pt>
                <c:pt idx="34">
                  <c:v>-9.806523119174626E-4</c:v>
                </c:pt>
                <c:pt idx="35">
                  <c:v>-1.7096834665755178E-3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Données!$B$187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Données!$C$187:$AL$187</c:f>
              <c:numCache>
                <c:formatCode>0%</c:formatCode>
                <c:ptCount val="36"/>
                <c:pt idx="0">
                  <c:v>2.42417568034623E-2</c:v>
                </c:pt>
                <c:pt idx="1">
                  <c:v>2.5378189749982294E-2</c:v>
                </c:pt>
                <c:pt idx="2">
                  <c:v>2.5076971691372796E-2</c:v>
                </c:pt>
                <c:pt idx="3">
                  <c:v>2.4153078724363564E-2</c:v>
                </c:pt>
                <c:pt idx="4">
                  <c:v>2.2920933592469606E-2</c:v>
                </c:pt>
                <c:pt idx="5">
                  <c:v>2.1541652994120808E-2</c:v>
                </c:pt>
                <c:pt idx="6">
                  <c:v>2.0123203821435398E-2</c:v>
                </c:pt>
                <c:pt idx="7">
                  <c:v>1.8668739561268355E-2</c:v>
                </c:pt>
                <c:pt idx="8">
                  <c:v>1.7174962188296172E-2</c:v>
                </c:pt>
                <c:pt idx="9">
                  <c:v>1.5633549812968495E-2</c:v>
                </c:pt>
                <c:pt idx="10">
                  <c:v>1.404307624146961E-2</c:v>
                </c:pt>
                <c:pt idx="11">
                  <c:v>1.2510686925822245E-2</c:v>
                </c:pt>
                <c:pt idx="12">
                  <c:v>1.0957392983624414E-2</c:v>
                </c:pt>
                <c:pt idx="13">
                  <c:v>9.4028082648602851E-3</c:v>
                </c:pt>
                <c:pt idx="14">
                  <c:v>7.8745559289046252E-3</c:v>
                </c:pt>
                <c:pt idx="15">
                  <c:v>6.3997348792577124E-3</c:v>
                </c:pt>
                <c:pt idx="16">
                  <c:v>5.0947949956872129E-3</c:v>
                </c:pt>
                <c:pt idx="17">
                  <c:v>3.8775396977457355E-3</c:v>
                </c:pt>
                <c:pt idx="18">
                  <c:v>2.7470599230339232E-3</c:v>
                </c:pt>
                <c:pt idx="19">
                  <c:v>1.6980934801085201E-3</c:v>
                </c:pt>
                <c:pt idx="20">
                  <c:v>7.1763217993847661E-4</c:v>
                </c:pt>
                <c:pt idx="21">
                  <c:v>-2.0032898393462784E-4</c:v>
                </c:pt>
                <c:pt idx="22">
                  <c:v>-1.0758777398297559E-3</c:v>
                </c:pt>
                <c:pt idx="23">
                  <c:v>-1.9220670623393277E-3</c:v>
                </c:pt>
                <c:pt idx="24">
                  <c:v>-2.7509329260732018E-3</c:v>
                </c:pt>
                <c:pt idx="25">
                  <c:v>-3.5859709944610074E-3</c:v>
                </c:pt>
                <c:pt idx="26">
                  <c:v>-4.4404741200382292E-3</c:v>
                </c:pt>
                <c:pt idx="27">
                  <c:v>-5.299695220677747E-3</c:v>
                </c:pt>
                <c:pt idx="28">
                  <c:v>-6.1641385840865981E-3</c:v>
                </c:pt>
                <c:pt idx="29">
                  <c:v>-7.0334749611500325E-3</c:v>
                </c:pt>
                <c:pt idx="30">
                  <c:v>-7.9061856932786112E-3</c:v>
                </c:pt>
                <c:pt idx="31">
                  <c:v>-8.7974880363470565E-3</c:v>
                </c:pt>
                <c:pt idx="32">
                  <c:v>-9.6875349247276255E-3</c:v>
                </c:pt>
                <c:pt idx="33">
                  <c:v>-1.0572056062020052E-2</c:v>
                </c:pt>
                <c:pt idx="34">
                  <c:v>-1.1447311760556245E-2</c:v>
                </c:pt>
                <c:pt idx="35">
                  <c:v>-1.2309882122770177E-2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Données!$B$188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Données!$C$188:$AL$188</c:f>
              <c:numCache>
                <c:formatCode>0%</c:formatCode>
                <c:ptCount val="36"/>
                <c:pt idx="0">
                  <c:v>1.3021777033809911E-2</c:v>
                </c:pt>
                <c:pt idx="1">
                  <c:v>1.6581433964517167E-2</c:v>
                </c:pt>
                <c:pt idx="2">
                  <c:v>1.835609251753012E-2</c:v>
                </c:pt>
                <c:pt idx="3">
                  <c:v>1.9324318749408098E-2</c:v>
                </c:pt>
                <c:pt idx="4">
                  <c:v>1.9879159369592392E-2</c:v>
                </c:pt>
                <c:pt idx="5">
                  <c:v>2.0186102181914745E-2</c:v>
                </c:pt>
                <c:pt idx="6">
                  <c:v>2.0306085595884538E-2</c:v>
                </c:pt>
                <c:pt idx="7">
                  <c:v>2.0193462283595531E-2</c:v>
                </c:pt>
                <c:pt idx="8">
                  <c:v>1.97962503036897E-2</c:v>
                </c:pt>
                <c:pt idx="9">
                  <c:v>1.9075722059422429E-2</c:v>
                </c:pt>
                <c:pt idx="10">
                  <c:v>1.8012311806733461E-2</c:v>
                </c:pt>
                <c:pt idx="11">
                  <c:v>1.6707533183020207E-2</c:v>
                </c:pt>
                <c:pt idx="12">
                  <c:v>1.5152429831245762E-2</c:v>
                </c:pt>
                <c:pt idx="13">
                  <c:v>1.340835676775054E-2</c:v>
                </c:pt>
                <c:pt idx="14">
                  <c:v>1.1550474769489005E-2</c:v>
                </c:pt>
                <c:pt idx="15">
                  <c:v>9.6549599461959179E-3</c:v>
                </c:pt>
                <c:pt idx="16">
                  <c:v>7.8432984469563038E-3</c:v>
                </c:pt>
                <c:pt idx="17">
                  <c:v>6.1263288152795248E-3</c:v>
                </c:pt>
                <c:pt idx="18">
                  <c:v>4.5350801526216067E-3</c:v>
                </c:pt>
                <c:pt idx="19">
                  <c:v>3.0881050216688966E-3</c:v>
                </c:pt>
                <c:pt idx="20">
                  <c:v>1.7977733390015516E-3</c:v>
                </c:pt>
                <c:pt idx="21">
                  <c:v>6.4793298360710239E-4</c:v>
                </c:pt>
                <c:pt idx="22">
                  <c:v>-3.6314922325408894E-4</c:v>
                </c:pt>
                <c:pt idx="23">
                  <c:v>-1.2484401273477053E-3</c:v>
                </c:pt>
                <c:pt idx="24">
                  <c:v>-2.0226920324175612E-3</c:v>
                </c:pt>
                <c:pt idx="25">
                  <c:v>-2.6886619750781104E-3</c:v>
                </c:pt>
                <c:pt idx="26">
                  <c:v>-3.304619290225963E-3</c:v>
                </c:pt>
                <c:pt idx="27">
                  <c:v>-3.8586415552024356E-3</c:v>
                </c:pt>
                <c:pt idx="28">
                  <c:v>-4.3590839162191974E-3</c:v>
                </c:pt>
                <c:pt idx="29">
                  <c:v>-4.8127605904261239E-3</c:v>
                </c:pt>
                <c:pt idx="30">
                  <c:v>-5.2254515437237803E-3</c:v>
                </c:pt>
                <c:pt idx="31">
                  <c:v>-5.6120165658982701E-3</c:v>
                </c:pt>
                <c:pt idx="32">
                  <c:v>-5.9689746828438528E-3</c:v>
                </c:pt>
                <c:pt idx="33">
                  <c:v>-6.2983390653739146E-3</c:v>
                </c:pt>
                <c:pt idx="34">
                  <c:v>-6.6020383253424519E-3</c:v>
                </c:pt>
                <c:pt idx="35">
                  <c:v>-6.8817964514824581E-3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Données!$B$189</c:f>
              <c:strCache>
                <c:ptCount val="1"/>
                <c:pt idx="0">
                  <c:v>Oil&amp;Gas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Données!$C$189:$AL$189</c:f>
              <c:numCache>
                <c:formatCode>0%</c:formatCode>
                <c:ptCount val="36"/>
                <c:pt idx="0">
                  <c:v>2.4402584059043164E-2</c:v>
                </c:pt>
                <c:pt idx="1">
                  <c:v>2.6997038842598187E-2</c:v>
                </c:pt>
                <c:pt idx="2">
                  <c:v>2.7957286800175174E-2</c:v>
                </c:pt>
                <c:pt idx="3">
                  <c:v>2.8374253907917257E-2</c:v>
                </c:pt>
                <c:pt idx="4">
                  <c:v>2.8336002238013469E-2</c:v>
                </c:pt>
                <c:pt idx="5">
                  <c:v>2.7848490836393847E-2</c:v>
                </c:pt>
                <c:pt idx="6">
                  <c:v>2.6973271849693337E-2</c:v>
                </c:pt>
                <c:pt idx="7">
                  <c:v>2.577579988381995E-2</c:v>
                </c:pt>
                <c:pt idx="8">
                  <c:v>2.4335318330632738E-2</c:v>
                </c:pt>
                <c:pt idx="9">
                  <c:v>2.272197883671967E-2</c:v>
                </c:pt>
                <c:pt idx="10">
                  <c:v>2.1007134185492715E-2</c:v>
                </c:pt>
                <c:pt idx="11">
                  <c:v>1.9304906537029431E-2</c:v>
                </c:pt>
                <c:pt idx="12">
                  <c:v>1.7592350590369454E-2</c:v>
                </c:pt>
                <c:pt idx="13">
                  <c:v>1.5900412717360757E-2</c:v>
                </c:pt>
                <c:pt idx="14">
                  <c:v>1.4259221369579134E-2</c:v>
                </c:pt>
                <c:pt idx="15">
                  <c:v>1.2693602992756459E-2</c:v>
                </c:pt>
                <c:pt idx="16">
                  <c:v>1.1304242973680712E-2</c:v>
                </c:pt>
                <c:pt idx="17">
                  <c:v>1.0022176191389898E-2</c:v>
                </c:pt>
                <c:pt idx="18">
                  <c:v>8.8459564954970205E-3</c:v>
                </c:pt>
                <c:pt idx="19">
                  <c:v>7.7735574657904483E-3</c:v>
                </c:pt>
                <c:pt idx="20">
                  <c:v>6.7885535118239471E-3</c:v>
                </c:pt>
                <c:pt idx="21">
                  <c:v>5.908026883658879E-3</c:v>
                </c:pt>
                <c:pt idx="22">
                  <c:v>5.1053230755457868E-3</c:v>
                </c:pt>
                <c:pt idx="23">
                  <c:v>4.3698508716560891E-3</c:v>
                </c:pt>
                <c:pt idx="24">
                  <c:v>3.6911437605369191E-3</c:v>
                </c:pt>
                <c:pt idx="25">
                  <c:v>3.0223005871601316E-3</c:v>
                </c:pt>
                <c:pt idx="26">
                  <c:v>2.3944384558909348E-3</c:v>
                </c:pt>
                <c:pt idx="27">
                  <c:v>1.7986115019137383E-3</c:v>
                </c:pt>
                <c:pt idx="28">
                  <c:v>1.228730437806913E-3</c:v>
                </c:pt>
                <c:pt idx="29">
                  <c:v>6.796224110674487E-4</c:v>
                </c:pt>
                <c:pt idx="30">
                  <c:v>1.47513094644669E-4</c:v>
                </c:pt>
                <c:pt idx="31">
                  <c:v>-3.8471023564923268E-4</c:v>
                </c:pt>
                <c:pt idx="32">
                  <c:v>-9.0443679024931889E-4</c:v>
                </c:pt>
                <c:pt idx="33">
                  <c:v>-1.4113585616313262E-3</c:v>
                </c:pt>
                <c:pt idx="34">
                  <c:v>-1.9053827451424032E-3</c:v>
                </c:pt>
                <c:pt idx="35">
                  <c:v>-2.3861391907731289E-3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Données!$B$190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Données!$C$190:$AL$190</c:f>
              <c:numCache>
                <c:formatCode>0%</c:formatCode>
                <c:ptCount val="36"/>
                <c:pt idx="0">
                  <c:v>2.0195426714924469E-2</c:v>
                </c:pt>
                <c:pt idx="1">
                  <c:v>2.4731109472909907E-2</c:v>
                </c:pt>
                <c:pt idx="2">
                  <c:v>2.6884559527538432E-2</c:v>
                </c:pt>
                <c:pt idx="3">
                  <c:v>2.771260678819587E-2</c:v>
                </c:pt>
                <c:pt idx="4">
                  <c:v>2.7356601944209968E-2</c:v>
                </c:pt>
                <c:pt idx="5">
                  <c:v>2.6016941857393672E-2</c:v>
                </c:pt>
                <c:pt idx="6">
                  <c:v>2.402119226496735E-2</c:v>
                </c:pt>
                <c:pt idx="7">
                  <c:v>2.1703310763673933E-2</c:v>
                </c:pt>
                <c:pt idx="8">
                  <c:v>1.9355547437749587E-2</c:v>
                </c:pt>
                <c:pt idx="9">
                  <c:v>1.720260346475011E-2</c:v>
                </c:pt>
                <c:pt idx="10">
                  <c:v>1.5399139128275285E-2</c:v>
                </c:pt>
                <c:pt idx="11">
                  <c:v>1.4076613246570835E-2</c:v>
                </c:pt>
                <c:pt idx="12">
                  <c:v>1.3258743103418791E-2</c:v>
                </c:pt>
                <c:pt idx="13">
                  <c:v>1.2934159632902009E-2</c:v>
                </c:pt>
                <c:pt idx="14">
                  <c:v>1.3070016323004197E-2</c:v>
                </c:pt>
                <c:pt idx="15">
                  <c:v>1.3618025905090425E-2</c:v>
                </c:pt>
                <c:pt idx="16">
                  <c:v>1.4564244875430843E-2</c:v>
                </c:pt>
                <c:pt idx="17">
                  <c:v>1.5833617913248776E-2</c:v>
                </c:pt>
                <c:pt idx="18">
                  <c:v>1.7353601097529037E-2</c:v>
                </c:pt>
                <c:pt idx="19">
                  <c:v>1.9059247051216088E-2</c:v>
                </c:pt>
                <c:pt idx="20">
                  <c:v>2.0891059968062065E-2</c:v>
                </c:pt>
                <c:pt idx="21">
                  <c:v>2.2811971128583464E-2</c:v>
                </c:pt>
                <c:pt idx="22">
                  <c:v>2.4771685258202503E-2</c:v>
                </c:pt>
                <c:pt idx="23">
                  <c:v>2.6742280600254853E-2</c:v>
                </c:pt>
                <c:pt idx="24">
                  <c:v>2.8702051741518186E-2</c:v>
                </c:pt>
                <c:pt idx="25">
                  <c:v>3.062327052829672E-2</c:v>
                </c:pt>
                <c:pt idx="26">
                  <c:v>3.251087209911141E-2</c:v>
                </c:pt>
                <c:pt idx="27">
                  <c:v>3.4337355424271188E-2</c:v>
                </c:pt>
                <c:pt idx="28">
                  <c:v>3.6107222152796936E-2</c:v>
                </c:pt>
                <c:pt idx="29">
                  <c:v>3.7827401164897578E-2</c:v>
                </c:pt>
                <c:pt idx="30">
                  <c:v>3.9505977453017982E-2</c:v>
                </c:pt>
                <c:pt idx="31">
                  <c:v>4.1145035127618135E-2</c:v>
                </c:pt>
                <c:pt idx="32">
                  <c:v>4.2752846776571207E-2</c:v>
                </c:pt>
                <c:pt idx="33">
                  <c:v>4.4340366802883002E-2</c:v>
                </c:pt>
                <c:pt idx="34">
                  <c:v>4.591803524214666E-2</c:v>
                </c:pt>
                <c:pt idx="35">
                  <c:v>4.7495339924453983E-2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Données!$B$184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Données!$C$183:$AL$183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Données!$C$184:$AL$184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1.6767629559991004E-2</c:v>
                      </c:pt>
                      <c:pt idx="1">
                        <c:v>1.9607087611337448E-2</c:v>
                      </c:pt>
                      <c:pt idx="2">
                        <c:v>2.0535132250573129E-2</c:v>
                      </c:pt>
                      <c:pt idx="3">
                        <c:v>2.0674015883967778E-2</c:v>
                      </c:pt>
                      <c:pt idx="4">
                        <c:v>2.0515662636573673E-2</c:v>
                      </c:pt>
                      <c:pt idx="5">
                        <c:v>2.0283817453469188E-2</c:v>
                      </c:pt>
                      <c:pt idx="6">
                        <c:v>2.0063145688981932E-2</c:v>
                      </c:pt>
                      <c:pt idx="7">
                        <c:v>1.9798734855177358E-2</c:v>
                      </c:pt>
                      <c:pt idx="8">
                        <c:v>1.9408854327276348E-2</c:v>
                      </c:pt>
                      <c:pt idx="9">
                        <c:v>1.8812637284208344E-2</c:v>
                      </c:pt>
                      <c:pt idx="10">
                        <c:v>1.7946521293480178E-2</c:v>
                      </c:pt>
                      <c:pt idx="11">
                        <c:v>1.6873704510641074E-2</c:v>
                      </c:pt>
                      <c:pt idx="12">
                        <c:v>1.5537276408583711E-2</c:v>
                      </c:pt>
                      <c:pt idx="13">
                        <c:v>1.3967310065903238E-2</c:v>
                      </c:pt>
                      <c:pt idx="14">
                        <c:v>1.2216678965944361E-2</c:v>
                      </c:pt>
                      <c:pt idx="15">
                        <c:v>1.0347786174628393E-2</c:v>
                      </c:pt>
                      <c:pt idx="16">
                        <c:v>8.4886135447332922E-3</c:v>
                      </c:pt>
                      <c:pt idx="17">
                        <c:v>6.635952160628289E-3</c:v>
                      </c:pt>
                      <c:pt idx="18">
                        <c:v>4.8250359161858825E-3</c:v>
                      </c:pt>
                      <c:pt idx="19">
                        <c:v>3.0817287653241987E-3</c:v>
                      </c:pt>
                      <c:pt idx="20">
                        <c:v>1.4260094576985516E-3</c:v>
                      </c:pt>
                      <c:pt idx="21">
                        <c:v>-1.440230878471116E-4</c:v>
                      </c:pt>
                      <c:pt idx="22">
                        <c:v>-1.6237214095442543E-3</c:v>
                      </c:pt>
                      <c:pt idx="23">
                        <c:v>-3.0158250351479676E-3</c:v>
                      </c:pt>
                      <c:pt idx="24">
                        <c:v>-4.3255927419658668E-3</c:v>
                      </c:pt>
                      <c:pt idx="25">
                        <c:v>-5.5511020817837764E-3</c:v>
                      </c:pt>
                      <c:pt idx="26">
                        <c:v>-6.735810505863693E-3</c:v>
                      </c:pt>
                      <c:pt idx="27">
                        <c:v>-7.8627781632496507E-3</c:v>
                      </c:pt>
                      <c:pt idx="28">
                        <c:v>-8.9338736023066856E-3</c:v>
                      </c:pt>
                      <c:pt idx="29">
                        <c:v>-9.9501876590659677E-3</c:v>
                      </c:pt>
                      <c:pt idx="30">
                        <c:v>-1.0912243929510401E-2</c:v>
                      </c:pt>
                      <c:pt idx="31">
                        <c:v>-1.1832329288235743E-2</c:v>
                      </c:pt>
                      <c:pt idx="32">
                        <c:v>-1.270050749378604E-2</c:v>
                      </c:pt>
                      <c:pt idx="33">
                        <c:v>-1.3515041540133388E-2</c:v>
                      </c:pt>
                      <c:pt idx="34">
                        <c:v>-1.4274551509472544E-2</c:v>
                      </c:pt>
                      <c:pt idx="35">
                        <c:v>-1.4977865625109277E-2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Energy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Données!$B$254</c:f>
              <c:strCache>
                <c:ptCount val="1"/>
                <c:pt idx="0">
                  <c:v>Firms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Données!$C$254:$AL$254</c:f>
              <c:numCache>
                <c:formatCode>0%</c:formatCode>
                <c:ptCount val="36"/>
                <c:pt idx="0">
                  <c:v>-7.2393739965240789E-3</c:v>
                </c:pt>
                <c:pt idx="1">
                  <c:v>-1.217279717403541E-2</c:v>
                </c:pt>
                <c:pt idx="2">
                  <c:v>-1.5248063070230522E-2</c:v>
                </c:pt>
                <c:pt idx="3">
                  <c:v>-1.7319111214150196E-2</c:v>
                </c:pt>
                <c:pt idx="4">
                  <c:v>-1.8307754623017369E-2</c:v>
                </c:pt>
                <c:pt idx="5">
                  <c:v>-1.8230518227282944E-2</c:v>
                </c:pt>
                <c:pt idx="6">
                  <c:v>-1.7254882825863849E-2</c:v>
                </c:pt>
                <c:pt idx="7">
                  <c:v>-1.5646290243196748E-2</c:v>
                </c:pt>
                <c:pt idx="8">
                  <c:v>-1.3678306583773003E-2</c:v>
                </c:pt>
                <c:pt idx="9">
                  <c:v>-1.1598281826598056E-2</c:v>
                </c:pt>
                <c:pt idx="10">
                  <c:v>-9.6094619435974638E-3</c:v>
                </c:pt>
                <c:pt idx="11">
                  <c:v>-7.824397361920199E-3</c:v>
                </c:pt>
                <c:pt idx="12">
                  <c:v>-6.3589510855683873E-3</c:v>
                </c:pt>
                <c:pt idx="13">
                  <c:v>-5.2459188564998316E-3</c:v>
                </c:pt>
                <c:pt idx="14">
                  <c:v>-4.481576346918037E-3</c:v>
                </c:pt>
                <c:pt idx="15">
                  <c:v>-4.0357170004218235E-3</c:v>
                </c:pt>
                <c:pt idx="16">
                  <c:v>-3.8449317388724591E-3</c:v>
                </c:pt>
                <c:pt idx="17">
                  <c:v>-3.8803471108806997E-3</c:v>
                </c:pt>
                <c:pt idx="18">
                  <c:v>-4.0881995119813608E-3</c:v>
                </c:pt>
                <c:pt idx="19">
                  <c:v>-4.4218375044846603E-3</c:v>
                </c:pt>
                <c:pt idx="20">
                  <c:v>-4.837749287718629E-3</c:v>
                </c:pt>
                <c:pt idx="21">
                  <c:v>-5.3145152928700812E-3</c:v>
                </c:pt>
                <c:pt idx="22">
                  <c:v>-5.8165322253640461E-3</c:v>
                </c:pt>
                <c:pt idx="23">
                  <c:v>-6.3234060766740319E-3</c:v>
                </c:pt>
                <c:pt idx="24">
                  <c:v>-6.8200712576385047E-3</c:v>
                </c:pt>
                <c:pt idx="25">
                  <c:v>-7.2848202603098544E-3</c:v>
                </c:pt>
                <c:pt idx="26">
                  <c:v>-7.7464978950000374E-3</c:v>
                </c:pt>
                <c:pt idx="27">
                  <c:v>-8.1734915633531191E-3</c:v>
                </c:pt>
                <c:pt idx="28">
                  <c:v>-8.5603915805518849E-3</c:v>
                </c:pt>
                <c:pt idx="29">
                  <c:v>-8.9039068499972007E-3</c:v>
                </c:pt>
                <c:pt idx="30">
                  <c:v>-9.2026487813081648E-3</c:v>
                </c:pt>
                <c:pt idx="31">
                  <c:v>-9.4627126272356366E-3</c:v>
                </c:pt>
                <c:pt idx="32">
                  <c:v>-9.6792896866099154E-3</c:v>
                </c:pt>
                <c:pt idx="33">
                  <c:v>-9.8542732663002841E-3</c:v>
                </c:pt>
                <c:pt idx="34">
                  <c:v>-9.9896910936535521E-3</c:v>
                </c:pt>
                <c:pt idx="35">
                  <c:v>-1.0087861777392626E-2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Données!$B$255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Données!$C$255:$AL$255</c:f>
              <c:numCache>
                <c:formatCode>0%</c:formatCode>
                <c:ptCount val="36"/>
                <c:pt idx="0">
                  <c:v>4.3241236327813404E-3</c:v>
                </c:pt>
                <c:pt idx="1">
                  <c:v>1.889294647192008E-3</c:v>
                </c:pt>
                <c:pt idx="2">
                  <c:v>5.0246957538035986E-4</c:v>
                </c:pt>
                <c:pt idx="3">
                  <c:v>-1.6082359216729181E-4</c:v>
                </c:pt>
                <c:pt idx="4">
                  <c:v>-4.3086965226257767E-5</c:v>
                </c:pt>
                <c:pt idx="5">
                  <c:v>8.441501256326589E-4</c:v>
                </c:pt>
                <c:pt idx="6">
                  <c:v>2.4180599512109158E-3</c:v>
                </c:pt>
                <c:pt idx="7">
                  <c:v>4.4766515438889876E-3</c:v>
                </c:pt>
                <c:pt idx="8">
                  <c:v>6.8372345010387914E-3</c:v>
                </c:pt>
                <c:pt idx="9">
                  <c:v>9.3405164969491139E-3</c:v>
                </c:pt>
                <c:pt idx="10">
                  <c:v>1.1863377106825501E-2</c:v>
                </c:pt>
                <c:pt idx="11">
                  <c:v>1.4450890694839069E-2</c:v>
                </c:pt>
                <c:pt idx="12">
                  <c:v>1.6940989863906131E-2</c:v>
                </c:pt>
                <c:pt idx="13">
                  <c:v>1.9305565544989856E-2</c:v>
                </c:pt>
                <c:pt idx="14">
                  <c:v>2.1543861390744379E-2</c:v>
                </c:pt>
                <c:pt idx="15">
                  <c:v>2.3667872240716425E-2</c:v>
                </c:pt>
                <c:pt idx="16">
                  <c:v>2.5818776333857096E-2</c:v>
                </c:pt>
                <c:pt idx="17">
                  <c:v>2.7900382670740465E-2</c:v>
                </c:pt>
                <c:pt idx="18">
                  <c:v>2.9919836053784232E-2</c:v>
                </c:pt>
                <c:pt idx="19">
                  <c:v>3.1889975246987889E-2</c:v>
                </c:pt>
                <c:pt idx="20">
                  <c:v>3.3823618326751514E-2</c:v>
                </c:pt>
                <c:pt idx="21">
                  <c:v>3.5722386419419605E-2</c:v>
                </c:pt>
                <c:pt idx="22">
                  <c:v>3.7600956744698211E-2</c:v>
                </c:pt>
                <c:pt idx="23">
                  <c:v>3.9468789609908184E-2</c:v>
                </c:pt>
                <c:pt idx="24">
                  <c:v>4.1332958960103694E-2</c:v>
                </c:pt>
                <c:pt idx="25">
                  <c:v>4.3202592569341336E-2</c:v>
                </c:pt>
                <c:pt idx="26">
                  <c:v>4.5010326198699824E-2</c:v>
                </c:pt>
                <c:pt idx="27">
                  <c:v>4.6820583864310095E-2</c:v>
                </c:pt>
                <c:pt idx="28">
                  <c:v>4.8646646361965251E-2</c:v>
                </c:pt>
                <c:pt idx="29">
                  <c:v>5.0494597209367775E-2</c:v>
                </c:pt>
                <c:pt idx="30">
                  <c:v>5.2368816725160583E-2</c:v>
                </c:pt>
                <c:pt idx="31">
                  <c:v>5.4241081671084324E-2</c:v>
                </c:pt>
                <c:pt idx="32">
                  <c:v>5.6141979553694821E-2</c:v>
                </c:pt>
                <c:pt idx="33">
                  <c:v>5.8076479962868799E-2</c:v>
                </c:pt>
                <c:pt idx="34">
                  <c:v>6.0046540244086843E-2</c:v>
                </c:pt>
                <c:pt idx="35">
                  <c:v>6.2053002271700075E-2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Données!$B$256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Données!$C$256:$AL$256</c:f>
              <c:numCache>
                <c:formatCode>0%</c:formatCode>
                <c:ptCount val="36"/>
                <c:pt idx="0">
                  <c:v>-7.471275610473227E-3</c:v>
                </c:pt>
                <c:pt idx="1">
                  <c:v>-1.5258771601759924E-2</c:v>
                </c:pt>
                <c:pt idx="2">
                  <c:v>-2.0339082709269207E-2</c:v>
                </c:pt>
                <c:pt idx="3">
                  <c:v>-2.4128708824264433E-2</c:v>
                </c:pt>
                <c:pt idx="4">
                  <c:v>-2.6485124306873442E-2</c:v>
                </c:pt>
                <c:pt idx="5">
                  <c:v>-2.7356472412112365E-2</c:v>
                </c:pt>
                <c:pt idx="6">
                  <c:v>-2.690342627623199E-2</c:v>
                </c:pt>
                <c:pt idx="7">
                  <c:v>-2.5413244637306098E-2</c:v>
                </c:pt>
                <c:pt idx="8">
                  <c:v>-2.3220269596374243E-2</c:v>
                </c:pt>
                <c:pt idx="9">
                  <c:v>-2.0651588160416789E-2</c:v>
                </c:pt>
                <c:pt idx="10">
                  <c:v>-1.7991478702388153E-2</c:v>
                </c:pt>
                <c:pt idx="11">
                  <c:v>-1.54640540118266E-2</c:v>
                </c:pt>
                <c:pt idx="12">
                  <c:v>-1.3236998282430634E-2</c:v>
                </c:pt>
                <c:pt idx="13">
                  <c:v>-1.1395629690460929E-2</c:v>
                </c:pt>
                <c:pt idx="14">
                  <c:v>-9.9756661192784701E-3</c:v>
                </c:pt>
                <c:pt idx="15">
                  <c:v>-8.970485113282689E-3</c:v>
                </c:pt>
                <c:pt idx="16">
                  <c:v>-8.3404755887463988E-3</c:v>
                </c:pt>
                <c:pt idx="17">
                  <c:v>-8.0479119714188529E-3</c:v>
                </c:pt>
                <c:pt idx="18">
                  <c:v>-8.0269249139018894E-3</c:v>
                </c:pt>
                <c:pt idx="19">
                  <c:v>-8.2194528346483109E-3</c:v>
                </c:pt>
                <c:pt idx="20">
                  <c:v>-8.5728104413497208E-3</c:v>
                </c:pt>
                <c:pt idx="21">
                  <c:v>-9.0434713727053362E-3</c:v>
                </c:pt>
                <c:pt idx="22">
                  <c:v>-9.591994318576158E-3</c:v>
                </c:pt>
                <c:pt idx="23">
                  <c:v>-1.0187309279475087E-2</c:v>
                </c:pt>
                <c:pt idx="24">
                  <c:v>-1.0805615471916497E-2</c:v>
                </c:pt>
                <c:pt idx="25">
                  <c:v>-1.1427743460827644E-2</c:v>
                </c:pt>
                <c:pt idx="26">
                  <c:v>-1.2044819070100576E-2</c:v>
                </c:pt>
                <c:pt idx="27">
                  <c:v>-1.2640613396197486E-2</c:v>
                </c:pt>
                <c:pt idx="28">
                  <c:v>-1.3207937316743856E-2</c:v>
                </c:pt>
                <c:pt idx="29">
                  <c:v>-1.3741119990967499E-2</c:v>
                </c:pt>
                <c:pt idx="30">
                  <c:v>-1.4236974118192358E-2</c:v>
                </c:pt>
                <c:pt idx="31">
                  <c:v>-1.4696957369912167E-2</c:v>
                </c:pt>
                <c:pt idx="32">
                  <c:v>-1.5118609393405147E-2</c:v>
                </c:pt>
                <c:pt idx="33">
                  <c:v>-1.5504688196467553E-2</c:v>
                </c:pt>
                <c:pt idx="34">
                  <c:v>-1.5857294564693869E-2</c:v>
                </c:pt>
                <c:pt idx="35">
                  <c:v>-1.6178768862401993E-2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Données!$B$257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Données!$C$257:$AL$257</c:f>
              <c:numCache>
                <c:formatCode>0%</c:formatCode>
                <c:ptCount val="36"/>
                <c:pt idx="0">
                  <c:v>5.7168764178161524E-3</c:v>
                </c:pt>
                <c:pt idx="1">
                  <c:v>3.2702896105523127E-3</c:v>
                </c:pt>
                <c:pt idx="2">
                  <c:v>2.4152227465992215E-3</c:v>
                </c:pt>
                <c:pt idx="3">
                  <c:v>1.9062392389277427E-3</c:v>
                </c:pt>
                <c:pt idx="4">
                  <c:v>1.596644025452898E-3</c:v>
                </c:pt>
                <c:pt idx="5">
                  <c:v>1.4763948204945532E-3</c:v>
                </c:pt>
                <c:pt idx="6">
                  <c:v>1.5366464505737198E-3</c:v>
                </c:pt>
                <c:pt idx="7">
                  <c:v>1.7360850004852768E-3</c:v>
                </c:pt>
                <c:pt idx="8">
                  <c:v>2.037538362201774E-3</c:v>
                </c:pt>
                <c:pt idx="9">
                  <c:v>2.4044195585661843E-3</c:v>
                </c:pt>
                <c:pt idx="10">
                  <c:v>2.806802739905967E-3</c:v>
                </c:pt>
                <c:pt idx="11">
                  <c:v>3.2472772386904492E-3</c:v>
                </c:pt>
                <c:pt idx="12">
                  <c:v>3.6741653139507058E-3</c:v>
                </c:pt>
                <c:pt idx="13">
                  <c:v>4.0846069790594353E-3</c:v>
                </c:pt>
                <c:pt idx="14">
                  <c:v>4.4754227891039555E-3</c:v>
                </c:pt>
                <c:pt idx="15">
                  <c:v>4.8457681264661989E-3</c:v>
                </c:pt>
                <c:pt idx="16">
                  <c:v>5.2225871614222097E-3</c:v>
                </c:pt>
                <c:pt idx="17">
                  <c:v>5.5735539846597515E-3</c:v>
                </c:pt>
                <c:pt idx="18">
                  <c:v>5.90735227534811E-3</c:v>
                </c:pt>
                <c:pt idx="19">
                  <c:v>6.2270305527269976E-3</c:v>
                </c:pt>
                <c:pt idx="20">
                  <c:v>6.533248088989696E-3</c:v>
                </c:pt>
                <c:pt idx="21">
                  <c:v>6.8301469655100977E-3</c:v>
                </c:pt>
                <c:pt idx="22">
                  <c:v>7.1174722315336947E-3</c:v>
                </c:pt>
                <c:pt idx="23">
                  <c:v>7.3971187127679361E-3</c:v>
                </c:pt>
                <c:pt idx="24">
                  <c:v>7.6703357362843949E-3</c:v>
                </c:pt>
                <c:pt idx="25">
                  <c:v>7.9340605940361186E-3</c:v>
                </c:pt>
                <c:pt idx="26">
                  <c:v>8.1881089083108982E-3</c:v>
                </c:pt>
                <c:pt idx="27">
                  <c:v>8.4408608214936454E-3</c:v>
                </c:pt>
                <c:pt idx="28">
                  <c:v>8.6921854280155308E-3</c:v>
                </c:pt>
                <c:pt idx="29">
                  <c:v>8.9429097707880434E-3</c:v>
                </c:pt>
                <c:pt idx="30">
                  <c:v>9.1939550416293425E-3</c:v>
                </c:pt>
                <c:pt idx="31">
                  <c:v>9.4409891588660422E-3</c:v>
                </c:pt>
                <c:pt idx="32">
                  <c:v>9.6909952780270814E-3</c:v>
                </c:pt>
                <c:pt idx="33">
                  <c:v>9.9434376056286577E-3</c:v>
                </c:pt>
                <c:pt idx="34">
                  <c:v>1.0198686864223871E-2</c:v>
                </c:pt>
                <c:pt idx="35">
                  <c:v>1.0457156303987913E-2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Données!$B$258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Données!$C$258:$AL$258</c:f>
              <c:numCache>
                <c:formatCode>0%</c:formatCode>
                <c:ptCount val="36"/>
                <c:pt idx="0">
                  <c:v>-2.036602785789654E-3</c:v>
                </c:pt>
                <c:pt idx="1">
                  <c:v>-8.1345555446467044E-3</c:v>
                </c:pt>
                <c:pt idx="2">
                  <c:v>-1.3658803263347119E-2</c:v>
                </c:pt>
                <c:pt idx="3">
                  <c:v>-1.7835248111261137E-2</c:v>
                </c:pt>
                <c:pt idx="4">
                  <c:v>-2.0143899939418675E-2</c:v>
                </c:pt>
                <c:pt idx="5">
                  <c:v>-2.051608178417097E-2</c:v>
                </c:pt>
                <c:pt idx="6">
                  <c:v>-1.9187435653604479E-2</c:v>
                </c:pt>
                <c:pt idx="7">
                  <c:v>-1.6613492719033118E-2</c:v>
                </c:pt>
                <c:pt idx="8">
                  <c:v>-1.3259467261271918E-2</c:v>
                </c:pt>
                <c:pt idx="9">
                  <c:v>-9.5463141681466634E-3</c:v>
                </c:pt>
                <c:pt idx="10">
                  <c:v>-5.8164558592439519E-3</c:v>
                </c:pt>
                <c:pt idx="11">
                  <c:v>-2.2013020430774466E-3</c:v>
                </c:pt>
                <c:pt idx="12">
                  <c:v>1.037576384823824E-3</c:v>
                </c:pt>
                <c:pt idx="13">
                  <c:v>3.8242166033273239E-3</c:v>
                </c:pt>
                <c:pt idx="14">
                  <c:v>6.1505896293005957E-3</c:v>
                </c:pt>
                <c:pt idx="15">
                  <c:v>8.0506922525589442E-3</c:v>
                </c:pt>
                <c:pt idx="16">
                  <c:v>9.6799124123727598E-3</c:v>
                </c:pt>
                <c:pt idx="17">
                  <c:v>1.1005983611236392E-2</c:v>
                </c:pt>
                <c:pt idx="18">
                  <c:v>1.2089666374530017E-2</c:v>
                </c:pt>
                <c:pt idx="19">
                  <c:v>1.2993168155760904E-2</c:v>
                </c:pt>
                <c:pt idx="20">
                  <c:v>1.3772329437292008E-2</c:v>
                </c:pt>
                <c:pt idx="21">
                  <c:v>1.4459738568278313E-2</c:v>
                </c:pt>
                <c:pt idx="22">
                  <c:v>1.5103718918321407E-2</c:v>
                </c:pt>
                <c:pt idx="23">
                  <c:v>1.5731620626538989E-2</c:v>
                </c:pt>
                <c:pt idx="24">
                  <c:v>1.6364015793627562E-2</c:v>
                </c:pt>
                <c:pt idx="25">
                  <c:v>1.7020494246265727E-2</c:v>
                </c:pt>
                <c:pt idx="26">
                  <c:v>1.7641373653018322E-2</c:v>
                </c:pt>
                <c:pt idx="27">
                  <c:v>1.8298204968310694E-2</c:v>
                </c:pt>
                <c:pt idx="28">
                  <c:v>1.9001084937404489E-2</c:v>
                </c:pt>
                <c:pt idx="29">
                  <c:v>1.9754249222869502E-2</c:v>
                </c:pt>
                <c:pt idx="30">
                  <c:v>2.0559678334638232E-2</c:v>
                </c:pt>
                <c:pt idx="31">
                  <c:v>2.1393791388568228E-2</c:v>
                </c:pt>
                <c:pt idx="32">
                  <c:v>2.2278616464080025E-2</c:v>
                </c:pt>
                <c:pt idx="33">
                  <c:v>2.3214616558711265E-2</c:v>
                </c:pt>
                <c:pt idx="34">
                  <c:v>2.4199965226482378E-2</c:v>
                </c:pt>
                <c:pt idx="35">
                  <c:v>2.5232180696716622E-2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Données!$B$259</c:f>
              <c:strCache>
                <c:ptCount val="1"/>
                <c:pt idx="0">
                  <c:v>Households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Données!$C$259:$AL$259</c:f>
              <c:numCache>
                <c:formatCode>0%</c:formatCode>
                <c:ptCount val="36"/>
                <c:pt idx="0">
                  <c:v>4.1997804282658535E-3</c:v>
                </c:pt>
                <c:pt idx="1">
                  <c:v>1.0186299701161028E-2</c:v>
                </c:pt>
                <c:pt idx="2">
                  <c:v>1.4079131403072154E-2</c:v>
                </c:pt>
                <c:pt idx="3">
                  <c:v>1.6628492306673293E-2</c:v>
                </c:pt>
                <c:pt idx="4">
                  <c:v>1.8508167658437324E-2</c:v>
                </c:pt>
                <c:pt idx="5">
                  <c:v>2.013790498514445E-2</c:v>
                </c:pt>
                <c:pt idx="6">
                  <c:v>2.1673076443190276E-2</c:v>
                </c:pt>
                <c:pt idx="7">
                  <c:v>2.3026633103522487E-2</c:v>
                </c:pt>
                <c:pt idx="8">
                  <c:v>2.4046445801854555E-2</c:v>
                </c:pt>
                <c:pt idx="9">
                  <c:v>2.4610745763822717E-2</c:v>
                </c:pt>
                <c:pt idx="10">
                  <c:v>2.4635489694148305E-2</c:v>
                </c:pt>
                <c:pt idx="11">
                  <c:v>2.4124826590300463E-2</c:v>
                </c:pt>
                <c:pt idx="12">
                  <c:v>2.3132086186817613E-2</c:v>
                </c:pt>
                <c:pt idx="13">
                  <c:v>2.175656361382905E-2</c:v>
                </c:pt>
                <c:pt idx="14">
                  <c:v>2.0110377479775954E-2</c:v>
                </c:pt>
                <c:pt idx="15">
                  <c:v>1.830712787822919E-2</c:v>
                </c:pt>
                <c:pt idx="16">
                  <c:v>1.6431218999700015E-2</c:v>
                </c:pt>
                <c:pt idx="17">
                  <c:v>1.4586217072977137E-2</c:v>
                </c:pt>
                <c:pt idx="18">
                  <c:v>1.2843134149718605E-2</c:v>
                </c:pt>
                <c:pt idx="19">
                  <c:v>1.1241475036460669E-2</c:v>
                </c:pt>
                <c:pt idx="20">
                  <c:v>9.808572493995138E-3</c:v>
                </c:pt>
                <c:pt idx="21">
                  <c:v>8.5281056514019404E-3</c:v>
                </c:pt>
                <c:pt idx="22">
                  <c:v>7.4030231367792076E-3</c:v>
                </c:pt>
                <c:pt idx="23">
                  <c:v>6.4199330167291624E-3</c:v>
                </c:pt>
                <c:pt idx="24">
                  <c:v>5.5628481053644485E-3</c:v>
                </c:pt>
                <c:pt idx="25">
                  <c:v>4.8401889246285634E-3</c:v>
                </c:pt>
                <c:pt idx="26">
                  <c:v>4.1969044931655652E-3</c:v>
                </c:pt>
                <c:pt idx="27">
                  <c:v>3.6213480943350085E-3</c:v>
                </c:pt>
                <c:pt idx="28">
                  <c:v>3.0939326770456077E-3</c:v>
                </c:pt>
                <c:pt idx="29">
                  <c:v>2.6027340678469457E-3</c:v>
                </c:pt>
                <c:pt idx="30">
                  <c:v>2.1389399407252263E-3</c:v>
                </c:pt>
                <c:pt idx="31">
                  <c:v>1.7004784632304037E-3</c:v>
                </c:pt>
                <c:pt idx="32">
                  <c:v>1.2783706159038566E-3</c:v>
                </c:pt>
                <c:pt idx="33">
                  <c:v>8.6632874217418276E-4</c:v>
                </c:pt>
                <c:pt idx="34">
                  <c:v>4.6086367623843216E-4</c:v>
                </c:pt>
                <c:pt idx="35">
                  <c:v>5.9807388760990676E-5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Données!$B$260</c:f>
              <c:strCache>
                <c:ptCount val="1"/>
                <c:pt idx="0">
                  <c:v>Households (housing)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Données!$C$260:$AL$260</c:f>
              <c:numCache>
                <c:formatCode>0%</c:formatCode>
                <c:ptCount val="36"/>
                <c:pt idx="0">
                  <c:v>4.1997804282660756E-3</c:v>
                </c:pt>
                <c:pt idx="1">
                  <c:v>1.0580646122172022E-2</c:v>
                </c:pt>
                <c:pt idx="2">
                  <c:v>1.4422848566897795E-2</c:v>
                </c:pt>
                <c:pt idx="3">
                  <c:v>1.6765712391484167E-2</c:v>
                </c:pt>
                <c:pt idx="4">
                  <c:v>1.8460126705162283E-2</c:v>
                </c:pt>
                <c:pt idx="5">
                  <c:v>2.0014836685871229E-2</c:v>
                </c:pt>
                <c:pt idx="6">
                  <c:v>2.1589703424903961E-2</c:v>
                </c:pt>
                <c:pt idx="7">
                  <c:v>2.3039929827796124E-2</c:v>
                </c:pt>
                <c:pt idx="8">
                  <c:v>2.4137931106381405E-2</c:v>
                </c:pt>
                <c:pt idx="9">
                  <c:v>2.4703312880670403E-2</c:v>
                </c:pt>
                <c:pt idx="10">
                  <c:v>2.4609211053408409E-2</c:v>
                </c:pt>
                <c:pt idx="11">
                  <c:v>2.3812049386445766E-2</c:v>
                </c:pt>
                <c:pt idx="12">
                  <c:v>2.237799946275576E-2</c:v>
                </c:pt>
                <c:pt idx="13">
                  <c:v>2.0422450709167483E-2</c:v>
                </c:pt>
                <c:pt idx="14">
                  <c:v>1.8077449854519978E-2</c:v>
                </c:pt>
                <c:pt idx="15">
                  <c:v>1.5478909197741864E-2</c:v>
                </c:pt>
                <c:pt idx="16">
                  <c:v>1.2704366232592301E-2</c:v>
                </c:pt>
                <c:pt idx="17">
                  <c:v>9.8976401988670748E-3</c:v>
                </c:pt>
                <c:pt idx="18">
                  <c:v>7.1546643914384145E-3</c:v>
                </c:pt>
                <c:pt idx="19">
                  <c:v>4.5319118190900731E-3</c:v>
                </c:pt>
                <c:pt idx="20">
                  <c:v>2.0679781659842522E-3</c:v>
                </c:pt>
                <c:pt idx="21">
                  <c:v>-2.4466586463722795E-4</c:v>
                </c:pt>
                <c:pt idx="22">
                  <c:v>-2.3972657757823645E-3</c:v>
                </c:pt>
                <c:pt idx="23">
                  <c:v>-4.4008673642365048E-3</c:v>
                </c:pt>
                <c:pt idx="24">
                  <c:v>-6.270339739674613E-3</c:v>
                </c:pt>
                <c:pt idx="25">
                  <c:v>-8.0001090002974617E-3</c:v>
                </c:pt>
                <c:pt idx="26">
                  <c:v>-9.6288990719402001E-3</c:v>
                </c:pt>
                <c:pt idx="27">
                  <c:v>-1.1177640119461874E-2</c:v>
                </c:pt>
                <c:pt idx="28">
                  <c:v>-1.2671926865735816E-2</c:v>
                </c:pt>
                <c:pt idx="29">
                  <c:v>-1.4127851477919728E-2</c:v>
                </c:pt>
                <c:pt idx="30">
                  <c:v>-1.5557357163081487E-2</c:v>
                </c:pt>
                <c:pt idx="31">
                  <c:v>-1.6956973606020886E-2</c:v>
                </c:pt>
                <c:pt idx="32">
                  <c:v>-1.8342942074187962E-2</c:v>
                </c:pt>
                <c:pt idx="33">
                  <c:v>-1.9725718511540924E-2</c:v>
                </c:pt>
                <c:pt idx="34">
                  <c:v>-2.1111901866625926E-2</c:v>
                </c:pt>
                <c:pt idx="35">
                  <c:v>-2.2506239718111054E-2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Données!$B$261</c:f>
              <c:strCache>
                <c:ptCount val="1"/>
                <c:pt idx="0">
                  <c:v>Households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Données!$C$261:$AL$261</c:f>
              <c:numCache>
                <c:formatCode>0%</c:formatCode>
                <c:ptCount val="36"/>
                <c:pt idx="0">
                  <c:v>4.1997804282658535E-3</c:v>
                </c:pt>
                <c:pt idx="1">
                  <c:v>9.4024424443690524E-3</c:v>
                </c:pt>
                <c:pt idx="2">
                  <c:v>1.339338521532274E-2</c:v>
                </c:pt>
                <c:pt idx="3">
                  <c:v>1.6355506963636968E-2</c:v>
                </c:pt>
                <c:pt idx="4">
                  <c:v>1.8603179392989055E-2</c:v>
                </c:pt>
                <c:pt idx="5">
                  <c:v>2.037950564653368E-2</c:v>
                </c:pt>
                <c:pt idx="6">
                  <c:v>2.1835360962643602E-2</c:v>
                </c:pt>
                <c:pt idx="7">
                  <c:v>2.3000987982603194E-2</c:v>
                </c:pt>
                <c:pt idx="8">
                  <c:v>2.3871697583470741E-2</c:v>
                </c:pt>
                <c:pt idx="9">
                  <c:v>2.4435697378426324E-2</c:v>
                </c:pt>
                <c:pt idx="10">
                  <c:v>2.4684691995808583E-2</c:v>
                </c:pt>
                <c:pt idx="11">
                  <c:v>2.470433302558539E-2</c:v>
                </c:pt>
                <c:pt idx="12">
                  <c:v>2.4514240578030977E-2</c:v>
                </c:pt>
                <c:pt idx="13">
                  <c:v>2.4175204234165859E-2</c:v>
                </c:pt>
                <c:pt idx="14">
                  <c:v>2.3755581569389728E-2</c:v>
                </c:pt>
                <c:pt idx="15">
                  <c:v>2.3322961158922961E-2</c:v>
                </c:pt>
                <c:pt idx="16">
                  <c:v>2.2969053339620071E-2</c:v>
                </c:pt>
                <c:pt idx="17">
                  <c:v>2.2722798207794659E-2</c:v>
                </c:pt>
                <c:pt idx="18">
                  <c:v>2.2610233375239375E-2</c:v>
                </c:pt>
                <c:pt idx="19">
                  <c:v>2.2641423639385705E-2</c:v>
                </c:pt>
                <c:pt idx="20">
                  <c:v>2.282166436272659E-2</c:v>
                </c:pt>
                <c:pt idx="21">
                  <c:v>2.3126672209244692E-2</c:v>
                </c:pt>
                <c:pt idx="22">
                  <c:v>2.3550174300378979E-2</c:v>
                </c:pt>
                <c:pt idx="23">
                  <c:v>2.4076012840584804E-2</c:v>
                </c:pt>
                <c:pt idx="24">
                  <c:v>2.4687481243931497E-2</c:v>
                </c:pt>
                <c:pt idx="25">
                  <c:v>2.5383416006977244E-2</c:v>
                </c:pt>
                <c:pt idx="26">
                  <c:v>2.6102125594463788E-2</c:v>
                </c:pt>
                <c:pt idx="27">
                  <c:v>2.6847477079151583E-2</c:v>
                </c:pt>
                <c:pt idx="28">
                  <c:v>2.7610315746856795E-2</c:v>
                </c:pt>
                <c:pt idx="29">
                  <c:v>2.8385417406379787E-2</c:v>
                </c:pt>
                <c:pt idx="30">
                  <c:v>2.9168940304904245E-2</c:v>
                </c:pt>
                <c:pt idx="31">
                  <c:v>2.995051810314675E-2</c:v>
                </c:pt>
                <c:pt idx="32">
                  <c:v>3.073240591706039E-2</c:v>
                </c:pt>
                <c:pt idx="33">
                  <c:v>3.1514557897976303E-2</c:v>
                </c:pt>
                <c:pt idx="34">
                  <c:v>3.2297930213664561E-2</c:v>
                </c:pt>
                <c:pt idx="35">
                  <c:v>3.3083851710853596E-2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value</a:t>
            </a:r>
            <a:r>
              <a:rPr lang="fr-FR" sz="2800" baseline="0"/>
              <a:t> added</a:t>
            </a:r>
          </a:p>
          <a:p>
            <a:pPr>
              <a:defRPr/>
            </a:pPr>
            <a:r>
              <a:rPr lang="fr-FR" sz="1800" i="0" baseline="0"/>
              <a:t>(% deviation from baseline</a:t>
            </a:r>
            <a:r>
              <a:rPr lang="fr-FR" baseline="0"/>
              <a:t>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7564708710766092"/>
          <c:w val="0.88919974947941849"/>
          <c:h val="0.65530544352959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Données!$C$108:$E$108</c:f>
              <c:numCache>
                <c:formatCode>0.0%</c:formatCode>
                <c:ptCount val="3"/>
                <c:pt idx="0">
                  <c:v>-6.9881587389794733E-2</c:v>
                </c:pt>
                <c:pt idx="1">
                  <c:v>-0.1106996517666648</c:v>
                </c:pt>
                <c:pt idx="2">
                  <c:v>-0.15337721098782664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Données!$B$109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Données!$C$109:$E$109</c:f>
              <c:numCache>
                <c:formatCode>0.0%</c:formatCode>
                <c:ptCount val="3"/>
                <c:pt idx="0">
                  <c:v>-5.4766995533553027E-2</c:v>
                </c:pt>
                <c:pt idx="1">
                  <c:v>-7.9640250943347146E-2</c:v>
                </c:pt>
                <c:pt idx="2">
                  <c:v>-9.7681779746100747E-2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Données!$C$110:$E$110</c:f>
              <c:numCache>
                <c:formatCode>0.0%</c:formatCode>
                <c:ptCount val="3"/>
                <c:pt idx="0">
                  <c:v>-4.2568812731872283E-2</c:v>
                </c:pt>
                <c:pt idx="1">
                  <c:v>-5.8016467262051938E-2</c:v>
                </c:pt>
                <c:pt idx="2">
                  <c:v>-7.3604213295594148E-2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Données!$C$111:$E$111</c:f>
              <c:numCache>
                <c:formatCode>0.0%</c:formatCode>
                <c:ptCount val="3"/>
                <c:pt idx="0">
                  <c:v>-3.787552029363702E-2</c:v>
                </c:pt>
                <c:pt idx="1">
                  <c:v>-4.5758172401147455E-2</c:v>
                </c:pt>
                <c:pt idx="2">
                  <c:v>-5.4934570454488095E-2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5"/>
          <c:order val="5"/>
          <c:tx>
            <c:strRef>
              <c:f>Données!$B$114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0.0%</c:formatCode>
                <c:ptCount val="3"/>
                <c:pt idx="0">
                  <c:v>-5.324768984850483E-2</c:v>
                </c:pt>
                <c:pt idx="1">
                  <c:v>-8.4810410760773211E-2</c:v>
                </c:pt>
                <c:pt idx="2">
                  <c:v>-0.11506709643268299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v>Average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Données!$C$107:$E$107</c:f>
              <c:numCache>
                <c:formatCode>0.0%</c:formatCode>
                <c:ptCount val="3"/>
                <c:pt idx="0">
                  <c:v>-4.1540806744061153E-2</c:v>
                </c:pt>
                <c:pt idx="1">
                  <c:v>-5.3150653390414984E-2</c:v>
                </c:pt>
                <c:pt idx="2">
                  <c:v>-6.4531106501229341E-2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Données!$B$112</c15:sqref>
                        </c15:formulaRef>
                      </c:ext>
                    </c:extLst>
                    <c:strCache>
                      <c:ptCount val="1"/>
                      <c:pt idx="0">
                        <c:v>Oil&amp;Gas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Données!$C$106:$E$106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Données!$C$112:$E$112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3.1167623216906887E-2</c:v>
                      </c:pt>
                      <c:pt idx="1">
                        <c:v>3.0547385076263554E-2</c:v>
                      </c:pt>
                      <c:pt idx="2">
                        <c:v>3.0189299693134428E-2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Données!$B$117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0.0%</c:formatCode>
                <c:ptCount val="3"/>
                <c:pt idx="0">
                  <c:v>-6.9881587389794775E-2</c:v>
                </c:pt>
                <c:pt idx="1">
                  <c:v>-0.11069965176666485</c:v>
                </c:pt>
                <c:pt idx="2">
                  <c:v>-0.15337721098782664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Données!$B$118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Données!$C$118:$E$118</c:f>
              <c:numCache>
                <c:formatCode>0.0%</c:formatCode>
                <c:ptCount val="3"/>
                <c:pt idx="0">
                  <c:v>-5.476699553355302E-2</c:v>
                </c:pt>
                <c:pt idx="1">
                  <c:v>-7.9640250943347146E-2</c:v>
                </c:pt>
                <c:pt idx="2">
                  <c:v>-9.7681779746100705E-2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Données!$B$119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Données!$C$119:$E$119</c:f>
              <c:numCache>
                <c:formatCode>0.0%</c:formatCode>
                <c:ptCount val="3"/>
                <c:pt idx="0">
                  <c:v>-4.2568812731872296E-2</c:v>
                </c:pt>
                <c:pt idx="1">
                  <c:v>-5.8016467262051896E-2</c:v>
                </c:pt>
                <c:pt idx="2">
                  <c:v>-7.360421329559419E-2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Données!$B$120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Données!$C$120:$E$120</c:f>
              <c:numCache>
                <c:formatCode>0.0%</c:formatCode>
                <c:ptCount val="3"/>
                <c:pt idx="0">
                  <c:v>-3.7875520293637055E-2</c:v>
                </c:pt>
                <c:pt idx="1">
                  <c:v>-4.5758172401147434E-2</c:v>
                </c:pt>
                <c:pt idx="2">
                  <c:v>-5.493457045448813E-2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Données!$B$121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Données!$C$121:$E$121</c:f>
              <c:numCache>
                <c:formatCode>0.0%</c:formatCode>
                <c:ptCount val="3"/>
                <c:pt idx="0">
                  <c:v>3.1167623216906915E-2</c:v>
                </c:pt>
                <c:pt idx="1">
                  <c:v>3.0547385076263645E-2</c:v>
                </c:pt>
                <c:pt idx="2">
                  <c:v>3.018929969313433E-2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Données!$B$122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Données!$C$122:$E$122</c:f>
              <c:numCache>
                <c:formatCode>0.0%</c:formatCode>
                <c:ptCount val="3"/>
                <c:pt idx="0">
                  <c:v>-5.3247689848504809E-2</c:v>
                </c:pt>
                <c:pt idx="1">
                  <c:v>-8.4810410760773225E-2</c:v>
                </c:pt>
                <c:pt idx="2">
                  <c:v>-0.11506709643268298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production</a:t>
            </a:r>
          </a:p>
          <a:p>
            <a:pPr>
              <a:defRPr/>
            </a:pPr>
            <a:r>
              <a:rPr lang="fr-FR" sz="1800" baseline="0"/>
              <a:t>(% deviation from baseline)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2042331569230875"/>
          <c:y val="1.2574850892302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663560631932678E-2"/>
          <c:y val="0.16258101222189938"/>
          <c:w val="0.88919974947941849"/>
          <c:h val="0.578445451385989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Données!$B$147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Données!$C$147:$E$147</c:f>
              <c:numCache>
                <c:formatCode>0.0%</c:formatCode>
                <c:ptCount val="3"/>
                <c:pt idx="0">
                  <c:v>-2.6150470805130138E-2</c:v>
                </c:pt>
                <c:pt idx="1">
                  <c:v>-4.4821889501252751E-2</c:v>
                </c:pt>
                <c:pt idx="2">
                  <c:v>-5.7415566805378696E-2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D-4067-BD64-AD80378C548C}"/>
            </c:ext>
          </c:extLst>
        </c:ser>
        <c:ser>
          <c:idx val="1"/>
          <c:order val="1"/>
          <c:tx>
            <c:strRef>
              <c:f>Données!$B$148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Données!$C$148:$E$148</c:f>
              <c:numCache>
                <c:formatCode>0.0%</c:formatCode>
                <c:ptCount val="3"/>
                <c:pt idx="0">
                  <c:v>-5.5106133920804809E-2</c:v>
                </c:pt>
                <c:pt idx="1">
                  <c:v>-2.8440473913913314E-2</c:v>
                </c:pt>
                <c:pt idx="2">
                  <c:v>-9.9857040279470649E-2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Données!$B$149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Données!$C$149:$E$149</c:f>
              <c:numCache>
                <c:formatCode>0.0%</c:formatCode>
                <c:ptCount val="3"/>
                <c:pt idx="0">
                  <c:v>-4.5950155544874617E-2</c:v>
                </c:pt>
                <c:pt idx="1">
                  <c:v>-5.7845628384388115E-2</c:v>
                </c:pt>
                <c:pt idx="2">
                  <c:v>-8.0374113097198677E-2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Données!$C$150:$E$150</c:f>
              <c:numCache>
                <c:formatCode>0.0%</c:formatCode>
                <c:ptCount val="3"/>
                <c:pt idx="0">
                  <c:v>-3.9604278907085164E-2</c:v>
                </c:pt>
                <c:pt idx="1">
                  <c:v>-4.7375749076643332E-2</c:v>
                </c:pt>
                <c:pt idx="2">
                  <c:v>-5.7447119303013487E-2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Données!$C$151:$E$151</c:f>
              <c:numCache>
                <c:formatCode>0.0%</c:formatCode>
                <c:ptCount val="3"/>
                <c:pt idx="0">
                  <c:v>-5.8390558219719217E-2</c:v>
                </c:pt>
                <c:pt idx="1">
                  <c:v>-4.0221473018119125E-2</c:v>
                </c:pt>
                <c:pt idx="2">
                  <c:v>-8.8576446497882835E-2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5"/>
          <c:order val="5"/>
          <c:tx>
            <c:strRef>
              <c:f>Données!$B$152</c:f>
              <c:strCache>
                <c:ptCount val="1"/>
                <c:pt idx="0">
                  <c:v>Renewable Oil&amp;Gas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Données!$C$152:$E$152</c:f>
              <c:numCache>
                <c:formatCode>0.0%</c:formatCode>
                <c:ptCount val="3"/>
                <c:pt idx="0">
                  <c:v>-5.5787033064981173E-2</c:v>
                </c:pt>
                <c:pt idx="1">
                  <c:v>-5.9793816884804403E-2</c:v>
                </c:pt>
                <c:pt idx="2">
                  <c:v>-7.9507679461839495E-2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2D-4067-BD64-AD80378C548C}"/>
            </c:ext>
          </c:extLst>
        </c:ser>
        <c:ser>
          <c:idx val="7"/>
          <c:order val="6"/>
          <c:tx>
            <c:strRef>
              <c:f>Données!$B$153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Données!$C$153:$E$153</c:f>
              <c:numCache>
                <c:formatCode>0.0%</c:formatCode>
                <c:ptCount val="3"/>
                <c:pt idx="0">
                  <c:v>-4.0310353934601986E-2</c:v>
                </c:pt>
                <c:pt idx="1">
                  <c:v>-5.6841483895225774E-2</c:v>
                </c:pt>
                <c:pt idx="2">
                  <c:v>-8.0847814314120039E-2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7"/>
          <c:tx>
            <c:strRef>
              <c:f>Données!$B$146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bg1"/>
            </a:solidFill>
            <a:ln w="15875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Données!$C$146:$E$146</c:f>
              <c:numCache>
                <c:formatCode>0.0%</c:formatCode>
                <c:ptCount val="3"/>
                <c:pt idx="0">
                  <c:v>-4.3601776716051581E-2</c:v>
                </c:pt>
                <c:pt idx="1">
                  <c:v>0</c:v>
                </c:pt>
                <c:pt idx="2">
                  <c:v>-6.9182552384835116E-2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  <c:max val="4.0000000000000008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Données!$B$156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Données!$C$156:$E$156</c:f>
              <c:numCache>
                <c:formatCode>0.0%</c:formatCode>
                <c:ptCount val="3"/>
                <c:pt idx="0">
                  <c:v>-2.615047080513011E-2</c:v>
                </c:pt>
                <c:pt idx="1">
                  <c:v>-4.0085335509813858E-2</c:v>
                </c:pt>
                <c:pt idx="2">
                  <c:v>-5.7415566805378737E-2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Données!$B$157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Données!$C$157:$E$157</c:f>
              <c:numCache>
                <c:formatCode>0.0%</c:formatCode>
                <c:ptCount val="3"/>
                <c:pt idx="0">
                  <c:v>-5.5106133920804767E-2</c:v>
                </c:pt>
                <c:pt idx="1">
                  <c:v>-8.0700125618042406E-2</c:v>
                </c:pt>
                <c:pt idx="2">
                  <c:v>-9.9857040279470621E-2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Données!$B$158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Données!$C$158:$E$158</c:f>
              <c:numCache>
                <c:formatCode>0.0%</c:formatCode>
                <c:ptCount val="3"/>
                <c:pt idx="0">
                  <c:v>-4.5950155544874582E-2</c:v>
                </c:pt>
                <c:pt idx="1">
                  <c:v>-6.340084112499722E-2</c:v>
                </c:pt>
                <c:pt idx="2">
                  <c:v>-8.0374113097198663E-2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Données!$B$159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Données!$C$159:$E$159</c:f>
              <c:numCache>
                <c:formatCode>0.0%</c:formatCode>
                <c:ptCount val="3"/>
                <c:pt idx="0">
                  <c:v>-3.9604278907085178E-2</c:v>
                </c:pt>
                <c:pt idx="1">
                  <c:v>-4.7823701758280324E-2</c:v>
                </c:pt>
                <c:pt idx="2">
                  <c:v>-5.7447119303013494E-2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Données!$B$160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Données!$C$160:$E$160</c:f>
              <c:numCache>
                <c:formatCode>0.0%</c:formatCode>
                <c:ptCount val="3"/>
                <c:pt idx="0">
                  <c:v>-5.8390558219719169E-2</c:v>
                </c:pt>
                <c:pt idx="1">
                  <c:v>-7.3886952795141014E-2</c:v>
                </c:pt>
                <c:pt idx="2">
                  <c:v>-8.8576446497882877E-2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Données!$B$161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Données!$C$161:$E$161</c:f>
              <c:numCache>
                <c:formatCode>0.0%</c:formatCode>
                <c:ptCount val="3"/>
                <c:pt idx="0">
                  <c:v>-4.0310353934602028E-2</c:v>
                </c:pt>
                <c:pt idx="1">
                  <c:v>-6.0966662051451737E-2</c:v>
                </c:pt>
                <c:pt idx="2">
                  <c:v>-8.0847814314120026E-2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 codeName="Graphique2">
    <tabColor rgb="FFFF0000"/>
  </sheetPr>
  <sheetViews>
    <sheetView tabSelected="1"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200-000000000000}">
  <sheetPr codeName="Graphique3"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 codeName="Graphique4"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 codeName="Graphique5"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 codeName="Graphique6"/>
  <sheetViews>
    <sheetView zoomScale="7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 codeName="Graphique7"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 codeName="Graphique8"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800-000000000000}">
  <sheetPr codeName="Graphique9"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900-000000000000}">
  <sheetPr codeName="Graphique10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A00-000000000000}">
  <sheetPr codeName="Graphique11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 codeName="Graphique12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 codeName="Graphique13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D00-000000000000}">
  <sheetPr codeName="Graphique14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E00-000000000000}">
  <sheetPr codeName="Graphique15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F00-000000000000}">
  <sheetPr codeName="Graphique16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000-000000000000}">
  <sheetPr codeName="Graphique17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100-000000000000}">
  <sheetPr codeName="Graphique18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200-000000000000}">
  <sheetPr codeName="Graphique19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300-000000000000}">
  <sheetPr codeName="Graphique20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400-000000000000}">
  <sheetPr codeName="Graphique21"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500-000000000000}">
  <sheetPr codeName="Graphique22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  <cdr:relSizeAnchor xmlns:cdr="http://schemas.openxmlformats.org/drawingml/2006/chartDrawing">
    <cdr:from>
      <cdr:x>0.86541</cdr:x>
      <cdr:y>0.19309</cdr:y>
    </cdr:from>
    <cdr:to>
      <cdr:x>0.98047</cdr:x>
      <cdr:y>0.26796</cdr:y>
    </cdr:to>
    <cdr:sp macro="" textlink="">
      <cdr:nvSpPr>
        <cdr:cNvPr id="4" name="ZoneTexte 3"/>
        <cdr:cNvSpPr txBox="1"/>
      </cdr:nvSpPr>
      <cdr:spPr>
        <a:xfrm xmlns:a="http://schemas.openxmlformats.org/drawingml/2006/main">
          <a:off x="8038886" y="1170088"/>
          <a:ext cx="1068828" cy="4536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 i="0">
              <a:latin typeface="Marianne Light" panose="02000000000000000000" pitchFamily="50" charset="0"/>
            </a:rPr>
            <a:t>+500%</a:t>
          </a:r>
        </a:p>
      </cdr:txBody>
    </cdr:sp>
  </cdr:relSizeAnchor>
  <cdr:relSizeAnchor xmlns:cdr="http://schemas.openxmlformats.org/drawingml/2006/chartDrawing">
    <cdr:from>
      <cdr:x>0.78711</cdr:x>
      <cdr:y>0.67216</cdr:y>
    </cdr:from>
    <cdr:to>
      <cdr:x>0.88477</cdr:x>
      <cdr:y>0.73503</cdr:y>
    </cdr:to>
    <cdr:sp macro="" textlink="">
      <cdr:nvSpPr>
        <cdr:cNvPr id="5" name="ZoneTexte 4"/>
        <cdr:cNvSpPr txBox="1"/>
      </cdr:nvSpPr>
      <cdr:spPr>
        <a:xfrm xmlns:a="http://schemas.openxmlformats.org/drawingml/2006/main">
          <a:off x="7311571" y="4073072"/>
          <a:ext cx="907143" cy="381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>
              <a:latin typeface="Marianne Light" panose="02000000000000000000" pitchFamily="50" charset="0"/>
            </a:rPr>
            <a:t>-42%</a:t>
          </a: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10-12_13-36-22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3792586.926</v>
          </cell>
          <cell r="C2">
            <v>3823488.6609999998</v>
          </cell>
          <cell r="D2">
            <v>3864931.1630000002</v>
          </cell>
          <cell r="E2">
            <v>3911695.6290000002</v>
          </cell>
          <cell r="F2">
            <v>3961712.173</v>
          </cell>
          <cell r="G2">
            <v>4013720.9160000002</v>
          </cell>
          <cell r="H2">
            <v>4064293.8930000002</v>
          </cell>
          <cell r="I2">
            <v>4115058.2459999998</v>
          </cell>
          <cell r="J2">
            <v>4166271.122</v>
          </cell>
          <cell r="K2">
            <v>4218209.7450000001</v>
          </cell>
          <cell r="L2">
            <v>4275681.0140000004</v>
          </cell>
          <cell r="M2">
            <v>4330749.273</v>
          </cell>
          <cell r="N2">
            <v>4386495.0810000002</v>
          </cell>
          <cell r="O2">
            <v>4443088.9680000003</v>
          </cell>
          <cell r="P2">
            <v>4500529.4139999999</v>
          </cell>
          <cell r="Q2">
            <v>4558752.09</v>
          </cell>
          <cell r="R2">
            <v>4617344.415</v>
          </cell>
          <cell r="S2">
            <v>4676460.8770000003</v>
          </cell>
          <cell r="T2">
            <v>4736056.9720000001</v>
          </cell>
          <cell r="U2">
            <v>4796103.8849999998</v>
          </cell>
          <cell r="V2">
            <v>4853325.2189999996</v>
          </cell>
          <cell r="W2">
            <v>4913318.0029999996</v>
          </cell>
          <cell r="X2">
            <v>4974159.6560000004</v>
          </cell>
          <cell r="Y2">
            <v>5035797.4539999999</v>
          </cell>
          <cell r="Z2">
            <v>5098242.3619999997</v>
          </cell>
          <cell r="AA2">
            <v>5152221.5190000003</v>
          </cell>
          <cell r="AB2">
            <v>5209294.6140000001</v>
          </cell>
          <cell r="AC2">
            <v>5266865.34</v>
          </cell>
          <cell r="AD2">
            <v>5325075.0420000004</v>
          </cell>
          <cell r="AE2">
            <v>5384078.3679999998</v>
          </cell>
          <cell r="AF2">
            <v>5443975.5120000001</v>
          </cell>
          <cell r="AG2">
            <v>5504884.432</v>
          </cell>
          <cell r="AH2">
            <v>5566761.2130000005</v>
          </cell>
          <cell r="AI2">
            <v>5629584.1459999997</v>
          </cell>
          <cell r="AJ2">
            <v>5693324.074</v>
          </cell>
          <cell r="AK2">
            <v>5757951.6169999996</v>
          </cell>
          <cell r="AL2">
            <v>5821909.5269999998</v>
          </cell>
          <cell r="AM2">
            <v>5886240.1789999995</v>
          </cell>
          <cell r="AN2">
            <v>5951085.2060000002</v>
          </cell>
          <cell r="AO2">
            <v>6016531.1960000005</v>
          </cell>
          <cell r="AP2">
            <v>6082638.8279999997</v>
          </cell>
          <cell r="AQ2">
            <v>6149550.023</v>
          </cell>
          <cell r="AR2">
            <v>6217213.6440000003</v>
          </cell>
          <cell r="AS2">
            <v>6285620.3140000002</v>
          </cell>
          <cell r="AT2">
            <v>6354751.0939999996</v>
          </cell>
          <cell r="AU2">
            <v>6424582.8329999996</v>
          </cell>
          <cell r="AV2">
            <v>6495638.8420000002</v>
          </cell>
          <cell r="AW2">
            <v>6567542.9330000002</v>
          </cell>
          <cell r="AX2">
            <v>6567514.0159999998</v>
          </cell>
          <cell r="AY2">
            <v>6567445.335</v>
          </cell>
          <cell r="AZ2">
            <v>6567437.807</v>
          </cell>
          <cell r="BA2">
            <v>8694272.4759999998</v>
          </cell>
          <cell r="BB2">
            <v>8840634.7420000006</v>
          </cell>
          <cell r="BC2">
            <v>8989308.7599999998</v>
          </cell>
          <cell r="BD2">
            <v>9140327.6300000008</v>
          </cell>
          <cell r="BE2">
            <v>9293727.1170000006</v>
          </cell>
        </row>
        <row r="3">
          <cell r="B3">
            <v>3859864.4870000002</v>
          </cell>
          <cell r="C3">
            <v>3907542.3810000001</v>
          </cell>
          <cell r="D3">
            <v>3959518.0920000002</v>
          </cell>
          <cell r="E3">
            <v>4014274.3139999998</v>
          </cell>
          <cell r="F3">
            <v>4071514.0269999998</v>
          </cell>
          <cell r="G3">
            <v>4130960.0320000001</v>
          </cell>
          <cell r="H3">
            <v>4189644.199</v>
          </cell>
          <cell r="I3">
            <v>4249220.1950000003</v>
          </cell>
          <cell r="J3">
            <v>4309750.7340000002</v>
          </cell>
          <cell r="K3">
            <v>4371227.8760000002</v>
          </cell>
          <cell r="L3">
            <v>4438331.1689999998</v>
          </cell>
          <cell r="M3">
            <v>4503019.7810000004</v>
          </cell>
          <cell r="N3">
            <v>4568090.0599999996</v>
          </cell>
          <cell r="O3">
            <v>4633672.693</v>
          </cell>
          <cell r="P3">
            <v>4699820.7309999997</v>
          </cell>
          <cell r="Q3">
            <v>4766583.6040000003</v>
          </cell>
          <cell r="R3">
            <v>4834014.0590000004</v>
          </cell>
          <cell r="S3">
            <v>4902163.1289999997</v>
          </cell>
          <cell r="T3">
            <v>4971076.8499999996</v>
          </cell>
          <cell r="U3">
            <v>5040795.9539999999</v>
          </cell>
          <cell r="V3">
            <v>5107929.8689999999</v>
          </cell>
          <cell r="W3">
            <v>5178329.0810000002</v>
          </cell>
          <cell r="X3">
            <v>5249981.8880000003</v>
          </cell>
          <cell r="Y3">
            <v>5322808.4970000004</v>
          </cell>
          <cell r="Z3">
            <v>5396785.0049999999</v>
          </cell>
          <cell r="AA3">
            <v>5462074.6969999997</v>
          </cell>
          <cell r="AB3">
            <v>5530646.9529999997</v>
          </cell>
          <cell r="AC3">
            <v>5599826.301</v>
          </cell>
          <cell r="AD3">
            <v>5669736.1919999998</v>
          </cell>
          <cell r="AE3">
            <v>5740521.4900000002</v>
          </cell>
          <cell r="AF3">
            <v>5812275.0080000004</v>
          </cell>
          <cell r="AG3">
            <v>5885035.0250000004</v>
          </cell>
          <cell r="AH3">
            <v>5958801.699</v>
          </cell>
          <cell r="AI3">
            <v>6033554.5489999996</v>
          </cell>
          <cell r="AJ3">
            <v>6109265.767</v>
          </cell>
          <cell r="AK3">
            <v>6185908.5599999996</v>
          </cell>
          <cell r="AL3">
            <v>6261124.0619999999</v>
          </cell>
          <cell r="AM3">
            <v>6336494.1030000001</v>
          </cell>
          <cell r="AN3">
            <v>6412232.9029999999</v>
          </cell>
          <cell r="AO3">
            <v>6488486.7410000004</v>
          </cell>
          <cell r="AP3">
            <v>6565370.3300000001</v>
          </cell>
          <cell r="AQ3">
            <v>6642968.1279999996</v>
          </cell>
          <cell r="AR3">
            <v>6721334.5300000003</v>
          </cell>
          <cell r="AS3">
            <v>6800498.3150000004</v>
          </cell>
          <cell r="AT3">
            <v>6880469.7620000001</v>
          </cell>
          <cell r="AU3">
            <v>6961248.1509999996</v>
          </cell>
          <cell r="AV3">
            <v>7043036.4740000004</v>
          </cell>
          <cell r="AW3">
            <v>7125686.8739999998</v>
          </cell>
          <cell r="AX3">
            <v>7209176.7980000004</v>
          </cell>
          <cell r="AY3">
            <v>7293493.8969999999</v>
          </cell>
          <cell r="AZ3">
            <v>7378632.7139999997</v>
          </cell>
          <cell r="BA3">
            <v>8712181.8599999994</v>
          </cell>
          <cell r="BB3">
            <v>8859098.2300000004</v>
          </cell>
          <cell r="BC3">
            <v>9008308.0109999999</v>
          </cell>
          <cell r="BD3">
            <v>9159849.0710000005</v>
          </cell>
          <cell r="BE3">
            <v>9313761.7990000006</v>
          </cell>
        </row>
        <row r="4">
          <cell r="B4">
            <v>80302.725590000002</v>
          </cell>
          <cell r="C4">
            <v>80874.826910000003</v>
          </cell>
          <cell r="D4">
            <v>81668.765320000006</v>
          </cell>
          <cell r="E4">
            <v>82525.342869999993</v>
          </cell>
          <cell r="F4">
            <v>83340.095369999995</v>
          </cell>
          <cell r="G4">
            <v>84040.368849999999</v>
          </cell>
          <cell r="H4">
            <v>84518.328840000002</v>
          </cell>
          <cell r="I4">
            <v>84803.923389999996</v>
          </cell>
          <cell r="J4">
            <v>84929.251789999995</v>
          </cell>
          <cell r="K4">
            <v>84935.637820000004</v>
          </cell>
          <cell r="L4">
            <v>84976.059670000002</v>
          </cell>
          <cell r="M4">
            <v>84912.496270000003</v>
          </cell>
          <cell r="N4">
            <v>84820.514739999999</v>
          </cell>
          <cell r="O4">
            <v>84737.920629999993</v>
          </cell>
          <cell r="P4">
            <v>84689.313970000003</v>
          </cell>
          <cell r="Q4">
            <v>84688.332550000006</v>
          </cell>
          <cell r="R4">
            <v>84734.690919999994</v>
          </cell>
          <cell r="S4">
            <v>84829.651060000004</v>
          </cell>
          <cell r="T4">
            <v>84966.603929999997</v>
          </cell>
          <cell r="U4">
            <v>85136.469719999994</v>
          </cell>
          <cell r="V4">
            <v>85260.090160000007</v>
          </cell>
          <cell r="W4">
            <v>85437.774319999997</v>
          </cell>
          <cell r="X4">
            <v>85638.609949999998</v>
          </cell>
          <cell r="Y4">
            <v>85848.016409999997</v>
          </cell>
          <cell r="Z4">
            <v>86055.447620000006</v>
          </cell>
          <cell r="AA4">
            <v>86066.598740000001</v>
          </cell>
          <cell r="AB4">
            <v>86088.214770000006</v>
          </cell>
          <cell r="AC4">
            <v>86109.588520000005</v>
          </cell>
          <cell r="AD4">
            <v>86134.43015</v>
          </cell>
          <cell r="AE4">
            <v>86164.364700000006</v>
          </cell>
          <cell r="AF4">
            <v>86199.071679999994</v>
          </cell>
          <cell r="AG4">
            <v>86237.893549999993</v>
          </cell>
          <cell r="AH4">
            <v>86278.501929999999</v>
          </cell>
          <cell r="AI4">
            <v>86319.131359999999</v>
          </cell>
          <cell r="AJ4">
            <v>86358.471170000004</v>
          </cell>
          <cell r="AK4">
            <v>86395.85269</v>
          </cell>
          <cell r="AL4">
            <v>86399.550560000003</v>
          </cell>
          <cell r="AM4">
            <v>86390.270470000003</v>
          </cell>
          <cell r="AN4">
            <v>86379.471529999995</v>
          </cell>
          <cell r="AO4">
            <v>86373.585850000003</v>
          </cell>
          <cell r="AP4">
            <v>86375.629849999998</v>
          </cell>
          <cell r="AQ4">
            <v>86387.256120000005</v>
          </cell>
          <cell r="AR4">
            <v>86407.212020000006</v>
          </cell>
          <cell r="AS4">
            <v>86433.585219999994</v>
          </cell>
          <cell r="AT4">
            <v>86463.919020000001</v>
          </cell>
          <cell r="AU4">
            <v>86495.731499999994</v>
          </cell>
          <cell r="AV4">
            <v>86533.161309999996</v>
          </cell>
          <cell r="AW4">
            <v>86572.343299999993</v>
          </cell>
          <cell r="AX4">
            <v>86571.634059999997</v>
          </cell>
          <cell r="AY4">
            <v>86569.873980000004</v>
          </cell>
          <cell r="AZ4">
            <v>86569.671350000004</v>
          </cell>
          <cell r="BA4">
            <v>179121.29980000001</v>
          </cell>
          <cell r="BB4">
            <v>182052.38750000001</v>
          </cell>
          <cell r="BC4">
            <v>185032.44380000001</v>
          </cell>
          <cell r="BD4">
            <v>188062.4975</v>
          </cell>
          <cell r="BE4">
            <v>191143.62390000001</v>
          </cell>
        </row>
        <row r="5">
          <cell r="B5">
            <v>81888.055259999994</v>
          </cell>
          <cell r="C5">
            <v>82377.098700000002</v>
          </cell>
          <cell r="D5">
            <v>82788.145390000005</v>
          </cell>
          <cell r="E5">
            <v>83178.422030000002</v>
          </cell>
          <cell r="F5">
            <v>83572.663750000007</v>
          </cell>
          <cell r="G5">
            <v>83974.699359999999</v>
          </cell>
          <cell r="H5">
            <v>84313.439459999994</v>
          </cell>
          <cell r="I5">
            <v>84619.716780000002</v>
          </cell>
          <cell r="J5">
            <v>84904.217340000003</v>
          </cell>
          <cell r="K5">
            <v>85173.529020000002</v>
          </cell>
          <cell r="L5">
            <v>85541.771699999998</v>
          </cell>
          <cell r="M5">
            <v>85838.616739999998</v>
          </cell>
          <cell r="N5">
            <v>86104.197620000006</v>
          </cell>
          <cell r="O5">
            <v>86353.297340000005</v>
          </cell>
          <cell r="P5">
            <v>86596.540599999993</v>
          </cell>
          <cell r="Q5">
            <v>86841.669349999996</v>
          </cell>
          <cell r="R5">
            <v>87093.910019999996</v>
          </cell>
          <cell r="S5">
            <v>87356.225810000004</v>
          </cell>
          <cell r="T5">
            <v>87629.670150000005</v>
          </cell>
          <cell r="U5">
            <v>87913.834050000005</v>
          </cell>
          <cell r="V5">
            <v>88135.700270000001</v>
          </cell>
          <cell r="W5">
            <v>88407.599489999993</v>
          </cell>
          <cell r="X5">
            <v>88703.689660000004</v>
          </cell>
          <cell r="Y5">
            <v>89014.501449999996</v>
          </cell>
          <cell r="Z5">
            <v>89333.146049999996</v>
          </cell>
          <cell r="AA5">
            <v>89459.56349</v>
          </cell>
          <cell r="AB5">
            <v>89609.504220000003</v>
          </cell>
          <cell r="AC5">
            <v>89770.597980000006</v>
          </cell>
          <cell r="AD5">
            <v>89945.607919999995</v>
          </cell>
          <cell r="AE5">
            <v>90134.834430000003</v>
          </cell>
          <cell r="AF5">
            <v>90336.245089999997</v>
          </cell>
          <cell r="AG5">
            <v>90546.326109999995</v>
          </cell>
          <cell r="AH5">
            <v>90761.041249999995</v>
          </cell>
          <cell r="AI5">
            <v>90976.617370000007</v>
          </cell>
          <cell r="AJ5">
            <v>91190.063169999994</v>
          </cell>
          <cell r="AK5">
            <v>91399.42035</v>
          </cell>
          <cell r="AL5">
            <v>91562.437980000002</v>
          </cell>
          <cell r="AM5">
            <v>91703.620890000006</v>
          </cell>
          <cell r="AN5">
            <v>91834.50877</v>
          </cell>
          <cell r="AO5">
            <v>91962.801210000005</v>
          </cell>
          <cell r="AP5">
            <v>92093.399229999995</v>
          </cell>
          <cell r="AQ5">
            <v>92228.949529999998</v>
          </cell>
          <cell r="AR5">
            <v>92370.326379999999</v>
          </cell>
          <cell r="AS5">
            <v>92517.135089999996</v>
          </cell>
          <cell r="AT5">
            <v>92668.205369999996</v>
          </cell>
          <cell r="AU5">
            <v>92822.02506</v>
          </cell>
          <cell r="AV5">
            <v>92980.387959999993</v>
          </cell>
          <cell r="AW5">
            <v>93140.058290000001</v>
          </cell>
          <cell r="AX5">
            <v>93299.243220000004</v>
          </cell>
          <cell r="AY5">
            <v>93456.877900000007</v>
          </cell>
          <cell r="AZ5">
            <v>93612.495349999997</v>
          </cell>
          <cell r="BA5">
            <v>179820.1868</v>
          </cell>
          <cell r="BB5">
            <v>182786.1537</v>
          </cell>
          <cell r="BC5">
            <v>185801.83230000001</v>
          </cell>
          <cell r="BD5">
            <v>188868.416</v>
          </cell>
          <cell r="BE5">
            <v>191987.14980000001</v>
          </cell>
        </row>
        <row r="6">
          <cell r="B6">
            <v>6506.971571</v>
          </cell>
          <cell r="C6">
            <v>6447.7551279999998</v>
          </cell>
          <cell r="D6">
            <v>6384.6515280000003</v>
          </cell>
          <cell r="E6">
            <v>6330.8159109999997</v>
          </cell>
          <cell r="F6">
            <v>6288.6385780000001</v>
          </cell>
          <cell r="G6">
            <v>6257.7530960000004</v>
          </cell>
          <cell r="H6">
            <v>6233.6644720000004</v>
          </cell>
          <cell r="I6">
            <v>6216.0273870000001</v>
          </cell>
          <cell r="J6">
            <v>6203.3697490000004</v>
          </cell>
          <cell r="K6">
            <v>6194.2397840000003</v>
          </cell>
          <cell r="L6">
            <v>6191.5739350000003</v>
          </cell>
          <cell r="M6">
            <v>6186.5645370000002</v>
          </cell>
          <cell r="N6">
            <v>6180.7665500000003</v>
          </cell>
          <cell r="O6">
            <v>6174.540669</v>
          </cell>
          <cell r="P6">
            <v>6168.0503950000002</v>
          </cell>
          <cell r="Q6">
            <v>6161.3984250000003</v>
          </cell>
          <cell r="R6">
            <v>6154.1545050000004</v>
          </cell>
          <cell r="S6">
            <v>6146.6868800000002</v>
          </cell>
          <cell r="T6">
            <v>6139.252109</v>
          </cell>
          <cell r="U6">
            <v>6132.0482089999996</v>
          </cell>
          <cell r="V6">
            <v>6122.1910449999996</v>
          </cell>
          <cell r="W6">
            <v>6114.7748419999998</v>
          </cell>
          <cell r="X6">
            <v>6108.5799740000002</v>
          </cell>
          <cell r="Y6">
            <v>6103.3265469999997</v>
          </cell>
          <cell r="Z6">
            <v>6098.9243660000002</v>
          </cell>
          <cell r="AA6">
            <v>6086.9842989999997</v>
          </cell>
          <cell r="AB6">
            <v>6077.5148529999997</v>
          </cell>
          <cell r="AC6">
            <v>6069.2520249999998</v>
          </cell>
          <cell r="AD6">
            <v>6061.9658390000004</v>
          </cell>
          <cell r="AE6">
            <v>6055.5609109999996</v>
          </cell>
          <cell r="AF6">
            <v>6050.00234</v>
          </cell>
          <cell r="AG6">
            <v>6045.3864450000001</v>
          </cell>
          <cell r="AH6">
            <v>6041.6549480000003</v>
          </cell>
          <cell r="AI6">
            <v>6038.7573970000003</v>
          </cell>
          <cell r="AJ6">
            <v>6036.6457380000002</v>
          </cell>
          <cell r="AK6">
            <v>6035.2729920000002</v>
          </cell>
          <cell r="AL6">
            <v>6033.676813</v>
          </cell>
          <cell r="AM6">
            <v>6032.6198340000001</v>
          </cell>
          <cell r="AN6">
            <v>6032.1457650000002</v>
          </cell>
          <cell r="AO6">
            <v>6032.1981949999999</v>
          </cell>
          <cell r="AP6">
            <v>6032.723199</v>
          </cell>
          <cell r="AQ6">
            <v>6033.8256419999998</v>
          </cell>
          <cell r="AR6">
            <v>6035.4311719999996</v>
          </cell>
          <cell r="AS6">
            <v>6037.4826039999998</v>
          </cell>
          <cell r="AT6">
            <v>6039.9383260000004</v>
          </cell>
          <cell r="AU6">
            <v>6042.7683690000003</v>
          </cell>
          <cell r="AV6">
            <v>6046.5552639999996</v>
          </cell>
          <cell r="AW6">
            <v>6051.0260109999999</v>
          </cell>
          <cell r="AX6">
            <v>6049.3221030000004</v>
          </cell>
          <cell r="AY6">
            <v>6045.1101129999997</v>
          </cell>
          <cell r="AZ6">
            <v>6044.6174460000002</v>
          </cell>
          <cell r="BA6">
            <v>7275.9010410000001</v>
          </cell>
          <cell r="BB6">
            <v>7319.939942</v>
          </cell>
          <cell r="BC6">
            <v>7365.0971440000003</v>
          </cell>
          <cell r="BD6">
            <v>7411.357497</v>
          </cell>
          <cell r="BE6">
            <v>7458.7240760000004</v>
          </cell>
        </row>
        <row r="7">
          <cell r="B7">
            <v>6536.9822480000003</v>
          </cell>
          <cell r="C7">
            <v>6520.4791789999999</v>
          </cell>
          <cell r="D7">
            <v>6493.4614110000002</v>
          </cell>
          <cell r="E7">
            <v>6467.6794900000004</v>
          </cell>
          <cell r="F7">
            <v>6447.4460209999997</v>
          </cell>
          <cell r="G7">
            <v>6433.5974230000002</v>
          </cell>
          <cell r="H7">
            <v>6422.824627</v>
          </cell>
          <cell r="I7">
            <v>6415.9225900000001</v>
          </cell>
          <cell r="J7">
            <v>6412.4281730000002</v>
          </cell>
          <cell r="K7">
            <v>6411.7066050000003</v>
          </cell>
          <cell r="L7">
            <v>6417.8514990000003</v>
          </cell>
          <cell r="M7">
            <v>6422.6487809999999</v>
          </cell>
          <cell r="N7">
            <v>6427.8705529999997</v>
          </cell>
          <cell r="O7">
            <v>6433.7622259999998</v>
          </cell>
          <cell r="P7">
            <v>6440.3554480000003</v>
          </cell>
          <cell r="Q7">
            <v>6447.6204749999997</v>
          </cell>
          <cell r="R7">
            <v>6455.5256909999998</v>
          </cell>
          <cell r="S7">
            <v>6464.0126110000001</v>
          </cell>
          <cell r="T7">
            <v>6473.0791680000002</v>
          </cell>
          <cell r="U7">
            <v>6482.7614089999997</v>
          </cell>
          <cell r="V7">
            <v>6489.8881419999998</v>
          </cell>
          <cell r="W7">
            <v>6499.8000599999996</v>
          </cell>
          <cell r="X7">
            <v>6511.1221390000001</v>
          </cell>
          <cell r="Y7">
            <v>6523.5450799999999</v>
          </cell>
          <cell r="Z7">
            <v>6536.9595200000003</v>
          </cell>
          <cell r="AA7">
            <v>6542.2858910000004</v>
          </cell>
          <cell r="AB7">
            <v>6550.1231900000002</v>
          </cell>
          <cell r="AC7">
            <v>6559.0975189999999</v>
          </cell>
          <cell r="AD7">
            <v>6569.0236260000001</v>
          </cell>
          <cell r="AE7">
            <v>6579.8353790000001</v>
          </cell>
          <cell r="AF7">
            <v>6591.5074510000004</v>
          </cell>
          <cell r="AG7">
            <v>6604.0109700000003</v>
          </cell>
          <cell r="AH7">
            <v>6617.3278</v>
          </cell>
          <cell r="AI7">
            <v>6631.439762</v>
          </cell>
          <cell r="AJ7">
            <v>6646.3244809999997</v>
          </cell>
          <cell r="AK7">
            <v>6661.9547659999998</v>
          </cell>
          <cell r="AL7">
            <v>6676.2535779999998</v>
          </cell>
          <cell r="AM7">
            <v>6690.5410570000004</v>
          </cell>
          <cell r="AN7">
            <v>6705.1515090000003</v>
          </cell>
          <cell r="AO7">
            <v>6720.215295</v>
          </cell>
          <cell r="AP7">
            <v>6735.7801810000001</v>
          </cell>
          <cell r="AQ7">
            <v>6751.8620819999996</v>
          </cell>
          <cell r="AR7">
            <v>6768.4653870000002</v>
          </cell>
          <cell r="AS7">
            <v>6785.5905560000001</v>
          </cell>
          <cell r="AT7">
            <v>6803.23657</v>
          </cell>
          <cell r="AU7">
            <v>6821.4015319999999</v>
          </cell>
          <cell r="AV7">
            <v>6840.2570409999998</v>
          </cell>
          <cell r="AW7">
            <v>6859.6833349999997</v>
          </cell>
          <cell r="AX7">
            <v>6879.6464370000003</v>
          </cell>
          <cell r="AY7">
            <v>6900.1294379999999</v>
          </cell>
          <cell r="AZ7">
            <v>6921.1229549999998</v>
          </cell>
          <cell r="BA7">
            <v>7529.5319959999997</v>
          </cell>
          <cell r="BB7">
            <v>7579.4214339999999</v>
          </cell>
          <cell r="BC7">
            <v>7630.342662</v>
          </cell>
          <cell r="BD7">
            <v>7682.333181</v>
          </cell>
          <cell r="BE7">
            <v>7735.4170240000003</v>
          </cell>
        </row>
        <row r="8">
          <cell r="B8">
            <v>155431.01269999999</v>
          </cell>
          <cell r="C8">
            <v>156628.70370000001</v>
          </cell>
          <cell r="D8">
            <v>158051.5202</v>
          </cell>
          <cell r="E8">
            <v>159483.5773</v>
          </cell>
          <cell r="F8">
            <v>160792.59940000001</v>
          </cell>
          <cell r="G8">
            <v>161894.9681</v>
          </cell>
          <cell r="H8">
            <v>162620.54380000001</v>
          </cell>
          <cell r="I8">
            <v>163060.79319999999</v>
          </cell>
          <cell r="J8">
            <v>163281.61420000001</v>
          </cell>
          <cell r="K8">
            <v>163352.25260000001</v>
          </cell>
          <cell r="L8">
            <v>163553.883</v>
          </cell>
          <cell r="M8">
            <v>163575.6979</v>
          </cell>
          <cell r="N8">
            <v>163557.3076</v>
          </cell>
          <cell r="O8">
            <v>163548.74600000001</v>
          </cell>
          <cell r="P8">
            <v>163579.47210000001</v>
          </cell>
          <cell r="Q8">
            <v>163664.11009999999</v>
          </cell>
          <cell r="R8">
            <v>163795.8278</v>
          </cell>
          <cell r="S8">
            <v>163978.3714</v>
          </cell>
          <cell r="T8">
            <v>164204.1097</v>
          </cell>
          <cell r="U8">
            <v>164463.7335</v>
          </cell>
          <cell r="V8">
            <v>164610.63370000001</v>
          </cell>
          <cell r="W8">
            <v>164861.20629999999</v>
          </cell>
          <cell r="X8">
            <v>165153.75200000001</v>
          </cell>
          <cell r="Y8">
            <v>165469.5079</v>
          </cell>
          <cell r="Z8">
            <v>165795.94630000001</v>
          </cell>
          <cell r="AA8">
            <v>165755.03959999999</v>
          </cell>
          <cell r="AB8">
            <v>165775.5528</v>
          </cell>
          <cell r="AC8">
            <v>165815.6526</v>
          </cell>
          <cell r="AD8">
            <v>165878.6488</v>
          </cell>
          <cell r="AE8">
            <v>165964.38329999999</v>
          </cell>
          <cell r="AF8">
            <v>166069.07699999999</v>
          </cell>
          <cell r="AG8">
            <v>166188.8793</v>
          </cell>
          <cell r="AH8">
            <v>166316.0503</v>
          </cell>
          <cell r="AI8">
            <v>166444.47099999999</v>
          </cell>
          <cell r="AJ8">
            <v>166569.16469999999</v>
          </cell>
          <cell r="AK8">
            <v>166686.66190000001</v>
          </cell>
          <cell r="AL8">
            <v>166736.2438</v>
          </cell>
          <cell r="AM8">
            <v>166756.182</v>
          </cell>
          <cell r="AN8">
            <v>166764.48929999999</v>
          </cell>
          <cell r="AO8">
            <v>166771.24840000001</v>
          </cell>
          <cell r="AP8">
            <v>166781.62940000001</v>
          </cell>
          <cell r="AQ8">
            <v>166800.24410000001</v>
          </cell>
          <cell r="AR8">
            <v>166825.6335</v>
          </cell>
          <cell r="AS8">
            <v>166856.34030000001</v>
          </cell>
          <cell r="AT8">
            <v>166890.2879</v>
          </cell>
          <cell r="AU8">
            <v>166925.40090000001</v>
          </cell>
          <cell r="AV8">
            <v>166974.7028</v>
          </cell>
          <cell r="AW8">
            <v>167029.61230000001</v>
          </cell>
          <cell r="AX8">
            <v>167029.3689</v>
          </cell>
          <cell r="AY8">
            <v>167028.76240000001</v>
          </cell>
          <cell r="AZ8">
            <v>167028.69339999999</v>
          </cell>
          <cell r="BA8">
            <v>350298.37439999997</v>
          </cell>
          <cell r="BB8">
            <v>355986.72869999998</v>
          </cell>
          <cell r="BC8">
            <v>361766.7818</v>
          </cell>
          <cell r="BD8">
            <v>367640.6189</v>
          </cell>
          <cell r="BE8">
            <v>373610.44949999999</v>
          </cell>
        </row>
        <row r="9">
          <cell r="B9">
            <v>157942.57399999999</v>
          </cell>
          <cell r="C9">
            <v>159065.5086</v>
          </cell>
          <cell r="D9">
            <v>159981.0975</v>
          </cell>
          <cell r="E9">
            <v>160788.6624</v>
          </cell>
          <cell r="F9">
            <v>161546.6629</v>
          </cell>
          <cell r="G9">
            <v>162276.80559999999</v>
          </cell>
          <cell r="H9">
            <v>162852.6784</v>
          </cell>
          <cell r="I9">
            <v>163357.08110000001</v>
          </cell>
          <cell r="J9">
            <v>163819.8155</v>
          </cell>
          <cell r="K9">
            <v>164260.48809999999</v>
          </cell>
          <cell r="L9">
            <v>164910.08720000001</v>
          </cell>
          <cell r="M9">
            <v>165423.3792</v>
          </cell>
          <cell r="N9">
            <v>165896.8242</v>
          </cell>
          <cell r="O9">
            <v>166357.13130000001</v>
          </cell>
          <cell r="P9">
            <v>166821.57699999999</v>
          </cell>
          <cell r="Q9">
            <v>167301.45209999999</v>
          </cell>
          <cell r="R9">
            <v>167803.2666</v>
          </cell>
          <cell r="S9">
            <v>168329.5889</v>
          </cell>
          <cell r="T9">
            <v>168879.92610000001</v>
          </cell>
          <cell r="U9">
            <v>169451.65040000001</v>
          </cell>
          <cell r="V9">
            <v>169899.46609999999</v>
          </cell>
          <cell r="W9">
            <v>170450.2224</v>
          </cell>
          <cell r="X9">
            <v>171042.77849999999</v>
          </cell>
          <cell r="Y9">
            <v>171659.71979999999</v>
          </cell>
          <cell r="Z9">
            <v>172289.024</v>
          </cell>
          <cell r="AA9">
            <v>172537.7151</v>
          </cell>
          <cell r="AB9">
            <v>172847.18460000001</v>
          </cell>
          <cell r="AC9">
            <v>173174.07949999999</v>
          </cell>
          <cell r="AD9">
            <v>173521.96340000001</v>
          </cell>
          <cell r="AE9">
            <v>173891.3829</v>
          </cell>
          <cell r="AF9">
            <v>174279.38200000001</v>
          </cell>
          <cell r="AG9">
            <v>174680.79519999999</v>
          </cell>
          <cell r="AH9">
            <v>175089.72810000001</v>
          </cell>
          <cell r="AI9">
            <v>175500.72020000001</v>
          </cell>
          <cell r="AJ9">
            <v>175909.465</v>
          </cell>
          <cell r="AK9">
            <v>176313.1182</v>
          </cell>
          <cell r="AL9">
            <v>176629.16709999999</v>
          </cell>
          <cell r="AM9">
            <v>176908.47339999999</v>
          </cell>
          <cell r="AN9">
            <v>177170.55480000001</v>
          </cell>
          <cell r="AO9">
            <v>177427.78769999999</v>
          </cell>
          <cell r="AP9">
            <v>177687.80559999999</v>
          </cell>
          <cell r="AQ9">
            <v>177954.6202</v>
          </cell>
          <cell r="AR9">
            <v>178229.5238</v>
          </cell>
          <cell r="AS9">
            <v>178511.95499999999</v>
          </cell>
          <cell r="AT9">
            <v>178800.28760000001</v>
          </cell>
          <cell r="AU9">
            <v>179092.48130000001</v>
          </cell>
          <cell r="AV9">
            <v>179393.0147</v>
          </cell>
          <cell r="AW9">
            <v>179696.23680000001</v>
          </cell>
          <cell r="AX9">
            <v>179999.53030000001</v>
          </cell>
          <cell r="AY9">
            <v>180301.39180000001</v>
          </cell>
          <cell r="AZ9">
            <v>180601.14920000001</v>
          </cell>
          <cell r="BA9">
            <v>351018.65299999999</v>
          </cell>
          <cell r="BB9">
            <v>356745.55609999999</v>
          </cell>
          <cell r="BC9">
            <v>362565.28129999997</v>
          </cell>
          <cell r="BD9">
            <v>368480.17609999998</v>
          </cell>
          <cell r="BE9">
            <v>374492.70890000003</v>
          </cell>
        </row>
        <row r="10">
          <cell r="B10">
            <v>119975.0815</v>
          </cell>
          <cell r="C10">
            <v>122031.4243</v>
          </cell>
          <cell r="D10">
            <v>124503.2086</v>
          </cell>
          <cell r="E10">
            <v>126951.7003</v>
          </cell>
          <cell r="F10">
            <v>129239.2804</v>
          </cell>
          <cell r="G10">
            <v>131336.80989999999</v>
          </cell>
          <cell r="H10">
            <v>133134.71429999999</v>
          </cell>
          <cell r="I10">
            <v>134779.95670000001</v>
          </cell>
          <cell r="J10">
            <v>136314.43290000001</v>
          </cell>
          <cell r="K10">
            <v>137769.8327</v>
          </cell>
          <cell r="L10">
            <v>139372.02309999999</v>
          </cell>
          <cell r="M10">
            <v>140717.96400000001</v>
          </cell>
          <cell r="N10">
            <v>142022.23610000001</v>
          </cell>
          <cell r="O10">
            <v>143304.59770000001</v>
          </cell>
          <cell r="P10">
            <v>144573.42430000001</v>
          </cell>
          <cell r="Q10">
            <v>145834.94200000001</v>
          </cell>
          <cell r="R10">
            <v>147066.9062</v>
          </cell>
          <cell r="S10">
            <v>148300.82339999999</v>
          </cell>
          <cell r="T10">
            <v>149542.5698</v>
          </cell>
          <cell r="U10">
            <v>150797.05100000001</v>
          </cell>
          <cell r="V10">
            <v>151927.95009999999</v>
          </cell>
          <cell r="W10">
            <v>153214.8572</v>
          </cell>
          <cell r="X10">
            <v>154537.734</v>
          </cell>
          <cell r="Y10">
            <v>155892.00930000001</v>
          </cell>
          <cell r="Z10">
            <v>157278.07459999999</v>
          </cell>
          <cell r="AA10">
            <v>158300.769</v>
          </cell>
          <cell r="AB10">
            <v>159556.14360000001</v>
          </cell>
          <cell r="AC10">
            <v>160862.57699999999</v>
          </cell>
          <cell r="AD10">
            <v>162212.3468</v>
          </cell>
          <cell r="AE10">
            <v>163603.84289999999</v>
          </cell>
          <cell r="AF10">
            <v>165034.3235</v>
          </cell>
          <cell r="AG10">
            <v>166506.1844</v>
          </cell>
          <cell r="AH10">
            <v>168009.82769999999</v>
          </cell>
          <cell r="AI10">
            <v>169541.0735</v>
          </cell>
          <cell r="AJ10">
            <v>171096.2703</v>
          </cell>
          <cell r="AK10">
            <v>172672.28760000001</v>
          </cell>
          <cell r="AL10">
            <v>174228.16279999999</v>
          </cell>
          <cell r="AM10">
            <v>175798.6917</v>
          </cell>
          <cell r="AN10">
            <v>177386.65770000001</v>
          </cell>
          <cell r="AO10">
            <v>178992.20319999999</v>
          </cell>
          <cell r="AP10">
            <v>180614.9909</v>
          </cell>
          <cell r="AQ10">
            <v>182262.7476</v>
          </cell>
          <cell r="AR10">
            <v>183926.913</v>
          </cell>
          <cell r="AS10">
            <v>185606.0675</v>
          </cell>
          <cell r="AT10">
            <v>187299.04569999999</v>
          </cell>
          <cell r="AU10">
            <v>189004.8567</v>
          </cell>
          <cell r="AV10">
            <v>190758.90549999999</v>
          </cell>
          <cell r="AW10">
            <v>192527.7199</v>
          </cell>
          <cell r="AX10">
            <v>192526.96919999999</v>
          </cell>
          <cell r="AY10">
            <v>192525.285</v>
          </cell>
          <cell r="AZ10">
            <v>192525.0993</v>
          </cell>
          <cell r="BA10">
            <v>275411.86959999998</v>
          </cell>
          <cell r="BB10">
            <v>279995.66629999998</v>
          </cell>
          <cell r="BC10">
            <v>284667.75870000001</v>
          </cell>
          <cell r="BD10">
            <v>289429.39720000001</v>
          </cell>
          <cell r="BE10">
            <v>294281.80160000001</v>
          </cell>
        </row>
        <row r="11">
          <cell r="B11">
            <v>125940.47500000001</v>
          </cell>
          <cell r="C11">
            <v>128319.1329</v>
          </cell>
          <cell r="D11">
            <v>130971.6637</v>
          </cell>
          <cell r="E11">
            <v>133529.7806</v>
          </cell>
          <cell r="F11">
            <v>135914.4301</v>
          </cell>
          <cell r="G11">
            <v>138140.3235</v>
          </cell>
          <cell r="H11">
            <v>140125.0178</v>
          </cell>
          <cell r="I11">
            <v>142023.12609999999</v>
          </cell>
          <cell r="J11">
            <v>143873.64559999999</v>
          </cell>
          <cell r="K11">
            <v>145699.6741</v>
          </cell>
          <cell r="L11">
            <v>147729.32209999999</v>
          </cell>
          <cell r="M11">
            <v>149555.60560000001</v>
          </cell>
          <cell r="N11">
            <v>151370.45110000001</v>
          </cell>
          <cell r="O11">
            <v>153188.81659999999</v>
          </cell>
          <cell r="P11">
            <v>155017.03450000001</v>
          </cell>
          <cell r="Q11">
            <v>156860.5889</v>
          </cell>
          <cell r="R11">
            <v>158724.3768</v>
          </cell>
          <cell r="S11">
            <v>160612.66329999999</v>
          </cell>
          <cell r="T11">
            <v>162529.057</v>
          </cell>
          <cell r="U11">
            <v>164476.53640000001</v>
          </cell>
          <cell r="V11">
            <v>166303.04240000001</v>
          </cell>
          <cell r="W11">
            <v>168311.1637</v>
          </cell>
          <cell r="X11">
            <v>170367.43580000001</v>
          </cell>
          <cell r="Y11">
            <v>172465.26</v>
          </cell>
          <cell r="Z11">
            <v>174603.29620000001</v>
          </cell>
          <cell r="AA11">
            <v>176339.08420000001</v>
          </cell>
          <cell r="AB11">
            <v>178321.49549999999</v>
          </cell>
          <cell r="AC11">
            <v>180359.34109999999</v>
          </cell>
          <cell r="AD11">
            <v>182445.5148</v>
          </cell>
          <cell r="AE11">
            <v>184578.8622</v>
          </cell>
          <cell r="AF11">
            <v>186757.14850000001</v>
          </cell>
          <cell r="AG11">
            <v>188977.2481</v>
          </cell>
          <cell r="AH11">
            <v>191235.65359999999</v>
          </cell>
          <cell r="AI11">
            <v>193528.91880000001</v>
          </cell>
          <cell r="AJ11">
            <v>195853.95050000001</v>
          </cell>
          <cell r="AK11">
            <v>198208.15830000001</v>
          </cell>
          <cell r="AL11">
            <v>200484.61730000001</v>
          </cell>
          <cell r="AM11">
            <v>202780.1966</v>
          </cell>
          <cell r="AN11">
            <v>205101.09789999999</v>
          </cell>
          <cell r="AO11">
            <v>207449.10370000001</v>
          </cell>
          <cell r="AP11">
            <v>209825.0165</v>
          </cell>
          <cell r="AQ11">
            <v>212228.92019999999</v>
          </cell>
          <cell r="AR11">
            <v>214660.32750000001</v>
          </cell>
          <cell r="AS11">
            <v>217118.36259999999</v>
          </cell>
          <cell r="AT11">
            <v>219601.95699999999</v>
          </cell>
          <cell r="AU11">
            <v>222110.02110000001</v>
          </cell>
          <cell r="AV11">
            <v>224650.90340000001</v>
          </cell>
          <cell r="AW11">
            <v>227215.01379999999</v>
          </cell>
          <cell r="AX11">
            <v>229801.12030000001</v>
          </cell>
          <cell r="AY11">
            <v>232408.59710000001</v>
          </cell>
          <cell r="AZ11">
            <v>235037.0955</v>
          </cell>
          <cell r="BA11">
            <v>276935.37959999999</v>
          </cell>
          <cell r="BB11">
            <v>281600.92109999998</v>
          </cell>
          <cell r="BC11">
            <v>286356.38660000003</v>
          </cell>
          <cell r="BD11">
            <v>291203.18199999997</v>
          </cell>
          <cell r="BE11">
            <v>296142.67499999999</v>
          </cell>
        </row>
        <row r="12">
          <cell r="B12">
            <v>21715.920050000001</v>
          </cell>
          <cell r="C12">
            <v>21889.840080000002</v>
          </cell>
          <cell r="D12">
            <v>22133.55142</v>
          </cell>
          <cell r="E12">
            <v>22415.879799999999</v>
          </cell>
          <cell r="F12">
            <v>22719.69788</v>
          </cell>
          <cell r="G12">
            <v>23033.315070000001</v>
          </cell>
          <cell r="H12">
            <v>23336.835200000001</v>
          </cell>
          <cell r="I12">
            <v>23634.690040000001</v>
          </cell>
          <cell r="J12">
            <v>23927.966530000002</v>
          </cell>
          <cell r="K12">
            <v>24218.717100000002</v>
          </cell>
          <cell r="L12">
            <v>24530.643889999999</v>
          </cell>
          <cell r="M12">
            <v>24829.90237</v>
          </cell>
          <cell r="N12">
            <v>25129.809529999999</v>
          </cell>
          <cell r="O12">
            <v>25432.697029999999</v>
          </cell>
          <cell r="P12">
            <v>25739.823039999999</v>
          </cell>
          <cell r="Q12">
            <v>26051.9323</v>
          </cell>
          <cell r="R12">
            <v>26367.39098</v>
          </cell>
          <cell r="S12">
            <v>26687.98344</v>
          </cell>
          <cell r="T12">
            <v>27014.091560000001</v>
          </cell>
          <cell r="U12">
            <v>27346.019810000002</v>
          </cell>
          <cell r="V12">
            <v>27668.924149999999</v>
          </cell>
          <cell r="W12">
            <v>28007.207170000001</v>
          </cell>
          <cell r="X12">
            <v>28354.165120000001</v>
          </cell>
          <cell r="Y12">
            <v>28709.478029999998</v>
          </cell>
          <cell r="Z12">
            <v>29073.107779999998</v>
          </cell>
          <cell r="AA12">
            <v>29402.181110000001</v>
          </cell>
          <cell r="AB12">
            <v>29744.977480000001</v>
          </cell>
          <cell r="AC12">
            <v>30092.817940000001</v>
          </cell>
          <cell r="AD12">
            <v>30446.213189999999</v>
          </cell>
          <cell r="AE12">
            <v>30805.745060000001</v>
          </cell>
          <cell r="AF12">
            <v>31171.698420000001</v>
          </cell>
          <cell r="AG12">
            <v>31544.496019999999</v>
          </cell>
          <cell r="AH12">
            <v>31923.538489999999</v>
          </cell>
          <cell r="AI12">
            <v>32308.345310000001</v>
          </cell>
          <cell r="AJ12">
            <v>32698.38392</v>
          </cell>
          <cell r="AK12">
            <v>33093.129710000001</v>
          </cell>
          <cell r="AL12">
            <v>33486.242359999997</v>
          </cell>
          <cell r="AM12">
            <v>33880.331270000002</v>
          </cell>
          <cell r="AN12">
            <v>34275.969969999998</v>
          </cell>
          <cell r="AO12">
            <v>34673.451029999997</v>
          </cell>
          <cell r="AP12">
            <v>35072.949000000001</v>
          </cell>
          <cell r="AQ12">
            <v>35475.215519999998</v>
          </cell>
          <cell r="AR12">
            <v>35879.836519999997</v>
          </cell>
          <cell r="AS12">
            <v>36286.673719999999</v>
          </cell>
          <cell r="AT12">
            <v>36695.538990000001</v>
          </cell>
          <cell r="AU12">
            <v>37106.222739999997</v>
          </cell>
          <cell r="AV12">
            <v>37521.69311</v>
          </cell>
          <cell r="AW12">
            <v>37939.957620000001</v>
          </cell>
          <cell r="AX12">
            <v>37938.998169999999</v>
          </cell>
          <cell r="AY12">
            <v>37936.699009999997</v>
          </cell>
          <cell r="AZ12">
            <v>37936.43909</v>
          </cell>
          <cell r="BA12">
            <v>52774.763420000003</v>
          </cell>
          <cell r="BB12">
            <v>53722.473180000001</v>
          </cell>
          <cell r="BC12">
            <v>54682.407440000003</v>
          </cell>
          <cell r="BD12">
            <v>55654.485569999997</v>
          </cell>
          <cell r="BE12">
            <v>56638.647239999998</v>
          </cell>
        </row>
        <row r="13">
          <cell r="B13">
            <v>22138.03213</v>
          </cell>
          <cell r="C13">
            <v>22413.736860000001</v>
          </cell>
          <cell r="D13">
            <v>22716.664420000001</v>
          </cell>
          <cell r="E13">
            <v>23038.93304</v>
          </cell>
          <cell r="F13">
            <v>23377.142690000001</v>
          </cell>
          <cell r="G13">
            <v>23728.493480000001</v>
          </cell>
          <cell r="H13">
            <v>24078.054400000001</v>
          </cell>
          <cell r="I13">
            <v>24431.737550000002</v>
          </cell>
          <cell r="J13">
            <v>24789.951649999999</v>
          </cell>
          <cell r="K13">
            <v>25152.93662</v>
          </cell>
          <cell r="L13">
            <v>25543.126540000001</v>
          </cell>
          <cell r="M13">
            <v>25925.474310000001</v>
          </cell>
          <cell r="N13">
            <v>26310.778180000001</v>
          </cell>
          <cell r="O13">
            <v>26700.258000000002</v>
          </cell>
          <cell r="P13">
            <v>27094.662260000001</v>
          </cell>
          <cell r="Q13">
            <v>27494.665140000001</v>
          </cell>
          <cell r="R13">
            <v>27900.912120000001</v>
          </cell>
          <cell r="S13">
            <v>28313.986970000002</v>
          </cell>
          <cell r="T13">
            <v>28734.380430000001</v>
          </cell>
          <cell r="U13">
            <v>29162.47753</v>
          </cell>
          <cell r="V13">
            <v>29582.42308</v>
          </cell>
          <cell r="W13">
            <v>30019.98186</v>
          </cell>
          <cell r="X13">
            <v>30467.77548</v>
          </cell>
          <cell r="Y13">
            <v>30925.226839999999</v>
          </cell>
          <cell r="Z13">
            <v>31392.019240000001</v>
          </cell>
          <cell r="AA13">
            <v>31821.546569999999</v>
          </cell>
          <cell r="AB13">
            <v>32264.578109999999</v>
          </cell>
          <cell r="AC13">
            <v>32711.921429999999</v>
          </cell>
          <cell r="AD13">
            <v>33163.978029999998</v>
          </cell>
          <cell r="AE13">
            <v>33621.276539999999</v>
          </cell>
          <cell r="AF13">
            <v>34084.072260000001</v>
          </cell>
          <cell r="AG13">
            <v>34552.29724</v>
          </cell>
          <cell r="AH13">
            <v>35025.63435</v>
          </cell>
          <cell r="AI13">
            <v>35503.621149999999</v>
          </cell>
          <cell r="AJ13">
            <v>35985.743419999999</v>
          </cell>
          <cell r="AK13">
            <v>36471.503409999998</v>
          </cell>
          <cell r="AL13">
            <v>36949.388310000002</v>
          </cell>
          <cell r="AM13">
            <v>37425.26053</v>
          </cell>
          <cell r="AN13">
            <v>37900.110990000001</v>
          </cell>
          <cell r="AO13">
            <v>38374.608160000003</v>
          </cell>
          <cell r="AP13">
            <v>38849.295230000003</v>
          </cell>
          <cell r="AQ13">
            <v>39324.591670000002</v>
          </cell>
          <cell r="AR13">
            <v>39800.77766</v>
          </cell>
          <cell r="AS13">
            <v>40278.002260000001</v>
          </cell>
          <cell r="AT13">
            <v>40756.313390000003</v>
          </cell>
          <cell r="AU13">
            <v>41235.69771</v>
          </cell>
          <cell r="AV13">
            <v>41717.109040000003</v>
          </cell>
          <cell r="AW13">
            <v>42199.9643</v>
          </cell>
          <cell r="AX13">
            <v>42684.151039999997</v>
          </cell>
          <cell r="AY13">
            <v>43169.631990000002</v>
          </cell>
          <cell r="AZ13">
            <v>43656.428829999997</v>
          </cell>
          <cell r="BA13">
            <v>52895.144769999999</v>
          </cell>
          <cell r="BB13">
            <v>53841.176039999998</v>
          </cell>
          <cell r="BC13">
            <v>54798.63222</v>
          </cell>
          <cell r="BD13">
            <v>55767.451399999998</v>
          </cell>
          <cell r="BE13">
            <v>56747.601349999997</v>
          </cell>
        </row>
        <row r="14">
          <cell r="B14">
            <v>15842.601930000001</v>
          </cell>
          <cell r="C14">
            <v>15950.99056</v>
          </cell>
          <cell r="D14">
            <v>16118.341340000001</v>
          </cell>
          <cell r="E14">
            <v>16317.460950000001</v>
          </cell>
          <cell r="F14">
            <v>16537.574209999999</v>
          </cell>
          <cell r="G14">
            <v>16771.0628</v>
          </cell>
          <cell r="H14">
            <v>16999.999530000001</v>
          </cell>
          <cell r="I14">
            <v>17229.992470000001</v>
          </cell>
          <cell r="J14">
            <v>17459.883819999999</v>
          </cell>
          <cell r="K14">
            <v>17688.943200000002</v>
          </cell>
          <cell r="L14">
            <v>17937.245470000002</v>
          </cell>
          <cell r="M14">
            <v>18166.340840000001</v>
          </cell>
          <cell r="N14">
            <v>18391.57143</v>
          </cell>
          <cell r="O14">
            <v>18613.71776</v>
          </cell>
          <cell r="P14">
            <v>18833.02822</v>
          </cell>
          <cell r="Q14">
            <v>19049.731660000001</v>
          </cell>
          <cell r="R14">
            <v>19261.865989999998</v>
          </cell>
          <cell r="S14">
            <v>19471.84216</v>
          </cell>
          <cell r="T14">
            <v>19680.337360000001</v>
          </cell>
          <cell r="U14">
            <v>19888.0645</v>
          </cell>
          <cell r="V14">
            <v>20081.355380000001</v>
          </cell>
          <cell r="W14">
            <v>20286.35843</v>
          </cell>
          <cell r="X14">
            <v>20494.355469999999</v>
          </cell>
          <cell r="Y14">
            <v>20705.520550000001</v>
          </cell>
          <cell r="Z14">
            <v>20920.260050000001</v>
          </cell>
          <cell r="AA14">
            <v>21098.414000000001</v>
          </cell>
          <cell r="AB14">
            <v>21292.97464</v>
          </cell>
          <cell r="AC14">
            <v>21491.12025</v>
          </cell>
          <cell r="AD14">
            <v>21693.287250000001</v>
          </cell>
          <cell r="AE14">
            <v>21900.057110000002</v>
          </cell>
          <cell r="AF14">
            <v>22111.774539999999</v>
          </cell>
          <cell r="AG14">
            <v>22329.016950000001</v>
          </cell>
          <cell r="AH14">
            <v>22551.256460000001</v>
          </cell>
          <cell r="AI14">
            <v>22778.217949999998</v>
          </cell>
          <cell r="AJ14">
            <v>23009.56828</v>
          </cell>
          <cell r="AK14">
            <v>23244.95247</v>
          </cell>
          <cell r="AL14">
            <v>23479.060440000001</v>
          </cell>
          <cell r="AM14">
            <v>23714.928039999999</v>
          </cell>
          <cell r="AN14">
            <v>23952.946779999998</v>
          </cell>
          <cell r="AO14">
            <v>24193.277389999999</v>
          </cell>
          <cell r="AP14">
            <v>24436.00042</v>
          </cell>
          <cell r="AQ14">
            <v>24681.835070000001</v>
          </cell>
          <cell r="AR14">
            <v>24930.194390000001</v>
          </cell>
          <cell r="AS14">
            <v>25180.955699999999</v>
          </cell>
          <cell r="AT14">
            <v>25433.974969999999</v>
          </cell>
          <cell r="AU14">
            <v>25689.098379999999</v>
          </cell>
          <cell r="AV14">
            <v>25949.356950000001</v>
          </cell>
          <cell r="AW14">
            <v>26212.199240000002</v>
          </cell>
          <cell r="AX14">
            <v>26211.394840000001</v>
          </cell>
          <cell r="AY14">
            <v>26209.379580000001</v>
          </cell>
          <cell r="AZ14">
            <v>26209.122729999999</v>
          </cell>
          <cell r="BA14">
            <v>36300.431920000003</v>
          </cell>
          <cell r="BB14">
            <v>36916.198770000003</v>
          </cell>
          <cell r="BC14">
            <v>37543.095710000001</v>
          </cell>
          <cell r="BD14">
            <v>38181.311820000003</v>
          </cell>
          <cell r="BE14">
            <v>38831.034959999997</v>
          </cell>
        </row>
        <row r="15">
          <cell r="B15">
            <v>16340.24633</v>
          </cell>
          <cell r="C15">
            <v>16528.718339999999</v>
          </cell>
          <cell r="D15">
            <v>16741.82964</v>
          </cell>
          <cell r="E15">
            <v>16971.770550000001</v>
          </cell>
          <cell r="F15">
            <v>17215.651259999999</v>
          </cell>
          <cell r="G15">
            <v>17470.422999999999</v>
          </cell>
          <cell r="H15">
            <v>17720.976070000001</v>
          </cell>
          <cell r="I15">
            <v>17974.227009999999</v>
          </cell>
          <cell r="J15">
            <v>18229.493289999999</v>
          </cell>
          <cell r="K15">
            <v>18486.066490000001</v>
          </cell>
          <cell r="L15">
            <v>18764.847150000001</v>
          </cell>
          <cell r="M15">
            <v>19027.91228</v>
          </cell>
          <cell r="N15">
            <v>19289.33498</v>
          </cell>
          <cell r="O15">
            <v>19549.935720000001</v>
          </cell>
          <cell r="P15">
            <v>19810.18533</v>
          </cell>
          <cell r="Q15">
            <v>20070.602060000001</v>
          </cell>
          <cell r="R15">
            <v>20331.777429999998</v>
          </cell>
          <cell r="S15">
            <v>20594.331119999999</v>
          </cell>
          <cell r="T15">
            <v>20858.870459999998</v>
          </cell>
          <cell r="U15">
            <v>21125.96572</v>
          </cell>
          <cell r="V15">
            <v>21380.695899999999</v>
          </cell>
          <cell r="W15">
            <v>21650.622869999999</v>
          </cell>
          <cell r="X15">
            <v>21925.97969</v>
          </cell>
          <cell r="Y15">
            <v>22206.569220000001</v>
          </cell>
          <cell r="Z15">
            <v>22492.45721</v>
          </cell>
          <cell r="AA15">
            <v>22739.662230000002</v>
          </cell>
          <cell r="AB15">
            <v>23004.456719999998</v>
          </cell>
          <cell r="AC15">
            <v>23273.340820000001</v>
          </cell>
          <cell r="AD15">
            <v>23546.658220000001</v>
          </cell>
          <cell r="AE15">
            <v>23824.968379999998</v>
          </cell>
          <cell r="AF15">
            <v>24108.630980000002</v>
          </cell>
          <cell r="AG15">
            <v>24397.760590000002</v>
          </cell>
          <cell r="AH15">
            <v>24692.282609999998</v>
          </cell>
          <cell r="AI15">
            <v>24992.003000000001</v>
          </cell>
          <cell r="AJ15">
            <v>25296.666509999999</v>
          </cell>
          <cell r="AK15">
            <v>25605.998370000001</v>
          </cell>
          <cell r="AL15">
            <v>25909.30285</v>
          </cell>
          <cell r="AM15">
            <v>26214.057669999998</v>
          </cell>
          <cell r="AN15">
            <v>26521.013029999998</v>
          </cell>
          <cell r="AO15">
            <v>26830.60167</v>
          </cell>
          <cell r="AP15">
            <v>27143.1551</v>
          </cell>
          <cell r="AQ15">
            <v>27458.91545</v>
          </cell>
          <cell r="AR15">
            <v>27778.028559999999</v>
          </cell>
          <cell r="AS15">
            <v>28100.552110000001</v>
          </cell>
          <cell r="AT15">
            <v>28426.47567</v>
          </cell>
          <cell r="AU15">
            <v>28755.744569999999</v>
          </cell>
          <cell r="AV15">
            <v>29089.209360000001</v>
          </cell>
          <cell r="AW15">
            <v>29426.099409999999</v>
          </cell>
          <cell r="AX15">
            <v>29766.250889999999</v>
          </cell>
          <cell r="AY15">
            <v>30109.541550000002</v>
          </cell>
          <cell r="AZ15">
            <v>30455.873360000001</v>
          </cell>
          <cell r="BA15">
            <v>36460.51715</v>
          </cell>
          <cell r="BB15">
            <v>37084.866710000002</v>
          </cell>
          <cell r="BC15">
            <v>37720.52203</v>
          </cell>
          <cell r="BD15">
            <v>38367.690739999998</v>
          </cell>
          <cell r="BE15">
            <v>39026.581709999999</v>
          </cell>
        </row>
        <row r="16">
          <cell r="B16">
            <v>83663.734299999996</v>
          </cell>
          <cell r="C16">
            <v>84367.77175</v>
          </cell>
          <cell r="D16">
            <v>85364.128400000001</v>
          </cell>
          <cell r="E16">
            <v>86504.393779999999</v>
          </cell>
          <cell r="F16">
            <v>87739.968009999997</v>
          </cell>
          <cell r="G16">
            <v>89033.885439999998</v>
          </cell>
          <cell r="H16">
            <v>90280.722689999995</v>
          </cell>
          <cell r="I16">
            <v>91522.931249999994</v>
          </cell>
          <cell r="J16">
            <v>92748.881169999993</v>
          </cell>
          <cell r="K16">
            <v>93950.679510000002</v>
          </cell>
          <cell r="L16">
            <v>95248.334189999994</v>
          </cell>
          <cell r="M16">
            <v>96392.669410000002</v>
          </cell>
          <cell r="N16">
            <v>97499.432610000003</v>
          </cell>
          <cell r="O16">
            <v>98573.771080000006</v>
          </cell>
          <cell r="P16">
            <v>99619.89632</v>
          </cell>
          <cell r="Q16">
            <v>100642.54429999999</v>
          </cell>
          <cell r="R16">
            <v>101631.6863</v>
          </cell>
          <cell r="S16">
            <v>102607.3321</v>
          </cell>
          <cell r="T16">
            <v>103575.56540000001</v>
          </cell>
          <cell r="U16">
            <v>104542.1146</v>
          </cell>
          <cell r="V16">
            <v>105425.1443</v>
          </cell>
          <cell r="W16">
            <v>106392.92969999999</v>
          </cell>
          <cell r="X16">
            <v>107378.90240000001</v>
          </cell>
          <cell r="Y16">
            <v>108384.88860000001</v>
          </cell>
          <cell r="Z16">
            <v>109413.07640000001</v>
          </cell>
          <cell r="AA16">
            <v>110220.8517</v>
          </cell>
          <cell r="AB16">
            <v>111155.9379</v>
          </cell>
          <cell r="AC16">
            <v>112114.5434</v>
          </cell>
          <cell r="AD16">
            <v>113098.2044</v>
          </cell>
          <cell r="AE16">
            <v>114108.83040000001</v>
          </cell>
          <cell r="AF16">
            <v>115147.27559999999</v>
          </cell>
          <cell r="AG16">
            <v>116216.4929</v>
          </cell>
          <cell r="AH16">
            <v>117312.2889</v>
          </cell>
          <cell r="AI16">
            <v>118432.7242</v>
          </cell>
          <cell r="AJ16">
            <v>119575.53939999999</v>
          </cell>
          <cell r="AK16">
            <v>120738.345</v>
          </cell>
          <cell r="AL16">
            <v>121891.22990000001</v>
          </cell>
          <cell r="AM16">
            <v>123054.3934</v>
          </cell>
          <cell r="AN16">
            <v>124228.53509999999</v>
          </cell>
          <cell r="AO16">
            <v>125413.6799</v>
          </cell>
          <cell r="AP16">
            <v>126609.651</v>
          </cell>
          <cell r="AQ16">
            <v>127820.6363</v>
          </cell>
          <cell r="AR16">
            <v>129042.1393</v>
          </cell>
          <cell r="AS16">
            <v>130273.37179999999</v>
          </cell>
          <cell r="AT16">
            <v>131513.46230000001</v>
          </cell>
          <cell r="AU16">
            <v>132761.497</v>
          </cell>
          <cell r="AV16">
            <v>134036.7053</v>
          </cell>
          <cell r="AW16">
            <v>135320.984</v>
          </cell>
          <cell r="AX16">
            <v>135320.08689999999</v>
          </cell>
          <cell r="AY16">
            <v>135317.9664</v>
          </cell>
          <cell r="AZ16">
            <v>135317.73759999999</v>
          </cell>
          <cell r="BA16">
            <v>194268.86120000001</v>
          </cell>
          <cell r="BB16">
            <v>197611.76019999999</v>
          </cell>
          <cell r="BC16">
            <v>201017.3364</v>
          </cell>
          <cell r="BD16">
            <v>204486.6298</v>
          </cell>
          <cell r="BE16">
            <v>208020.64610000001</v>
          </cell>
        </row>
        <row r="17">
          <cell r="B17">
            <v>87190.557329999996</v>
          </cell>
          <cell r="C17">
            <v>88257.969150000004</v>
          </cell>
          <cell r="D17">
            <v>89465.270359999995</v>
          </cell>
          <cell r="E17">
            <v>90747.590259999997</v>
          </cell>
          <cell r="F17">
            <v>92089.143830000001</v>
          </cell>
          <cell r="G17">
            <v>93474.061220000003</v>
          </cell>
          <cell r="H17">
            <v>94812.50245</v>
          </cell>
          <cell r="I17">
            <v>96157.238549999995</v>
          </cell>
          <cell r="J17">
            <v>97503.329979999995</v>
          </cell>
          <cell r="K17">
            <v>98846.768979999993</v>
          </cell>
          <cell r="L17">
            <v>100316.3115</v>
          </cell>
          <cell r="M17">
            <v>101666.35830000001</v>
          </cell>
          <cell r="N17">
            <v>103003.78290000001</v>
          </cell>
          <cell r="O17">
            <v>104332.8855</v>
          </cell>
          <cell r="P17">
            <v>105657.0686</v>
          </cell>
          <cell r="Q17">
            <v>106980.1648</v>
          </cell>
          <cell r="R17">
            <v>108306.3857</v>
          </cell>
          <cell r="S17">
            <v>109640.0245</v>
          </cell>
          <cell r="T17">
            <v>110985.1963</v>
          </cell>
          <cell r="U17">
            <v>112345.66160000001</v>
          </cell>
          <cell r="V17">
            <v>113630.2837</v>
          </cell>
          <cell r="W17">
            <v>115018.20359999999</v>
          </cell>
          <cell r="X17">
            <v>116435.2334</v>
          </cell>
          <cell r="Y17">
            <v>117881.3023</v>
          </cell>
          <cell r="Z17">
            <v>119356.9941</v>
          </cell>
          <cell r="AA17">
            <v>120593.4532</v>
          </cell>
          <cell r="AB17">
            <v>121964.8811</v>
          </cell>
          <cell r="AC17">
            <v>123362.1528</v>
          </cell>
          <cell r="AD17">
            <v>124786.4276</v>
          </cell>
          <cell r="AE17">
            <v>126239.6119</v>
          </cell>
          <cell r="AF17">
            <v>127722.74830000001</v>
          </cell>
          <cell r="AG17">
            <v>129235.8124</v>
          </cell>
          <cell r="AH17">
            <v>130777.91009999999</v>
          </cell>
          <cell r="AI17">
            <v>132347.5594</v>
          </cell>
          <cell r="AJ17">
            <v>133942.95389999999</v>
          </cell>
          <cell r="AK17">
            <v>135562.1753</v>
          </cell>
          <cell r="AL17">
            <v>137139.6379</v>
          </cell>
          <cell r="AM17">
            <v>138728.02429999999</v>
          </cell>
          <cell r="AN17">
            <v>140329.34239999999</v>
          </cell>
          <cell r="AO17">
            <v>141944.65820000001</v>
          </cell>
          <cell r="AP17">
            <v>143574.84789999999</v>
          </cell>
          <cell r="AQ17">
            <v>145220.5778</v>
          </cell>
          <cell r="AR17">
            <v>146882.2169</v>
          </cell>
          <cell r="AS17">
            <v>148559.81659999999</v>
          </cell>
          <cell r="AT17">
            <v>150253.15239999999</v>
          </cell>
          <cell r="AU17">
            <v>151961.79759999999</v>
          </cell>
          <cell r="AV17">
            <v>153690.86850000001</v>
          </cell>
          <cell r="AW17">
            <v>155434.92939999999</v>
          </cell>
          <cell r="AX17">
            <v>157193.0816</v>
          </cell>
          <cell r="AY17">
            <v>158964.57560000001</v>
          </cell>
          <cell r="AZ17">
            <v>160748.76500000001</v>
          </cell>
          <cell r="BA17">
            <v>195144.80350000001</v>
          </cell>
          <cell r="BB17">
            <v>198536.37779999999</v>
          </cell>
          <cell r="BC17">
            <v>201991.7243</v>
          </cell>
          <cell r="BD17">
            <v>205511.9504</v>
          </cell>
          <cell r="BE17">
            <v>209098.14439999999</v>
          </cell>
        </row>
        <row r="18">
          <cell r="B18">
            <v>28089.33886</v>
          </cell>
          <cell r="C18">
            <v>28316.43375</v>
          </cell>
          <cell r="D18">
            <v>28656.944640000002</v>
          </cell>
          <cell r="E18">
            <v>29046.676520000001</v>
          </cell>
          <cell r="F18">
            <v>29464.165580000001</v>
          </cell>
          <cell r="G18">
            <v>29896.089749999999</v>
          </cell>
          <cell r="H18">
            <v>30309.874879999999</v>
          </cell>
          <cell r="I18">
            <v>30717.29421</v>
          </cell>
          <cell r="J18">
            <v>31116.1433</v>
          </cell>
          <cell r="K18">
            <v>31504.807420000001</v>
          </cell>
          <cell r="L18">
            <v>31920.47075</v>
          </cell>
          <cell r="M18">
            <v>32289.925869999999</v>
          </cell>
          <cell r="N18">
            <v>32644.668269999998</v>
          </cell>
          <cell r="O18">
            <v>32987.507409999998</v>
          </cell>
          <cell r="P18">
            <v>33320.209949999997</v>
          </cell>
          <cell r="Q18">
            <v>33644.559410000002</v>
          </cell>
          <cell r="R18">
            <v>33957.752359999999</v>
          </cell>
          <cell r="S18">
            <v>34266.0887</v>
          </cell>
          <cell r="T18">
            <v>34571.906499999997</v>
          </cell>
          <cell r="U18">
            <v>34877.337149999999</v>
          </cell>
          <cell r="V18">
            <v>35157.904549999999</v>
          </cell>
          <cell r="W18">
            <v>35463.246169999999</v>
          </cell>
          <cell r="X18">
            <v>35776.18303</v>
          </cell>
          <cell r="Y18">
            <v>36096.891430000003</v>
          </cell>
          <cell r="Z18">
            <v>36426.04765</v>
          </cell>
          <cell r="AA18">
            <v>36690.304799999998</v>
          </cell>
          <cell r="AB18">
            <v>36989.986270000001</v>
          </cell>
          <cell r="AC18">
            <v>37299.018069999998</v>
          </cell>
          <cell r="AD18">
            <v>37617.313589999998</v>
          </cell>
          <cell r="AE18">
            <v>37945.35641</v>
          </cell>
          <cell r="AF18">
            <v>38283.337299999999</v>
          </cell>
          <cell r="AG18">
            <v>38632.070460000003</v>
          </cell>
          <cell r="AH18">
            <v>38990.172330000001</v>
          </cell>
          <cell r="AI18">
            <v>39356.86692</v>
          </cell>
          <cell r="AJ18">
            <v>39731.295489999997</v>
          </cell>
          <cell r="AK18">
            <v>40112.568659999997</v>
          </cell>
          <cell r="AL18">
            <v>40491.802580000003</v>
          </cell>
          <cell r="AM18">
            <v>40873.981939999998</v>
          </cell>
          <cell r="AN18">
            <v>41259.538139999997</v>
          </cell>
          <cell r="AO18">
            <v>41648.517769999999</v>
          </cell>
          <cell r="AP18">
            <v>42040.858359999998</v>
          </cell>
          <cell r="AQ18">
            <v>42437.841139999997</v>
          </cell>
          <cell r="AR18">
            <v>42838.11148</v>
          </cell>
          <cell r="AS18">
            <v>43241.357349999998</v>
          </cell>
          <cell r="AT18">
            <v>43647.26758</v>
          </cell>
          <cell r="AU18">
            <v>44055.526579999998</v>
          </cell>
          <cell r="AV18">
            <v>44472.041960000002</v>
          </cell>
          <cell r="AW18">
            <v>44891.551299999999</v>
          </cell>
          <cell r="AX18">
            <v>44890.382440000001</v>
          </cell>
          <cell r="AY18">
            <v>44887.503239999998</v>
          </cell>
          <cell r="AZ18">
            <v>44887.172480000001</v>
          </cell>
          <cell r="BA18">
            <v>65374.391609999999</v>
          </cell>
          <cell r="BB18">
            <v>66504.938649999996</v>
          </cell>
          <cell r="BC18">
            <v>67655.673490000001</v>
          </cell>
          <cell r="BD18">
            <v>68826.861879999997</v>
          </cell>
          <cell r="BE18">
            <v>70018.761929999993</v>
          </cell>
        </row>
        <row r="19">
          <cell r="B19">
            <v>29143.341270000001</v>
          </cell>
          <cell r="C19">
            <v>29505.299350000001</v>
          </cell>
          <cell r="D19">
            <v>29909.783360000001</v>
          </cell>
          <cell r="E19">
            <v>30336.24712</v>
          </cell>
          <cell r="F19">
            <v>30778.43375</v>
          </cell>
          <cell r="G19">
            <v>31231.630430000001</v>
          </cell>
          <cell r="H19">
            <v>31669.027340000001</v>
          </cell>
          <cell r="I19">
            <v>32105.750820000001</v>
          </cell>
          <cell r="J19">
            <v>32541.505109999998</v>
          </cell>
          <cell r="K19">
            <v>32975.602639999997</v>
          </cell>
          <cell r="L19">
            <v>33447.50447</v>
          </cell>
          <cell r="M19">
            <v>33885.28327</v>
          </cell>
          <cell r="N19">
            <v>34317.537609999999</v>
          </cell>
          <cell r="O19">
            <v>34746.616560000002</v>
          </cell>
          <cell r="P19">
            <v>35173.949050000003</v>
          </cell>
          <cell r="Q19">
            <v>35600.972020000001</v>
          </cell>
          <cell r="R19">
            <v>36029.20768</v>
          </cell>
          <cell r="S19">
            <v>36460.186840000002</v>
          </cell>
          <cell r="T19">
            <v>36895.366900000001</v>
          </cell>
          <cell r="U19">
            <v>37336.073709999997</v>
          </cell>
          <cell r="V19">
            <v>37754.884010000002</v>
          </cell>
          <cell r="W19">
            <v>38204.270570000001</v>
          </cell>
          <cell r="X19">
            <v>38664.7598</v>
          </cell>
          <cell r="Y19">
            <v>39135.766810000001</v>
          </cell>
          <cell r="Z19">
            <v>39617.33711</v>
          </cell>
          <cell r="AA19">
            <v>40028.223039999997</v>
          </cell>
          <cell r="AB19">
            <v>40476.007890000001</v>
          </cell>
          <cell r="AC19">
            <v>40933.296179999998</v>
          </cell>
          <cell r="AD19">
            <v>41399.879739999997</v>
          </cell>
          <cell r="AE19">
            <v>41876.241349999997</v>
          </cell>
          <cell r="AF19">
            <v>42362.639450000002</v>
          </cell>
          <cell r="AG19">
            <v>42858.977160000002</v>
          </cell>
          <cell r="AH19">
            <v>43364.859579999997</v>
          </cell>
          <cell r="AI19">
            <v>43879.692060000001</v>
          </cell>
          <cell r="AJ19">
            <v>44402.774290000001</v>
          </cell>
          <cell r="AK19">
            <v>44933.375840000001</v>
          </cell>
          <cell r="AL19">
            <v>45451.624609999999</v>
          </cell>
          <cell r="AM19">
            <v>45971.97928</v>
          </cell>
          <cell r="AN19">
            <v>46495.56985</v>
          </cell>
          <cell r="AO19">
            <v>47022.85845</v>
          </cell>
          <cell r="AP19">
            <v>47554.163390000002</v>
          </cell>
          <cell r="AQ19">
            <v>48089.712030000002</v>
          </cell>
          <cell r="AR19">
            <v>48629.628089999998</v>
          </cell>
          <cell r="AS19">
            <v>49173.930690000001</v>
          </cell>
          <cell r="AT19">
            <v>49722.551529999997</v>
          </cell>
          <cell r="AU19">
            <v>50275.361989999998</v>
          </cell>
          <cell r="AV19">
            <v>50833.901330000001</v>
          </cell>
          <cell r="AW19">
            <v>51396.660929999998</v>
          </cell>
          <cell r="AX19">
            <v>51963.336539999997</v>
          </cell>
          <cell r="AY19">
            <v>52533.713219999998</v>
          </cell>
          <cell r="AZ19">
            <v>53107.624940000002</v>
          </cell>
          <cell r="BA19">
            <v>65674.958790000004</v>
          </cell>
          <cell r="BB19">
            <v>66820.09246</v>
          </cell>
          <cell r="BC19">
            <v>67985.551479999995</v>
          </cell>
          <cell r="BD19">
            <v>69171.626420000001</v>
          </cell>
          <cell r="BE19">
            <v>70378.605540000004</v>
          </cell>
        </row>
        <row r="20">
          <cell r="B20">
            <v>77532.669389999995</v>
          </cell>
          <cell r="C20">
            <v>78143.518230000001</v>
          </cell>
          <cell r="D20">
            <v>79115.295989999999</v>
          </cell>
          <cell r="E20">
            <v>80231.081579999998</v>
          </cell>
          <cell r="F20">
            <v>81414.846460000001</v>
          </cell>
          <cell r="G20">
            <v>82623.280660000004</v>
          </cell>
          <cell r="H20">
            <v>83767.157370000001</v>
          </cell>
          <cell r="I20">
            <v>84879.4755</v>
          </cell>
          <cell r="J20">
            <v>85957.975470000005</v>
          </cell>
          <cell r="K20">
            <v>87002.109679999994</v>
          </cell>
          <cell r="L20">
            <v>88115.062749999997</v>
          </cell>
          <cell r="M20">
            <v>89103.635339999993</v>
          </cell>
          <cell r="N20">
            <v>90054.245370000004</v>
          </cell>
          <cell r="O20">
            <v>90977.574210000006</v>
          </cell>
          <cell r="P20">
            <v>91879.966379999998</v>
          </cell>
          <cell r="Q20">
            <v>92767.092709999997</v>
          </cell>
          <cell r="R20">
            <v>93631.439799999993</v>
          </cell>
          <cell r="S20">
            <v>94490.176149999999</v>
          </cell>
          <cell r="T20">
            <v>95349.706380000003</v>
          </cell>
          <cell r="U20">
            <v>96215.560710000005</v>
          </cell>
          <cell r="V20">
            <v>97021.835279999999</v>
          </cell>
          <cell r="W20">
            <v>97901.184439999997</v>
          </cell>
          <cell r="X20">
            <v>98807.566149999999</v>
          </cell>
          <cell r="Y20">
            <v>99740.341020000007</v>
          </cell>
          <cell r="Z20">
            <v>100700.7836</v>
          </cell>
          <cell r="AA20">
            <v>101491.527</v>
          </cell>
          <cell r="AB20">
            <v>102381.75290000001</v>
          </cell>
          <cell r="AC20">
            <v>103302.1872</v>
          </cell>
          <cell r="AD20">
            <v>104250.8659</v>
          </cell>
          <cell r="AE20">
            <v>105228.1716</v>
          </cell>
          <cell r="AF20">
            <v>106233.9549</v>
          </cell>
          <cell r="AG20">
            <v>107269.97229999999</v>
          </cell>
          <cell r="AH20">
            <v>108332.00900000001</v>
          </cell>
          <cell r="AI20">
            <v>109417.537</v>
          </cell>
          <cell r="AJ20">
            <v>110523.9077</v>
          </cell>
          <cell r="AK20">
            <v>111648.4702</v>
          </cell>
          <cell r="AL20">
            <v>112767.95329999999</v>
          </cell>
          <cell r="AM20">
            <v>113895.4194</v>
          </cell>
          <cell r="AN20">
            <v>115031.8655</v>
          </cell>
          <cell r="AO20">
            <v>116177.1623</v>
          </cell>
          <cell r="AP20">
            <v>117330.92879999999</v>
          </cell>
          <cell r="AQ20">
            <v>118496.63250000001</v>
          </cell>
          <cell r="AR20">
            <v>119670.5047</v>
          </cell>
          <cell r="AS20">
            <v>120851.61780000001</v>
          </cell>
          <cell r="AT20">
            <v>122039.12360000001</v>
          </cell>
          <cell r="AU20">
            <v>123232.19650000001</v>
          </cell>
          <cell r="AV20">
            <v>124447.3797</v>
          </cell>
          <cell r="AW20">
            <v>125670.39539999999</v>
          </cell>
          <cell r="AX20">
            <v>125669.41469999999</v>
          </cell>
          <cell r="AY20">
            <v>125666.9801</v>
          </cell>
          <cell r="AZ20">
            <v>125666.6801</v>
          </cell>
          <cell r="BA20">
            <v>183022.07269999999</v>
          </cell>
          <cell r="BB20">
            <v>186256.61790000001</v>
          </cell>
          <cell r="BC20">
            <v>189546.32399999999</v>
          </cell>
          <cell r="BD20">
            <v>192891.60990000001</v>
          </cell>
          <cell r="BE20">
            <v>196292.88219999999</v>
          </cell>
        </row>
        <row r="21">
          <cell r="B21">
            <v>80409.939419999995</v>
          </cell>
          <cell r="C21">
            <v>81413.826409999994</v>
          </cell>
          <cell r="D21">
            <v>82550.446400000001</v>
          </cell>
          <cell r="E21">
            <v>83751.098459999994</v>
          </cell>
          <cell r="F21">
            <v>84991.853260000004</v>
          </cell>
          <cell r="G21">
            <v>86258.029389999996</v>
          </cell>
          <cell r="H21">
            <v>87478.215630000006</v>
          </cell>
          <cell r="I21">
            <v>88694.400110000002</v>
          </cell>
          <cell r="J21">
            <v>89907.979980000004</v>
          </cell>
          <cell r="K21">
            <v>91118.702520000006</v>
          </cell>
          <cell r="L21">
            <v>92433.699040000007</v>
          </cell>
          <cell r="M21">
            <v>93661.147320000004</v>
          </cell>
          <cell r="N21">
            <v>94877.795289999995</v>
          </cell>
          <cell r="O21">
            <v>96091.534379999997</v>
          </cell>
          <cell r="P21">
            <v>97306.767550000004</v>
          </cell>
          <cell r="Q21">
            <v>98527.575859999997</v>
          </cell>
          <cell r="R21">
            <v>99758.088279999996</v>
          </cell>
          <cell r="S21">
            <v>101002.3328</v>
          </cell>
          <cell r="T21">
            <v>102264.0423</v>
          </cell>
          <cell r="U21">
            <v>103546.5171</v>
          </cell>
          <cell r="V21">
            <v>104775.59819999999</v>
          </cell>
          <cell r="W21">
            <v>106092.079</v>
          </cell>
          <cell r="X21">
            <v>107443.7488</v>
          </cell>
          <cell r="Y21">
            <v>108827.9164</v>
          </cell>
          <cell r="Z21">
            <v>110244.19409999999</v>
          </cell>
          <cell r="AA21">
            <v>111472.89969999999</v>
          </cell>
          <cell r="AB21">
            <v>112803.6309</v>
          </cell>
          <cell r="AC21">
            <v>114163.7791</v>
          </cell>
          <cell r="AD21">
            <v>115551.1473</v>
          </cell>
          <cell r="AE21">
            <v>116966.18459999999</v>
          </cell>
          <cell r="AF21">
            <v>118408.98209999999</v>
          </cell>
          <cell r="AG21">
            <v>119878.78780000001</v>
          </cell>
          <cell r="AH21">
            <v>121374.1151</v>
          </cell>
          <cell r="AI21">
            <v>122892.9976</v>
          </cell>
          <cell r="AJ21">
            <v>124433.2476</v>
          </cell>
          <cell r="AK21">
            <v>125992.6648</v>
          </cell>
          <cell r="AL21">
            <v>127517.15429999999</v>
          </cell>
          <cell r="AM21">
            <v>129045.6988</v>
          </cell>
          <cell r="AN21">
            <v>130581.6813</v>
          </cell>
          <cell r="AO21">
            <v>132126.24040000001</v>
          </cell>
          <cell r="AP21">
            <v>133680.07250000001</v>
          </cell>
          <cell r="AQ21">
            <v>135243.6557</v>
          </cell>
          <cell r="AR21">
            <v>136817.22529999999</v>
          </cell>
          <cell r="AS21">
            <v>138400.76569999999</v>
          </cell>
          <cell r="AT21">
            <v>139994.05050000001</v>
          </cell>
          <cell r="AU21">
            <v>141596.71549999999</v>
          </cell>
          <cell r="AV21">
            <v>143212.97010000001</v>
          </cell>
          <cell r="AW21">
            <v>144838.761</v>
          </cell>
          <cell r="AX21">
            <v>146473.29560000001</v>
          </cell>
          <cell r="AY21">
            <v>148116.0925</v>
          </cell>
          <cell r="AZ21">
            <v>149766.83259999999</v>
          </cell>
          <cell r="BA21">
            <v>183905.85140000001</v>
          </cell>
          <cell r="BB21">
            <v>187177.02359999999</v>
          </cell>
          <cell r="BC21">
            <v>190503.01850000001</v>
          </cell>
          <cell r="BD21">
            <v>193884.32029999999</v>
          </cell>
          <cell r="BE21">
            <v>197321.42540000001</v>
          </cell>
        </row>
        <row r="22">
          <cell r="B22">
            <v>77245.116410000002</v>
          </cell>
          <cell r="C22">
            <v>78231.143809999994</v>
          </cell>
          <cell r="D22">
            <v>79438.720350000003</v>
          </cell>
          <cell r="E22">
            <v>80723.234939999995</v>
          </cell>
          <cell r="F22">
            <v>82036.459000000003</v>
          </cell>
          <cell r="G22">
            <v>83346.801500000001</v>
          </cell>
          <cell r="H22">
            <v>84557.194239999997</v>
          </cell>
          <cell r="I22">
            <v>85726.528409999999</v>
          </cell>
          <cell r="J22">
            <v>86851.115000000005</v>
          </cell>
          <cell r="K22">
            <v>87930.054600000003</v>
          </cell>
          <cell r="L22">
            <v>89088.556649999999</v>
          </cell>
          <cell r="M22">
            <v>90070.178480000002</v>
          </cell>
          <cell r="N22">
            <v>91009.462979999997</v>
          </cell>
          <cell r="O22">
            <v>91913.582209999993</v>
          </cell>
          <cell r="P22">
            <v>92788.641910000006</v>
          </cell>
          <cell r="Q22">
            <v>93640.864730000001</v>
          </cell>
          <cell r="R22">
            <v>94458.67353</v>
          </cell>
          <cell r="S22">
            <v>95266.364709999994</v>
          </cell>
          <cell r="T22">
            <v>96070.691430000006</v>
          </cell>
          <cell r="U22">
            <v>96877.856490000006</v>
          </cell>
          <cell r="V22">
            <v>97607.150339999993</v>
          </cell>
          <cell r="W22">
            <v>98432.456860000006</v>
          </cell>
          <cell r="X22">
            <v>99278.765750000006</v>
          </cell>
          <cell r="Y22">
            <v>100148.1069</v>
          </cell>
          <cell r="Z22">
            <v>101042.55499999999</v>
          </cell>
          <cell r="AA22">
            <v>101722.0071</v>
          </cell>
          <cell r="AB22">
            <v>102551.32279999999</v>
          </cell>
          <cell r="AC22">
            <v>103409.9826</v>
          </cell>
          <cell r="AD22">
            <v>104297.8273</v>
          </cell>
          <cell r="AE22">
            <v>105215.048</v>
          </cell>
          <cell r="AF22">
            <v>106161.1778</v>
          </cell>
          <cell r="AG22">
            <v>107138.84540000001</v>
          </cell>
          <cell r="AH22">
            <v>108142.4694</v>
          </cell>
          <cell r="AI22">
            <v>109169.68580000001</v>
          </cell>
          <cell r="AJ22">
            <v>110217.97719999999</v>
          </cell>
          <cell r="AK22">
            <v>111284.82399999999</v>
          </cell>
          <cell r="AL22">
            <v>112346.27680000001</v>
          </cell>
          <cell r="AM22">
            <v>113420.1471</v>
          </cell>
          <cell r="AN22">
            <v>114506.04270000001</v>
          </cell>
          <cell r="AO22">
            <v>115603.2493</v>
          </cell>
          <cell r="AP22">
            <v>116711.0719</v>
          </cell>
          <cell r="AQ22">
            <v>117834.24920000001</v>
          </cell>
          <cell r="AR22">
            <v>118967.12119999999</v>
          </cell>
          <cell r="AS22">
            <v>120108.91899999999</v>
          </cell>
          <cell r="AT22">
            <v>121258.9005</v>
          </cell>
          <cell r="AU22">
            <v>122416.35550000001</v>
          </cell>
          <cell r="AV22">
            <v>123603.6355</v>
          </cell>
          <cell r="AW22">
            <v>124799.0583</v>
          </cell>
          <cell r="AX22">
            <v>124797.9562</v>
          </cell>
          <cell r="AY22">
            <v>124795.26270000001</v>
          </cell>
          <cell r="AZ22">
            <v>124794.9595</v>
          </cell>
          <cell r="BA22">
            <v>183523.55319999999</v>
          </cell>
          <cell r="BB22">
            <v>186745.99849999999</v>
          </cell>
          <cell r="BC22">
            <v>190030.42559999999</v>
          </cell>
          <cell r="BD22">
            <v>193377.65919999999</v>
          </cell>
          <cell r="BE22">
            <v>196788.48449999999</v>
          </cell>
        </row>
        <row r="23">
          <cell r="B23">
            <v>81296.748479999995</v>
          </cell>
          <cell r="C23">
            <v>82524.353210000001</v>
          </cell>
          <cell r="D23">
            <v>83862.402820000003</v>
          </cell>
          <cell r="E23">
            <v>85229.621159999995</v>
          </cell>
          <cell r="F23">
            <v>86611.465469999996</v>
          </cell>
          <cell r="G23">
            <v>87997.265039999998</v>
          </cell>
          <cell r="H23">
            <v>89303.396370000002</v>
          </cell>
          <cell r="I23">
            <v>90595.554350000006</v>
          </cell>
          <cell r="J23">
            <v>91873.463799999998</v>
          </cell>
          <cell r="K23">
            <v>93137.313729999994</v>
          </cell>
          <cell r="L23">
            <v>94520.016149999996</v>
          </cell>
          <cell r="M23">
            <v>95767.337239999993</v>
          </cell>
          <cell r="N23">
            <v>97001.846609999993</v>
          </cell>
          <cell r="O23">
            <v>98229.010859999995</v>
          </cell>
          <cell r="P23">
            <v>99453.359209999995</v>
          </cell>
          <cell r="Q23">
            <v>100679.47779999999</v>
          </cell>
          <cell r="R23">
            <v>101912.02340000001</v>
          </cell>
          <cell r="S23">
            <v>103155.5209</v>
          </cell>
          <cell r="T23">
            <v>104414.1658</v>
          </cell>
          <cell r="U23">
            <v>105691.68730000001</v>
          </cell>
          <cell r="V23">
            <v>106896.2671</v>
          </cell>
          <cell r="W23">
            <v>108215.307</v>
          </cell>
          <cell r="X23">
            <v>109564.5613</v>
          </cell>
          <cell r="Y23">
            <v>110944.145</v>
          </cell>
          <cell r="Z23">
            <v>112354.5769</v>
          </cell>
          <cell r="AA23">
            <v>113524.933</v>
          </cell>
          <cell r="AB23">
            <v>114853.23639999999</v>
          </cell>
          <cell r="AC23">
            <v>116212.6872</v>
          </cell>
          <cell r="AD23">
            <v>117603.06080000001</v>
          </cell>
          <cell r="AE23">
            <v>119024.7559</v>
          </cell>
          <cell r="AF23">
            <v>120477.6759</v>
          </cell>
          <cell r="AG23">
            <v>121961.0157</v>
          </cell>
          <cell r="AH23">
            <v>123473.36689999999</v>
          </cell>
          <cell r="AI23">
            <v>125012.92509999999</v>
          </cell>
          <cell r="AJ23">
            <v>126577.70170000001</v>
          </cell>
          <cell r="AK23">
            <v>128165.6983</v>
          </cell>
          <cell r="AL23">
            <v>129710.5295</v>
          </cell>
          <cell r="AM23">
            <v>131270.5472</v>
          </cell>
          <cell r="AN23">
            <v>132846.55929999999</v>
          </cell>
          <cell r="AO23">
            <v>134438.72510000001</v>
          </cell>
          <cell r="AP23">
            <v>136047.144</v>
          </cell>
          <cell r="AQ23">
            <v>137671.87179999999</v>
          </cell>
          <cell r="AR23">
            <v>139312.8481</v>
          </cell>
          <cell r="AS23">
            <v>140969.86040000001</v>
          </cell>
          <cell r="AT23">
            <v>142642.5563</v>
          </cell>
          <cell r="AU23">
            <v>144330.48699999999</v>
          </cell>
          <cell r="AV23">
            <v>146038.92189999999</v>
          </cell>
          <cell r="AW23">
            <v>147762.0097</v>
          </cell>
          <cell r="AX23">
            <v>149499.10579999999</v>
          </cell>
          <cell r="AY23">
            <v>151249.7078</v>
          </cell>
          <cell r="AZ23">
            <v>153013.4112</v>
          </cell>
          <cell r="BA23">
            <v>184523.6764</v>
          </cell>
          <cell r="BB23">
            <v>187799.9662</v>
          </cell>
          <cell r="BC23">
            <v>191139.277</v>
          </cell>
          <cell r="BD23">
            <v>194542.50580000001</v>
          </cell>
          <cell r="BE23">
            <v>198010.52179999999</v>
          </cell>
        </row>
        <row r="24">
          <cell r="B24">
            <v>102189.7118</v>
          </cell>
          <cell r="C24">
            <v>102818.587</v>
          </cell>
          <cell r="D24">
            <v>103870.05250000001</v>
          </cell>
          <cell r="E24">
            <v>105130.8401</v>
          </cell>
          <cell r="F24">
            <v>106508.06600000001</v>
          </cell>
          <cell r="G24">
            <v>107947.3247</v>
          </cell>
          <cell r="H24">
            <v>109345.88430000001</v>
          </cell>
          <cell r="I24">
            <v>110739.2202</v>
          </cell>
          <cell r="J24">
            <v>112131.2455</v>
          </cell>
          <cell r="K24">
            <v>113527.5083</v>
          </cell>
          <cell r="L24">
            <v>115052.8729</v>
          </cell>
          <cell r="M24">
            <v>116497.5269</v>
          </cell>
          <cell r="N24">
            <v>117942.94899999999</v>
          </cell>
          <cell r="O24">
            <v>119396.2175</v>
          </cell>
          <cell r="P24">
            <v>120859.09179999999</v>
          </cell>
          <cell r="Q24">
            <v>122331.70209999999</v>
          </cell>
          <cell r="R24">
            <v>123801.4096</v>
          </cell>
          <cell r="S24">
            <v>125277.88039999999</v>
          </cell>
          <cell r="T24">
            <v>126762.36139999999</v>
          </cell>
          <cell r="U24">
            <v>128256.1868</v>
          </cell>
          <cell r="V24">
            <v>129676.4569</v>
          </cell>
          <cell r="W24">
            <v>131168.54579999999</v>
          </cell>
          <cell r="X24">
            <v>132686.41990000001</v>
          </cell>
          <cell r="Y24">
            <v>134228.8371</v>
          </cell>
          <cell r="Z24">
            <v>135796.59849999999</v>
          </cell>
          <cell r="AA24">
            <v>137151.58799999999</v>
          </cell>
          <cell r="AB24">
            <v>138589.33790000001</v>
          </cell>
          <cell r="AC24">
            <v>140047.30410000001</v>
          </cell>
          <cell r="AD24">
            <v>141527.9872</v>
          </cell>
          <cell r="AE24">
            <v>143034.95680000001</v>
          </cell>
          <cell r="AF24">
            <v>144570.42389999999</v>
          </cell>
          <cell r="AG24">
            <v>146137.76259999999</v>
          </cell>
          <cell r="AH24">
            <v>147734.41570000001</v>
          </cell>
          <cell r="AI24">
            <v>149358.96849999999</v>
          </cell>
          <cell r="AJ24">
            <v>151009.7929</v>
          </cell>
          <cell r="AK24">
            <v>152685.25099999999</v>
          </cell>
          <cell r="AL24">
            <v>154352.32639999999</v>
          </cell>
          <cell r="AM24">
            <v>156029.20129999999</v>
          </cell>
          <cell r="AN24">
            <v>157719.24799999999</v>
          </cell>
          <cell r="AO24">
            <v>159424.2421</v>
          </cell>
          <cell r="AP24">
            <v>161145.30910000001</v>
          </cell>
          <cell r="AQ24">
            <v>162886.91800000001</v>
          </cell>
          <cell r="AR24">
            <v>164646.38939999999</v>
          </cell>
          <cell r="AS24">
            <v>166423.08009999999</v>
          </cell>
          <cell r="AT24">
            <v>168216.17079999999</v>
          </cell>
          <cell r="AU24">
            <v>170024.7653</v>
          </cell>
          <cell r="AV24">
            <v>171866.07329999999</v>
          </cell>
          <cell r="AW24">
            <v>173726.93520000001</v>
          </cell>
          <cell r="AX24">
            <v>173725.7101</v>
          </cell>
          <cell r="AY24">
            <v>173722.83230000001</v>
          </cell>
          <cell r="AZ24">
            <v>173722.51699999999</v>
          </cell>
          <cell r="BA24">
            <v>237062.62289999999</v>
          </cell>
          <cell r="BB24">
            <v>241147.1697</v>
          </cell>
          <cell r="BC24">
            <v>245299.2776</v>
          </cell>
          <cell r="BD24">
            <v>249519.81039999999</v>
          </cell>
          <cell r="BE24">
            <v>253809.6715</v>
          </cell>
        </row>
        <row r="25">
          <cell r="B25">
            <v>104813.0211</v>
          </cell>
          <cell r="C25">
            <v>105989.1118</v>
          </cell>
          <cell r="D25">
            <v>107342.7184</v>
          </cell>
          <cell r="E25">
            <v>108809.87330000001</v>
          </cell>
          <cell r="F25">
            <v>110363.9032</v>
          </cell>
          <cell r="G25">
            <v>111986.18369999999</v>
          </cell>
          <cell r="H25">
            <v>113591.76850000001</v>
          </cell>
          <cell r="I25">
            <v>115219.8686</v>
          </cell>
          <cell r="J25">
            <v>116870.80130000001</v>
          </cell>
          <cell r="K25">
            <v>118543.23940000001</v>
          </cell>
          <cell r="L25">
            <v>120360.2822</v>
          </cell>
          <cell r="M25">
            <v>122110.0693</v>
          </cell>
          <cell r="N25">
            <v>123863.9543</v>
          </cell>
          <cell r="O25">
            <v>125627.0772</v>
          </cell>
          <cell r="P25">
            <v>127401.8027</v>
          </cell>
          <cell r="Q25">
            <v>129190.3852</v>
          </cell>
          <cell r="R25">
            <v>130995.2778</v>
          </cell>
          <cell r="S25">
            <v>132818.95629999999</v>
          </cell>
          <cell r="T25">
            <v>134663.75159999999</v>
          </cell>
          <cell r="U25">
            <v>136531.77410000001</v>
          </cell>
          <cell r="V25">
            <v>138334.44620000001</v>
          </cell>
          <cell r="W25">
            <v>140226.0325</v>
          </cell>
          <cell r="X25">
            <v>142156.21230000001</v>
          </cell>
          <cell r="Y25">
            <v>144122.3481</v>
          </cell>
          <cell r="Z25">
            <v>146123.83050000001</v>
          </cell>
          <cell r="AA25">
            <v>147901.2629</v>
          </cell>
          <cell r="AB25">
            <v>149767.3155</v>
          </cell>
          <cell r="AC25">
            <v>151656.49890000001</v>
          </cell>
          <cell r="AD25">
            <v>153570.79879999999</v>
          </cell>
          <cell r="AE25">
            <v>155513.5575</v>
          </cell>
          <cell r="AF25">
            <v>157486.872</v>
          </cell>
          <cell r="AG25">
            <v>159491.31880000001</v>
          </cell>
          <cell r="AH25">
            <v>161526.34839999999</v>
          </cell>
          <cell r="AI25">
            <v>163590.7715</v>
          </cell>
          <cell r="AJ25">
            <v>165683.15429999999</v>
          </cell>
          <cell r="AK25">
            <v>167802.0821</v>
          </cell>
          <cell r="AL25">
            <v>169884.57310000001</v>
          </cell>
          <cell r="AM25">
            <v>171970.99179999999</v>
          </cell>
          <cell r="AN25">
            <v>174067.39550000001</v>
          </cell>
          <cell r="AO25">
            <v>176177.4627</v>
          </cell>
          <cell r="AP25">
            <v>178303.96799999999</v>
          </cell>
          <cell r="AQ25">
            <v>180448.92230000001</v>
          </cell>
          <cell r="AR25">
            <v>182613.57339999999</v>
          </cell>
          <cell r="AS25">
            <v>184798.50270000001</v>
          </cell>
          <cell r="AT25">
            <v>187003.80059999999</v>
          </cell>
          <cell r="AU25">
            <v>189229.26079999999</v>
          </cell>
          <cell r="AV25">
            <v>191480.0656</v>
          </cell>
          <cell r="AW25">
            <v>193752.19020000001</v>
          </cell>
          <cell r="AX25">
            <v>196044.77230000001</v>
          </cell>
          <cell r="AY25">
            <v>198357.29440000001</v>
          </cell>
          <cell r="AZ25">
            <v>200689.45139999999</v>
          </cell>
          <cell r="BA25">
            <v>237783.5478</v>
          </cell>
          <cell r="BB25">
            <v>241895.67249999999</v>
          </cell>
          <cell r="BC25">
            <v>246074.98370000001</v>
          </cell>
          <cell r="BD25">
            <v>250322.47320000001</v>
          </cell>
          <cell r="BE25">
            <v>254639.1814</v>
          </cell>
        </row>
        <row r="26">
          <cell r="B26">
            <v>269862.74099999998</v>
          </cell>
          <cell r="C26">
            <v>272255.42430000001</v>
          </cell>
          <cell r="D26">
            <v>275250.74969999999</v>
          </cell>
          <cell r="E26">
            <v>278601.3847</v>
          </cell>
          <cell r="F26">
            <v>282102.9253</v>
          </cell>
          <cell r="G26">
            <v>285622.90600000002</v>
          </cell>
          <cell r="H26">
            <v>288993.62920000002</v>
          </cell>
          <cell r="I26">
            <v>292250.55379999999</v>
          </cell>
          <cell r="J26">
            <v>295450.87589999998</v>
          </cell>
          <cell r="K26">
            <v>298665.93719999999</v>
          </cell>
          <cell r="L26">
            <v>302149.7562</v>
          </cell>
          <cell r="M26">
            <v>305712.53779999999</v>
          </cell>
          <cell r="N26">
            <v>309429.72240000003</v>
          </cell>
          <cell r="O26">
            <v>313337.65590000001</v>
          </cell>
          <cell r="P26">
            <v>317455.70270000002</v>
          </cell>
          <cell r="Q26">
            <v>321790.27419999999</v>
          </cell>
          <cell r="R26">
            <v>326326.54840000003</v>
          </cell>
          <cell r="S26">
            <v>331058.25839999999</v>
          </cell>
          <cell r="T26">
            <v>335974.4645</v>
          </cell>
          <cell r="U26">
            <v>341062.73800000001</v>
          </cell>
          <cell r="V26">
            <v>346177.47210000001</v>
          </cell>
          <cell r="W26">
            <v>351479.1826</v>
          </cell>
          <cell r="X26">
            <v>356939.32919999998</v>
          </cell>
          <cell r="Y26">
            <v>362546.03279999999</v>
          </cell>
          <cell r="Z26">
            <v>368289.81229999999</v>
          </cell>
          <cell r="AA26">
            <v>373778.13270000002</v>
          </cell>
          <cell r="AB26">
            <v>379320.8714</v>
          </cell>
          <cell r="AC26">
            <v>384907.00140000001</v>
          </cell>
          <cell r="AD26">
            <v>390544.8492</v>
          </cell>
          <cell r="AE26">
            <v>396240.75380000001</v>
          </cell>
          <cell r="AF26">
            <v>401997.41810000001</v>
          </cell>
          <cell r="AG26">
            <v>407816.95079999999</v>
          </cell>
          <cell r="AH26">
            <v>413695.18650000001</v>
          </cell>
          <cell r="AI26">
            <v>419626.90340000001</v>
          </cell>
          <cell r="AJ26">
            <v>425606.7328</v>
          </cell>
          <cell r="AK26">
            <v>431630.01059999998</v>
          </cell>
          <cell r="AL26">
            <v>437628.77559999999</v>
          </cell>
          <cell r="AM26">
            <v>443620.86969999998</v>
          </cell>
          <cell r="AN26">
            <v>449614.46879999997</v>
          </cell>
          <cell r="AO26">
            <v>455615.4081</v>
          </cell>
          <cell r="AP26">
            <v>461628.05829999998</v>
          </cell>
          <cell r="AQ26">
            <v>467660.09039999999</v>
          </cell>
          <cell r="AR26">
            <v>473712.1594</v>
          </cell>
          <cell r="AS26">
            <v>479783.8051</v>
          </cell>
          <cell r="AT26">
            <v>485873.46899999998</v>
          </cell>
          <cell r="AU26">
            <v>491979.13069999998</v>
          </cell>
          <cell r="AV26">
            <v>498123.89929999999</v>
          </cell>
          <cell r="AW26">
            <v>504301.6447</v>
          </cell>
          <cell r="AX26">
            <v>504298.78619999997</v>
          </cell>
          <cell r="AY26">
            <v>504291.97930000001</v>
          </cell>
          <cell r="AZ26">
            <v>504291.16369999998</v>
          </cell>
          <cell r="BA26">
            <v>696884.66639999999</v>
          </cell>
          <cell r="BB26">
            <v>709947.75120000006</v>
          </cell>
          <cell r="BC26">
            <v>723115.34360000002</v>
          </cell>
          <cell r="BD26">
            <v>736382.24600000004</v>
          </cell>
          <cell r="BE26">
            <v>749743.90249999997</v>
          </cell>
        </row>
        <row r="27">
          <cell r="B27">
            <v>271408.69510000001</v>
          </cell>
          <cell r="C27">
            <v>274946.47869999998</v>
          </cell>
          <cell r="D27">
            <v>278726.01850000001</v>
          </cell>
          <cell r="E27">
            <v>282713.22979999997</v>
          </cell>
          <cell r="F27">
            <v>286888.74810000003</v>
          </cell>
          <cell r="G27">
            <v>291240.73310000001</v>
          </cell>
          <cell r="H27">
            <v>295655.96090000001</v>
          </cell>
          <cell r="I27">
            <v>300166.48210000002</v>
          </cell>
          <cell r="J27">
            <v>304791.45689999999</v>
          </cell>
          <cell r="K27">
            <v>309547.8138</v>
          </cell>
          <cell r="L27">
            <v>314638.82870000001</v>
          </cell>
          <cell r="M27">
            <v>319832.13260000001</v>
          </cell>
          <cell r="N27">
            <v>325162.29509999999</v>
          </cell>
          <cell r="O27">
            <v>330639.2548</v>
          </cell>
          <cell r="P27">
            <v>336269.07610000001</v>
          </cell>
          <cell r="Q27">
            <v>342055.51169999997</v>
          </cell>
          <cell r="R27">
            <v>348000.3835</v>
          </cell>
          <cell r="S27">
            <v>354103.51419999998</v>
          </cell>
          <cell r="T27">
            <v>360362.75469999999</v>
          </cell>
          <cell r="U27">
            <v>366774.24979999999</v>
          </cell>
          <cell r="V27">
            <v>373191.79340000002</v>
          </cell>
          <cell r="W27">
            <v>379788.88819999999</v>
          </cell>
          <cell r="X27">
            <v>386540.37209999998</v>
          </cell>
          <cell r="Y27">
            <v>393436.17170000001</v>
          </cell>
          <cell r="Z27">
            <v>400467.01500000001</v>
          </cell>
          <cell r="AA27">
            <v>407213.20240000001</v>
          </cell>
          <cell r="AB27">
            <v>413991.0024</v>
          </cell>
          <cell r="AC27">
            <v>420788.1433</v>
          </cell>
          <cell r="AD27">
            <v>427611.80009999999</v>
          </cell>
          <cell r="AE27">
            <v>434467.23830000003</v>
          </cell>
          <cell r="AF27">
            <v>441355.9203</v>
          </cell>
          <cell r="AG27">
            <v>448275.36820000003</v>
          </cell>
          <cell r="AH27">
            <v>455220.2684</v>
          </cell>
          <cell r="AI27">
            <v>462183.95569999999</v>
          </cell>
          <cell r="AJ27">
            <v>469159.73509999999</v>
          </cell>
          <cell r="AK27">
            <v>476141.8039</v>
          </cell>
          <cell r="AL27">
            <v>483025.342</v>
          </cell>
          <cell r="AM27">
            <v>489832.60700000002</v>
          </cell>
          <cell r="AN27">
            <v>496574.90720000002</v>
          </cell>
          <cell r="AO27">
            <v>503262.39399999997</v>
          </cell>
          <cell r="AP27">
            <v>509904.11339999997</v>
          </cell>
          <cell r="AQ27">
            <v>516507.44530000002</v>
          </cell>
          <cell r="AR27">
            <v>523077.72970000003</v>
          </cell>
          <cell r="AS27">
            <v>529618.3615</v>
          </cell>
          <cell r="AT27">
            <v>536131.26500000001</v>
          </cell>
          <cell r="AU27">
            <v>542617.54480000003</v>
          </cell>
          <cell r="AV27">
            <v>549087.17200000002</v>
          </cell>
          <cell r="AW27">
            <v>555539.12060000002</v>
          </cell>
          <cell r="AX27">
            <v>561974.1213</v>
          </cell>
          <cell r="AY27">
            <v>568393.92859999998</v>
          </cell>
          <cell r="AZ27">
            <v>574801.29729999998</v>
          </cell>
          <cell r="BA27">
            <v>696433.33770000003</v>
          </cell>
          <cell r="BB27">
            <v>709265.26879999996</v>
          </cell>
          <cell r="BC27">
            <v>722177.89289999998</v>
          </cell>
          <cell r="BD27">
            <v>735166.22560000001</v>
          </cell>
          <cell r="BE27">
            <v>748226.09380000003</v>
          </cell>
        </row>
        <row r="28">
          <cell r="B28">
            <v>6677.0581830000001</v>
          </cell>
          <cell r="C28">
            <v>6722.7086950000003</v>
          </cell>
          <cell r="D28">
            <v>6782.8019130000002</v>
          </cell>
          <cell r="E28">
            <v>6851.5879000000004</v>
          </cell>
          <cell r="F28">
            <v>6926.925843</v>
          </cell>
          <cell r="G28">
            <v>7007.12698</v>
          </cell>
          <cell r="H28">
            <v>7086.5630410000003</v>
          </cell>
          <cell r="I28">
            <v>7167.2580440000002</v>
          </cell>
          <cell r="J28">
            <v>7249.0602230000004</v>
          </cell>
          <cell r="K28">
            <v>7331.7871299999997</v>
          </cell>
          <cell r="L28">
            <v>7422.4210249999996</v>
          </cell>
          <cell r="M28">
            <v>7508.0604400000002</v>
          </cell>
          <cell r="N28">
            <v>7593.1675489999998</v>
          </cell>
          <cell r="O28">
            <v>7677.9793</v>
          </cell>
          <cell r="P28">
            <v>7762.4522559999996</v>
          </cell>
          <cell r="Q28">
            <v>7846.5233959999996</v>
          </cell>
          <cell r="R28">
            <v>7929.5852999999997</v>
          </cell>
          <cell r="S28">
            <v>8012.1208710000001</v>
          </cell>
          <cell r="T28">
            <v>8094.2570459999997</v>
          </cell>
          <cell r="U28">
            <v>8176.145845</v>
          </cell>
          <cell r="V28">
            <v>8252.9219499999999</v>
          </cell>
          <cell r="W28">
            <v>8333.4055239999998</v>
          </cell>
          <cell r="X28">
            <v>8414.8681980000001</v>
          </cell>
          <cell r="Y28">
            <v>8497.2621139999992</v>
          </cell>
          <cell r="Z28">
            <v>8580.6968359999992</v>
          </cell>
          <cell r="AA28">
            <v>8651.0792419999998</v>
          </cell>
          <cell r="AB28">
            <v>8726.1989190000004</v>
          </cell>
          <cell r="AC28">
            <v>8802.3376000000007</v>
          </cell>
          <cell r="AD28">
            <v>8879.5887160000002</v>
          </cell>
          <cell r="AE28">
            <v>8958.1765820000001</v>
          </cell>
          <cell r="AF28">
            <v>9038.2566709999992</v>
          </cell>
          <cell r="AG28">
            <v>9120.0254359999999</v>
          </cell>
          <cell r="AH28">
            <v>9203.3922779999994</v>
          </cell>
          <cell r="AI28">
            <v>9288.3076400000009</v>
          </cell>
          <cell r="AJ28">
            <v>9374.7026740000001</v>
          </cell>
          <cell r="AK28">
            <v>9462.4991250000003</v>
          </cell>
          <cell r="AL28">
            <v>9549.4540990000005</v>
          </cell>
          <cell r="AM28">
            <v>9636.9378589999997</v>
          </cell>
          <cell r="AN28">
            <v>9725.1681599999993</v>
          </cell>
          <cell r="AO28">
            <v>9814.2407750000002</v>
          </cell>
          <cell r="AP28">
            <v>9904.213737</v>
          </cell>
          <cell r="AQ28">
            <v>9995.2962470000002</v>
          </cell>
          <cell r="AR28">
            <v>10087.368759999999</v>
          </cell>
          <cell r="AS28">
            <v>10180.403829999999</v>
          </cell>
          <cell r="AT28">
            <v>10274.36637</v>
          </cell>
          <cell r="AU28">
            <v>10369.216630000001</v>
          </cell>
          <cell r="AV28">
            <v>10465.800289999999</v>
          </cell>
          <cell r="AW28">
            <v>10563.46348</v>
          </cell>
          <cell r="AX28">
            <v>10563.1404</v>
          </cell>
          <cell r="AY28">
            <v>10562.388000000001</v>
          </cell>
          <cell r="AZ28">
            <v>10562.30449</v>
          </cell>
          <cell r="BA28">
            <v>13889.72669</v>
          </cell>
          <cell r="BB28">
            <v>14101.70952</v>
          </cell>
          <cell r="BC28">
            <v>14317.214830000001</v>
          </cell>
          <cell r="BD28">
            <v>14536.30652</v>
          </cell>
          <cell r="BE28">
            <v>14759.04989</v>
          </cell>
        </row>
        <row r="29">
          <cell r="B29">
            <v>6797.0622839999996</v>
          </cell>
          <cell r="C29">
            <v>6870.1000530000001</v>
          </cell>
          <cell r="D29">
            <v>6947.5483530000001</v>
          </cell>
          <cell r="E29">
            <v>7029.1756999999998</v>
          </cell>
          <cell r="F29">
            <v>7114.9784760000002</v>
          </cell>
          <cell r="G29">
            <v>7204.4880940000003</v>
          </cell>
          <cell r="H29">
            <v>7292.8317399999996</v>
          </cell>
          <cell r="I29">
            <v>7382.3556820000003</v>
          </cell>
          <cell r="J29">
            <v>7473.0029670000004</v>
          </cell>
          <cell r="K29">
            <v>7564.5725169999996</v>
          </cell>
          <cell r="L29">
            <v>7664.2430050000003</v>
          </cell>
          <cell r="M29">
            <v>7759.3136320000003</v>
          </cell>
          <cell r="N29">
            <v>7853.9843899999996</v>
          </cell>
          <cell r="O29">
            <v>7948.5676949999997</v>
          </cell>
          <cell r="P29">
            <v>8043.1670709999999</v>
          </cell>
          <cell r="Q29">
            <v>8137.8912389999996</v>
          </cell>
          <cell r="R29">
            <v>8232.8749339999995</v>
          </cell>
          <cell r="S29">
            <v>8328.2683369999995</v>
          </cell>
          <cell r="T29">
            <v>8424.2260920000008</v>
          </cell>
          <cell r="U29">
            <v>8520.9002540000001</v>
          </cell>
          <cell r="V29">
            <v>8613.1431429999993</v>
          </cell>
          <cell r="W29">
            <v>8710.0983699999997</v>
          </cell>
          <cell r="X29">
            <v>8808.8012890000009</v>
          </cell>
          <cell r="Y29">
            <v>8909.0985629999996</v>
          </cell>
          <cell r="Z29">
            <v>9010.9973399999999</v>
          </cell>
          <cell r="AA29">
            <v>9099.4600819999996</v>
          </cell>
          <cell r="AB29">
            <v>9192.9646339999999</v>
          </cell>
          <cell r="AC29">
            <v>9287.6467749999993</v>
          </cell>
          <cell r="AD29">
            <v>9383.5656789999994</v>
          </cell>
          <cell r="AE29">
            <v>9480.9280999999992</v>
          </cell>
          <cell r="AF29">
            <v>9579.8816210000005</v>
          </cell>
          <cell r="AG29">
            <v>9680.4937590000009</v>
          </cell>
          <cell r="AH29">
            <v>9782.7699009999997</v>
          </cell>
          <cell r="AI29">
            <v>9886.6760329999997</v>
          </cell>
          <cell r="AJ29">
            <v>9992.1572890000007</v>
          </cell>
          <cell r="AK29">
            <v>10099.15078</v>
          </cell>
          <cell r="AL29">
            <v>10204.054249999999</v>
          </cell>
          <cell r="AM29">
            <v>10309.25835</v>
          </cell>
          <cell r="AN29">
            <v>10415.112419999999</v>
          </cell>
          <cell r="AO29">
            <v>10521.80148</v>
          </cell>
          <cell r="AP29">
            <v>10629.461219999999</v>
          </cell>
          <cell r="AQ29">
            <v>10738.19032</v>
          </cell>
          <cell r="AR29">
            <v>10848.05149</v>
          </cell>
          <cell r="AS29">
            <v>10959.07618</v>
          </cell>
          <cell r="AT29">
            <v>11071.27233</v>
          </cell>
          <cell r="AU29">
            <v>11184.632900000001</v>
          </cell>
          <cell r="AV29">
            <v>11299.45595</v>
          </cell>
          <cell r="AW29">
            <v>11415.50747</v>
          </cell>
          <cell r="AX29">
            <v>11532.73653</v>
          </cell>
          <cell r="AY29">
            <v>11651.110290000001</v>
          </cell>
          <cell r="AZ29">
            <v>11770.604359999999</v>
          </cell>
          <cell r="BA29">
            <v>13924.567080000001</v>
          </cell>
          <cell r="BB29">
            <v>14138.27967</v>
          </cell>
          <cell r="BC29">
            <v>14355.5419</v>
          </cell>
          <cell r="BD29">
            <v>14576.423720000001</v>
          </cell>
          <cell r="BE29">
            <v>14800.996429999999</v>
          </cell>
        </row>
        <row r="30">
          <cell r="B30">
            <v>76815.510030000005</v>
          </cell>
          <cell r="C30">
            <v>77340.691519999993</v>
          </cell>
          <cell r="D30">
            <v>78032.027600000001</v>
          </cell>
          <cell r="E30">
            <v>78823.368709999995</v>
          </cell>
          <cell r="F30">
            <v>79690.086110000004</v>
          </cell>
          <cell r="G30">
            <v>80612.751619999995</v>
          </cell>
          <cell r="H30">
            <v>81526.615390000006</v>
          </cell>
          <cell r="I30">
            <v>82454.962520000001</v>
          </cell>
          <cell r="J30">
            <v>83396.047030000002</v>
          </cell>
          <cell r="K30">
            <v>84347.769990000001</v>
          </cell>
          <cell r="L30">
            <v>85390.458060000004</v>
          </cell>
          <cell r="M30">
            <v>86375.687650000007</v>
          </cell>
          <cell r="N30">
            <v>87354.793399999995</v>
          </cell>
          <cell r="O30">
            <v>88330.501210000002</v>
          </cell>
          <cell r="P30">
            <v>89302.311409999995</v>
          </cell>
          <cell r="Q30">
            <v>90269.498959999997</v>
          </cell>
          <cell r="R30">
            <v>91225.075840000005</v>
          </cell>
          <cell r="S30">
            <v>92174.597590000005</v>
          </cell>
          <cell r="T30">
            <v>93119.524539999999</v>
          </cell>
          <cell r="U30">
            <v>94061.60557</v>
          </cell>
          <cell r="V30">
            <v>94944.868159999998</v>
          </cell>
          <cell r="W30">
            <v>95870.782919999998</v>
          </cell>
          <cell r="X30">
            <v>96807.961639999994</v>
          </cell>
          <cell r="Y30">
            <v>97755.853740000006</v>
          </cell>
          <cell r="Z30">
            <v>98715.719689999998</v>
          </cell>
          <cell r="AA30">
            <v>99525.426630000002</v>
          </cell>
          <cell r="AB30">
            <v>100389.633</v>
          </cell>
          <cell r="AC30">
            <v>101265.5624</v>
          </cell>
          <cell r="AD30">
            <v>102154.28969999999</v>
          </cell>
          <cell r="AE30">
            <v>103058.3955</v>
          </cell>
          <cell r="AF30">
            <v>103979.6684</v>
          </cell>
          <cell r="AG30">
            <v>104920.3686</v>
          </cell>
          <cell r="AH30">
            <v>105879.45359999999</v>
          </cell>
          <cell r="AI30">
            <v>106856.35340000001</v>
          </cell>
          <cell r="AJ30">
            <v>107850.27589999999</v>
          </cell>
          <cell r="AK30">
            <v>108860.32090000001</v>
          </cell>
          <cell r="AL30">
            <v>109860.68520000001</v>
          </cell>
          <cell r="AM30">
            <v>110867.1329</v>
          </cell>
          <cell r="AN30">
            <v>111882.1691</v>
          </cell>
          <cell r="AO30">
            <v>112906.8955</v>
          </cell>
          <cell r="AP30">
            <v>113941.98</v>
          </cell>
          <cell r="AQ30">
            <v>114989.8291</v>
          </cell>
          <cell r="AR30">
            <v>116049.06759999999</v>
          </cell>
          <cell r="AS30">
            <v>117119.3797</v>
          </cell>
          <cell r="AT30">
            <v>118200.3618</v>
          </cell>
          <cell r="AU30">
            <v>119291.5566</v>
          </cell>
          <cell r="AV30">
            <v>120402.6931</v>
          </cell>
          <cell r="AW30">
            <v>121526.249</v>
          </cell>
          <cell r="AX30">
            <v>121522.53200000001</v>
          </cell>
          <cell r="AY30">
            <v>121513.8762</v>
          </cell>
          <cell r="AZ30">
            <v>121512.9155</v>
          </cell>
          <cell r="BA30">
            <v>159792.89240000001</v>
          </cell>
          <cell r="BB30">
            <v>162231.62650000001</v>
          </cell>
          <cell r="BC30">
            <v>164710.88459999999</v>
          </cell>
          <cell r="BD30">
            <v>167231.40169999999</v>
          </cell>
          <cell r="BE30">
            <v>169793.92929999999</v>
          </cell>
        </row>
        <row r="31">
          <cell r="B31">
            <v>78196.084520000004</v>
          </cell>
          <cell r="C31">
            <v>79036.339819999994</v>
          </cell>
          <cell r="D31">
            <v>79927.335600000006</v>
          </cell>
          <cell r="E31">
            <v>80866.408779999998</v>
          </cell>
          <cell r="F31">
            <v>81853.517749999999</v>
          </cell>
          <cell r="G31">
            <v>82883.271689999994</v>
          </cell>
          <cell r="H31">
            <v>83899.611829999994</v>
          </cell>
          <cell r="I31">
            <v>84929.530549999996</v>
          </cell>
          <cell r="J31">
            <v>85972.372659999994</v>
          </cell>
          <cell r="K31">
            <v>87025.824859999993</v>
          </cell>
          <cell r="L31">
            <v>88172.473459999994</v>
          </cell>
          <cell r="M31">
            <v>89266.203439999997</v>
          </cell>
          <cell r="N31">
            <v>90355.333169999998</v>
          </cell>
          <cell r="O31">
            <v>91443.4568</v>
          </cell>
          <cell r="P31">
            <v>92531.765329999995</v>
          </cell>
          <cell r="Q31">
            <v>93621.509510000004</v>
          </cell>
          <cell r="R31">
            <v>94714.239379999999</v>
          </cell>
          <cell r="S31">
            <v>95811.682700000005</v>
          </cell>
          <cell r="T31">
            <v>96915.618549999999</v>
          </cell>
          <cell r="U31">
            <v>98027.796230000007</v>
          </cell>
          <cell r="V31">
            <v>99088.994789999997</v>
          </cell>
          <cell r="W31">
            <v>100204.406</v>
          </cell>
          <cell r="X31">
            <v>101339.92329999999</v>
          </cell>
          <cell r="Y31">
            <v>102493.78260000001</v>
          </cell>
          <cell r="Z31">
            <v>103666.06630000001</v>
          </cell>
          <cell r="AA31">
            <v>104683.7766</v>
          </cell>
          <cell r="AB31">
            <v>105759.4898</v>
          </cell>
          <cell r="AC31">
            <v>106848.75049999999</v>
          </cell>
          <cell r="AD31">
            <v>107952.23940000001</v>
          </cell>
          <cell r="AE31">
            <v>109072.3351</v>
          </cell>
          <cell r="AF31">
            <v>110210.73540000001</v>
          </cell>
          <cell r="AG31">
            <v>111368.21709999999</v>
          </cell>
          <cell r="AH31">
            <v>112544.8422</v>
          </cell>
          <cell r="AI31">
            <v>113740.2193</v>
          </cell>
          <cell r="AJ31">
            <v>114953.7173</v>
          </cell>
          <cell r="AK31">
            <v>116184.61259999999</v>
          </cell>
          <cell r="AL31">
            <v>117391.4635</v>
          </cell>
          <cell r="AM31">
            <v>118601.77280000001</v>
          </cell>
          <cell r="AN31">
            <v>119819.55989999999</v>
          </cell>
          <cell r="AO31">
            <v>121046.9528</v>
          </cell>
          <cell r="AP31">
            <v>122285.51300000001</v>
          </cell>
          <cell r="AQ31">
            <v>123536.3754</v>
          </cell>
          <cell r="AR31">
            <v>124800.2616</v>
          </cell>
          <cell r="AS31">
            <v>126077.5334</v>
          </cell>
          <cell r="AT31">
            <v>127368.2822</v>
          </cell>
          <cell r="AU31">
            <v>128672.42690000001</v>
          </cell>
          <cell r="AV31">
            <v>129993.3965</v>
          </cell>
          <cell r="AW31">
            <v>131328.49890000001</v>
          </cell>
          <cell r="AX31">
            <v>132677.1483</v>
          </cell>
          <cell r="AY31">
            <v>134038.96669999999</v>
          </cell>
          <cell r="AZ31">
            <v>135413.67360000001</v>
          </cell>
          <cell r="BA31">
            <v>160193.71</v>
          </cell>
          <cell r="BB31">
            <v>162652.34390000001</v>
          </cell>
          <cell r="BC31">
            <v>165151.8143</v>
          </cell>
          <cell r="BD31">
            <v>167692.9258</v>
          </cell>
          <cell r="BE31">
            <v>170276.4988</v>
          </cell>
        </row>
        <row r="32">
          <cell r="B32">
            <v>14567.24027</v>
          </cell>
          <cell r="C32">
            <v>14779.719719999999</v>
          </cell>
          <cell r="D32">
            <v>15025.53782</v>
          </cell>
          <cell r="E32">
            <v>15281.68295</v>
          </cell>
          <cell r="F32">
            <v>15540.103649999999</v>
          </cell>
          <cell r="G32">
            <v>15794.259599999999</v>
          </cell>
          <cell r="H32">
            <v>16023.389929999999</v>
          </cell>
          <cell r="I32">
            <v>16241.099399999999</v>
          </cell>
          <cell r="J32">
            <v>16446.597269999998</v>
          </cell>
          <cell r="K32">
            <v>16640.121650000001</v>
          </cell>
          <cell r="L32">
            <v>16848.631519999999</v>
          </cell>
          <cell r="M32">
            <v>17016.658090000001</v>
          </cell>
          <cell r="N32">
            <v>17176.014190000002</v>
          </cell>
          <cell r="O32">
            <v>17328.357810000001</v>
          </cell>
          <cell r="P32">
            <v>17475.261340000001</v>
          </cell>
          <cell r="Q32">
            <v>17618.242920000001</v>
          </cell>
          <cell r="R32">
            <v>17754.71716</v>
          </cell>
          <cell r="S32">
            <v>17890.180690000001</v>
          </cell>
          <cell r="T32">
            <v>18025.904149999998</v>
          </cell>
          <cell r="U32">
            <v>18163.01844</v>
          </cell>
          <cell r="V32">
            <v>18284.428660000001</v>
          </cell>
          <cell r="W32">
            <v>18427.66172</v>
          </cell>
          <cell r="X32">
            <v>18575.001769999999</v>
          </cell>
          <cell r="Y32">
            <v>18726.850160000002</v>
          </cell>
          <cell r="Z32">
            <v>18883.487400000002</v>
          </cell>
          <cell r="AA32">
            <v>18994.53703</v>
          </cell>
          <cell r="AB32">
            <v>19140.101989999999</v>
          </cell>
          <cell r="AC32">
            <v>19291.474440000002</v>
          </cell>
          <cell r="AD32">
            <v>19448.56797</v>
          </cell>
          <cell r="AE32">
            <v>19611.2274</v>
          </cell>
          <cell r="AF32">
            <v>19779.18361</v>
          </cell>
          <cell r="AG32">
            <v>19952.922989999999</v>
          </cell>
          <cell r="AH32">
            <v>20131.12329</v>
          </cell>
          <cell r="AI32">
            <v>20313.275239999999</v>
          </cell>
          <cell r="AJ32">
            <v>20498.85917</v>
          </cell>
          <cell r="AK32">
            <v>20687.373920000002</v>
          </cell>
          <cell r="AL32">
            <v>20874.324820000002</v>
          </cell>
          <cell r="AM32">
            <v>21063.601009999998</v>
          </cell>
          <cell r="AN32">
            <v>21255.021769999999</v>
          </cell>
          <cell r="AO32">
            <v>21448.402109999999</v>
          </cell>
          <cell r="AP32">
            <v>21643.575130000001</v>
          </cell>
          <cell r="AQ32">
            <v>21841.58972</v>
          </cell>
          <cell r="AR32">
            <v>22041.143380000001</v>
          </cell>
          <cell r="AS32">
            <v>22242.102940000001</v>
          </cell>
          <cell r="AT32">
            <v>22444.337800000001</v>
          </cell>
          <cell r="AU32">
            <v>22647.724289999998</v>
          </cell>
          <cell r="AV32">
            <v>22857.17985</v>
          </cell>
          <cell r="AW32">
            <v>23067.729719999999</v>
          </cell>
          <cell r="AX32">
            <v>23066.027740000001</v>
          </cell>
          <cell r="AY32">
            <v>23061.854879999999</v>
          </cell>
          <cell r="AZ32">
            <v>23061.37066</v>
          </cell>
          <cell r="BA32">
            <v>34739.093679999998</v>
          </cell>
          <cell r="BB32">
            <v>35350.257310000001</v>
          </cell>
          <cell r="BC32">
            <v>35973.748610000002</v>
          </cell>
          <cell r="BD32">
            <v>36609.742610000001</v>
          </cell>
          <cell r="BE32">
            <v>37258.403209999997</v>
          </cell>
        </row>
        <row r="33">
          <cell r="B33">
            <v>15489.76447</v>
          </cell>
          <cell r="C33">
            <v>15731.214330000001</v>
          </cell>
          <cell r="D33">
            <v>15993.331270000001</v>
          </cell>
          <cell r="E33">
            <v>16258.53521</v>
          </cell>
          <cell r="F33">
            <v>16524.412970000001</v>
          </cell>
          <cell r="G33">
            <v>16788.887709999999</v>
          </cell>
          <cell r="H33">
            <v>17034.35441</v>
          </cell>
          <cell r="I33">
            <v>17276.003659999998</v>
          </cell>
          <cell r="J33">
            <v>17513.717970000002</v>
          </cell>
          <cell r="K33">
            <v>17747.715800000002</v>
          </cell>
          <cell r="L33">
            <v>18006.330099999999</v>
          </cell>
          <cell r="M33">
            <v>18234.100139999999</v>
          </cell>
          <cell r="N33">
            <v>18459.68822</v>
          </cell>
          <cell r="O33">
            <v>18684.099180000001</v>
          </cell>
          <cell r="P33">
            <v>18908.306680000002</v>
          </cell>
          <cell r="Q33">
            <v>19133.278900000001</v>
          </cell>
          <cell r="R33">
            <v>19359.954720000002</v>
          </cell>
          <cell r="S33">
            <v>19589.207979999999</v>
          </cell>
          <cell r="T33">
            <v>19821.817439999999</v>
          </cell>
          <cell r="U33">
            <v>20058.448130000001</v>
          </cell>
          <cell r="V33">
            <v>20279.58325</v>
          </cell>
          <cell r="W33">
            <v>20526.079870000001</v>
          </cell>
          <cell r="X33">
            <v>20778.162380000002</v>
          </cell>
          <cell r="Y33">
            <v>21035.94283</v>
          </cell>
          <cell r="Z33">
            <v>21299.47669</v>
          </cell>
          <cell r="AA33">
            <v>21511.487410000002</v>
          </cell>
          <cell r="AB33">
            <v>21760.055410000001</v>
          </cell>
          <cell r="AC33">
            <v>22014.973969999999</v>
          </cell>
          <cell r="AD33">
            <v>22276.186669999999</v>
          </cell>
          <cell r="AE33">
            <v>22543.610680000002</v>
          </cell>
          <cell r="AF33">
            <v>22817.07202</v>
          </cell>
          <cell r="AG33">
            <v>23096.294020000001</v>
          </cell>
          <cell r="AH33">
            <v>23380.918259999999</v>
          </cell>
          <cell r="AI33">
            <v>23670.53917</v>
          </cell>
          <cell r="AJ33">
            <v>23964.73933</v>
          </cell>
          <cell r="AK33">
            <v>24263.118549999999</v>
          </cell>
          <cell r="AL33">
            <v>24551.690859999999</v>
          </cell>
          <cell r="AM33">
            <v>24843.79765</v>
          </cell>
          <cell r="AN33">
            <v>25139.370299999999</v>
          </cell>
          <cell r="AO33">
            <v>25438.338619999999</v>
          </cell>
          <cell r="AP33">
            <v>25740.65022</v>
          </cell>
          <cell r="AQ33">
            <v>26046.257710000002</v>
          </cell>
          <cell r="AR33">
            <v>26355.102630000001</v>
          </cell>
          <cell r="AS33">
            <v>26667.10671</v>
          </cell>
          <cell r="AT33">
            <v>26982.171900000001</v>
          </cell>
          <cell r="AU33">
            <v>27300.186269999998</v>
          </cell>
          <cell r="AV33">
            <v>27622.248090000001</v>
          </cell>
          <cell r="AW33">
            <v>27947.023710000001</v>
          </cell>
          <cell r="AX33">
            <v>28274.390500000001</v>
          </cell>
          <cell r="AY33">
            <v>28604.243320000001</v>
          </cell>
          <cell r="AZ33">
            <v>28936.494030000002</v>
          </cell>
          <cell r="BA33">
            <v>34943.773430000001</v>
          </cell>
          <cell r="BB33">
            <v>35566.895409999997</v>
          </cell>
          <cell r="BC33">
            <v>36202.660819999997</v>
          </cell>
          <cell r="BD33">
            <v>36851.256710000001</v>
          </cell>
          <cell r="BE33">
            <v>37512.862710000001</v>
          </cell>
        </row>
        <row r="34">
          <cell r="B34">
            <v>20021.058990000001</v>
          </cell>
          <cell r="C34">
            <v>20236.0527</v>
          </cell>
          <cell r="D34">
            <v>20497.491320000001</v>
          </cell>
          <cell r="E34">
            <v>20786.258239999999</v>
          </cell>
          <cell r="F34">
            <v>21098.840690000001</v>
          </cell>
          <cell r="G34">
            <v>21432.726190000001</v>
          </cell>
          <cell r="H34">
            <v>21767.16516</v>
          </cell>
          <cell r="I34">
            <v>22113.41966</v>
          </cell>
          <cell r="J34">
            <v>22470.41446</v>
          </cell>
          <cell r="K34">
            <v>22836.672500000001</v>
          </cell>
          <cell r="L34">
            <v>23241.057629999999</v>
          </cell>
          <cell r="M34">
            <v>23625.341759999999</v>
          </cell>
          <cell r="N34">
            <v>24011.22018</v>
          </cell>
          <cell r="O34">
            <v>24397.700789999999</v>
          </cell>
          <cell r="P34">
            <v>24783.540919999999</v>
          </cell>
          <cell r="Q34">
            <v>25167.806949999998</v>
          </cell>
          <cell r="R34">
            <v>25546.633040000001</v>
          </cell>
          <cell r="S34">
            <v>25922.905699999999</v>
          </cell>
          <cell r="T34">
            <v>26297.044399999999</v>
          </cell>
          <cell r="U34">
            <v>26669.779699999999</v>
          </cell>
          <cell r="V34">
            <v>27019.664250000002</v>
          </cell>
          <cell r="W34">
            <v>27386.55802</v>
          </cell>
          <cell r="X34">
            <v>27757.16748</v>
          </cell>
          <cell r="Y34">
            <v>28132.285960000001</v>
          </cell>
          <cell r="Z34">
            <v>28512.891049999998</v>
          </cell>
          <cell r="AA34">
            <v>28835.809649999999</v>
          </cell>
          <cell r="AB34">
            <v>29182.557509999999</v>
          </cell>
          <cell r="AC34">
            <v>29533.12242</v>
          </cell>
          <cell r="AD34">
            <v>29888.949710000001</v>
          </cell>
          <cell r="AE34">
            <v>30251.52133</v>
          </cell>
          <cell r="AF34">
            <v>30621.907520000001</v>
          </cell>
          <cell r="AG34">
            <v>31001.50851</v>
          </cell>
          <cell r="AH34">
            <v>31390.03584</v>
          </cell>
          <cell r="AI34">
            <v>31787.581709999999</v>
          </cell>
          <cell r="AJ34">
            <v>32194.101159999998</v>
          </cell>
          <cell r="AK34">
            <v>32609.46284</v>
          </cell>
          <cell r="AL34">
            <v>33024.842940000002</v>
          </cell>
          <cell r="AM34">
            <v>33444.99237</v>
          </cell>
          <cell r="AN34">
            <v>33870.612119999998</v>
          </cell>
          <cell r="AO34">
            <v>34302.157760000002</v>
          </cell>
          <cell r="AP34">
            <v>34740.000260000001</v>
          </cell>
          <cell r="AQ34">
            <v>35185.469709999998</v>
          </cell>
          <cell r="AR34">
            <v>35637.874680000001</v>
          </cell>
          <cell r="AS34">
            <v>36097.245239999997</v>
          </cell>
          <cell r="AT34">
            <v>36563.548490000001</v>
          </cell>
          <cell r="AU34">
            <v>37036.714469999999</v>
          </cell>
          <cell r="AV34">
            <v>37521.601549999999</v>
          </cell>
          <cell r="AW34">
            <v>38014.316559999999</v>
          </cell>
          <cell r="AX34">
            <v>38012.721799999999</v>
          </cell>
          <cell r="AY34">
            <v>38008.827989999998</v>
          </cell>
          <cell r="AZ34">
            <v>38008.383809999999</v>
          </cell>
          <cell r="BA34">
            <v>52337.766199999998</v>
          </cell>
          <cell r="BB34">
            <v>53349.739670000003</v>
          </cell>
          <cell r="BC34">
            <v>54382.347670000003</v>
          </cell>
          <cell r="BD34">
            <v>55436.091399999998</v>
          </cell>
          <cell r="BE34">
            <v>56511.49512</v>
          </cell>
        </row>
        <row r="35">
          <cell r="B35">
            <v>20694.758849999998</v>
          </cell>
          <cell r="C35">
            <v>21011.913530000002</v>
          </cell>
          <cell r="D35">
            <v>21370.500220000002</v>
          </cell>
          <cell r="E35">
            <v>21748.659540000001</v>
          </cell>
          <cell r="F35">
            <v>22141.832549999999</v>
          </cell>
          <cell r="G35">
            <v>22548.065729999998</v>
          </cell>
          <cell r="H35">
            <v>22947.645509999998</v>
          </cell>
          <cell r="I35">
            <v>23352.73604</v>
          </cell>
          <cell r="J35">
            <v>23763.122090000001</v>
          </cell>
          <cell r="K35">
            <v>24178.21112</v>
          </cell>
          <cell r="L35">
            <v>24629.65928</v>
          </cell>
          <cell r="M35">
            <v>25060.73977</v>
          </cell>
          <cell r="N35">
            <v>25492.64057</v>
          </cell>
          <cell r="O35">
            <v>25925.661049999999</v>
          </cell>
          <cell r="P35">
            <v>26359.907889999999</v>
          </cell>
          <cell r="Q35">
            <v>26795.69643</v>
          </cell>
          <cell r="R35">
            <v>27233.540710000001</v>
          </cell>
          <cell r="S35">
            <v>27674.08626</v>
          </cell>
          <cell r="T35">
            <v>28118.055499999999</v>
          </cell>
          <cell r="U35">
            <v>28566.210620000002</v>
          </cell>
          <cell r="V35">
            <v>28995.25117</v>
          </cell>
          <cell r="W35">
            <v>29447.45019</v>
          </cell>
          <cell r="X35">
            <v>29907.907999999999</v>
          </cell>
          <cell r="Y35">
            <v>30376.902330000001</v>
          </cell>
          <cell r="Z35">
            <v>30854.89388</v>
          </cell>
          <cell r="AA35">
            <v>31272.63941</v>
          </cell>
          <cell r="AB35">
            <v>31716.838019999999</v>
          </cell>
          <cell r="AC35">
            <v>32166.274310000001</v>
          </cell>
          <cell r="AD35">
            <v>32622.236359999999</v>
          </cell>
          <cell r="AE35">
            <v>33086.130590000001</v>
          </cell>
          <cell r="AF35">
            <v>33558.995340000001</v>
          </cell>
          <cell r="AG35">
            <v>34041.482660000001</v>
          </cell>
          <cell r="AH35">
            <v>34533.946960000001</v>
          </cell>
          <cell r="AI35">
            <v>35036.539129999997</v>
          </cell>
          <cell r="AJ35">
            <v>35549.279929999997</v>
          </cell>
          <cell r="AK35">
            <v>36072.110890000004</v>
          </cell>
          <cell r="AL35">
            <v>36588.015899999999</v>
          </cell>
          <cell r="AM35">
            <v>37108.597629999997</v>
          </cell>
          <cell r="AN35">
            <v>37634.952729999997</v>
          </cell>
          <cell r="AO35">
            <v>38167.899960000002</v>
          </cell>
          <cell r="AP35">
            <v>38708.150130000002</v>
          </cell>
          <cell r="AQ35">
            <v>39256.278209999997</v>
          </cell>
          <cell r="AR35">
            <v>39812.705070000004</v>
          </cell>
          <cell r="AS35">
            <v>40377.711300000003</v>
          </cell>
          <cell r="AT35">
            <v>40951.468919999999</v>
          </cell>
          <cell r="AU35">
            <v>41534.076480000003</v>
          </cell>
          <cell r="AV35">
            <v>42127.129399999998</v>
          </cell>
          <cell r="AW35">
            <v>42729.606229999998</v>
          </cell>
          <cell r="AX35">
            <v>43341.418160000001</v>
          </cell>
          <cell r="AY35">
            <v>43962.501510000002</v>
          </cell>
          <cell r="AZ35">
            <v>44592.806779999999</v>
          </cell>
          <cell r="BA35">
            <v>52479.261599999998</v>
          </cell>
          <cell r="BB35">
            <v>53498.937100000003</v>
          </cell>
          <cell r="BC35">
            <v>54539.476699999999</v>
          </cell>
          <cell r="BD35">
            <v>55601.42121</v>
          </cell>
          <cell r="BE35">
            <v>56685.3272</v>
          </cell>
        </row>
        <row r="36">
          <cell r="B36">
            <v>1986998.6510000001</v>
          </cell>
          <cell r="C36">
            <v>2000009.1980000001</v>
          </cell>
          <cell r="D36">
            <v>2019287.9350000001</v>
          </cell>
          <cell r="E36">
            <v>2042123.436</v>
          </cell>
          <cell r="F36">
            <v>2067383.611</v>
          </cell>
          <cell r="G36">
            <v>2094396.165</v>
          </cell>
          <cell r="H36">
            <v>2121495.568</v>
          </cell>
          <cell r="I36">
            <v>2149318.3110000002</v>
          </cell>
          <cell r="J36">
            <v>2177971.9909999999</v>
          </cell>
          <cell r="K36">
            <v>2207555.2119999998</v>
          </cell>
          <cell r="L36">
            <v>2240296.1609999998</v>
          </cell>
          <cell r="M36">
            <v>2272538.503</v>
          </cell>
          <cell r="N36">
            <v>2305429.9070000001</v>
          </cell>
          <cell r="O36">
            <v>2338957.7549999999</v>
          </cell>
          <cell r="P36">
            <v>2373025.6779999998</v>
          </cell>
          <cell r="Q36">
            <v>2407516.9160000002</v>
          </cell>
          <cell r="R36">
            <v>2442147.4559999998</v>
          </cell>
          <cell r="S36">
            <v>2476936.523</v>
          </cell>
          <cell r="T36">
            <v>2511827.6140000001</v>
          </cell>
          <cell r="U36">
            <v>2546785.7829999998</v>
          </cell>
          <cell r="V36">
            <v>2580231.5580000002</v>
          </cell>
          <cell r="W36">
            <v>2614701.068</v>
          </cell>
          <cell r="X36">
            <v>2649461.7319999998</v>
          </cell>
          <cell r="Y36">
            <v>2684506.676</v>
          </cell>
          <cell r="Z36">
            <v>2719861.642</v>
          </cell>
          <cell r="AA36">
            <v>2751086.017</v>
          </cell>
          <cell r="AB36">
            <v>2783326.4840000002</v>
          </cell>
          <cell r="AC36">
            <v>2815661.6439999999</v>
          </cell>
          <cell r="AD36">
            <v>2848210.821</v>
          </cell>
          <cell r="AE36">
            <v>2881096.9330000002</v>
          </cell>
          <cell r="AF36">
            <v>2914406.6540000001</v>
          </cell>
          <cell r="AG36">
            <v>2948229.057</v>
          </cell>
          <cell r="AH36">
            <v>2982562.415</v>
          </cell>
          <cell r="AI36">
            <v>3017410.304</v>
          </cell>
          <cell r="AJ36">
            <v>3052769.5720000002</v>
          </cell>
          <cell r="AK36">
            <v>3088634.6230000001</v>
          </cell>
          <cell r="AL36">
            <v>3124299.5329999998</v>
          </cell>
          <cell r="AM36">
            <v>3160156.8420000002</v>
          </cell>
          <cell r="AN36">
            <v>3196287.298</v>
          </cell>
          <cell r="AO36">
            <v>3232746.2110000001</v>
          </cell>
          <cell r="AP36">
            <v>3269576.3820000002</v>
          </cell>
          <cell r="AQ36">
            <v>3306864.4780000001</v>
          </cell>
          <cell r="AR36">
            <v>3344591.861</v>
          </cell>
          <cell r="AS36">
            <v>3382756.9130000002</v>
          </cell>
          <cell r="AT36">
            <v>3421351.4109999998</v>
          </cell>
          <cell r="AU36">
            <v>3460363.75</v>
          </cell>
          <cell r="AV36">
            <v>3500070.4530000002</v>
          </cell>
          <cell r="AW36">
            <v>3540289.7609999999</v>
          </cell>
          <cell r="AX36">
            <v>3540289.3569999998</v>
          </cell>
          <cell r="AY36">
            <v>3540288.2579999999</v>
          </cell>
          <cell r="AZ36">
            <v>3540288.2390000001</v>
          </cell>
          <cell r="BA36">
            <v>4542533.9309999999</v>
          </cell>
          <cell r="BB36">
            <v>4617958.6519999998</v>
          </cell>
          <cell r="BC36">
            <v>4694587.21</v>
          </cell>
          <cell r="BD36">
            <v>4772441.5109999999</v>
          </cell>
          <cell r="BE36">
            <v>4851545.0520000001</v>
          </cell>
        </row>
        <row r="37">
          <cell r="B37">
            <v>2020179.091</v>
          </cell>
          <cell r="C37">
            <v>2044773.4269999999</v>
          </cell>
          <cell r="D37">
            <v>2072053.4040000001</v>
          </cell>
          <cell r="E37">
            <v>2101387.4389999998</v>
          </cell>
          <cell r="F37">
            <v>2132550.7999999998</v>
          </cell>
          <cell r="G37">
            <v>2165330.0049999999</v>
          </cell>
          <cell r="H37">
            <v>2198241.2999999998</v>
          </cell>
          <cell r="I37">
            <v>2231889.3050000002</v>
          </cell>
          <cell r="J37">
            <v>2266257.1690000002</v>
          </cell>
          <cell r="K37">
            <v>2301297.2850000001</v>
          </cell>
          <cell r="L37">
            <v>2339201.4339999999</v>
          </cell>
          <cell r="M37">
            <v>2376301.054</v>
          </cell>
          <cell r="N37">
            <v>2413652.4249999998</v>
          </cell>
          <cell r="O37">
            <v>2451279.227</v>
          </cell>
          <cell r="P37">
            <v>2489173.0180000002</v>
          </cell>
          <cell r="Q37">
            <v>2527332.8390000002</v>
          </cell>
          <cell r="R37">
            <v>2565767.6830000002</v>
          </cell>
          <cell r="S37">
            <v>2604492.077</v>
          </cell>
          <cell r="T37">
            <v>2643523.19</v>
          </cell>
          <cell r="U37">
            <v>2682880.048</v>
          </cell>
          <cell r="V37">
            <v>2720935.5210000002</v>
          </cell>
          <cell r="W37">
            <v>2760351.4580000001</v>
          </cell>
          <cell r="X37">
            <v>2800356.5529999998</v>
          </cell>
          <cell r="Y37">
            <v>2840925.2069999999</v>
          </cell>
          <cell r="Z37">
            <v>2882058.923</v>
          </cell>
          <cell r="AA37">
            <v>2919024.7289999998</v>
          </cell>
          <cell r="AB37">
            <v>2957141.781</v>
          </cell>
          <cell r="AC37">
            <v>2995455.585</v>
          </cell>
          <cell r="AD37">
            <v>3034072.4649999999</v>
          </cell>
          <cell r="AE37">
            <v>3073107.7710000002</v>
          </cell>
          <cell r="AF37">
            <v>3112642.1409999998</v>
          </cell>
          <cell r="AG37">
            <v>3152719.946</v>
          </cell>
          <cell r="AH37">
            <v>3193359.9139999999</v>
          </cell>
          <cell r="AI37">
            <v>3234566.068</v>
          </cell>
          <cell r="AJ37">
            <v>3276335.76</v>
          </cell>
          <cell r="AK37">
            <v>3318664.551</v>
          </cell>
          <cell r="AL37">
            <v>3360416.318</v>
          </cell>
          <cell r="AM37">
            <v>3402249.7149999999</v>
          </cell>
          <cell r="AN37">
            <v>3444293.19</v>
          </cell>
          <cell r="AO37">
            <v>3486639.969</v>
          </cell>
          <cell r="AP37">
            <v>3529365.9380000001</v>
          </cell>
          <cell r="AQ37">
            <v>3572528.4879999999</v>
          </cell>
          <cell r="AR37">
            <v>3616165.8020000001</v>
          </cell>
          <cell r="AS37">
            <v>3660299.46</v>
          </cell>
          <cell r="AT37">
            <v>3704938.8939999999</v>
          </cell>
          <cell r="AU37">
            <v>3750086.0529999998</v>
          </cell>
          <cell r="AV37">
            <v>3795840.6349999998</v>
          </cell>
          <cell r="AW37">
            <v>3842141.1239999998</v>
          </cell>
          <cell r="AX37">
            <v>3888974.0860000001</v>
          </cell>
          <cell r="AY37">
            <v>3936330.7889999999</v>
          </cell>
          <cell r="AZ37">
            <v>3984205.5819999999</v>
          </cell>
          <cell r="BA37">
            <v>4550279.9239999996</v>
          </cell>
          <cell r="BB37">
            <v>4626018.0379999997</v>
          </cell>
          <cell r="BC37">
            <v>4702960.2850000001</v>
          </cell>
          <cell r="BD37">
            <v>4781131.4129999997</v>
          </cell>
          <cell r="BE37">
            <v>4860557.57</v>
          </cell>
        </row>
        <row r="38">
          <cell r="B38">
            <v>539248.07350000006</v>
          </cell>
          <cell r="C38">
            <v>546347.31389999995</v>
          </cell>
          <cell r="D38">
            <v>554354.53899999999</v>
          </cell>
          <cell r="E38">
            <v>562734.73609999998</v>
          </cell>
          <cell r="F38">
            <v>571439.30409999995</v>
          </cell>
          <cell r="G38">
            <v>580433.52540000004</v>
          </cell>
          <cell r="H38">
            <v>589183.55370000005</v>
          </cell>
          <cell r="I38">
            <v>598136.8149</v>
          </cell>
          <cell r="J38">
            <v>607293.40659999999</v>
          </cell>
          <cell r="K38">
            <v>616653.0686</v>
          </cell>
          <cell r="L38">
            <v>627099.35889999999</v>
          </cell>
          <cell r="M38">
            <v>636919.47050000005</v>
          </cell>
          <cell r="N38">
            <v>646912.06169999996</v>
          </cell>
          <cell r="O38">
            <v>657072.18339999998</v>
          </cell>
          <cell r="P38">
            <v>667390.11479999998</v>
          </cell>
          <cell r="Q38">
            <v>677856.13650000002</v>
          </cell>
          <cell r="R38">
            <v>688452.8628</v>
          </cell>
          <cell r="S38">
            <v>699179.54909999995</v>
          </cell>
          <cell r="T38">
            <v>710033.3175</v>
          </cell>
          <cell r="U38">
            <v>721013.5013</v>
          </cell>
          <cell r="V38">
            <v>731462.17350000003</v>
          </cell>
          <cell r="W38">
            <v>742648.61600000004</v>
          </cell>
          <cell r="X38">
            <v>753982.55160000001</v>
          </cell>
          <cell r="Y38">
            <v>765467.05740000005</v>
          </cell>
          <cell r="Z38">
            <v>777107.6594</v>
          </cell>
          <cell r="AA38">
            <v>787001.79619999998</v>
          </cell>
          <cell r="AB38">
            <v>797914.92870000005</v>
          </cell>
          <cell r="AC38">
            <v>808949.13210000005</v>
          </cell>
          <cell r="AD38">
            <v>820115.19620000001</v>
          </cell>
          <cell r="AE38">
            <v>831425.48840000003</v>
          </cell>
          <cell r="AF38">
            <v>842889.92539999995</v>
          </cell>
          <cell r="AG38">
            <v>854517.76950000005</v>
          </cell>
          <cell r="AH38">
            <v>866312.7463</v>
          </cell>
          <cell r="AI38">
            <v>878278.18689999997</v>
          </cell>
          <cell r="AJ38">
            <v>890416.67619999999</v>
          </cell>
          <cell r="AK38">
            <v>902730.42819999997</v>
          </cell>
          <cell r="AL38">
            <v>914778.01769999997</v>
          </cell>
          <cell r="AM38">
            <v>926970.92130000005</v>
          </cell>
          <cell r="AN38">
            <v>939316.19510000001</v>
          </cell>
          <cell r="AO38">
            <v>951819.18640000001</v>
          </cell>
          <cell r="AP38">
            <v>964484.91330000001</v>
          </cell>
          <cell r="AQ38">
            <v>977320.99230000004</v>
          </cell>
          <cell r="AR38">
            <v>990329.24690000003</v>
          </cell>
          <cell r="AS38">
            <v>1003512.042</v>
          </cell>
          <cell r="AT38">
            <v>1016871.167</v>
          </cell>
          <cell r="AU38">
            <v>1030408.083</v>
          </cell>
          <cell r="AV38">
            <v>1044177.137</v>
          </cell>
          <cell r="AW38">
            <v>1058135.5319999999</v>
          </cell>
          <cell r="AX38">
            <v>1058135.426</v>
          </cell>
          <cell r="AY38">
            <v>1058136.4169999999</v>
          </cell>
          <cell r="AZ38">
            <v>1058136.855</v>
          </cell>
          <cell r="BA38">
            <v>1233911.6610000001</v>
          </cell>
          <cell r="BB38">
            <v>1255059.872</v>
          </cell>
          <cell r="BC38">
            <v>1276567.656</v>
          </cell>
          <cell r="BD38">
            <v>1298441.4480000001</v>
          </cell>
          <cell r="BE38">
            <v>1320687.8959999999</v>
          </cell>
        </row>
        <row r="39">
          <cell r="B39">
            <v>540992.23809999996</v>
          </cell>
          <cell r="C39">
            <v>548927.84589999996</v>
          </cell>
          <cell r="D39">
            <v>557571.46979999996</v>
          </cell>
          <cell r="E39">
            <v>566488.90670000005</v>
          </cell>
          <cell r="F39">
            <v>575673.12679999997</v>
          </cell>
          <cell r="G39">
            <v>585111.77610000002</v>
          </cell>
          <cell r="H39">
            <v>594280.55070000002</v>
          </cell>
          <cell r="I39">
            <v>603625.92550000001</v>
          </cell>
          <cell r="J39">
            <v>613142.6041</v>
          </cell>
          <cell r="K39">
            <v>622824.35210000002</v>
          </cell>
          <cell r="L39">
            <v>633555.68519999995</v>
          </cell>
          <cell r="M39">
            <v>643625.94389999995</v>
          </cell>
          <cell r="N39">
            <v>653832.79650000005</v>
          </cell>
          <cell r="O39">
            <v>664176.91429999995</v>
          </cell>
          <cell r="P39">
            <v>674657.0135</v>
          </cell>
          <cell r="Q39">
            <v>685273.15740000003</v>
          </cell>
          <cell r="R39">
            <v>696026.81519999995</v>
          </cell>
          <cell r="S39">
            <v>706920.36950000003</v>
          </cell>
          <cell r="T39">
            <v>717956.77269999997</v>
          </cell>
          <cell r="U39">
            <v>729139.39190000005</v>
          </cell>
          <cell r="V39">
            <v>739808.4497</v>
          </cell>
          <cell r="W39">
            <v>751239.47389999998</v>
          </cell>
          <cell r="X39">
            <v>762840.41280000005</v>
          </cell>
          <cell r="Y39">
            <v>774612.98030000005</v>
          </cell>
          <cell r="Z39">
            <v>786560.91929999995</v>
          </cell>
          <cell r="AA39">
            <v>796765.94940000004</v>
          </cell>
          <cell r="AB39">
            <v>807999.97180000006</v>
          </cell>
          <cell r="AC39">
            <v>819363.25419999997</v>
          </cell>
          <cell r="AD39">
            <v>830865.4693</v>
          </cell>
          <cell r="AE39">
            <v>842518.32160000002</v>
          </cell>
          <cell r="AF39">
            <v>854331.16740000003</v>
          </cell>
          <cell r="AG39">
            <v>866310.59219999996</v>
          </cell>
          <cell r="AH39">
            <v>878461.09959999996</v>
          </cell>
          <cell r="AI39">
            <v>890785.88710000005</v>
          </cell>
          <cell r="AJ39">
            <v>903287.44449999998</v>
          </cell>
          <cell r="AK39">
            <v>915967.93799999997</v>
          </cell>
          <cell r="AL39">
            <v>928362.26450000005</v>
          </cell>
          <cell r="AM39">
            <v>940894.75249999994</v>
          </cell>
          <cell r="AN39">
            <v>953575.29839999997</v>
          </cell>
          <cell r="AO39">
            <v>966411.73439999996</v>
          </cell>
          <cell r="AP39">
            <v>979411.2574</v>
          </cell>
          <cell r="AQ39">
            <v>992580.10519999999</v>
          </cell>
          <cell r="AR39">
            <v>1005923.308</v>
          </cell>
          <cell r="AS39">
            <v>1019444.757</v>
          </cell>
          <cell r="AT39">
            <v>1033147.4620000001</v>
          </cell>
          <cell r="AU39">
            <v>1047033.857</v>
          </cell>
          <cell r="AV39">
            <v>1061148.4569999999</v>
          </cell>
          <cell r="AW39">
            <v>1075454.939</v>
          </cell>
          <cell r="AX39">
            <v>1089954.618</v>
          </cell>
          <cell r="AY39">
            <v>1104649.077</v>
          </cell>
          <cell r="AZ39">
            <v>1119540.054</v>
          </cell>
          <cell r="BA39">
            <v>1234252.1529999999</v>
          </cell>
          <cell r="BB39">
            <v>1255414.557</v>
          </cell>
          <cell r="BC39">
            <v>1276936.693</v>
          </cell>
          <cell r="BD39">
            <v>1298825.179</v>
          </cell>
          <cell r="BE39">
            <v>1321086.8219999999</v>
          </cell>
        </row>
        <row r="40">
          <cell r="B40">
            <v>4121.6125709999997</v>
          </cell>
          <cell r="C40">
            <v>4143.5603849999998</v>
          </cell>
          <cell r="D40">
            <v>4183.2951549999998</v>
          </cell>
          <cell r="E40">
            <v>4232.091007</v>
          </cell>
          <cell r="F40">
            <v>4286.4477399999996</v>
          </cell>
          <cell r="G40">
            <v>4344.0548470000003</v>
          </cell>
          <cell r="H40">
            <v>4400.4816019999998</v>
          </cell>
          <cell r="I40">
            <v>4456.5592340000003</v>
          </cell>
          <cell r="J40">
            <v>4512.1120730000002</v>
          </cell>
          <cell r="K40">
            <v>4567.0615319999997</v>
          </cell>
          <cell r="L40">
            <v>4626.0861379999997</v>
          </cell>
          <cell r="M40">
            <v>4680.9980919999998</v>
          </cell>
          <cell r="N40">
            <v>4734.6693500000001</v>
          </cell>
          <cell r="O40">
            <v>4787.5452059999998</v>
          </cell>
          <cell r="P40">
            <v>4839.8061429999998</v>
          </cell>
          <cell r="Q40">
            <v>4891.579103</v>
          </cell>
          <cell r="R40">
            <v>4942.5084150000002</v>
          </cell>
          <cell r="S40">
            <v>4993.1033649999999</v>
          </cell>
          <cell r="T40">
            <v>5043.562629</v>
          </cell>
          <cell r="U40">
            <v>5094.0666780000001</v>
          </cell>
          <cell r="V40">
            <v>5141.5245299999997</v>
          </cell>
          <cell r="W40">
            <v>5191.5810170000004</v>
          </cell>
          <cell r="X40">
            <v>5242.7150009999996</v>
          </cell>
          <cell r="Y40">
            <v>5294.8532779999996</v>
          </cell>
          <cell r="Z40">
            <v>5348.0491590000001</v>
          </cell>
          <cell r="AA40">
            <v>5393.184201</v>
          </cell>
          <cell r="AB40">
            <v>5441.4279539999998</v>
          </cell>
          <cell r="AC40">
            <v>5490.7855239999999</v>
          </cell>
          <cell r="AD40">
            <v>5541.2504319999998</v>
          </cell>
          <cell r="AE40">
            <v>5592.9277899999997</v>
          </cell>
          <cell r="AF40">
            <v>5645.8801999999996</v>
          </cell>
          <cell r="AG40">
            <v>5700.2105160000001</v>
          </cell>
          <cell r="AH40">
            <v>5755.790857</v>
          </cell>
          <cell r="AI40">
            <v>5812.526339</v>
          </cell>
          <cell r="AJ40">
            <v>5870.3114839999998</v>
          </cell>
          <cell r="AK40">
            <v>5929.0380610000002</v>
          </cell>
          <cell r="AL40">
            <v>5987.4052099999999</v>
          </cell>
          <cell r="AM40">
            <v>6046.0399580000003</v>
          </cell>
          <cell r="AN40">
            <v>6105.0831109999999</v>
          </cell>
          <cell r="AO40">
            <v>6164.5880189999998</v>
          </cell>
          <cell r="AP40">
            <v>6224.5782609999997</v>
          </cell>
          <cell r="AQ40">
            <v>6285.2044169999999</v>
          </cell>
          <cell r="AR40">
            <v>6346.3539330000003</v>
          </cell>
          <cell r="AS40">
            <v>6407.9875179999999</v>
          </cell>
          <cell r="AT40">
            <v>6470.0634579999996</v>
          </cell>
          <cell r="AU40">
            <v>6532.5378209999999</v>
          </cell>
          <cell r="AV40">
            <v>6596.0448230000002</v>
          </cell>
          <cell r="AW40">
            <v>6660.0963110000002</v>
          </cell>
          <cell r="AX40">
            <v>6658.5107330000001</v>
          </cell>
          <cell r="AY40">
            <v>6654.7430409999997</v>
          </cell>
          <cell r="AZ40">
            <v>6654.2941300000002</v>
          </cell>
          <cell r="BA40">
            <v>9299.3698519999998</v>
          </cell>
          <cell r="BB40">
            <v>9457.0824250000005</v>
          </cell>
          <cell r="BC40">
            <v>9617.4964099999997</v>
          </cell>
          <cell r="BD40">
            <v>9780.6466670000009</v>
          </cell>
          <cell r="BE40">
            <v>9946.5684729999994</v>
          </cell>
        </row>
        <row r="41">
          <cell r="B41">
            <v>4226.0660520000001</v>
          </cell>
          <cell r="C41">
            <v>4270.2798700000003</v>
          </cell>
          <cell r="D41">
            <v>4319.6859320000003</v>
          </cell>
          <cell r="E41">
            <v>4373.551289</v>
          </cell>
          <cell r="F41">
            <v>4431.2079460000004</v>
          </cell>
          <cell r="G41">
            <v>4491.8328590000001</v>
          </cell>
          <cell r="H41">
            <v>4551.8641429999998</v>
          </cell>
          <cell r="I41">
            <v>4612.513078</v>
          </cell>
          <cell r="J41">
            <v>4673.6930030000003</v>
          </cell>
          <cell r="K41">
            <v>4735.2493919999997</v>
          </cell>
          <cell r="L41">
            <v>4801.9086150000003</v>
          </cell>
          <cell r="M41">
            <v>4865.5261460000002</v>
          </cell>
          <cell r="N41">
            <v>4928.6180789999999</v>
          </cell>
          <cell r="O41">
            <v>4991.5448990000004</v>
          </cell>
          <cell r="P41">
            <v>5054.4765120000002</v>
          </cell>
          <cell r="Q41">
            <v>5117.5664649999999</v>
          </cell>
          <cell r="R41">
            <v>5180.9763030000004</v>
          </cell>
          <cell r="S41">
            <v>5244.8686440000001</v>
          </cell>
          <cell r="T41">
            <v>5309.3977699999996</v>
          </cell>
          <cell r="U41">
            <v>5374.7035519999999</v>
          </cell>
          <cell r="V41">
            <v>5437.4321609999997</v>
          </cell>
          <cell r="W41">
            <v>5503.4859999999999</v>
          </cell>
          <cell r="X41">
            <v>5571.1428299999998</v>
          </cell>
          <cell r="Y41">
            <v>5640.2354009999999</v>
          </cell>
          <cell r="Z41">
            <v>5710.7337079999998</v>
          </cell>
          <cell r="AA41">
            <v>5772.7242720000004</v>
          </cell>
          <cell r="AB41">
            <v>5837.9718549999998</v>
          </cell>
          <cell r="AC41">
            <v>5904.3766489999998</v>
          </cell>
          <cell r="AD41">
            <v>5971.9060509999999</v>
          </cell>
          <cell r="AE41">
            <v>6040.6562489999997</v>
          </cell>
          <cell r="AF41">
            <v>6110.6906099999997</v>
          </cell>
          <cell r="AG41">
            <v>6182.0140520000004</v>
          </cell>
          <cell r="AH41">
            <v>6254.5835509999997</v>
          </cell>
          <cell r="AI41">
            <v>6328.3259289999996</v>
          </cell>
          <cell r="AJ41">
            <v>6403.1539210000001</v>
          </cell>
          <cell r="AK41">
            <v>6478.9780229999997</v>
          </cell>
          <cell r="AL41">
            <v>6553.3778039999997</v>
          </cell>
          <cell r="AM41">
            <v>6627.8069079999996</v>
          </cell>
          <cell r="AN41">
            <v>6702.5346239999999</v>
          </cell>
          <cell r="AO41">
            <v>6777.6891489999998</v>
          </cell>
          <cell r="AP41">
            <v>6853.3582310000002</v>
          </cell>
          <cell r="AQ41">
            <v>6929.6034209999998</v>
          </cell>
          <cell r="AR41">
            <v>7006.4606860000004</v>
          </cell>
          <cell r="AS41">
            <v>7083.9426839999996</v>
          </cell>
          <cell r="AT41">
            <v>7162.0439269999997</v>
          </cell>
          <cell r="AU41">
            <v>7240.7471869999999</v>
          </cell>
          <cell r="AV41">
            <v>7320.2367100000001</v>
          </cell>
          <cell r="AW41">
            <v>7400.3530039999996</v>
          </cell>
          <cell r="AX41">
            <v>7481.0453269999998</v>
          </cell>
          <cell r="AY41">
            <v>7562.2805539999999</v>
          </cell>
          <cell r="AZ41">
            <v>7644.0347819999997</v>
          </cell>
          <cell r="BA41">
            <v>9336.7969190000003</v>
          </cell>
          <cell r="BB41">
            <v>9496.1710920000005</v>
          </cell>
          <cell r="BC41">
            <v>9658.2496090000004</v>
          </cell>
          <cell r="BD41">
            <v>9823.0714029999999</v>
          </cell>
          <cell r="BE41">
            <v>9990.6764860000003</v>
          </cell>
        </row>
        <row r="42">
          <cell r="B42">
            <v>34564.821900000003</v>
          </cell>
          <cell r="C42">
            <v>34651.077089999999</v>
          </cell>
          <cell r="D42">
            <v>34767.049030000002</v>
          </cell>
          <cell r="E42">
            <v>34924.930919999999</v>
          </cell>
          <cell r="F42">
            <v>35136.11911</v>
          </cell>
          <cell r="G42">
            <v>35398.993620000001</v>
          </cell>
          <cell r="H42">
            <v>35685.923690000003</v>
          </cell>
          <cell r="I42">
            <v>36002.347540000002</v>
          </cell>
          <cell r="J42">
            <v>36342.586410000004</v>
          </cell>
          <cell r="K42">
            <v>36701.238169999997</v>
          </cell>
          <cell r="L42">
            <v>37107.306900000003</v>
          </cell>
          <cell r="M42">
            <v>37496.754050000003</v>
          </cell>
          <cell r="N42">
            <v>37889.599889999998</v>
          </cell>
          <cell r="O42">
            <v>38285.970309999997</v>
          </cell>
          <cell r="P42">
            <v>38684.7762</v>
          </cell>
          <cell r="Q42">
            <v>39084.958140000002</v>
          </cell>
          <cell r="R42">
            <v>39482.26814</v>
          </cell>
          <cell r="S42">
            <v>39879.353060000001</v>
          </cell>
          <cell r="T42">
            <v>40276.386180000001</v>
          </cell>
          <cell r="U42">
            <v>40673.64286</v>
          </cell>
          <cell r="V42">
            <v>41047.719259999998</v>
          </cell>
          <cell r="W42">
            <v>41440.012329999998</v>
          </cell>
          <cell r="X42">
            <v>41837.090179999999</v>
          </cell>
          <cell r="Y42">
            <v>42238.26442</v>
          </cell>
          <cell r="Z42">
            <v>42643.891810000001</v>
          </cell>
          <cell r="AA42">
            <v>42987.10686</v>
          </cell>
          <cell r="AB42">
            <v>43353.050649999997</v>
          </cell>
          <cell r="AC42">
            <v>43723.19629</v>
          </cell>
          <cell r="AD42">
            <v>44097.357279999997</v>
          </cell>
          <cell r="AE42">
            <v>44476.347009999998</v>
          </cell>
          <cell r="AF42">
            <v>44861.037949999998</v>
          </cell>
          <cell r="AG42">
            <v>45252.856809999997</v>
          </cell>
          <cell r="AH42">
            <v>45651.681360000002</v>
          </cell>
          <cell r="AI42">
            <v>46057.785739999999</v>
          </cell>
          <cell r="AJ42">
            <v>46471.329870000001</v>
          </cell>
          <cell r="AK42">
            <v>46892.369570000003</v>
          </cell>
          <cell r="AL42">
            <v>47311.416530000002</v>
          </cell>
          <cell r="AM42">
            <v>47733.977339999998</v>
          </cell>
          <cell r="AN42">
            <v>48161.305480000003</v>
          </cell>
          <cell r="AO42">
            <v>48593.983220000002</v>
          </cell>
          <cell r="AP42">
            <v>49032.362050000003</v>
          </cell>
          <cell r="AQ42">
            <v>49477.652349999997</v>
          </cell>
          <cell r="AR42">
            <v>49929.198389999998</v>
          </cell>
          <cell r="AS42">
            <v>50387.066870000002</v>
          </cell>
          <cell r="AT42">
            <v>50851.322930000002</v>
          </cell>
          <cell r="AU42">
            <v>51322.010159999998</v>
          </cell>
          <cell r="AV42">
            <v>51803.73446</v>
          </cell>
          <cell r="AW42">
            <v>52292.834289999999</v>
          </cell>
          <cell r="AX42">
            <v>52289.963689999997</v>
          </cell>
          <cell r="AY42">
            <v>52282.868699999999</v>
          </cell>
          <cell r="AZ42">
            <v>52282.018259999997</v>
          </cell>
          <cell r="BA42">
            <v>67926.883799999996</v>
          </cell>
          <cell r="BB42">
            <v>68915.504950000002</v>
          </cell>
          <cell r="BC42">
            <v>69920.264439999999</v>
          </cell>
          <cell r="BD42">
            <v>70941.557520000002</v>
          </cell>
          <cell r="BE42">
            <v>71979.801760000002</v>
          </cell>
        </row>
        <row r="43">
          <cell r="B43">
            <v>35477.656150000003</v>
          </cell>
          <cell r="C43">
            <v>35742.38495</v>
          </cell>
          <cell r="D43">
            <v>35993.329400000002</v>
          </cell>
          <cell r="E43">
            <v>36277.204400000002</v>
          </cell>
          <cell r="F43">
            <v>36606.969839999998</v>
          </cell>
          <cell r="G43">
            <v>36979.803249999997</v>
          </cell>
          <cell r="H43">
            <v>37367.774230000003</v>
          </cell>
          <cell r="I43">
            <v>37777.660400000001</v>
          </cell>
          <cell r="J43">
            <v>38205.30085</v>
          </cell>
          <cell r="K43">
            <v>38646.637419999999</v>
          </cell>
          <cell r="L43">
            <v>39134.200790000003</v>
          </cell>
          <cell r="M43">
            <v>39604.468959999998</v>
          </cell>
          <cell r="N43">
            <v>40077.112939999999</v>
          </cell>
          <cell r="O43">
            <v>40553.073470000003</v>
          </cell>
          <cell r="P43">
            <v>41032.129950000002</v>
          </cell>
          <cell r="Q43">
            <v>41514.027779999997</v>
          </cell>
          <cell r="R43">
            <v>41998.708460000002</v>
          </cell>
          <cell r="S43">
            <v>42486.317080000001</v>
          </cell>
          <cell r="T43">
            <v>42977.159290000003</v>
          </cell>
          <cell r="U43">
            <v>43471.652309999998</v>
          </cell>
          <cell r="V43">
            <v>43944.18116</v>
          </cell>
          <cell r="W43">
            <v>44440.001920000002</v>
          </cell>
          <cell r="X43">
            <v>44943.846599999997</v>
          </cell>
          <cell r="Y43">
            <v>45454.69498</v>
          </cell>
          <cell r="Z43">
            <v>45972.608610000003</v>
          </cell>
          <cell r="AA43">
            <v>46423.120040000002</v>
          </cell>
          <cell r="AB43">
            <v>46899.317750000002</v>
          </cell>
          <cell r="AC43">
            <v>47380.889750000002</v>
          </cell>
          <cell r="AD43">
            <v>47867.35529</v>
          </cell>
          <cell r="AE43">
            <v>48359.331890000001</v>
          </cell>
          <cell r="AF43">
            <v>48857.55156</v>
          </cell>
          <cell r="AG43">
            <v>49362.61393</v>
          </cell>
          <cell r="AH43">
            <v>49874.938009999998</v>
          </cell>
          <cell r="AI43">
            <v>50394.775860000002</v>
          </cell>
          <cell r="AJ43">
            <v>50922.245499999997</v>
          </cell>
          <cell r="AK43">
            <v>51457.366869999998</v>
          </cell>
          <cell r="AL43">
            <v>51982.313309999998</v>
          </cell>
          <cell r="AM43">
            <v>52509.652629999997</v>
          </cell>
          <cell r="AN43">
            <v>53041.10355</v>
          </cell>
          <cell r="AO43">
            <v>53577.38652</v>
          </cell>
          <cell r="AP43">
            <v>54118.967640000003</v>
          </cell>
          <cell r="AQ43">
            <v>54666.223940000003</v>
          </cell>
          <cell r="AR43">
            <v>55219.472569999998</v>
          </cell>
          <cell r="AS43">
            <v>55778.97337</v>
          </cell>
          <cell r="AT43">
            <v>56344.93172</v>
          </cell>
          <cell r="AU43">
            <v>56917.50619</v>
          </cell>
          <cell r="AV43">
            <v>57498.406020000002</v>
          </cell>
          <cell r="AW43">
            <v>58086.592250000002</v>
          </cell>
          <cell r="AX43">
            <v>58681.992749999998</v>
          </cell>
          <cell r="AY43">
            <v>59284.620470000002</v>
          </cell>
          <cell r="AZ43">
            <v>59894.515720000003</v>
          </cell>
          <cell r="BA43">
            <v>67946.043550000002</v>
          </cell>
          <cell r="BB43">
            <v>68930.646030000004</v>
          </cell>
          <cell r="BC43">
            <v>69931.037639999995</v>
          </cell>
          <cell r="BD43">
            <v>70947.610119999998</v>
          </cell>
          <cell r="BE43">
            <v>71980.767460000003</v>
          </cell>
        </row>
        <row r="44">
          <cell r="B44">
            <v>3839.4453979999998</v>
          </cell>
          <cell r="C44">
            <v>3843.4164639999999</v>
          </cell>
          <cell r="D44">
            <v>3847.7805560000002</v>
          </cell>
          <cell r="E44">
            <v>3857.6778549999999</v>
          </cell>
          <cell r="F44">
            <v>3874.9482010000002</v>
          </cell>
          <cell r="G44">
            <v>3899.258887</v>
          </cell>
          <cell r="H44">
            <v>3927.6379419999998</v>
          </cell>
          <cell r="I44">
            <v>3960.3489119999999</v>
          </cell>
          <cell r="J44">
            <v>3996.6298149999998</v>
          </cell>
          <cell r="K44">
            <v>4035.8141340000002</v>
          </cell>
          <cell r="L44">
            <v>4080.5566800000001</v>
          </cell>
          <cell r="M44">
            <v>4124.6464800000003</v>
          </cell>
          <cell r="N44">
            <v>4169.9246309999999</v>
          </cell>
          <cell r="O44">
            <v>4216.199474</v>
          </cell>
          <cell r="P44">
            <v>4263.2121859999997</v>
          </cell>
          <cell r="Q44">
            <v>4310.7242120000001</v>
          </cell>
          <cell r="R44">
            <v>4358.2114890000003</v>
          </cell>
          <cell r="S44">
            <v>4405.8237220000001</v>
          </cell>
          <cell r="T44">
            <v>4453.4780309999996</v>
          </cell>
          <cell r="U44">
            <v>4501.1278350000002</v>
          </cell>
          <cell r="V44">
            <v>4546.4596579999998</v>
          </cell>
          <cell r="W44">
            <v>4593.402145</v>
          </cell>
          <cell r="X44">
            <v>4640.6100729999998</v>
          </cell>
          <cell r="Y44">
            <v>4688.0515409999998</v>
          </cell>
          <cell r="Z44">
            <v>4735.7753650000004</v>
          </cell>
          <cell r="AA44">
            <v>4777.3178610000004</v>
          </cell>
          <cell r="AB44">
            <v>4820.8566870000004</v>
          </cell>
          <cell r="AC44">
            <v>4864.5034589999996</v>
          </cell>
          <cell r="AD44">
            <v>4908.3173839999999</v>
          </cell>
          <cell r="AE44">
            <v>4952.4250240000001</v>
          </cell>
          <cell r="AF44">
            <v>4996.9543229999999</v>
          </cell>
          <cell r="AG44">
            <v>5042.083087</v>
          </cell>
          <cell r="AH44">
            <v>5087.8390689999997</v>
          </cell>
          <cell r="AI44">
            <v>5134.2886589999998</v>
          </cell>
          <cell r="AJ44">
            <v>5181.4829030000001</v>
          </cell>
          <cell r="AK44">
            <v>5229.4596789999996</v>
          </cell>
          <cell r="AL44">
            <v>5277.3014039999998</v>
          </cell>
          <cell r="AM44">
            <v>5325.5530570000001</v>
          </cell>
          <cell r="AN44">
            <v>5374.3425800000005</v>
          </cell>
          <cell r="AO44">
            <v>5423.7417370000003</v>
          </cell>
          <cell r="AP44">
            <v>5473.8026950000003</v>
          </cell>
          <cell r="AQ44">
            <v>5524.6587849999996</v>
          </cell>
          <cell r="AR44">
            <v>5576.2649259999998</v>
          </cell>
          <cell r="AS44">
            <v>5628.6489270000002</v>
          </cell>
          <cell r="AT44">
            <v>5681.8352359999999</v>
          </cell>
          <cell r="AU44">
            <v>5735.8449680000003</v>
          </cell>
          <cell r="AV44">
            <v>5791.1316989999996</v>
          </cell>
          <cell r="AW44">
            <v>5847.3540409999996</v>
          </cell>
          <cell r="AX44">
            <v>5847.2456199999997</v>
          </cell>
          <cell r="AY44">
            <v>5846.9768270000004</v>
          </cell>
          <cell r="AZ44">
            <v>5846.9447469999996</v>
          </cell>
          <cell r="BA44">
            <v>7347.7758219999996</v>
          </cell>
          <cell r="BB44">
            <v>7449.9415129999998</v>
          </cell>
          <cell r="BC44">
            <v>7553.7110700000003</v>
          </cell>
          <cell r="BD44">
            <v>7659.1339539999999</v>
          </cell>
          <cell r="BE44">
            <v>7766.2621429999999</v>
          </cell>
        </row>
        <row r="45">
          <cell r="B45">
            <v>3931.1451520000001</v>
          </cell>
          <cell r="C45">
            <v>3952.8075050000002</v>
          </cell>
          <cell r="D45">
            <v>3971.9144930000002</v>
          </cell>
          <cell r="E45">
            <v>3996.1215269999998</v>
          </cell>
          <cell r="F45">
            <v>4027.2994669999998</v>
          </cell>
          <cell r="G45">
            <v>4064.8981090000002</v>
          </cell>
          <cell r="H45">
            <v>4105.7672670000002</v>
          </cell>
          <cell r="I45">
            <v>4150.1198809999996</v>
          </cell>
          <cell r="J45">
            <v>4197.1824370000004</v>
          </cell>
          <cell r="K45">
            <v>4246.3148350000001</v>
          </cell>
          <cell r="L45">
            <v>4300.4772400000002</v>
          </cell>
          <cell r="M45">
            <v>4353.4517800000003</v>
          </cell>
          <cell r="N45">
            <v>4407.083353</v>
          </cell>
          <cell r="O45">
            <v>4461.3092690000003</v>
          </cell>
          <cell r="P45">
            <v>4516.0122099999999</v>
          </cell>
          <cell r="Q45">
            <v>4571.0936549999997</v>
          </cell>
          <cell r="R45">
            <v>4626.4881839999998</v>
          </cell>
          <cell r="S45">
            <v>4682.1615590000001</v>
          </cell>
          <cell r="T45">
            <v>4738.1053270000002</v>
          </cell>
          <cell r="U45">
            <v>4794.331295</v>
          </cell>
          <cell r="V45">
            <v>4848.3330340000002</v>
          </cell>
          <cell r="W45">
            <v>4904.4675829999996</v>
          </cell>
          <cell r="X45">
            <v>4961.2103850000003</v>
          </cell>
          <cell r="Y45">
            <v>5018.5116189999999</v>
          </cell>
          <cell r="Z45">
            <v>5076.3984870000004</v>
          </cell>
          <cell r="AA45">
            <v>5127.6384349999998</v>
          </cell>
          <cell r="AB45">
            <v>5181.245696</v>
          </cell>
          <cell r="AC45">
            <v>5235.1176230000001</v>
          </cell>
          <cell r="AD45">
            <v>5289.277521</v>
          </cell>
          <cell r="AE45">
            <v>5343.825151</v>
          </cell>
          <cell r="AF45">
            <v>5398.8667599999999</v>
          </cell>
          <cell r="AG45">
            <v>5454.4939400000003</v>
          </cell>
          <cell r="AH45">
            <v>5510.7788769999997</v>
          </cell>
          <cell r="AI45">
            <v>5567.7753759999996</v>
          </cell>
          <cell r="AJ45">
            <v>5625.5218059999997</v>
          </cell>
          <cell r="AK45">
            <v>5684.0443699999996</v>
          </cell>
          <cell r="AL45">
            <v>5741.6210129999999</v>
          </cell>
          <cell r="AM45">
            <v>5799.4877070000002</v>
          </cell>
          <cell r="AN45">
            <v>5857.7876839999999</v>
          </cell>
          <cell r="AO45">
            <v>5916.5951750000004</v>
          </cell>
          <cell r="AP45">
            <v>5975.9664670000002</v>
          </cell>
          <cell r="AQ45">
            <v>6035.9511069999999</v>
          </cell>
          <cell r="AR45">
            <v>6096.5931380000002</v>
          </cell>
          <cell r="AS45">
            <v>6157.9307140000001</v>
          </cell>
          <cell r="AT45">
            <v>6219.9961389999999</v>
          </cell>
          <cell r="AU45">
            <v>6282.8165740000004</v>
          </cell>
          <cell r="AV45">
            <v>6346.5708860000004</v>
          </cell>
          <cell r="AW45">
            <v>6411.1684189999996</v>
          </cell>
          <cell r="AX45">
            <v>6476.6156879999999</v>
          </cell>
          <cell r="AY45">
            <v>6542.9243839999999</v>
          </cell>
          <cell r="AZ45">
            <v>6610.1077020000002</v>
          </cell>
          <cell r="BA45">
            <v>7331.8069230000001</v>
          </cell>
          <cell r="BB45">
            <v>7432.871486</v>
          </cell>
          <cell r="BC45">
            <v>7535.4863310000001</v>
          </cell>
          <cell r="BD45">
            <v>7639.6964379999999</v>
          </cell>
          <cell r="BE45">
            <v>7745.5498040000002</v>
          </cell>
        </row>
        <row r="46">
          <cell r="B46">
            <v>391.4638751</v>
          </cell>
          <cell r="C46">
            <v>393.21820609999997</v>
          </cell>
          <cell r="D46">
            <v>395.49019989999999</v>
          </cell>
          <cell r="E46">
            <v>398.11926579999999</v>
          </cell>
          <cell r="F46">
            <v>401.20783349999999</v>
          </cell>
          <cell r="G46">
            <v>404.77563170000002</v>
          </cell>
          <cell r="H46">
            <v>408.50277749999998</v>
          </cell>
          <cell r="I46">
            <v>412.46534759999997</v>
          </cell>
          <cell r="J46">
            <v>416.60904879999998</v>
          </cell>
          <cell r="K46">
            <v>420.87156440000001</v>
          </cell>
          <cell r="L46">
            <v>425.64516129999998</v>
          </cell>
          <cell r="M46">
            <v>430.12349219999999</v>
          </cell>
          <cell r="N46">
            <v>434.51761049999999</v>
          </cell>
          <cell r="O46">
            <v>438.85580829999998</v>
          </cell>
          <cell r="P46">
            <v>443.14505819999999</v>
          </cell>
          <cell r="Q46">
            <v>447.38978459999998</v>
          </cell>
          <cell r="R46">
            <v>451.5667603</v>
          </cell>
          <cell r="S46">
            <v>455.70797520000002</v>
          </cell>
          <cell r="T46">
            <v>459.82829779999997</v>
          </cell>
          <cell r="U46">
            <v>463.94178369999997</v>
          </cell>
          <cell r="V46">
            <v>467.7464832</v>
          </cell>
          <cell r="W46">
            <v>471.77934019999998</v>
          </cell>
          <cell r="X46">
            <v>475.8994965</v>
          </cell>
          <cell r="Y46">
            <v>480.09014389999999</v>
          </cell>
          <cell r="Z46">
            <v>484.35233249999999</v>
          </cell>
          <cell r="AA46">
            <v>487.80243300000001</v>
          </cell>
          <cell r="AB46">
            <v>491.50824490000002</v>
          </cell>
          <cell r="AC46">
            <v>495.30252719999999</v>
          </cell>
          <cell r="AD46">
            <v>499.17507510000002</v>
          </cell>
          <cell r="AE46">
            <v>503.13072110000002</v>
          </cell>
          <cell r="AF46">
            <v>507.17628669999999</v>
          </cell>
          <cell r="AG46">
            <v>511.32247310000002</v>
          </cell>
          <cell r="AH46">
            <v>515.56863050000004</v>
          </cell>
          <cell r="AI46">
            <v>519.91517069999998</v>
          </cell>
          <cell r="AJ46">
            <v>524.36099609999997</v>
          </cell>
          <cell r="AK46">
            <v>528.90373020000004</v>
          </cell>
          <cell r="AL46">
            <v>533.37839559999998</v>
          </cell>
          <cell r="AM46">
            <v>537.88282049999998</v>
          </cell>
          <cell r="AN46">
            <v>542.44114809999996</v>
          </cell>
          <cell r="AO46">
            <v>547.06201290000001</v>
          </cell>
          <cell r="AP46">
            <v>551.74882090000006</v>
          </cell>
          <cell r="AQ46">
            <v>556.50898619999998</v>
          </cell>
          <cell r="AR46">
            <v>561.33805410000002</v>
          </cell>
          <cell r="AS46">
            <v>566.23468160000004</v>
          </cell>
          <cell r="AT46">
            <v>571.19737970000006</v>
          </cell>
          <cell r="AU46">
            <v>576.22444589999998</v>
          </cell>
          <cell r="AV46">
            <v>581.351314</v>
          </cell>
          <cell r="AW46">
            <v>586.551061</v>
          </cell>
          <cell r="AX46">
            <v>586.44320990000006</v>
          </cell>
          <cell r="AY46">
            <v>586.17541040000003</v>
          </cell>
          <cell r="AZ46">
            <v>586.14347359999999</v>
          </cell>
          <cell r="BA46">
            <v>765.24011380000002</v>
          </cell>
          <cell r="BB46">
            <v>776.48617630000001</v>
          </cell>
          <cell r="BC46">
            <v>787.92153589999998</v>
          </cell>
          <cell r="BD46">
            <v>799.54989030000002</v>
          </cell>
          <cell r="BE46">
            <v>811.37528320000001</v>
          </cell>
        </row>
        <row r="47">
          <cell r="B47">
            <v>400.46999219999998</v>
          </cell>
          <cell r="C47">
            <v>404.3796984</v>
          </cell>
          <cell r="D47">
            <v>408.20216570000002</v>
          </cell>
          <cell r="E47">
            <v>412.18002039999999</v>
          </cell>
          <cell r="F47">
            <v>416.42195129999999</v>
          </cell>
          <cell r="G47">
            <v>420.9394691</v>
          </cell>
          <cell r="H47">
            <v>425.43034510000001</v>
          </cell>
          <cell r="I47">
            <v>430.02397130000003</v>
          </cell>
          <cell r="J47">
            <v>434.71931910000001</v>
          </cell>
          <cell r="K47">
            <v>439.49586099999999</v>
          </cell>
          <cell r="L47">
            <v>444.80047309999998</v>
          </cell>
          <cell r="M47">
            <v>449.83946850000001</v>
          </cell>
          <cell r="N47">
            <v>454.83113830000002</v>
          </cell>
          <cell r="O47">
            <v>459.81117219999999</v>
          </cell>
          <cell r="P47">
            <v>464.79122960000001</v>
          </cell>
          <cell r="Q47">
            <v>469.77800029999997</v>
          </cell>
          <cell r="R47">
            <v>474.77833199999998</v>
          </cell>
          <cell r="S47">
            <v>479.8002778</v>
          </cell>
          <cell r="T47">
            <v>484.85290629999997</v>
          </cell>
          <cell r="U47">
            <v>489.94577900000002</v>
          </cell>
          <cell r="V47">
            <v>494.7508345</v>
          </cell>
          <cell r="W47">
            <v>499.83858729999997</v>
          </cell>
          <cell r="X47">
            <v>505.04758199999998</v>
          </cell>
          <cell r="Y47">
            <v>510.35502500000001</v>
          </cell>
          <cell r="Z47">
            <v>515.75719409999999</v>
          </cell>
          <cell r="AA47">
            <v>520.29515560000004</v>
          </cell>
          <cell r="AB47">
            <v>525.11540860000002</v>
          </cell>
          <cell r="AC47">
            <v>530.02985479999995</v>
          </cell>
          <cell r="AD47">
            <v>535.0246095</v>
          </cell>
          <cell r="AE47">
            <v>540.10251410000001</v>
          </cell>
          <cell r="AF47">
            <v>545.26916930000004</v>
          </cell>
          <cell r="AG47">
            <v>550.52920059999997</v>
          </cell>
          <cell r="AH47">
            <v>555.88530479999997</v>
          </cell>
          <cell r="AI47">
            <v>561.33822329999998</v>
          </cell>
          <cell r="AJ47">
            <v>566.88707150000005</v>
          </cell>
          <cell r="AK47">
            <v>572.52978780000001</v>
          </cell>
          <cell r="AL47">
            <v>578.03848870000002</v>
          </cell>
          <cell r="AM47">
            <v>583.55927550000001</v>
          </cell>
          <cell r="AN47">
            <v>589.12300070000003</v>
          </cell>
          <cell r="AO47">
            <v>594.74147500000004</v>
          </cell>
          <cell r="AP47">
            <v>600.4206815</v>
          </cell>
          <cell r="AQ47">
            <v>606.16447619999997</v>
          </cell>
          <cell r="AR47">
            <v>611.97564929999999</v>
          </cell>
          <cell r="AS47">
            <v>617.85622130000002</v>
          </cell>
          <cell r="AT47">
            <v>623.80754679999995</v>
          </cell>
          <cell r="AU47">
            <v>629.8304061</v>
          </cell>
          <cell r="AV47">
            <v>635.94496500000002</v>
          </cell>
          <cell r="AW47">
            <v>642.1379551</v>
          </cell>
          <cell r="AX47">
            <v>648.40627840000002</v>
          </cell>
          <cell r="AY47">
            <v>654.74845219999997</v>
          </cell>
          <cell r="AZ47">
            <v>661.16356189999999</v>
          </cell>
          <cell r="BA47">
            <v>768.46091969999998</v>
          </cell>
          <cell r="BB47">
            <v>779.74758099999997</v>
          </cell>
          <cell r="BC47">
            <v>791.22139240000001</v>
          </cell>
          <cell r="BD47">
            <v>802.88681480000002</v>
          </cell>
          <cell r="BE47">
            <v>814.74811299999999</v>
          </cell>
        </row>
        <row r="48">
          <cell r="B48">
            <v>549.55232479999995</v>
          </cell>
          <cell r="C48">
            <v>552.01512349999996</v>
          </cell>
          <cell r="D48">
            <v>555.20463740000002</v>
          </cell>
          <cell r="E48">
            <v>558.89542310000002</v>
          </cell>
          <cell r="F48">
            <v>563.23127539999996</v>
          </cell>
          <cell r="G48">
            <v>568.23989040000004</v>
          </cell>
          <cell r="H48">
            <v>573.47220359999994</v>
          </cell>
          <cell r="I48">
            <v>579.0350148</v>
          </cell>
          <cell r="J48">
            <v>584.85210489999997</v>
          </cell>
          <cell r="K48">
            <v>590.83599130000005</v>
          </cell>
          <cell r="L48">
            <v>597.53735370000004</v>
          </cell>
          <cell r="M48">
            <v>603.82420999999999</v>
          </cell>
          <cell r="N48">
            <v>609.99284539999996</v>
          </cell>
          <cell r="O48">
            <v>616.08297749999997</v>
          </cell>
          <cell r="P48">
            <v>622.10439450000001</v>
          </cell>
          <cell r="Q48">
            <v>628.0633077</v>
          </cell>
          <cell r="R48">
            <v>633.9271099</v>
          </cell>
          <cell r="S48">
            <v>639.74070959999995</v>
          </cell>
          <cell r="T48">
            <v>645.52497979999998</v>
          </cell>
          <cell r="U48">
            <v>651.29965259999994</v>
          </cell>
          <cell r="V48">
            <v>656.64083879999998</v>
          </cell>
          <cell r="W48">
            <v>662.30232149999995</v>
          </cell>
          <cell r="X48">
            <v>668.08635830000003</v>
          </cell>
          <cell r="Y48">
            <v>673.96935329999997</v>
          </cell>
          <cell r="Z48">
            <v>679.95278059999998</v>
          </cell>
          <cell r="AA48">
            <v>684.79616680000004</v>
          </cell>
          <cell r="AB48">
            <v>689.99853080000003</v>
          </cell>
          <cell r="AC48">
            <v>695.32509300000004</v>
          </cell>
          <cell r="AD48">
            <v>700.76152750000006</v>
          </cell>
          <cell r="AE48">
            <v>706.31461830000001</v>
          </cell>
          <cell r="AF48">
            <v>711.99394170000005</v>
          </cell>
          <cell r="AG48">
            <v>717.81452060000004</v>
          </cell>
          <cell r="AH48">
            <v>723.77544269999999</v>
          </cell>
          <cell r="AI48">
            <v>729.87728619999996</v>
          </cell>
          <cell r="AJ48">
            <v>736.11851000000001</v>
          </cell>
          <cell r="AK48">
            <v>742.49577810000005</v>
          </cell>
          <cell r="AL48">
            <v>748.77748880000001</v>
          </cell>
          <cell r="AM48">
            <v>755.10097689999998</v>
          </cell>
          <cell r="AN48">
            <v>761.50013579999995</v>
          </cell>
          <cell r="AO48">
            <v>767.98708690000001</v>
          </cell>
          <cell r="AP48">
            <v>774.56661150000002</v>
          </cell>
          <cell r="AQ48">
            <v>781.24911810000003</v>
          </cell>
          <cell r="AR48">
            <v>788.02835279999999</v>
          </cell>
          <cell r="AS48">
            <v>794.90243039999996</v>
          </cell>
          <cell r="AT48">
            <v>801.86926029999995</v>
          </cell>
          <cell r="AU48">
            <v>808.92645279999999</v>
          </cell>
          <cell r="AV48">
            <v>816.12375110000005</v>
          </cell>
          <cell r="AW48">
            <v>823.42335960000003</v>
          </cell>
          <cell r="AX48">
            <v>823.27195410000002</v>
          </cell>
          <cell r="AY48">
            <v>822.89600670000004</v>
          </cell>
          <cell r="AZ48">
            <v>822.85117249999996</v>
          </cell>
          <cell r="BA48">
            <v>1074.2740530000001</v>
          </cell>
          <cell r="BB48">
            <v>1090.0617159999999</v>
          </cell>
          <cell r="BC48">
            <v>1106.1151219999999</v>
          </cell>
          <cell r="BD48">
            <v>1122.4394609999999</v>
          </cell>
          <cell r="BE48">
            <v>1139.0404109999999</v>
          </cell>
        </row>
        <row r="49">
          <cell r="B49">
            <v>562.19546490000005</v>
          </cell>
          <cell r="C49">
            <v>567.68406359999994</v>
          </cell>
          <cell r="D49">
            <v>573.0501931</v>
          </cell>
          <cell r="E49">
            <v>578.6344613</v>
          </cell>
          <cell r="F49">
            <v>584.58945000000006</v>
          </cell>
          <cell r="G49">
            <v>590.93131860000005</v>
          </cell>
          <cell r="H49">
            <v>597.23578620000001</v>
          </cell>
          <cell r="I49">
            <v>603.68449859999998</v>
          </cell>
          <cell r="J49">
            <v>610.27601179999999</v>
          </cell>
          <cell r="K49">
            <v>616.98150859999998</v>
          </cell>
          <cell r="L49">
            <v>624.42833080000003</v>
          </cell>
          <cell r="M49">
            <v>631.50226989999999</v>
          </cell>
          <cell r="N49">
            <v>638.50977160000002</v>
          </cell>
          <cell r="O49">
            <v>645.50093830000003</v>
          </cell>
          <cell r="P49">
            <v>652.49213799999995</v>
          </cell>
          <cell r="Q49">
            <v>659.49276210000005</v>
          </cell>
          <cell r="R49">
            <v>666.5124237</v>
          </cell>
          <cell r="S49">
            <v>673.56242789999999</v>
          </cell>
          <cell r="T49">
            <v>680.65550580000001</v>
          </cell>
          <cell r="U49">
            <v>687.80507990000001</v>
          </cell>
          <cell r="V49">
            <v>694.55060509999998</v>
          </cell>
          <cell r="W49">
            <v>701.69299179999996</v>
          </cell>
          <cell r="X49">
            <v>709.00558269999999</v>
          </cell>
          <cell r="Y49">
            <v>716.45637910000005</v>
          </cell>
          <cell r="Z49">
            <v>724.04015570000001</v>
          </cell>
          <cell r="AA49">
            <v>730.41072389999999</v>
          </cell>
          <cell r="AB49">
            <v>737.17758389999995</v>
          </cell>
          <cell r="AC49">
            <v>744.07667600000002</v>
          </cell>
          <cell r="AD49">
            <v>751.08850829999994</v>
          </cell>
          <cell r="AE49">
            <v>758.21706979999999</v>
          </cell>
          <cell r="AF49">
            <v>765.47022279999999</v>
          </cell>
          <cell r="AG49">
            <v>772.85446079999997</v>
          </cell>
          <cell r="AH49">
            <v>780.37356980000004</v>
          </cell>
          <cell r="AI49">
            <v>788.02859030000002</v>
          </cell>
          <cell r="AJ49">
            <v>795.81828089999999</v>
          </cell>
          <cell r="AK49">
            <v>803.73974710000005</v>
          </cell>
          <cell r="AL49">
            <v>811.47307720000003</v>
          </cell>
          <cell r="AM49">
            <v>819.22337400000004</v>
          </cell>
          <cell r="AN49">
            <v>827.03394949999995</v>
          </cell>
          <cell r="AO49">
            <v>834.92138379999994</v>
          </cell>
          <cell r="AP49">
            <v>842.89407630000005</v>
          </cell>
          <cell r="AQ49">
            <v>850.95744030000003</v>
          </cell>
          <cell r="AR49">
            <v>859.11539289999996</v>
          </cell>
          <cell r="AS49">
            <v>867.37077020000004</v>
          </cell>
          <cell r="AT49">
            <v>875.72547410000004</v>
          </cell>
          <cell r="AU49">
            <v>884.18060000000003</v>
          </cell>
          <cell r="AV49">
            <v>892.7644573</v>
          </cell>
          <cell r="AW49">
            <v>901.45841949999999</v>
          </cell>
          <cell r="AX49">
            <v>910.25813730000004</v>
          </cell>
          <cell r="AY49">
            <v>919.16152929999998</v>
          </cell>
          <cell r="AZ49">
            <v>928.16731170000003</v>
          </cell>
          <cell r="BA49">
            <v>1078.7955460000001</v>
          </cell>
          <cell r="BB49">
            <v>1094.640204</v>
          </cell>
          <cell r="BC49">
            <v>1110.7475899999999</v>
          </cell>
          <cell r="BD49">
            <v>1127.123967</v>
          </cell>
          <cell r="BE49">
            <v>1143.775322</v>
          </cell>
        </row>
        <row r="50">
          <cell r="B50">
            <v>45337.2961</v>
          </cell>
          <cell r="C50">
            <v>45367.637690000003</v>
          </cell>
          <cell r="D50">
            <v>45432.96456</v>
          </cell>
          <cell r="E50">
            <v>45554.380230000002</v>
          </cell>
          <cell r="F50">
            <v>45755.143219999998</v>
          </cell>
          <cell r="G50">
            <v>46035.058550000002</v>
          </cell>
          <cell r="H50">
            <v>46356.79924</v>
          </cell>
          <cell r="I50">
            <v>46712.600100000003</v>
          </cell>
          <cell r="J50">
            <v>47087.556470000003</v>
          </cell>
          <cell r="K50">
            <v>47467.39215</v>
          </cell>
          <cell r="L50">
            <v>47878.871879999999</v>
          </cell>
          <cell r="M50">
            <v>48252.544759999997</v>
          </cell>
          <cell r="N50">
            <v>48597.378479999999</v>
          </cell>
          <cell r="O50">
            <v>48915.401879999998</v>
          </cell>
          <cell r="P50">
            <v>49208.00503</v>
          </cell>
          <cell r="Q50">
            <v>49477.255740000001</v>
          </cell>
          <cell r="R50">
            <v>49723.926119999996</v>
          </cell>
          <cell r="S50">
            <v>49952.181600000004</v>
          </cell>
          <cell r="T50">
            <v>50166.598830000003</v>
          </cell>
          <cell r="U50">
            <v>50371.722809999999</v>
          </cell>
          <cell r="V50">
            <v>50545.16401</v>
          </cell>
          <cell r="W50">
            <v>50732.163630000003</v>
          </cell>
          <cell r="X50">
            <v>50927.00245</v>
          </cell>
          <cell r="Y50">
            <v>51129.641759999999</v>
          </cell>
          <cell r="Z50">
            <v>51341.311540000002</v>
          </cell>
          <cell r="AA50">
            <v>51489.254229999999</v>
          </cell>
          <cell r="AB50">
            <v>51655.140899999999</v>
          </cell>
          <cell r="AC50">
            <v>51833.192620000002</v>
          </cell>
          <cell r="AD50">
            <v>52022.719080000003</v>
          </cell>
          <cell r="AE50">
            <v>52224.099580000002</v>
          </cell>
          <cell r="AF50">
            <v>52437.89443</v>
          </cell>
          <cell r="AG50">
            <v>52664.734389999998</v>
          </cell>
          <cell r="AH50">
            <v>52904.647259999998</v>
          </cell>
          <cell r="AI50">
            <v>53157.127840000001</v>
          </cell>
          <cell r="AJ50">
            <v>53421.356659999998</v>
          </cell>
          <cell r="AK50">
            <v>53696.30487</v>
          </cell>
          <cell r="AL50">
            <v>53966.298840000003</v>
          </cell>
          <cell r="AM50">
            <v>54240.282870000003</v>
          </cell>
          <cell r="AN50">
            <v>54519.741379999999</v>
          </cell>
          <cell r="AO50">
            <v>54804.43763</v>
          </cell>
          <cell r="AP50">
            <v>55093.790560000001</v>
          </cell>
          <cell r="AQ50">
            <v>55387.523419999998</v>
          </cell>
          <cell r="AR50">
            <v>55685.412389999998</v>
          </cell>
          <cell r="AS50">
            <v>55986.950989999998</v>
          </cell>
          <cell r="AT50">
            <v>56291.620819999996</v>
          </cell>
          <cell r="AU50">
            <v>56598.907059999998</v>
          </cell>
          <cell r="AV50">
            <v>56910.437460000001</v>
          </cell>
          <cell r="AW50">
            <v>57225.944560000004</v>
          </cell>
          <cell r="AX50">
            <v>57224.952420000001</v>
          </cell>
          <cell r="AY50">
            <v>57222.555189999999</v>
          </cell>
          <cell r="AZ50">
            <v>57222.278129999999</v>
          </cell>
          <cell r="BA50">
            <v>75081.2601</v>
          </cell>
          <cell r="BB50">
            <v>76031.318859999999</v>
          </cell>
          <cell r="BC50">
            <v>76999.102410000007</v>
          </cell>
          <cell r="BD50">
            <v>77984.709340000001</v>
          </cell>
          <cell r="BE50">
            <v>78988.25331</v>
          </cell>
        </row>
        <row r="51">
          <cell r="B51">
            <v>46366.621249999997</v>
          </cell>
          <cell r="C51">
            <v>46711.166449999997</v>
          </cell>
          <cell r="D51">
            <v>46996.469960000002</v>
          </cell>
          <cell r="E51">
            <v>47286.602850000003</v>
          </cell>
          <cell r="F51">
            <v>47605.42985</v>
          </cell>
          <cell r="G51">
            <v>47956.16156</v>
          </cell>
          <cell r="H51">
            <v>48310.519800000002</v>
          </cell>
          <cell r="I51">
            <v>48673.224289999998</v>
          </cell>
          <cell r="J51">
            <v>49041.319430000003</v>
          </cell>
          <cell r="K51">
            <v>49410.68649</v>
          </cell>
          <cell r="L51">
            <v>49817.646229999998</v>
          </cell>
          <cell r="M51">
            <v>50197.92308</v>
          </cell>
          <cell r="N51">
            <v>50564.13622</v>
          </cell>
          <cell r="O51">
            <v>50919.938860000002</v>
          </cell>
          <cell r="P51">
            <v>51267.12096</v>
          </cell>
          <cell r="Q51">
            <v>51607.18939</v>
          </cell>
          <cell r="R51">
            <v>51941.876429999997</v>
          </cell>
          <cell r="S51">
            <v>52273.196759999999</v>
          </cell>
          <cell r="T51">
            <v>52603.346310000001</v>
          </cell>
          <cell r="U51">
            <v>52934.562510000003</v>
          </cell>
          <cell r="V51">
            <v>53240.701029999997</v>
          </cell>
          <cell r="W51">
            <v>53567.819739999999</v>
          </cell>
          <cell r="X51">
            <v>53907.480060000002</v>
          </cell>
          <cell r="Y51">
            <v>54258.262920000001</v>
          </cell>
          <cell r="Z51">
            <v>54620.295850000002</v>
          </cell>
          <cell r="AA51">
            <v>54914.264009999999</v>
          </cell>
          <cell r="AB51">
            <v>55227.147149999997</v>
          </cell>
          <cell r="AC51">
            <v>55550.920339999997</v>
          </cell>
          <cell r="AD51">
            <v>55884.766889999999</v>
          </cell>
          <cell r="AE51">
            <v>56229.169609999997</v>
          </cell>
          <cell r="AF51">
            <v>56584.87788</v>
          </cell>
          <cell r="AG51">
            <v>56952.458030000002</v>
          </cell>
          <cell r="AH51">
            <v>57332.132310000001</v>
          </cell>
          <cell r="AI51">
            <v>57723.756580000001</v>
          </cell>
          <cell r="AJ51">
            <v>58126.868240000003</v>
          </cell>
          <cell r="AK51">
            <v>58540.766389999997</v>
          </cell>
          <cell r="AL51">
            <v>58946.150699999998</v>
          </cell>
          <cell r="AM51">
            <v>59352.323920000003</v>
          </cell>
          <cell r="AN51">
            <v>59761.89011</v>
          </cell>
          <cell r="AO51">
            <v>60175.715730000004</v>
          </cell>
          <cell r="AP51">
            <v>60594.14271</v>
          </cell>
          <cell r="AQ51">
            <v>61017.384769999997</v>
          </cell>
          <cell r="AR51">
            <v>61445.62124</v>
          </cell>
          <cell r="AS51">
            <v>61878.993589999998</v>
          </cell>
          <cell r="AT51">
            <v>62317.582269999999</v>
          </cell>
          <cell r="AU51">
            <v>62761.391340000002</v>
          </cell>
          <cell r="AV51">
            <v>63211.95865</v>
          </cell>
          <cell r="AW51">
            <v>63668.24295</v>
          </cell>
          <cell r="AX51">
            <v>64129.749060000002</v>
          </cell>
          <cell r="AY51">
            <v>64596.106820000001</v>
          </cell>
          <cell r="AZ51">
            <v>65066.986400000002</v>
          </cell>
          <cell r="BA51">
            <v>76493.494720000002</v>
          </cell>
          <cell r="BB51">
            <v>77489.911290000004</v>
          </cell>
          <cell r="BC51">
            <v>78504.211280000003</v>
          </cell>
          <cell r="BD51">
            <v>79536.728640000001</v>
          </cell>
          <cell r="BE51">
            <v>80587.747329999998</v>
          </cell>
        </row>
        <row r="52">
          <cell r="B52">
            <v>903.56594570000004</v>
          </cell>
          <cell r="C52">
            <v>904.17064919999996</v>
          </cell>
          <cell r="D52">
            <v>905.47260459999995</v>
          </cell>
          <cell r="E52">
            <v>907.89240199999995</v>
          </cell>
          <cell r="F52">
            <v>911.89358010000001</v>
          </cell>
          <cell r="G52">
            <v>917.47225330000003</v>
          </cell>
          <cell r="H52">
            <v>923.8845</v>
          </cell>
          <cell r="I52">
            <v>930.97556120000002</v>
          </cell>
          <cell r="J52">
            <v>938.44838900000002</v>
          </cell>
          <cell r="K52">
            <v>946.01846090000004</v>
          </cell>
          <cell r="L52">
            <v>954.21919409999998</v>
          </cell>
          <cell r="M52">
            <v>961.66644220000001</v>
          </cell>
          <cell r="N52">
            <v>968.53892970000004</v>
          </cell>
          <cell r="O52">
            <v>974.87709140000004</v>
          </cell>
          <cell r="P52">
            <v>980.70863110000005</v>
          </cell>
          <cell r="Q52">
            <v>986.07475999999997</v>
          </cell>
          <cell r="R52">
            <v>990.99086609999995</v>
          </cell>
          <cell r="S52">
            <v>995.53996570000004</v>
          </cell>
          <cell r="T52">
            <v>999.81327099999999</v>
          </cell>
          <cell r="U52">
            <v>1003.9013629999999</v>
          </cell>
          <cell r="V52">
            <v>1007.358022</v>
          </cell>
          <cell r="W52">
            <v>1011.084898</v>
          </cell>
          <cell r="X52">
            <v>1014.9680080000001</v>
          </cell>
          <cell r="Y52">
            <v>1019.006581</v>
          </cell>
          <cell r="Z52">
            <v>1023.22513</v>
          </cell>
          <cell r="AA52">
            <v>1026.1736069999999</v>
          </cell>
          <cell r="AB52">
            <v>1029.479705</v>
          </cell>
          <cell r="AC52">
            <v>1033.028251</v>
          </cell>
          <cell r="AD52">
            <v>1036.8054870000001</v>
          </cell>
          <cell r="AE52">
            <v>1040.818972</v>
          </cell>
          <cell r="AF52">
            <v>1045.0798729999999</v>
          </cell>
          <cell r="AG52">
            <v>1049.600762</v>
          </cell>
          <cell r="AH52">
            <v>1054.382192</v>
          </cell>
          <cell r="AI52">
            <v>1059.414094</v>
          </cell>
          <cell r="AJ52">
            <v>1064.6801379999999</v>
          </cell>
          <cell r="AK52">
            <v>1070.159817</v>
          </cell>
          <cell r="AL52">
            <v>1075.540759</v>
          </cell>
          <cell r="AM52">
            <v>1081.0012220000001</v>
          </cell>
          <cell r="AN52">
            <v>1086.5707910000001</v>
          </cell>
          <cell r="AO52">
            <v>1092.244747</v>
          </cell>
          <cell r="AP52">
            <v>1098.01151</v>
          </cell>
          <cell r="AQ52">
            <v>1103.8655650000001</v>
          </cell>
          <cell r="AR52">
            <v>1109.8024499999999</v>
          </cell>
          <cell r="AS52">
            <v>1115.8120719999999</v>
          </cell>
          <cell r="AT52">
            <v>1121.8840990000001</v>
          </cell>
          <cell r="AU52">
            <v>1128.0082709999999</v>
          </cell>
          <cell r="AV52">
            <v>1134.217028</v>
          </cell>
          <cell r="AW52">
            <v>1140.50504</v>
          </cell>
          <cell r="AX52">
            <v>1140.485267</v>
          </cell>
          <cell r="AY52">
            <v>1140.4374909999999</v>
          </cell>
          <cell r="AZ52">
            <v>1140.431969</v>
          </cell>
          <cell r="BA52">
            <v>1496.358972</v>
          </cell>
          <cell r="BB52">
            <v>1515.29351</v>
          </cell>
          <cell r="BC52">
            <v>1534.5813000000001</v>
          </cell>
          <cell r="BD52">
            <v>1554.2243080000001</v>
          </cell>
          <cell r="BE52">
            <v>1574.224798</v>
          </cell>
        </row>
        <row r="53">
          <cell r="B53">
            <v>924.08025150000003</v>
          </cell>
          <cell r="C53">
            <v>930.94698889999995</v>
          </cell>
          <cell r="D53">
            <v>936.63304770000002</v>
          </cell>
          <cell r="E53">
            <v>942.41535539999995</v>
          </cell>
          <cell r="F53">
            <v>948.76953279999998</v>
          </cell>
          <cell r="G53">
            <v>955.75956659999997</v>
          </cell>
          <cell r="H53">
            <v>962.82187650000003</v>
          </cell>
          <cell r="I53">
            <v>970.05052620000004</v>
          </cell>
          <cell r="J53">
            <v>977.38661049999996</v>
          </cell>
          <cell r="K53">
            <v>984.74804419999998</v>
          </cell>
          <cell r="L53">
            <v>992.8586947</v>
          </cell>
          <cell r="M53">
            <v>1000.437559</v>
          </cell>
          <cell r="N53">
            <v>1007.736135</v>
          </cell>
          <cell r="O53">
            <v>1014.827232</v>
          </cell>
          <cell r="P53">
            <v>1021.746523</v>
          </cell>
          <cell r="Q53">
            <v>1028.5240389999999</v>
          </cell>
          <cell r="R53">
            <v>1035.1943040000001</v>
          </cell>
          <cell r="S53">
            <v>1041.797472</v>
          </cell>
          <cell r="T53">
            <v>1048.3773060000001</v>
          </cell>
          <cell r="U53">
            <v>1054.9783990000001</v>
          </cell>
          <cell r="V53">
            <v>1061.079696</v>
          </cell>
          <cell r="W53">
            <v>1067.5991260000001</v>
          </cell>
          <cell r="X53">
            <v>1074.3685089999999</v>
          </cell>
          <cell r="Y53">
            <v>1081.3595620000001</v>
          </cell>
          <cell r="Z53">
            <v>1088.5748269999999</v>
          </cell>
          <cell r="AA53">
            <v>1094.433571</v>
          </cell>
          <cell r="AB53">
            <v>1100.6692880000001</v>
          </cell>
          <cell r="AC53">
            <v>1107.1220430000001</v>
          </cell>
          <cell r="AD53">
            <v>1113.775558</v>
          </cell>
          <cell r="AE53">
            <v>1120.639455</v>
          </cell>
          <cell r="AF53">
            <v>1127.7286710000001</v>
          </cell>
          <cell r="AG53">
            <v>1135.054492</v>
          </cell>
          <cell r="AH53">
            <v>1142.621347</v>
          </cell>
          <cell r="AI53">
            <v>1150.4263639999999</v>
          </cell>
          <cell r="AJ53">
            <v>1158.460323</v>
          </cell>
          <cell r="AK53">
            <v>1166.709255</v>
          </cell>
          <cell r="AL53">
            <v>1174.788507</v>
          </cell>
          <cell r="AM53">
            <v>1182.883482</v>
          </cell>
          <cell r="AN53">
            <v>1191.046079</v>
          </cell>
          <cell r="AO53">
            <v>1199.2935649999999</v>
          </cell>
          <cell r="AP53">
            <v>1207.632756</v>
          </cell>
          <cell r="AQ53">
            <v>1216.0679110000001</v>
          </cell>
          <cell r="AR53">
            <v>1224.6026039999999</v>
          </cell>
          <cell r="AS53">
            <v>1233.239654</v>
          </cell>
          <cell r="AT53">
            <v>1241.980665</v>
          </cell>
          <cell r="AU53">
            <v>1250.8257169999999</v>
          </cell>
          <cell r="AV53">
            <v>1259.8054609999999</v>
          </cell>
          <cell r="AW53">
            <v>1268.8991430000001</v>
          </cell>
          <cell r="AX53">
            <v>1278.0968949999999</v>
          </cell>
          <cell r="AY53">
            <v>1287.391339</v>
          </cell>
          <cell r="AZ53">
            <v>1296.775903</v>
          </cell>
          <cell r="BA53">
            <v>1524.50461</v>
          </cell>
          <cell r="BB53">
            <v>1544.3630519999999</v>
          </cell>
          <cell r="BC53">
            <v>1564.577908</v>
          </cell>
          <cell r="BD53">
            <v>1585.1558339999999</v>
          </cell>
          <cell r="BE53">
            <v>1606.1024890000001</v>
          </cell>
        </row>
        <row r="54">
          <cell r="B54">
            <v>1313.033107</v>
          </cell>
          <cell r="C54">
            <v>1313.911842</v>
          </cell>
          <cell r="D54">
            <v>1315.8038019999999</v>
          </cell>
          <cell r="E54">
            <v>1319.320174</v>
          </cell>
          <cell r="F54">
            <v>1325.134558</v>
          </cell>
          <cell r="G54">
            <v>1333.2413079999999</v>
          </cell>
          <cell r="H54">
            <v>1342.559379</v>
          </cell>
          <cell r="I54">
            <v>1352.8638820000001</v>
          </cell>
          <cell r="J54">
            <v>1363.7231569999999</v>
          </cell>
          <cell r="K54">
            <v>1374.723743</v>
          </cell>
          <cell r="L54">
            <v>1386.6407859999999</v>
          </cell>
          <cell r="M54">
            <v>1397.462888</v>
          </cell>
          <cell r="N54">
            <v>1407.4497670000001</v>
          </cell>
          <cell r="O54">
            <v>1416.660181</v>
          </cell>
          <cell r="P54">
            <v>1425.1343870000001</v>
          </cell>
          <cell r="Q54">
            <v>1432.932274</v>
          </cell>
          <cell r="R54">
            <v>1440.076202</v>
          </cell>
          <cell r="S54">
            <v>1446.6868079999999</v>
          </cell>
          <cell r="T54">
            <v>1452.8966379999999</v>
          </cell>
          <cell r="U54">
            <v>1458.837323</v>
          </cell>
          <cell r="V54">
            <v>1463.8604290000001</v>
          </cell>
          <cell r="W54">
            <v>1469.276206</v>
          </cell>
          <cell r="X54">
            <v>1474.9190180000001</v>
          </cell>
          <cell r="Y54">
            <v>1480.7877430000001</v>
          </cell>
          <cell r="Z54">
            <v>1486.918003</v>
          </cell>
          <cell r="AA54">
            <v>1491.202636</v>
          </cell>
          <cell r="AB54">
            <v>1496.0069510000001</v>
          </cell>
          <cell r="AC54">
            <v>1501.163585</v>
          </cell>
          <cell r="AD54">
            <v>1506.6525429999999</v>
          </cell>
          <cell r="AE54">
            <v>1512.484811</v>
          </cell>
          <cell r="AF54">
            <v>1518.676616</v>
          </cell>
          <cell r="AG54">
            <v>1525.2462270000001</v>
          </cell>
          <cell r="AH54">
            <v>1532.1944470000001</v>
          </cell>
          <cell r="AI54">
            <v>1539.5066469999999</v>
          </cell>
          <cell r="AJ54">
            <v>1547.159093</v>
          </cell>
          <cell r="AK54">
            <v>1555.121987</v>
          </cell>
          <cell r="AL54">
            <v>1562.941399</v>
          </cell>
          <cell r="AM54">
            <v>1570.87637</v>
          </cell>
          <cell r="AN54">
            <v>1578.969889</v>
          </cell>
          <cell r="AO54">
            <v>1587.215101</v>
          </cell>
          <cell r="AP54">
            <v>1595.5951769999999</v>
          </cell>
          <cell r="AQ54">
            <v>1604.1021009999999</v>
          </cell>
          <cell r="AR54">
            <v>1612.7293930000001</v>
          </cell>
          <cell r="AS54">
            <v>1621.462383</v>
          </cell>
          <cell r="AT54">
            <v>1630.2860579999999</v>
          </cell>
          <cell r="AU54">
            <v>1639.1855089999999</v>
          </cell>
          <cell r="AV54">
            <v>1648.2078759999999</v>
          </cell>
          <cell r="AW54">
            <v>1657.3454139999999</v>
          </cell>
          <cell r="AX54">
            <v>1657.3166799999999</v>
          </cell>
          <cell r="AY54">
            <v>1657.247253</v>
          </cell>
          <cell r="AZ54">
            <v>1657.239229</v>
          </cell>
          <cell r="BA54">
            <v>2174.460955</v>
          </cell>
          <cell r="BB54">
            <v>2201.9760190000002</v>
          </cell>
          <cell r="BC54">
            <v>2230.0044189999999</v>
          </cell>
          <cell r="BD54">
            <v>2258.5490089999998</v>
          </cell>
          <cell r="BE54">
            <v>2287.613081</v>
          </cell>
        </row>
        <row r="55">
          <cell r="B55">
            <v>1342.8438389999999</v>
          </cell>
          <cell r="C55">
            <v>1352.8223620000001</v>
          </cell>
          <cell r="D55">
            <v>1361.085161</v>
          </cell>
          <cell r="E55">
            <v>1369.4878249999999</v>
          </cell>
          <cell r="F55">
            <v>1378.7215120000001</v>
          </cell>
          <cell r="G55">
            <v>1388.8792060000001</v>
          </cell>
          <cell r="H55">
            <v>1399.141928</v>
          </cell>
          <cell r="I55">
            <v>1409.646371</v>
          </cell>
          <cell r="J55">
            <v>1420.3069330000001</v>
          </cell>
          <cell r="K55">
            <v>1431.0043330000001</v>
          </cell>
          <cell r="L55">
            <v>1442.790471</v>
          </cell>
          <cell r="M55">
            <v>1453.8038340000001</v>
          </cell>
          <cell r="N55">
            <v>1464.409891</v>
          </cell>
          <cell r="O55">
            <v>1474.714446</v>
          </cell>
          <cell r="P55">
            <v>1484.7693380000001</v>
          </cell>
          <cell r="Q55">
            <v>1494.618207</v>
          </cell>
          <cell r="R55">
            <v>1504.311224</v>
          </cell>
          <cell r="S55">
            <v>1513.9067359999999</v>
          </cell>
          <cell r="T55">
            <v>1523.4683399999999</v>
          </cell>
          <cell r="U55">
            <v>1533.0608360000001</v>
          </cell>
          <cell r="V55">
            <v>1541.927046</v>
          </cell>
          <cell r="W55">
            <v>1551.400873</v>
          </cell>
          <cell r="X55">
            <v>1561.2379229999999</v>
          </cell>
          <cell r="Y55">
            <v>1571.3970979999999</v>
          </cell>
          <cell r="Z55">
            <v>1581.8820909999999</v>
          </cell>
          <cell r="AA55">
            <v>1590.3958299999999</v>
          </cell>
          <cell r="AB55">
            <v>1599.4573740000001</v>
          </cell>
          <cell r="AC55">
            <v>1608.83431</v>
          </cell>
          <cell r="AD55">
            <v>1618.5029850000001</v>
          </cell>
          <cell r="AE55">
            <v>1628.477382</v>
          </cell>
          <cell r="AF55">
            <v>1638.7792030000001</v>
          </cell>
          <cell r="AG55">
            <v>1649.4248520000001</v>
          </cell>
          <cell r="AH55">
            <v>1660.4207630000001</v>
          </cell>
          <cell r="AI55">
            <v>1671.7627640000001</v>
          </cell>
          <cell r="AJ55">
            <v>1683.437455</v>
          </cell>
          <cell r="AK55">
            <v>1695.4245390000001</v>
          </cell>
          <cell r="AL55">
            <v>1707.1650500000001</v>
          </cell>
          <cell r="AM55">
            <v>1718.9284090000001</v>
          </cell>
          <cell r="AN55">
            <v>1730.790033</v>
          </cell>
          <cell r="AO55">
            <v>1742.7750169999999</v>
          </cell>
          <cell r="AP55">
            <v>1754.893262</v>
          </cell>
          <cell r="AQ55">
            <v>1767.1509590000001</v>
          </cell>
          <cell r="AR55">
            <v>1779.5533009999999</v>
          </cell>
          <cell r="AS55">
            <v>1792.104386</v>
          </cell>
          <cell r="AT55">
            <v>1804.8065429999999</v>
          </cell>
          <cell r="AU55">
            <v>1817.6598899999999</v>
          </cell>
          <cell r="AV55">
            <v>1830.708965</v>
          </cell>
          <cell r="AW55">
            <v>1843.9236129999999</v>
          </cell>
          <cell r="AX55">
            <v>1857.2894920000001</v>
          </cell>
          <cell r="AY55">
            <v>1870.795881</v>
          </cell>
          <cell r="AZ55">
            <v>1884.433229</v>
          </cell>
          <cell r="BA55">
            <v>2215.3612950000002</v>
          </cell>
          <cell r="BB55">
            <v>2244.2189480000002</v>
          </cell>
          <cell r="BC55">
            <v>2273.5945299999998</v>
          </cell>
          <cell r="BD55">
            <v>2303.4977130000002</v>
          </cell>
          <cell r="BE55">
            <v>2333.9367219999999</v>
          </cell>
        </row>
        <row r="56">
          <cell r="B56">
            <v>1192.8980160000001</v>
          </cell>
          <cell r="C56">
            <v>1193.6963519999999</v>
          </cell>
          <cell r="D56">
            <v>1195.4152079999999</v>
          </cell>
          <cell r="E56">
            <v>1198.609852</v>
          </cell>
          <cell r="F56">
            <v>1203.892253</v>
          </cell>
          <cell r="G56">
            <v>1211.2572809999999</v>
          </cell>
          <cell r="H56">
            <v>1219.722802</v>
          </cell>
          <cell r="I56">
            <v>1229.084501</v>
          </cell>
          <cell r="J56">
            <v>1238.9502130000001</v>
          </cell>
          <cell r="K56">
            <v>1248.9443080000001</v>
          </cell>
          <cell r="L56">
            <v>1259.771009</v>
          </cell>
          <cell r="M56">
            <v>1269.60295</v>
          </cell>
          <cell r="N56">
            <v>1278.6760859999999</v>
          </cell>
          <cell r="O56">
            <v>1287.043799</v>
          </cell>
          <cell r="P56">
            <v>1294.7426640000001</v>
          </cell>
          <cell r="Q56">
            <v>1301.8270889999999</v>
          </cell>
          <cell r="R56">
            <v>1308.3173879999999</v>
          </cell>
          <cell r="S56">
            <v>1314.323161</v>
          </cell>
          <cell r="T56">
            <v>1319.964827</v>
          </cell>
          <cell r="U56">
            <v>1325.3619719999999</v>
          </cell>
          <cell r="V56">
            <v>1329.925493</v>
          </cell>
          <cell r="W56">
            <v>1334.845757</v>
          </cell>
          <cell r="X56">
            <v>1339.9722830000001</v>
          </cell>
          <cell r="Y56">
            <v>1345.3040530000001</v>
          </cell>
          <cell r="Z56">
            <v>1350.873429</v>
          </cell>
          <cell r="AA56">
            <v>1354.766042</v>
          </cell>
          <cell r="AB56">
            <v>1359.1307899999999</v>
          </cell>
          <cell r="AC56">
            <v>1363.815621</v>
          </cell>
          <cell r="AD56">
            <v>1368.8023700000001</v>
          </cell>
          <cell r="AE56">
            <v>1374.101019</v>
          </cell>
          <cell r="AF56">
            <v>1379.7263089999999</v>
          </cell>
          <cell r="AG56">
            <v>1385.694837</v>
          </cell>
          <cell r="AH56">
            <v>1392.007335</v>
          </cell>
          <cell r="AI56">
            <v>1398.6505099999999</v>
          </cell>
          <cell r="AJ56">
            <v>1405.6027999999999</v>
          </cell>
          <cell r="AK56">
            <v>1412.837135</v>
          </cell>
          <cell r="AL56">
            <v>1419.9411150000001</v>
          </cell>
          <cell r="AM56">
            <v>1427.150081</v>
          </cell>
          <cell r="AN56">
            <v>1434.503089</v>
          </cell>
          <cell r="AO56">
            <v>1441.993911</v>
          </cell>
          <cell r="AP56">
            <v>1449.6072569999999</v>
          </cell>
          <cell r="AQ56">
            <v>1457.3358459999999</v>
          </cell>
          <cell r="AR56">
            <v>1465.1737889999999</v>
          </cell>
          <cell r="AS56">
            <v>1473.107761</v>
          </cell>
          <cell r="AT56">
            <v>1481.1241199999999</v>
          </cell>
          <cell r="AU56">
            <v>1489.2093199999999</v>
          </cell>
          <cell r="AV56">
            <v>1497.4061919999999</v>
          </cell>
          <cell r="AW56">
            <v>1505.7076970000001</v>
          </cell>
          <cell r="AX56">
            <v>1505.6815919999999</v>
          </cell>
          <cell r="AY56">
            <v>1505.6185170000001</v>
          </cell>
          <cell r="AZ56">
            <v>1505.6112270000001</v>
          </cell>
          <cell r="BA56">
            <v>1975.510096</v>
          </cell>
          <cell r="BB56">
            <v>2000.5076879999999</v>
          </cell>
          <cell r="BC56">
            <v>2025.9716470000001</v>
          </cell>
          <cell r="BD56">
            <v>2051.9045689999998</v>
          </cell>
          <cell r="BE56">
            <v>2078.309444</v>
          </cell>
        </row>
        <row r="57">
          <cell r="B57">
            <v>1219.981235</v>
          </cell>
          <cell r="C57">
            <v>1229.0467799999999</v>
          </cell>
          <cell r="D57">
            <v>1236.5535789999999</v>
          </cell>
          <cell r="E57">
            <v>1244.187447</v>
          </cell>
          <cell r="F57">
            <v>1252.5763039999999</v>
          </cell>
          <cell r="G57">
            <v>1261.8046260000001</v>
          </cell>
          <cell r="H57">
            <v>1271.1283679999999</v>
          </cell>
          <cell r="I57">
            <v>1280.671713</v>
          </cell>
          <cell r="J57">
            <v>1290.3568949999999</v>
          </cell>
          <cell r="K57">
            <v>1300.0755429999999</v>
          </cell>
          <cell r="L57">
            <v>1310.783316</v>
          </cell>
          <cell r="M57">
            <v>1320.7890190000001</v>
          </cell>
          <cell r="N57">
            <v>1330.4246820000001</v>
          </cell>
          <cell r="O57">
            <v>1339.7864279999999</v>
          </cell>
          <cell r="P57">
            <v>1348.9213540000001</v>
          </cell>
          <cell r="Q57">
            <v>1357.8691080000001</v>
          </cell>
          <cell r="R57">
            <v>1366.6752690000001</v>
          </cell>
          <cell r="S57">
            <v>1375.3928450000001</v>
          </cell>
          <cell r="T57">
            <v>1384.0796170000001</v>
          </cell>
          <cell r="U57">
            <v>1392.7944540000001</v>
          </cell>
          <cell r="V57">
            <v>1400.849457</v>
          </cell>
          <cell r="W57">
            <v>1409.4564820000001</v>
          </cell>
          <cell r="X57">
            <v>1418.3934979999999</v>
          </cell>
          <cell r="Y57">
            <v>1427.623165</v>
          </cell>
          <cell r="Z57">
            <v>1437.1488409999999</v>
          </cell>
          <cell r="AA57">
            <v>1444.8836209999999</v>
          </cell>
          <cell r="AB57">
            <v>1453.116086</v>
          </cell>
          <cell r="AC57">
            <v>1461.6350849999999</v>
          </cell>
          <cell r="AD57">
            <v>1470.4191310000001</v>
          </cell>
          <cell r="AE57">
            <v>1479.4809270000001</v>
          </cell>
          <cell r="AF57">
            <v>1488.8401899999999</v>
          </cell>
          <cell r="AG57">
            <v>1498.5118219999999</v>
          </cell>
          <cell r="AH57">
            <v>1508.5016700000001</v>
          </cell>
          <cell r="AI57">
            <v>1518.8059410000001</v>
          </cell>
          <cell r="AJ57">
            <v>1529.4124650000001</v>
          </cell>
          <cell r="AK57">
            <v>1540.3027979999999</v>
          </cell>
          <cell r="AL57">
            <v>1550.9691190000001</v>
          </cell>
          <cell r="AM57">
            <v>1561.656197</v>
          </cell>
          <cell r="AN57">
            <v>1572.43255</v>
          </cell>
          <cell r="AO57">
            <v>1583.3209750000001</v>
          </cell>
          <cell r="AP57">
            <v>1594.3304700000001</v>
          </cell>
          <cell r="AQ57">
            <v>1605.4666569999999</v>
          </cell>
          <cell r="AR57">
            <v>1616.7342550000001</v>
          </cell>
          <cell r="AS57">
            <v>1628.1369870000001</v>
          </cell>
          <cell r="AT57">
            <v>1639.676968</v>
          </cell>
          <cell r="AU57">
            <v>1651.3543070000001</v>
          </cell>
          <cell r="AV57">
            <v>1663.209466</v>
          </cell>
          <cell r="AW57">
            <v>1675.215048</v>
          </cell>
          <cell r="AX57">
            <v>1687.358025</v>
          </cell>
          <cell r="AY57">
            <v>1699.6286560000001</v>
          </cell>
          <cell r="AZ57">
            <v>1712.018264</v>
          </cell>
          <cell r="BA57">
            <v>2012.6682860000001</v>
          </cell>
          <cell r="BB57">
            <v>2038.8856270000001</v>
          </cell>
          <cell r="BC57">
            <v>2065.5735100000002</v>
          </cell>
          <cell r="BD57">
            <v>2092.740722</v>
          </cell>
          <cell r="BE57">
            <v>2120.3947330000001</v>
          </cell>
        </row>
        <row r="58">
          <cell r="B58">
            <v>2347.5988560000001</v>
          </cell>
          <cell r="C58">
            <v>2349.1699659999999</v>
          </cell>
          <cell r="D58">
            <v>2352.5526399999999</v>
          </cell>
          <cell r="E58">
            <v>2358.8396339999999</v>
          </cell>
          <cell r="F58">
            <v>2369.2352900000001</v>
          </cell>
          <cell r="G58">
            <v>2383.7295140000001</v>
          </cell>
          <cell r="H58">
            <v>2400.3894850000001</v>
          </cell>
          <cell r="I58">
            <v>2418.813118</v>
          </cell>
          <cell r="J58">
            <v>2438.2286370000002</v>
          </cell>
          <cell r="K58">
            <v>2457.8968110000001</v>
          </cell>
          <cell r="L58">
            <v>2479.2035369999999</v>
          </cell>
          <cell r="M58">
            <v>2498.552596</v>
          </cell>
          <cell r="N58">
            <v>2516.4083420000002</v>
          </cell>
          <cell r="O58">
            <v>2532.87583</v>
          </cell>
          <cell r="P58">
            <v>2548.0270380000002</v>
          </cell>
          <cell r="Q58">
            <v>2561.9690399999999</v>
          </cell>
          <cell r="R58">
            <v>2574.7418160000002</v>
          </cell>
          <cell r="S58">
            <v>2586.5610539999998</v>
          </cell>
          <cell r="T58">
            <v>2597.6637369999999</v>
          </cell>
          <cell r="U58">
            <v>2608.2852090000001</v>
          </cell>
          <cell r="V58">
            <v>2617.2661229999999</v>
          </cell>
          <cell r="W58">
            <v>2626.9491029999999</v>
          </cell>
          <cell r="X58">
            <v>2637.0380009999999</v>
          </cell>
          <cell r="Y58">
            <v>2647.5308150000001</v>
          </cell>
          <cell r="Z58">
            <v>2658.4912330000002</v>
          </cell>
          <cell r="AA58">
            <v>2666.1518160000001</v>
          </cell>
          <cell r="AB58">
            <v>2674.7415510000001</v>
          </cell>
          <cell r="AC58">
            <v>2683.9612010000001</v>
          </cell>
          <cell r="AD58">
            <v>2693.7750219999998</v>
          </cell>
          <cell r="AE58">
            <v>2704.2026540000002</v>
          </cell>
          <cell r="AF58">
            <v>2715.2731100000001</v>
          </cell>
          <cell r="AG58">
            <v>2727.0190510000002</v>
          </cell>
          <cell r="AH58">
            <v>2739.441918</v>
          </cell>
          <cell r="AI58">
            <v>2752.5155500000001</v>
          </cell>
          <cell r="AJ58">
            <v>2766.197514</v>
          </cell>
          <cell r="AK58">
            <v>2780.4345370000001</v>
          </cell>
          <cell r="AL58">
            <v>2794.4150249999998</v>
          </cell>
          <cell r="AM58">
            <v>2808.6021209999999</v>
          </cell>
          <cell r="AN58">
            <v>2823.0726909999998</v>
          </cell>
          <cell r="AO58">
            <v>2837.8144739999998</v>
          </cell>
          <cell r="AP58">
            <v>2852.797384</v>
          </cell>
          <cell r="AQ58">
            <v>2868.0070890000002</v>
          </cell>
          <cell r="AR58">
            <v>2883.4320010000001</v>
          </cell>
          <cell r="AS58">
            <v>2899.045893</v>
          </cell>
          <cell r="AT58">
            <v>2914.8219239999999</v>
          </cell>
          <cell r="AU58">
            <v>2930.7334340000002</v>
          </cell>
          <cell r="AV58">
            <v>2946.8647089999999</v>
          </cell>
          <cell r="AW58">
            <v>2963.2019009999999</v>
          </cell>
          <cell r="AX58">
            <v>2963.1505269999998</v>
          </cell>
          <cell r="AY58">
            <v>2963.0263970000001</v>
          </cell>
          <cell r="AZ58">
            <v>2963.0120499999998</v>
          </cell>
          <cell r="BA58">
            <v>3887.7633970000002</v>
          </cell>
          <cell r="BB58">
            <v>3936.9581450000001</v>
          </cell>
          <cell r="BC58">
            <v>3987.0706960000002</v>
          </cell>
          <cell r="BD58">
            <v>4038.1061549999999</v>
          </cell>
          <cell r="BE58">
            <v>4090.0704070000002</v>
          </cell>
        </row>
        <row r="59">
          <cell r="B59">
            <v>2400.8980769999998</v>
          </cell>
          <cell r="C59">
            <v>2418.738883</v>
          </cell>
          <cell r="D59">
            <v>2433.5121100000001</v>
          </cell>
          <cell r="E59">
            <v>2448.5354069999999</v>
          </cell>
          <cell r="F59">
            <v>2465.0445060000002</v>
          </cell>
          <cell r="G59">
            <v>2483.2056539999999</v>
          </cell>
          <cell r="H59">
            <v>2501.5545870000001</v>
          </cell>
          <cell r="I59">
            <v>2520.3356950000002</v>
          </cell>
          <cell r="J59">
            <v>2539.3959340000001</v>
          </cell>
          <cell r="K59">
            <v>2558.522035</v>
          </cell>
          <cell r="L59">
            <v>2579.594713</v>
          </cell>
          <cell r="M59">
            <v>2599.2857300000001</v>
          </cell>
          <cell r="N59">
            <v>2618.2485179999999</v>
          </cell>
          <cell r="O59">
            <v>2636.672243</v>
          </cell>
          <cell r="P59">
            <v>2654.64959</v>
          </cell>
          <cell r="Q59">
            <v>2672.2585859999999</v>
          </cell>
          <cell r="R59">
            <v>2689.5889299999999</v>
          </cell>
          <cell r="S59">
            <v>2706.7449419999998</v>
          </cell>
          <cell r="T59">
            <v>2723.8403309999999</v>
          </cell>
          <cell r="U59">
            <v>2740.9909520000001</v>
          </cell>
          <cell r="V59">
            <v>2756.8430320000002</v>
          </cell>
          <cell r="W59">
            <v>2773.781481</v>
          </cell>
          <cell r="X59">
            <v>2791.3693450000001</v>
          </cell>
          <cell r="Y59">
            <v>2809.5331420000002</v>
          </cell>
          <cell r="Z59">
            <v>2828.2794760000002</v>
          </cell>
          <cell r="AA59">
            <v>2843.5013650000001</v>
          </cell>
          <cell r="AB59">
            <v>2859.702687</v>
          </cell>
          <cell r="AC59">
            <v>2876.4679030000002</v>
          </cell>
          <cell r="AD59">
            <v>2893.7547249999998</v>
          </cell>
          <cell r="AE59">
            <v>2911.588154</v>
          </cell>
          <cell r="AF59">
            <v>2930.0069920000001</v>
          </cell>
          <cell r="AG59">
            <v>2949.0405649999998</v>
          </cell>
          <cell r="AH59">
            <v>2968.7003810000001</v>
          </cell>
          <cell r="AI59">
            <v>2988.9789770000002</v>
          </cell>
          <cell r="AJ59">
            <v>3009.852398</v>
          </cell>
          <cell r="AK59">
            <v>3031.2843509999998</v>
          </cell>
          <cell r="AL59">
            <v>3052.2754519999999</v>
          </cell>
          <cell r="AM59">
            <v>3073.3074029999998</v>
          </cell>
          <cell r="AN59">
            <v>3094.5150440000002</v>
          </cell>
          <cell r="AO59">
            <v>3115.9432419999998</v>
          </cell>
          <cell r="AP59">
            <v>3137.6097020000002</v>
          </cell>
          <cell r="AQ59">
            <v>3159.52549</v>
          </cell>
          <cell r="AR59">
            <v>3181.6998920000001</v>
          </cell>
          <cell r="AS59">
            <v>3204.140234</v>
          </cell>
          <cell r="AT59">
            <v>3226.8506819999998</v>
          </cell>
          <cell r="AU59">
            <v>3249.8314449999998</v>
          </cell>
          <cell r="AV59">
            <v>3273.162155</v>
          </cell>
          <cell r="AW59">
            <v>3296.7888950000001</v>
          </cell>
          <cell r="AX59">
            <v>3320.6860240000001</v>
          </cell>
          <cell r="AY59">
            <v>3344.8343749999999</v>
          </cell>
          <cell r="AZ59">
            <v>3369.2168689999999</v>
          </cell>
          <cell r="BA59">
            <v>3960.8899540000002</v>
          </cell>
          <cell r="BB59">
            <v>4012.4851440000002</v>
          </cell>
          <cell r="BC59">
            <v>4065.006351</v>
          </cell>
          <cell r="BD59">
            <v>4118.470867</v>
          </cell>
          <cell r="BE59">
            <v>4172.8933950000001</v>
          </cell>
        </row>
        <row r="60">
          <cell r="B60">
            <v>853.44316779999997</v>
          </cell>
          <cell r="C60">
            <v>854.01432709999995</v>
          </cell>
          <cell r="D60">
            <v>855.24406020000004</v>
          </cell>
          <cell r="E60">
            <v>857.52962609999997</v>
          </cell>
          <cell r="F60">
            <v>861.30885020000005</v>
          </cell>
          <cell r="G60">
            <v>866.57806219999998</v>
          </cell>
          <cell r="H60">
            <v>872.63460750000002</v>
          </cell>
          <cell r="I60">
            <v>879.33231209999997</v>
          </cell>
          <cell r="J60">
            <v>886.3906058</v>
          </cell>
          <cell r="K60">
            <v>893.54074920000005</v>
          </cell>
          <cell r="L60">
            <v>901.28656980000005</v>
          </cell>
          <cell r="M60">
            <v>908.32070280000005</v>
          </cell>
          <cell r="N60">
            <v>914.81195839999998</v>
          </cell>
          <cell r="O60">
            <v>920.79852840000001</v>
          </cell>
          <cell r="P60">
            <v>926.30657989999997</v>
          </cell>
          <cell r="Q60">
            <v>931.37503779999997</v>
          </cell>
          <cell r="R60">
            <v>936.01843680000002</v>
          </cell>
          <cell r="S60">
            <v>940.31518789999996</v>
          </cell>
          <cell r="T60">
            <v>944.35144360000004</v>
          </cell>
          <cell r="U60">
            <v>948.21276030000001</v>
          </cell>
          <cell r="V60">
            <v>951.47767080000006</v>
          </cell>
          <cell r="W60">
            <v>954.99780899999996</v>
          </cell>
          <cell r="X60">
            <v>958.66551460000005</v>
          </cell>
          <cell r="Y60">
            <v>962.48005920000003</v>
          </cell>
          <cell r="Z60">
            <v>966.46459589999995</v>
          </cell>
          <cell r="AA60">
            <v>969.2495146</v>
          </cell>
          <cell r="AB60">
            <v>972.37221609999995</v>
          </cell>
          <cell r="AC60">
            <v>975.72391640000001</v>
          </cell>
          <cell r="AD60">
            <v>979.29162059999999</v>
          </cell>
          <cell r="AE60">
            <v>983.08246880000002</v>
          </cell>
          <cell r="AF60">
            <v>987.10700870000005</v>
          </cell>
          <cell r="AG60">
            <v>991.3771137</v>
          </cell>
          <cell r="AH60">
            <v>995.89330700000005</v>
          </cell>
          <cell r="AI60">
            <v>1000.646079</v>
          </cell>
          <cell r="AJ60">
            <v>1005.620003</v>
          </cell>
          <cell r="AK60">
            <v>1010.795713</v>
          </cell>
          <cell r="AL60">
            <v>1015.878162</v>
          </cell>
          <cell r="AM60">
            <v>1021.035721</v>
          </cell>
          <cell r="AN60">
            <v>1026.2963339999999</v>
          </cell>
          <cell r="AO60">
            <v>1031.655544</v>
          </cell>
          <cell r="AP60">
            <v>1037.102412</v>
          </cell>
          <cell r="AQ60">
            <v>1042.6317300000001</v>
          </cell>
          <cell r="AR60">
            <v>1048.2392829999999</v>
          </cell>
          <cell r="AS60">
            <v>1053.915538</v>
          </cell>
          <cell r="AT60">
            <v>1059.6507360000001</v>
          </cell>
          <cell r="AU60">
            <v>1065.435187</v>
          </cell>
          <cell r="AV60">
            <v>1071.2995309999999</v>
          </cell>
          <cell r="AW60">
            <v>1077.2387329999999</v>
          </cell>
          <cell r="AX60">
            <v>1077.220057</v>
          </cell>
          <cell r="AY60">
            <v>1077.1749299999999</v>
          </cell>
          <cell r="AZ60">
            <v>1077.169715</v>
          </cell>
          <cell r="BA60">
            <v>1413.3526690000001</v>
          </cell>
          <cell r="BB60">
            <v>1431.2368670000001</v>
          </cell>
          <cell r="BC60">
            <v>1449.4547210000001</v>
          </cell>
          <cell r="BD60">
            <v>1468.008088</v>
          </cell>
          <cell r="BE60">
            <v>1486.8991080000001</v>
          </cell>
        </row>
        <row r="61">
          <cell r="B61">
            <v>872.81950019999999</v>
          </cell>
          <cell r="C61">
            <v>879.30532470000003</v>
          </cell>
          <cell r="D61">
            <v>884.6759654</v>
          </cell>
          <cell r="E61">
            <v>890.13751590000004</v>
          </cell>
          <cell r="F61">
            <v>896.13921319999997</v>
          </cell>
          <cell r="G61">
            <v>902.74149450000004</v>
          </cell>
          <cell r="H61">
            <v>909.41204259999995</v>
          </cell>
          <cell r="I61">
            <v>916.23970329999997</v>
          </cell>
          <cell r="J61">
            <v>923.16883900000005</v>
          </cell>
          <cell r="K61">
            <v>930.12191789999997</v>
          </cell>
          <cell r="L61">
            <v>937.78265290000002</v>
          </cell>
          <cell r="M61">
            <v>944.94110090000004</v>
          </cell>
          <cell r="N61">
            <v>951.83480929999996</v>
          </cell>
          <cell r="O61">
            <v>958.53254730000003</v>
          </cell>
          <cell r="P61">
            <v>965.06800980000003</v>
          </cell>
          <cell r="Q61">
            <v>971.46956220000004</v>
          </cell>
          <cell r="R61">
            <v>977.76981379999995</v>
          </cell>
          <cell r="S61">
            <v>984.00668929999995</v>
          </cell>
          <cell r="T61">
            <v>990.22152559999995</v>
          </cell>
          <cell r="U61">
            <v>996.45644100000004</v>
          </cell>
          <cell r="V61">
            <v>1002.219286</v>
          </cell>
          <cell r="W61">
            <v>1008.377069</v>
          </cell>
          <cell r="X61">
            <v>1014.770939</v>
          </cell>
          <cell r="Y61">
            <v>1021.374183</v>
          </cell>
          <cell r="Z61">
            <v>1028.189202</v>
          </cell>
          <cell r="AA61">
            <v>1033.722949</v>
          </cell>
          <cell r="AB61">
            <v>1039.6127570000001</v>
          </cell>
          <cell r="AC61">
            <v>1045.7075629999999</v>
          </cell>
          <cell r="AD61">
            <v>1051.9919930000001</v>
          </cell>
          <cell r="AE61">
            <v>1058.475136</v>
          </cell>
          <cell r="AF61">
            <v>1065.1710969999999</v>
          </cell>
          <cell r="AG61">
            <v>1072.090539</v>
          </cell>
          <cell r="AH61">
            <v>1079.237644</v>
          </cell>
          <cell r="AI61">
            <v>1086.6096990000001</v>
          </cell>
          <cell r="AJ61">
            <v>1094.197997</v>
          </cell>
          <cell r="AK61">
            <v>1101.9893420000001</v>
          </cell>
          <cell r="AL61">
            <v>1109.6204210000001</v>
          </cell>
          <cell r="AM61">
            <v>1117.2663500000001</v>
          </cell>
          <cell r="AN61">
            <v>1124.97615</v>
          </cell>
          <cell r="AO61">
            <v>1132.76613</v>
          </cell>
          <cell r="AP61">
            <v>1140.642728</v>
          </cell>
          <cell r="AQ61">
            <v>1148.609966</v>
          </cell>
          <cell r="AR61">
            <v>1156.6712210000001</v>
          </cell>
          <cell r="AS61">
            <v>1164.8291549999999</v>
          </cell>
          <cell r="AT61">
            <v>1173.0852829999999</v>
          </cell>
          <cell r="AU61">
            <v>1181.4396810000001</v>
          </cell>
          <cell r="AV61">
            <v>1189.921298</v>
          </cell>
          <cell r="AW61">
            <v>1198.510534</v>
          </cell>
          <cell r="AX61">
            <v>1207.1980659999999</v>
          </cell>
          <cell r="AY61">
            <v>1215.976928</v>
          </cell>
          <cell r="AZ61">
            <v>1224.8409099999999</v>
          </cell>
          <cell r="BA61">
            <v>1439.937007</v>
          </cell>
          <cell r="BB61">
            <v>1458.6938580000001</v>
          </cell>
          <cell r="BC61">
            <v>1477.7873520000001</v>
          </cell>
          <cell r="BD61">
            <v>1497.223776</v>
          </cell>
          <cell r="BE61">
            <v>1517.008474</v>
          </cell>
        </row>
        <row r="62">
          <cell r="B62">
            <v>6569.9346210000003</v>
          </cell>
          <cell r="C62">
            <v>6574.3314920000003</v>
          </cell>
          <cell r="D62">
            <v>6583.7981630000004</v>
          </cell>
          <cell r="E62">
            <v>6601.3927949999998</v>
          </cell>
          <cell r="F62">
            <v>6630.4858340000001</v>
          </cell>
          <cell r="G62">
            <v>6671.0490250000003</v>
          </cell>
          <cell r="H62">
            <v>6717.6732270000002</v>
          </cell>
          <cell r="I62">
            <v>6769.2331700000004</v>
          </cell>
          <cell r="J62">
            <v>6823.5689830000001</v>
          </cell>
          <cell r="K62">
            <v>6878.6118690000003</v>
          </cell>
          <cell r="L62">
            <v>6938.2403670000003</v>
          </cell>
          <cell r="M62">
            <v>6992.3901880000003</v>
          </cell>
          <cell r="N62">
            <v>7042.3608549999999</v>
          </cell>
          <cell r="O62">
            <v>7088.4463770000002</v>
          </cell>
          <cell r="P62">
            <v>7130.8481899999997</v>
          </cell>
          <cell r="Q62">
            <v>7169.8659459999999</v>
          </cell>
          <cell r="R62">
            <v>7205.6115339999997</v>
          </cell>
          <cell r="S62">
            <v>7238.6885739999998</v>
          </cell>
          <cell r="T62">
            <v>7269.7602809999998</v>
          </cell>
          <cell r="U62">
            <v>7299.4852819999996</v>
          </cell>
          <cell r="V62">
            <v>7324.6190559999995</v>
          </cell>
          <cell r="W62">
            <v>7351.7176129999998</v>
          </cell>
          <cell r="X62">
            <v>7379.9521649999997</v>
          </cell>
          <cell r="Y62">
            <v>7409.3171069999999</v>
          </cell>
          <cell r="Z62">
            <v>7439.9906730000002</v>
          </cell>
          <cell r="AA62">
            <v>7461.4293989999996</v>
          </cell>
          <cell r="AB62">
            <v>7485.4684269999998</v>
          </cell>
          <cell r="AC62">
            <v>7511.2703229999997</v>
          </cell>
          <cell r="AD62">
            <v>7538.7350500000002</v>
          </cell>
          <cell r="AE62">
            <v>7567.9175729999997</v>
          </cell>
          <cell r="AF62">
            <v>7598.8990899999999</v>
          </cell>
          <cell r="AG62">
            <v>7631.7710040000002</v>
          </cell>
          <cell r="AH62">
            <v>7666.5373440000003</v>
          </cell>
          <cell r="AI62">
            <v>7703.1249019999996</v>
          </cell>
          <cell r="AJ62">
            <v>7741.4149239999997</v>
          </cell>
          <cell r="AK62">
            <v>7781.2583169999998</v>
          </cell>
          <cell r="AL62">
            <v>7820.3837810000005</v>
          </cell>
          <cell r="AM62">
            <v>7860.0874540000004</v>
          </cell>
          <cell r="AN62">
            <v>7900.5844470000002</v>
          </cell>
          <cell r="AO62">
            <v>7941.8404529999998</v>
          </cell>
          <cell r="AP62">
            <v>7983.7712689999998</v>
          </cell>
          <cell r="AQ62">
            <v>8026.3367909999997</v>
          </cell>
          <cell r="AR62">
            <v>8069.5045840000002</v>
          </cell>
          <cell r="AS62">
            <v>8113.2012539999996</v>
          </cell>
          <cell r="AT62">
            <v>8157.3516799999998</v>
          </cell>
          <cell r="AU62">
            <v>8201.8812539999999</v>
          </cell>
          <cell r="AV62">
            <v>8247.0258599999997</v>
          </cell>
          <cell r="AW62">
            <v>8292.7467379999998</v>
          </cell>
          <cell r="AX62">
            <v>8292.602965</v>
          </cell>
          <cell r="AY62">
            <v>8292.2555769999999</v>
          </cell>
          <cell r="AZ62">
            <v>8292.2154279999995</v>
          </cell>
          <cell r="BA62">
            <v>10880.202670000001</v>
          </cell>
          <cell r="BB62">
            <v>11017.877930000001</v>
          </cell>
          <cell r="BC62">
            <v>11158.121730000001</v>
          </cell>
          <cell r="BD62">
            <v>11300.94836</v>
          </cell>
          <cell r="BE62">
            <v>11446.37428</v>
          </cell>
        </row>
        <row r="63">
          <cell r="B63">
            <v>6719.0965589999996</v>
          </cell>
          <cell r="C63">
            <v>6769.0254180000002</v>
          </cell>
          <cell r="D63">
            <v>6810.3694219999998</v>
          </cell>
          <cell r="E63">
            <v>6852.4132639999998</v>
          </cell>
          <cell r="F63">
            <v>6898.6152380000003</v>
          </cell>
          <cell r="G63">
            <v>6949.4405980000001</v>
          </cell>
          <cell r="H63">
            <v>7000.7914860000001</v>
          </cell>
          <cell r="I63">
            <v>7053.3518510000004</v>
          </cell>
          <cell r="J63">
            <v>7106.6933859999999</v>
          </cell>
          <cell r="K63">
            <v>7160.219239</v>
          </cell>
          <cell r="L63">
            <v>7219.1927370000003</v>
          </cell>
          <cell r="M63">
            <v>7274.2995520000004</v>
          </cell>
          <cell r="N63">
            <v>7327.3683629999996</v>
          </cell>
          <cell r="O63">
            <v>7378.9285630000004</v>
          </cell>
          <cell r="P63">
            <v>7429.2395420000003</v>
          </cell>
          <cell r="Q63">
            <v>7478.5196610000003</v>
          </cell>
          <cell r="R63">
            <v>7527.0199510000002</v>
          </cell>
          <cell r="S63">
            <v>7575.0323619999999</v>
          </cell>
          <cell r="T63">
            <v>7622.8751119999997</v>
          </cell>
          <cell r="U63">
            <v>7670.8724339999999</v>
          </cell>
          <cell r="V63">
            <v>7715.2356890000001</v>
          </cell>
          <cell r="W63">
            <v>7762.6392329999999</v>
          </cell>
          <cell r="X63">
            <v>7811.8602119999996</v>
          </cell>
          <cell r="Y63">
            <v>7862.6929849999997</v>
          </cell>
          <cell r="Z63">
            <v>7915.1560319999999</v>
          </cell>
          <cell r="AA63">
            <v>7957.7556519999998</v>
          </cell>
          <cell r="AB63">
            <v>8003.0962870000003</v>
          </cell>
          <cell r="AC63">
            <v>8050.0150240000003</v>
          </cell>
          <cell r="AD63">
            <v>8098.3935170000004</v>
          </cell>
          <cell r="AE63">
            <v>8148.301727</v>
          </cell>
          <cell r="AF63">
            <v>8199.8482530000001</v>
          </cell>
          <cell r="AG63">
            <v>8253.1151599999994</v>
          </cell>
          <cell r="AH63">
            <v>8308.1346570000005</v>
          </cell>
          <cell r="AI63">
            <v>8364.8858540000001</v>
          </cell>
          <cell r="AJ63">
            <v>8423.3017170000003</v>
          </cell>
          <cell r="AK63">
            <v>8483.2806739999996</v>
          </cell>
          <cell r="AL63">
            <v>8542.0258709999998</v>
          </cell>
          <cell r="AM63">
            <v>8600.8853920000001</v>
          </cell>
          <cell r="AN63">
            <v>8660.2365950000003</v>
          </cell>
          <cell r="AO63">
            <v>8720.2050429999999</v>
          </cell>
          <cell r="AP63">
            <v>8780.8402850000002</v>
          </cell>
          <cell r="AQ63">
            <v>8842.1732909999992</v>
          </cell>
          <cell r="AR63">
            <v>8904.2300489999998</v>
          </cell>
          <cell r="AS63">
            <v>8967.0310599999993</v>
          </cell>
          <cell r="AT63">
            <v>9030.5879800000002</v>
          </cell>
          <cell r="AU63">
            <v>9094.9014009999992</v>
          </cell>
          <cell r="AV63">
            <v>9160.1941729999999</v>
          </cell>
          <cell r="AW63">
            <v>9226.3154090000007</v>
          </cell>
          <cell r="AX63">
            <v>9293.1933480000007</v>
          </cell>
          <cell r="AY63">
            <v>9360.7743530000007</v>
          </cell>
          <cell r="AZ63">
            <v>9429.0106250000008</v>
          </cell>
          <cell r="BA63">
            <v>11084.852919999999</v>
          </cell>
          <cell r="BB63">
            <v>11229.245999999999</v>
          </cell>
          <cell r="BC63">
            <v>11376.230610000001</v>
          </cell>
          <cell r="BD63">
            <v>11525.85514</v>
          </cell>
          <cell r="BE63">
            <v>11678.160739999999</v>
          </cell>
        </row>
        <row r="64">
          <cell r="B64">
            <v>7809.7236270000003</v>
          </cell>
          <cell r="C64">
            <v>7848.9460390000004</v>
          </cell>
          <cell r="D64">
            <v>7897.2831120000001</v>
          </cell>
          <cell r="E64">
            <v>7954.65726</v>
          </cell>
          <cell r="F64">
            <v>8021.6288450000002</v>
          </cell>
          <cell r="G64">
            <v>8097.1146330000001</v>
          </cell>
          <cell r="H64">
            <v>8173.0741950000001</v>
          </cell>
          <cell r="I64">
            <v>8250.7593930000003</v>
          </cell>
          <cell r="J64">
            <v>8329.7309659999992</v>
          </cell>
          <cell r="K64">
            <v>8409.0810299999994</v>
          </cell>
          <cell r="L64">
            <v>8497.7414570000001</v>
          </cell>
          <cell r="M64">
            <v>8579.0048790000001</v>
          </cell>
          <cell r="N64">
            <v>8655.8641370000005</v>
          </cell>
          <cell r="O64">
            <v>8729.4139410000007</v>
          </cell>
          <cell r="P64">
            <v>8800.1356899999992</v>
          </cell>
          <cell r="Q64">
            <v>8868.3456619999997</v>
          </cell>
          <cell r="R64">
            <v>8933.8707250000007</v>
          </cell>
          <cell r="S64">
            <v>8997.2716340000006</v>
          </cell>
          <cell r="T64">
            <v>9059.0696040000003</v>
          </cell>
          <cell r="U64">
            <v>9119.7474170000005</v>
          </cell>
          <cell r="V64">
            <v>9173.0877230000006</v>
          </cell>
          <cell r="W64">
            <v>9229.9843610000007</v>
          </cell>
          <cell r="X64">
            <v>9288.5406289999992</v>
          </cell>
          <cell r="Y64">
            <v>9348.1834479999998</v>
          </cell>
          <cell r="Z64">
            <v>9408.8024270000005</v>
          </cell>
          <cell r="AA64">
            <v>9452.1375530000005</v>
          </cell>
          <cell r="AB64">
            <v>9498.6647740000008</v>
          </cell>
          <cell r="AC64">
            <v>9547.0567129999999</v>
          </cell>
          <cell r="AD64">
            <v>9596.9010469999994</v>
          </cell>
          <cell r="AE64">
            <v>9648.0802430000003</v>
          </cell>
          <cell r="AF64">
            <v>9700.5536680000005</v>
          </cell>
          <cell r="AG64">
            <v>9754.4323999999997</v>
          </cell>
          <cell r="AH64">
            <v>9809.6822599999996</v>
          </cell>
          <cell r="AI64">
            <v>9866.2451469999996</v>
          </cell>
          <cell r="AJ64">
            <v>9924.0465889999996</v>
          </cell>
          <cell r="AK64">
            <v>9982.9958279999992</v>
          </cell>
          <cell r="AL64">
            <v>10039.94368</v>
          </cell>
          <cell r="AM64">
            <v>10096.730310000001</v>
          </cell>
          <cell r="AN64">
            <v>10153.895469999999</v>
          </cell>
          <cell r="AO64">
            <v>10211.58533</v>
          </cell>
          <cell r="AP64">
            <v>10269.81444</v>
          </cell>
          <cell r="AQ64">
            <v>10328.689350000001</v>
          </cell>
          <cell r="AR64">
            <v>10388.14214</v>
          </cell>
          <cell r="AS64">
            <v>10448.104960000001</v>
          </cell>
          <cell r="AT64">
            <v>10508.524890000001</v>
          </cell>
          <cell r="AU64">
            <v>10569.356169999999</v>
          </cell>
          <cell r="AV64">
            <v>10631.30731</v>
          </cell>
          <cell r="AW64">
            <v>10694.041869999999</v>
          </cell>
          <cell r="AX64">
            <v>10692.483200000001</v>
          </cell>
          <cell r="AY64">
            <v>10688.648950000001</v>
          </cell>
          <cell r="AZ64">
            <v>10688.20263</v>
          </cell>
          <cell r="BA64">
            <v>12248.41584</v>
          </cell>
          <cell r="BB64">
            <v>12371.03154</v>
          </cell>
          <cell r="BC64">
            <v>12495.64899</v>
          </cell>
          <cell r="BD64">
            <v>12622.26433</v>
          </cell>
          <cell r="BE64">
            <v>12750.89213</v>
          </cell>
        </row>
        <row r="65">
          <cell r="B65">
            <v>7913.1898639999999</v>
          </cell>
          <cell r="C65">
            <v>7990.6663280000002</v>
          </cell>
          <cell r="D65">
            <v>8068.2718880000002</v>
          </cell>
          <cell r="E65">
            <v>8148.8751689999999</v>
          </cell>
          <cell r="F65">
            <v>8233.3404019999998</v>
          </cell>
          <cell r="G65">
            <v>8321.3748419999993</v>
          </cell>
          <cell r="H65">
            <v>8406.2428259999997</v>
          </cell>
          <cell r="I65">
            <v>8490.4942520000004</v>
          </cell>
          <cell r="J65">
            <v>8574.7689750000009</v>
          </cell>
          <cell r="K65">
            <v>8659.0532010000006</v>
          </cell>
          <cell r="L65">
            <v>8753.3059190000004</v>
          </cell>
          <cell r="M65">
            <v>8841.3661979999997</v>
          </cell>
          <cell r="N65">
            <v>8926.5164920000007</v>
          </cell>
          <cell r="O65">
            <v>9010.010902</v>
          </cell>
          <cell r="P65">
            <v>9092.3996110000007</v>
          </cell>
          <cell r="Q65">
            <v>9173.9765119999993</v>
          </cell>
          <cell r="R65">
            <v>9254.9617300000009</v>
          </cell>
          <cell r="S65">
            <v>9335.5666390000006</v>
          </cell>
          <cell r="T65">
            <v>9416.0094360000003</v>
          </cell>
          <cell r="U65">
            <v>9496.5116419999995</v>
          </cell>
          <cell r="V65">
            <v>9570.3062530000007</v>
          </cell>
          <cell r="W65">
            <v>9648.5795039999994</v>
          </cell>
          <cell r="X65">
            <v>9729.1174009999995</v>
          </cell>
          <cell r="Y65">
            <v>9811.1775180000004</v>
          </cell>
          <cell r="Z65">
            <v>9894.5192910000005</v>
          </cell>
          <cell r="AA65">
            <v>9959.6876940000002</v>
          </cell>
          <cell r="AB65">
            <v>10028.07467</v>
          </cell>
          <cell r="AC65">
            <v>10098.189850000001</v>
          </cell>
          <cell r="AD65">
            <v>10169.625190000001</v>
          </cell>
          <cell r="AE65">
            <v>10242.27529</v>
          </cell>
          <cell r="AF65">
            <v>10316.14544</v>
          </cell>
          <cell r="AG65">
            <v>10391.264999999999</v>
          </cell>
          <cell r="AH65">
            <v>10467.64954</v>
          </cell>
          <cell r="AI65">
            <v>10545.28703</v>
          </cell>
          <cell r="AJ65">
            <v>10624.136640000001</v>
          </cell>
          <cell r="AK65">
            <v>10704.133809999999</v>
          </cell>
          <cell r="AL65">
            <v>10780.87386</v>
          </cell>
          <cell r="AM65">
            <v>10856.733679999999</v>
          </cell>
          <cell r="AN65">
            <v>10932.59159</v>
          </cell>
          <cell r="AO65">
            <v>11008.79009</v>
          </cell>
          <cell r="AP65">
            <v>11085.464389999999</v>
          </cell>
          <cell r="AQ65">
            <v>11162.673210000001</v>
          </cell>
          <cell r="AR65">
            <v>11240.44795</v>
          </cell>
          <cell r="AS65">
            <v>11318.808569999999</v>
          </cell>
          <cell r="AT65">
            <v>11397.76734</v>
          </cell>
          <cell r="AU65">
            <v>11477.329019999999</v>
          </cell>
          <cell r="AV65">
            <v>11557.85528</v>
          </cell>
          <cell r="AW65">
            <v>11639.128210000001</v>
          </cell>
          <cell r="AX65">
            <v>11721.052600000001</v>
          </cell>
          <cell r="AY65">
            <v>11803.57489</v>
          </cell>
          <cell r="AZ65">
            <v>11886.65775</v>
          </cell>
          <cell r="BA65">
            <v>12608.19685</v>
          </cell>
          <cell r="BB65">
            <v>12741.371359999999</v>
          </cell>
          <cell r="BC65">
            <v>12876.53918</v>
          </cell>
          <cell r="BD65">
            <v>13013.763499999999</v>
          </cell>
          <cell r="BE65">
            <v>13153.091350000001</v>
          </cell>
        </row>
        <row r="66">
          <cell r="B66">
            <v>107.3202004</v>
          </cell>
          <cell r="C66">
            <v>107.39202349999999</v>
          </cell>
          <cell r="D66">
            <v>107.546662</v>
          </cell>
          <cell r="E66">
            <v>107.8340712</v>
          </cell>
          <cell r="F66">
            <v>108.30930739999999</v>
          </cell>
          <cell r="G66">
            <v>108.971909</v>
          </cell>
          <cell r="H66">
            <v>109.73351769999999</v>
          </cell>
          <cell r="I66">
            <v>110.57575180000001</v>
          </cell>
          <cell r="J66">
            <v>111.46333</v>
          </cell>
          <cell r="K66">
            <v>112.36245820000001</v>
          </cell>
          <cell r="L66">
            <v>113.3364926</v>
          </cell>
          <cell r="M66">
            <v>114.22103250000001</v>
          </cell>
          <cell r="N66">
            <v>115.0373058</v>
          </cell>
          <cell r="O66">
            <v>115.790115</v>
          </cell>
          <cell r="P66">
            <v>116.4827507</v>
          </cell>
          <cell r="Q66">
            <v>117.1201076</v>
          </cell>
          <cell r="R66">
            <v>117.7040135</v>
          </cell>
          <cell r="S66">
            <v>118.2443286</v>
          </cell>
          <cell r="T66">
            <v>118.7518864</v>
          </cell>
          <cell r="U66">
            <v>119.2374458</v>
          </cell>
          <cell r="V66">
            <v>119.6480072</v>
          </cell>
          <cell r="W66">
            <v>120.0906634</v>
          </cell>
          <cell r="X66">
            <v>120.5518762</v>
          </cell>
          <cell r="Y66">
            <v>121.03155390000001</v>
          </cell>
          <cell r="Z66">
            <v>121.5326081</v>
          </cell>
          <cell r="AA66">
            <v>121.8828108</v>
          </cell>
          <cell r="AB66">
            <v>122.2754894</v>
          </cell>
          <cell r="AC66">
            <v>122.6969647</v>
          </cell>
          <cell r="AD66">
            <v>123.14560229999999</v>
          </cell>
          <cell r="AE66">
            <v>123.6223002</v>
          </cell>
          <cell r="AF66">
            <v>124.12838480000001</v>
          </cell>
          <cell r="AG66">
            <v>124.6653491</v>
          </cell>
          <cell r="AH66">
            <v>125.233259</v>
          </cell>
          <cell r="AI66">
            <v>125.8309185</v>
          </cell>
          <cell r="AJ66">
            <v>126.4563879</v>
          </cell>
          <cell r="AK66">
            <v>127.10723160000001</v>
          </cell>
          <cell r="AL66">
            <v>127.746348</v>
          </cell>
          <cell r="AM66">
            <v>128.39490939999999</v>
          </cell>
          <cell r="AN66">
            <v>129.0564297</v>
          </cell>
          <cell r="AO66">
            <v>129.73034860000001</v>
          </cell>
          <cell r="AP66">
            <v>130.4152905</v>
          </cell>
          <cell r="AQ66">
            <v>131.11060040000001</v>
          </cell>
          <cell r="AR66">
            <v>131.81574839999999</v>
          </cell>
          <cell r="AS66">
            <v>132.5295356</v>
          </cell>
          <cell r="AT66">
            <v>133.2507349</v>
          </cell>
          <cell r="AU66">
            <v>133.97812769999999</v>
          </cell>
          <cell r="AV66">
            <v>134.71556699999999</v>
          </cell>
          <cell r="AW66">
            <v>135.46241979999999</v>
          </cell>
          <cell r="AX66">
            <v>135.46007119999999</v>
          </cell>
          <cell r="AY66">
            <v>135.4543966</v>
          </cell>
          <cell r="AZ66">
            <v>135.45374079999999</v>
          </cell>
          <cell r="BA66">
            <v>177.7286378</v>
          </cell>
          <cell r="BB66">
            <v>179.9775698</v>
          </cell>
          <cell r="BC66">
            <v>182.2684591</v>
          </cell>
          <cell r="BD66">
            <v>184.60153890000001</v>
          </cell>
          <cell r="BE66">
            <v>186.9770785</v>
          </cell>
        </row>
        <row r="67">
          <cell r="B67">
            <v>109.7567679</v>
          </cell>
          <cell r="C67">
            <v>110.5723582</v>
          </cell>
          <cell r="D67">
            <v>111.2477145</v>
          </cell>
          <cell r="E67">
            <v>111.9345027</v>
          </cell>
          <cell r="F67">
            <v>112.6892142</v>
          </cell>
          <cell r="G67">
            <v>113.5194489</v>
          </cell>
          <cell r="H67">
            <v>114.3582681</v>
          </cell>
          <cell r="I67">
            <v>115.2168442</v>
          </cell>
          <cell r="J67">
            <v>116.0881808</v>
          </cell>
          <cell r="K67">
            <v>116.96252819999999</v>
          </cell>
          <cell r="L67">
            <v>117.9258631</v>
          </cell>
          <cell r="M67">
            <v>118.8260356</v>
          </cell>
          <cell r="N67">
            <v>119.6929172</v>
          </cell>
          <cell r="O67">
            <v>120.5351556</v>
          </cell>
          <cell r="P67">
            <v>121.35698789999999</v>
          </cell>
          <cell r="Q67">
            <v>122.161981</v>
          </cell>
          <cell r="R67">
            <v>122.9542356</v>
          </cell>
          <cell r="S67">
            <v>123.7385207</v>
          </cell>
          <cell r="T67">
            <v>124.52003430000001</v>
          </cell>
          <cell r="U67">
            <v>125.30407289999999</v>
          </cell>
          <cell r="V67">
            <v>126.0287488</v>
          </cell>
          <cell r="W67">
            <v>126.803088</v>
          </cell>
          <cell r="X67">
            <v>127.6071151</v>
          </cell>
          <cell r="Y67">
            <v>128.43747089999999</v>
          </cell>
          <cell r="Z67">
            <v>129.2944573</v>
          </cell>
          <cell r="AA67">
            <v>129.9903242</v>
          </cell>
          <cell r="AB67">
            <v>130.73096559999999</v>
          </cell>
          <cell r="AC67">
            <v>131.49738550000001</v>
          </cell>
          <cell r="AD67">
            <v>132.28765050000001</v>
          </cell>
          <cell r="AE67">
            <v>133.1029035</v>
          </cell>
          <cell r="AF67">
            <v>133.9449185</v>
          </cell>
          <cell r="AG67">
            <v>134.81503599999999</v>
          </cell>
          <cell r="AH67">
            <v>135.7137822</v>
          </cell>
          <cell r="AI67">
            <v>136.64081569999999</v>
          </cell>
          <cell r="AJ67">
            <v>137.5950417</v>
          </cell>
          <cell r="AK67">
            <v>138.57480079999999</v>
          </cell>
          <cell r="AL67">
            <v>139.53440649999999</v>
          </cell>
          <cell r="AM67">
            <v>140.49587959999999</v>
          </cell>
          <cell r="AN67">
            <v>141.4653844</v>
          </cell>
          <cell r="AO67">
            <v>142.44497190000001</v>
          </cell>
          <cell r="AP67">
            <v>143.4354515</v>
          </cell>
          <cell r="AQ67">
            <v>144.4373291</v>
          </cell>
          <cell r="AR67">
            <v>145.45102929999999</v>
          </cell>
          <cell r="AS67">
            <v>146.47688679999999</v>
          </cell>
          <cell r="AT67">
            <v>147.5150922</v>
          </cell>
          <cell r="AU67">
            <v>148.56565509999999</v>
          </cell>
          <cell r="AV67">
            <v>149.63221569999999</v>
          </cell>
          <cell r="AW67">
            <v>150.71230919999999</v>
          </cell>
          <cell r="AX67">
            <v>151.8047636</v>
          </cell>
          <cell r="AY67">
            <v>152.9087026</v>
          </cell>
          <cell r="AZ67">
            <v>154.02334540000001</v>
          </cell>
          <cell r="BA67">
            <v>181.07160959999999</v>
          </cell>
          <cell r="BB67">
            <v>183.43027749999999</v>
          </cell>
          <cell r="BC67">
            <v>185.83127820000001</v>
          </cell>
          <cell r="BD67">
            <v>188.27540210000001</v>
          </cell>
          <cell r="BE67">
            <v>190.76332149999999</v>
          </cell>
        </row>
      </sheetData>
      <sheetData sheetId="4">
        <row r="2">
          <cell r="B2">
            <v>5219452.8540000003</v>
          </cell>
          <cell r="C2">
            <v>5273657.9910000004</v>
          </cell>
          <cell r="D2">
            <v>5328600.6830000002</v>
          </cell>
          <cell r="E2">
            <v>5385001.5109999999</v>
          </cell>
          <cell r="F2">
            <v>5443010.9800000004</v>
          </cell>
          <cell r="G2">
            <v>5502488.4790000003</v>
          </cell>
          <cell r="H2">
            <v>5562975.0420000004</v>
          </cell>
          <cell r="I2">
            <v>5624123.858</v>
          </cell>
          <cell r="J2">
            <v>5685719.9950000001</v>
          </cell>
          <cell r="K2">
            <v>5747687.2230000002</v>
          </cell>
          <cell r="L2">
            <v>5810428.0470000003</v>
          </cell>
          <cell r="M2">
            <v>5873901.7070000004</v>
          </cell>
          <cell r="N2">
            <v>5938221.3799999999</v>
          </cell>
          <cell r="O2">
            <v>6003568.4749999996</v>
          </cell>
          <cell r="P2">
            <v>6070151.1330000004</v>
          </cell>
          <cell r="Q2">
            <v>6138177.4989999998</v>
          </cell>
          <cell r="R2">
            <v>6207808.9000000004</v>
          </cell>
          <cell r="S2">
            <v>6279195.3109999998</v>
          </cell>
          <cell r="T2">
            <v>6352463.1299999999</v>
          </cell>
          <cell r="U2">
            <v>6427712.3210000005</v>
          </cell>
          <cell r="V2">
            <v>6504764.8629999999</v>
          </cell>
          <cell r="W2">
            <v>6583781.267</v>
          </cell>
          <cell r="X2">
            <v>6664853.4119999995</v>
          </cell>
          <cell r="Y2">
            <v>6748039.642</v>
          </cell>
          <cell r="Z2">
            <v>6833375.6670000004</v>
          </cell>
          <cell r="AA2">
            <v>6920158.1739999996</v>
          </cell>
          <cell r="AB2">
            <v>7008367.9890000001</v>
          </cell>
          <cell r="AC2">
            <v>7097968.4199999999</v>
          </cell>
          <cell r="AD2">
            <v>7188934.0300000003</v>
          </cell>
          <cell r="AE2">
            <v>7281249.6619999995</v>
          </cell>
          <cell r="AF2">
            <v>7374905.1950000003</v>
          </cell>
          <cell r="AG2">
            <v>7469896.983</v>
          </cell>
          <cell r="AH2">
            <v>7566213.1160000004</v>
          </cell>
          <cell r="AI2">
            <v>7663833.4929999998</v>
          </cell>
          <cell r="AJ2">
            <v>7762730.6109999996</v>
          </cell>
          <cell r="AK2">
            <v>7862871.4519999996</v>
          </cell>
          <cell r="AL2">
            <v>7964115.5180000002</v>
          </cell>
          <cell r="AM2">
            <v>8066362.7130000005</v>
          </cell>
          <cell r="AN2">
            <v>8169538.2989999996</v>
          </cell>
          <cell r="AO2">
            <v>8273585.4189999998</v>
          </cell>
          <cell r="AP2">
            <v>8378460.318</v>
          </cell>
          <cell r="AQ2">
            <v>8484139.5429999996</v>
          </cell>
          <cell r="AR2">
            <v>8590600.9989999998</v>
          </cell>
          <cell r="AS2">
            <v>8697823.5370000005</v>
          </cell>
          <cell r="AT2">
            <v>8805785.5050000008</v>
          </cell>
          <cell r="AU2">
            <v>8914464.1309999991</v>
          </cell>
          <cell r="AV2">
            <v>9023889.3100000005</v>
          </cell>
          <cell r="AW2">
            <v>9134069.7009999994</v>
          </cell>
          <cell r="AX2">
            <v>9237285.7449999992</v>
          </cell>
          <cell r="AY2">
            <v>9332485.2640000004</v>
          </cell>
          <cell r="AZ2">
            <v>9419667.4189999998</v>
          </cell>
          <cell r="BA2">
            <v>11978567.880000001</v>
          </cell>
          <cell r="BB2">
            <v>12204228.35</v>
          </cell>
          <cell r="BC2">
            <v>12433206.91</v>
          </cell>
          <cell r="BD2">
            <v>12665453.859999999</v>
          </cell>
          <cell r="BE2">
            <v>12900919.949999999</v>
          </cell>
        </row>
        <row r="3">
          <cell r="B3">
            <v>5224440.432</v>
          </cell>
          <cell r="C3">
            <v>5285949.4560000002</v>
          </cell>
          <cell r="D3">
            <v>5349162.4160000002</v>
          </cell>
          <cell r="E3">
            <v>5414280.6349999998</v>
          </cell>
          <cell r="F3">
            <v>5481413.3260000004</v>
          </cell>
          <cell r="G3">
            <v>5550625.9910000004</v>
          </cell>
          <cell r="H3">
            <v>5621757.2980000004</v>
          </cell>
          <cell r="I3">
            <v>5694736.8140000002</v>
          </cell>
          <cell r="J3">
            <v>5769546.6679999996</v>
          </cell>
          <cell r="K3">
            <v>5846205.5379999997</v>
          </cell>
          <cell r="L3">
            <v>5925125.75</v>
          </cell>
          <cell r="M3">
            <v>6006209.4289999995</v>
          </cell>
          <cell r="N3">
            <v>6089442.3849999998</v>
          </cell>
          <cell r="O3">
            <v>6174842.1289999997</v>
          </cell>
          <cell r="P3">
            <v>6262441.8049999997</v>
          </cell>
          <cell r="Q3">
            <v>6352282.2680000002</v>
          </cell>
          <cell r="R3">
            <v>6444407.2680000002</v>
          </cell>
          <cell r="S3">
            <v>6538859.5369999995</v>
          </cell>
          <cell r="T3">
            <v>6635677.4100000001</v>
          </cell>
          <cell r="U3">
            <v>6734892.1890000002</v>
          </cell>
          <cell r="V3">
            <v>6836255.2029999997</v>
          </cell>
          <cell r="W3">
            <v>6939892.1179999998</v>
          </cell>
          <cell r="X3">
            <v>7045866.8640000001</v>
          </cell>
          <cell r="Y3">
            <v>7154214.3480000002</v>
          </cell>
          <cell r="Z3">
            <v>7264949.3789999997</v>
          </cell>
          <cell r="AA3">
            <v>7377286.6449999996</v>
          </cell>
          <cell r="AB3">
            <v>7491161.0820000004</v>
          </cell>
          <cell r="AC3">
            <v>7606496.3420000002</v>
          </cell>
          <cell r="AD3">
            <v>7723230.2999999998</v>
          </cell>
          <cell r="AE3">
            <v>7841314.108</v>
          </cell>
          <cell r="AF3">
            <v>7960706.4160000002</v>
          </cell>
          <cell r="AG3">
            <v>8081366.7649999997</v>
          </cell>
          <cell r="AH3">
            <v>8203250.9289999995</v>
          </cell>
          <cell r="AI3">
            <v>8326308.949</v>
          </cell>
          <cell r="AJ3">
            <v>8450485.4690000005</v>
          </cell>
          <cell r="AK3">
            <v>8575721.5390000008</v>
          </cell>
          <cell r="AL3">
            <v>8701767.7060000002</v>
          </cell>
          <cell r="AM3">
            <v>8828450.6040000003</v>
          </cell>
          <cell r="AN3">
            <v>8955640.7630000003</v>
          </cell>
          <cell r="AO3">
            <v>9083240.9879999999</v>
          </cell>
          <cell r="AP3">
            <v>9211179.3560000006</v>
          </cell>
          <cell r="AQ3">
            <v>9339403.3920000009</v>
          </cell>
          <cell r="AR3">
            <v>9467874.6349999998</v>
          </cell>
          <cell r="AS3">
            <v>9596563.977</v>
          </cell>
          <cell r="AT3">
            <v>9725448.1980000008</v>
          </cell>
          <cell r="AU3">
            <v>9854507.8599999994</v>
          </cell>
          <cell r="AV3">
            <v>9983743.3330000006</v>
          </cell>
          <cell r="AW3">
            <v>10113151.210000001</v>
          </cell>
          <cell r="AX3">
            <v>10242727.890000001</v>
          </cell>
          <cell r="AY3">
            <v>10372471.51</v>
          </cell>
          <cell r="AZ3">
            <v>10502383.439999999</v>
          </cell>
          <cell r="BA3">
            <v>12048683.140000001</v>
          </cell>
          <cell r="BB3">
            <v>12276883.67</v>
          </cell>
          <cell r="BC3">
            <v>12508283.220000001</v>
          </cell>
          <cell r="BD3">
            <v>12742824.369999999</v>
          </cell>
          <cell r="BE3">
            <v>12980451.76</v>
          </cell>
        </row>
        <row r="4">
          <cell r="B4">
            <v>47169.95622</v>
          </cell>
          <cell r="C4">
            <v>47654.361400000002</v>
          </cell>
          <cell r="D4">
            <v>48144.574090000002</v>
          </cell>
          <cell r="E4">
            <v>48645.209390000004</v>
          </cell>
          <cell r="F4">
            <v>49152.486900000004</v>
          </cell>
          <cell r="G4">
            <v>49657.535860000004</v>
          </cell>
          <cell r="H4">
            <v>50146.64776</v>
          </cell>
          <cell r="I4">
            <v>50607.206740000001</v>
          </cell>
          <cell r="J4">
            <v>51029.223180000001</v>
          </cell>
          <cell r="K4">
            <v>51406.09908</v>
          </cell>
          <cell r="L4">
            <v>51738.808980000002</v>
          </cell>
          <cell r="M4">
            <v>52025.45463</v>
          </cell>
          <cell r="N4">
            <v>52266.996489999998</v>
          </cell>
          <cell r="O4">
            <v>52466.629549999998</v>
          </cell>
          <cell r="P4">
            <v>52629.114979999998</v>
          </cell>
          <cell r="Q4">
            <v>52760.04969</v>
          </cell>
          <cell r="R4">
            <v>52865.028509999996</v>
          </cell>
          <cell r="S4">
            <v>52949.507140000002</v>
          </cell>
          <cell r="T4">
            <v>53018.3822</v>
          </cell>
          <cell r="U4">
            <v>53075.801590000003</v>
          </cell>
          <cell r="V4">
            <v>53122.606690000001</v>
          </cell>
          <cell r="W4">
            <v>53162.300770000002</v>
          </cell>
          <cell r="X4">
            <v>53197.62184</v>
          </cell>
          <cell r="Y4">
            <v>53230.4666</v>
          </cell>
          <cell r="Z4">
            <v>53261.958290000002</v>
          </cell>
          <cell r="AA4">
            <v>53285.96572</v>
          </cell>
          <cell r="AB4">
            <v>53302.09618</v>
          </cell>
          <cell r="AC4">
            <v>53310.799299999999</v>
          </cell>
          <cell r="AD4">
            <v>53312.97507</v>
          </cell>
          <cell r="AE4">
            <v>53309.638019999999</v>
          </cell>
          <cell r="AF4">
            <v>53301.74394</v>
          </cell>
          <cell r="AG4">
            <v>53290.140619999998</v>
          </cell>
          <cell r="AH4">
            <v>53275.483209999999</v>
          </cell>
          <cell r="AI4">
            <v>53258.26298</v>
          </cell>
          <cell r="AJ4">
            <v>53238.843659999999</v>
          </cell>
          <cell r="AK4">
            <v>53217.508170000001</v>
          </cell>
          <cell r="AL4">
            <v>53193.473819999999</v>
          </cell>
          <cell r="AM4">
            <v>53166.339870000003</v>
          </cell>
          <cell r="AN4">
            <v>53136.228419999999</v>
          </cell>
          <cell r="AO4">
            <v>53103.643340000002</v>
          </cell>
          <cell r="AP4">
            <v>53069.294679999999</v>
          </cell>
          <cell r="AQ4">
            <v>53034.001100000001</v>
          </cell>
          <cell r="AR4">
            <v>52998.520689999998</v>
          </cell>
          <cell r="AS4">
            <v>52963.501620000003</v>
          </cell>
          <cell r="AT4">
            <v>52929.445639999998</v>
          </cell>
          <cell r="AU4">
            <v>52896.701099999998</v>
          </cell>
          <cell r="AV4">
            <v>52865.736539999998</v>
          </cell>
          <cell r="AW4">
            <v>52836.830190000001</v>
          </cell>
          <cell r="AX4">
            <v>52808.543859999998</v>
          </cell>
          <cell r="AY4">
            <v>52778.574500000002</v>
          </cell>
          <cell r="AZ4">
            <v>52750.433850000001</v>
          </cell>
          <cell r="BA4">
            <v>103584.394</v>
          </cell>
          <cell r="BB4">
            <v>105462.39079999999</v>
          </cell>
          <cell r="BC4">
            <v>107372.7289</v>
          </cell>
          <cell r="BD4">
            <v>109315.7332</v>
          </cell>
          <cell r="BE4">
            <v>111291.7519</v>
          </cell>
        </row>
        <row r="5">
          <cell r="B5">
            <v>47218.992539999999</v>
          </cell>
          <cell r="C5">
            <v>47754.769789999998</v>
          </cell>
          <cell r="D5">
            <v>48272.426910000002</v>
          </cell>
          <cell r="E5">
            <v>48767.671750000001</v>
          </cell>
          <cell r="F5">
            <v>49238.887869999999</v>
          </cell>
          <cell r="G5">
            <v>49685.631710000001</v>
          </cell>
          <cell r="H5">
            <v>50105.396500000003</v>
          </cell>
          <cell r="I5">
            <v>50496.741840000002</v>
          </cell>
          <cell r="J5">
            <v>50859.140509999997</v>
          </cell>
          <cell r="K5">
            <v>51192.819799999997</v>
          </cell>
          <cell r="L5">
            <v>51502.624259999997</v>
          </cell>
          <cell r="M5">
            <v>51788.176160000003</v>
          </cell>
          <cell r="N5">
            <v>52049.563589999998</v>
          </cell>
          <cell r="O5">
            <v>52287.481509999998</v>
          </cell>
          <cell r="P5">
            <v>52503.228410000003</v>
          </cell>
          <cell r="Q5">
            <v>52698.553690000001</v>
          </cell>
          <cell r="R5">
            <v>52875.480860000003</v>
          </cell>
          <cell r="S5">
            <v>53036.142959999997</v>
          </cell>
          <cell r="T5">
            <v>53182.645600000003</v>
          </cell>
          <cell r="U5">
            <v>53316.96473</v>
          </cell>
          <cell r="V5">
            <v>53438.33152</v>
          </cell>
          <cell r="W5">
            <v>53549.291519999999</v>
          </cell>
          <cell r="X5">
            <v>53652.099580000002</v>
          </cell>
          <cell r="Y5">
            <v>53748.554790000002</v>
          </cell>
          <cell r="Z5">
            <v>53839.975639999997</v>
          </cell>
          <cell r="AA5">
            <v>53920.449399999998</v>
          </cell>
          <cell r="AB5">
            <v>53990.026729999998</v>
          </cell>
          <cell r="AC5">
            <v>54049.672839999999</v>
          </cell>
          <cell r="AD5">
            <v>54100.788460000003</v>
          </cell>
          <cell r="AE5">
            <v>54144.843419999997</v>
          </cell>
          <cell r="AF5">
            <v>54183.178650000002</v>
          </cell>
          <cell r="AG5">
            <v>54216.900199999996</v>
          </cell>
          <cell r="AH5">
            <v>54246.842149999997</v>
          </cell>
          <cell r="AI5">
            <v>54273.581140000002</v>
          </cell>
          <cell r="AJ5">
            <v>54297.484129999997</v>
          </cell>
          <cell r="AK5">
            <v>54318.772299999997</v>
          </cell>
          <cell r="AL5">
            <v>54336.182529999998</v>
          </cell>
          <cell r="AM5">
            <v>54348.963089999997</v>
          </cell>
          <cell r="AN5">
            <v>54356.900900000001</v>
          </cell>
          <cell r="AO5">
            <v>54360.220880000001</v>
          </cell>
          <cell r="AP5">
            <v>54359.442260000003</v>
          </cell>
          <cell r="AQ5">
            <v>54355.244330000001</v>
          </cell>
          <cell r="AR5">
            <v>54348.356659999998</v>
          </cell>
          <cell r="AS5">
            <v>54339.47883</v>
          </cell>
          <cell r="AT5">
            <v>54329.230009999999</v>
          </cell>
          <cell r="AU5">
            <v>54318.12487</v>
          </cell>
          <cell r="AV5">
            <v>54306.68015</v>
          </cell>
          <cell r="AW5">
            <v>54295.275419999998</v>
          </cell>
          <cell r="AX5">
            <v>54284.172879999998</v>
          </cell>
          <cell r="AY5">
            <v>54273.549200000001</v>
          </cell>
          <cell r="AZ5">
            <v>54263.528449999998</v>
          </cell>
          <cell r="BA5">
            <v>103506.8563</v>
          </cell>
          <cell r="BB5">
            <v>105342.2723</v>
          </cell>
          <cell r="BC5">
            <v>107205.95759999999</v>
          </cell>
          <cell r="BD5">
            <v>109098.23020000001</v>
          </cell>
          <cell r="BE5">
            <v>111019.45050000001</v>
          </cell>
        </row>
        <row r="6">
          <cell r="B6">
            <v>1844.4918889999999</v>
          </cell>
          <cell r="C6">
            <v>1863.8414969999999</v>
          </cell>
          <cell r="D6">
            <v>1880.988351</v>
          </cell>
          <cell r="E6">
            <v>1895.818888</v>
          </cell>
          <cell r="F6">
            <v>1908.4382450000001</v>
          </cell>
          <cell r="G6">
            <v>1919.0251539999999</v>
          </cell>
          <cell r="H6">
            <v>1927.7237950000001</v>
          </cell>
          <cell r="I6">
            <v>1934.7089719999999</v>
          </cell>
          <cell r="J6">
            <v>1940.1638929999999</v>
          </cell>
          <cell r="K6">
            <v>1944.2726520000001</v>
          </cell>
          <cell r="L6">
            <v>1947.2932490000001</v>
          </cell>
          <cell r="M6">
            <v>1949.332711</v>
          </cell>
          <cell r="N6">
            <v>1950.514557</v>
          </cell>
          <cell r="O6">
            <v>1950.9663419999999</v>
          </cell>
          <cell r="P6">
            <v>1950.8168009999999</v>
          </cell>
          <cell r="Q6">
            <v>1950.190887</v>
          </cell>
          <cell r="R6">
            <v>1949.1947849999999</v>
          </cell>
          <cell r="S6">
            <v>1947.9315509999999</v>
          </cell>
          <cell r="T6">
            <v>1946.4972150000001</v>
          </cell>
          <cell r="U6">
            <v>1944.980098</v>
          </cell>
          <cell r="V6">
            <v>1943.404794</v>
          </cell>
          <cell r="W6">
            <v>1941.870966</v>
          </cell>
          <cell r="X6">
            <v>1940.458785</v>
          </cell>
          <cell r="Y6">
            <v>1939.2343249999999</v>
          </cell>
          <cell r="Z6">
            <v>1938.2515289999999</v>
          </cell>
          <cell r="AA6">
            <v>1937.4015810000001</v>
          </cell>
          <cell r="AB6">
            <v>1936.730667</v>
          </cell>
          <cell r="AC6">
            <v>1936.281808</v>
          </cell>
          <cell r="AD6">
            <v>1936.0954999999999</v>
          </cell>
          <cell r="AE6">
            <v>1936.206052</v>
          </cell>
          <cell r="AF6">
            <v>1936.641705</v>
          </cell>
          <cell r="AG6">
            <v>1937.4280269999999</v>
          </cell>
          <cell r="AH6">
            <v>1938.5849149999999</v>
          </cell>
          <cell r="AI6">
            <v>1940.1280509999999</v>
          </cell>
          <cell r="AJ6">
            <v>1942.0696700000001</v>
          </cell>
          <cell r="AK6">
            <v>1944.419396</v>
          </cell>
          <cell r="AL6">
            <v>1947.1724939999999</v>
          </cell>
          <cell r="AM6">
            <v>1950.327904</v>
          </cell>
          <cell r="AN6">
            <v>1953.8881240000001</v>
          </cell>
          <cell r="AO6">
            <v>1957.8557269999999</v>
          </cell>
          <cell r="AP6">
            <v>1962.232188</v>
          </cell>
          <cell r="AQ6">
            <v>1967.0212690000001</v>
          </cell>
          <cell r="AR6">
            <v>1972.2238319999999</v>
          </cell>
          <cell r="AS6">
            <v>1977.838943</v>
          </cell>
          <cell r="AT6">
            <v>1983.8639969999999</v>
          </cell>
          <cell r="AU6">
            <v>1990.2951270000001</v>
          </cell>
          <cell r="AV6">
            <v>1997.142394</v>
          </cell>
          <cell r="AW6">
            <v>2004.4079589999999</v>
          </cell>
          <cell r="AX6">
            <v>2010.1946849999999</v>
          </cell>
          <cell r="AY6">
            <v>2011.983088</v>
          </cell>
          <cell r="AZ6">
            <v>2013.4237430000001</v>
          </cell>
          <cell r="BA6">
            <v>2250.0236629999999</v>
          </cell>
          <cell r="BB6">
            <v>2268.8863310000002</v>
          </cell>
          <cell r="BC6">
            <v>2288.4447949999999</v>
          </cell>
          <cell r="BD6">
            <v>2308.6961110000002</v>
          </cell>
          <cell r="BE6">
            <v>2329.6364589999998</v>
          </cell>
        </row>
        <row r="7">
          <cell r="B7">
            <v>1844.7762729999999</v>
          </cell>
          <cell r="C7">
            <v>1864.4999600000001</v>
          </cell>
          <cell r="D7">
            <v>1882.140547</v>
          </cell>
          <cell r="E7">
            <v>1897.5238300000001</v>
          </cell>
          <cell r="F7">
            <v>1910.7224759999999</v>
          </cell>
          <cell r="G7">
            <v>1921.9072550000001</v>
          </cell>
          <cell r="H7">
            <v>1931.2247359999999</v>
          </cell>
          <cell r="I7">
            <v>1938.848189</v>
          </cell>
          <cell r="J7">
            <v>1944.952767</v>
          </cell>
          <cell r="K7">
            <v>1949.707457</v>
          </cell>
          <cell r="L7">
            <v>1953.3566579999999</v>
          </cell>
          <cell r="M7">
            <v>1956.0014610000001</v>
          </cell>
          <cell r="N7">
            <v>1957.7539850000001</v>
          </cell>
          <cell r="O7">
            <v>1958.7258850000001</v>
          </cell>
          <cell r="P7">
            <v>1959.0268169999999</v>
          </cell>
          <cell r="Q7">
            <v>1958.7617230000001</v>
          </cell>
          <cell r="R7">
            <v>1958.02899</v>
          </cell>
          <cell r="S7">
            <v>1956.9187400000001</v>
          </cell>
          <cell r="T7">
            <v>1955.5128910000001</v>
          </cell>
          <cell r="U7">
            <v>1953.88573</v>
          </cell>
          <cell r="V7">
            <v>1952.048777</v>
          </cell>
          <cell r="W7">
            <v>1950.091255</v>
          </cell>
          <cell r="X7">
            <v>1948.084257</v>
          </cell>
          <cell r="Y7">
            <v>1946.0867909999999</v>
          </cell>
          <cell r="Z7">
            <v>1944.1476789999999</v>
          </cell>
          <cell r="AA7">
            <v>1942.1544269999999</v>
          </cell>
          <cell r="AB7">
            <v>1940.1481879999999</v>
          </cell>
          <cell r="AC7">
            <v>1938.1692430000001</v>
          </cell>
          <cell r="AD7">
            <v>1936.257034</v>
          </cell>
          <cell r="AE7">
            <v>1934.4464780000001</v>
          </cell>
          <cell r="AF7">
            <v>1932.767472</v>
          </cell>
          <cell r="AG7">
            <v>1931.2449389999999</v>
          </cell>
          <cell r="AH7">
            <v>1929.89948</v>
          </cell>
          <cell r="AI7">
            <v>1928.7481540000001</v>
          </cell>
          <cell r="AJ7">
            <v>1927.8052259999999</v>
          </cell>
          <cell r="AK7">
            <v>1927.082809</v>
          </cell>
          <cell r="AL7">
            <v>1926.5574770000001</v>
          </cell>
          <cell r="AM7">
            <v>1926.221871</v>
          </cell>
          <cell r="AN7">
            <v>1926.077522</v>
          </cell>
          <cell r="AO7">
            <v>1926.1309819999999</v>
          </cell>
          <cell r="AP7">
            <v>1926.3909289999999</v>
          </cell>
          <cell r="AQ7">
            <v>1926.8664429999999</v>
          </cell>
          <cell r="AR7">
            <v>1927.5660559999999</v>
          </cell>
          <cell r="AS7">
            <v>1928.4972769999999</v>
          </cell>
          <cell r="AT7">
            <v>1929.6664249999999</v>
          </cell>
          <cell r="AU7">
            <v>1931.078622</v>
          </cell>
          <cell r="AV7">
            <v>1932.740751</v>
          </cell>
          <cell r="AW7">
            <v>1934.657312</v>
          </cell>
          <cell r="AX7">
            <v>1936.831191</v>
          </cell>
          <cell r="AY7">
            <v>1939.2641450000001</v>
          </cell>
          <cell r="AZ7">
            <v>1941.9571699999999</v>
          </cell>
          <cell r="BA7">
            <v>2271.9894399999998</v>
          </cell>
          <cell r="BB7">
            <v>2288.2904079999998</v>
          </cell>
          <cell r="BC7">
            <v>2304.9516779999999</v>
          </cell>
          <cell r="BD7">
            <v>2321.9704510000001</v>
          </cell>
          <cell r="BE7">
            <v>2339.3448629999998</v>
          </cell>
        </row>
        <row r="8">
          <cell r="B8">
            <v>74470.083259999999</v>
          </cell>
          <cell r="C8">
            <v>75256.579939999996</v>
          </cell>
          <cell r="D8">
            <v>76047.886840000006</v>
          </cell>
          <cell r="E8">
            <v>76844.540519999995</v>
          </cell>
          <cell r="F8">
            <v>77637.27794</v>
          </cell>
          <cell r="G8">
            <v>78411.850349999993</v>
          </cell>
          <cell r="H8">
            <v>79148.635399999999</v>
          </cell>
          <cell r="I8">
            <v>79831.451000000001</v>
          </cell>
          <cell r="J8">
            <v>80448.834749999995</v>
          </cell>
          <cell r="K8">
            <v>80994.379620000007</v>
          </cell>
          <cell r="L8">
            <v>81472.890929999994</v>
          </cell>
          <cell r="M8">
            <v>81883.044389999995</v>
          </cell>
          <cell r="N8">
            <v>82227.142900000006</v>
          </cell>
          <cell r="O8">
            <v>82510.024640000003</v>
          </cell>
          <cell r="P8">
            <v>82738.132310000001</v>
          </cell>
          <cell r="Q8">
            <v>82918.629019999993</v>
          </cell>
          <cell r="R8">
            <v>83058.361399999994</v>
          </cell>
          <cell r="S8">
            <v>83163.916490000003</v>
          </cell>
          <cell r="T8">
            <v>83241.213940000001</v>
          </cell>
          <cell r="U8">
            <v>83295.356360000005</v>
          </cell>
          <cell r="V8">
            <v>83326.62401</v>
          </cell>
          <cell r="W8">
            <v>83340.208750000005</v>
          </cell>
          <cell r="X8">
            <v>83340.321110000004</v>
          </cell>
          <cell r="Y8">
            <v>83330.185209999996</v>
          </cell>
          <cell r="Z8">
            <v>83312.139939999994</v>
          </cell>
          <cell r="AA8">
            <v>83277.291110000006</v>
          </cell>
          <cell r="AB8">
            <v>83226.417270000005</v>
          </cell>
          <cell r="AC8">
            <v>83161.273509999999</v>
          </cell>
          <cell r="AD8">
            <v>83084.046199999997</v>
          </cell>
          <cell r="AE8">
            <v>82996.904989999995</v>
          </cell>
          <cell r="AF8">
            <v>82901.767380000005</v>
          </cell>
          <cell r="AG8">
            <v>82800.252179999996</v>
          </cell>
          <cell r="AH8">
            <v>82693.556570000001</v>
          </cell>
          <cell r="AI8">
            <v>82582.50937</v>
          </cell>
          <cell r="AJ8">
            <v>82467.644029999996</v>
          </cell>
          <cell r="AK8">
            <v>82349.285799999998</v>
          </cell>
          <cell r="AL8">
            <v>82226.109989999997</v>
          </cell>
          <cell r="AM8">
            <v>82097.405440000002</v>
          </cell>
          <cell r="AN8">
            <v>81963.140549999996</v>
          </cell>
          <cell r="AO8">
            <v>81823.774550000002</v>
          </cell>
          <cell r="AP8">
            <v>81680.045830000003</v>
          </cell>
          <cell r="AQ8">
            <v>81532.893490000002</v>
          </cell>
          <cell r="AR8">
            <v>81383.22451</v>
          </cell>
          <cell r="AS8">
            <v>81231.861260000005</v>
          </cell>
          <cell r="AT8">
            <v>81079.506810000006</v>
          </cell>
          <cell r="AU8">
            <v>80926.738840000005</v>
          </cell>
          <cell r="AV8">
            <v>80774.469670000006</v>
          </cell>
          <cell r="AW8">
            <v>80623.380189999996</v>
          </cell>
          <cell r="AX8">
            <v>80481.780199999994</v>
          </cell>
          <cell r="AY8">
            <v>80345.364809999999</v>
          </cell>
          <cell r="AZ8">
            <v>80218.974170000001</v>
          </cell>
          <cell r="BA8">
            <v>162579.52590000001</v>
          </cell>
          <cell r="BB8">
            <v>165357.26949999999</v>
          </cell>
          <cell r="BC8">
            <v>168176.40669999999</v>
          </cell>
          <cell r="BD8">
            <v>171037.34650000001</v>
          </cell>
          <cell r="BE8">
            <v>173940.5448</v>
          </cell>
        </row>
        <row r="9">
          <cell r="B9">
            <v>74531.448449999996</v>
          </cell>
          <cell r="C9">
            <v>75382.688850000006</v>
          </cell>
          <cell r="D9">
            <v>76210.351819999996</v>
          </cell>
          <cell r="E9">
            <v>77005.390530000004</v>
          </cell>
          <cell r="F9">
            <v>77762.817299999995</v>
          </cell>
          <cell r="G9">
            <v>78479.987009999997</v>
          </cell>
          <cell r="H9">
            <v>79151.558900000004</v>
          </cell>
          <cell r="I9">
            <v>79774.777230000007</v>
          </cell>
          <cell r="J9">
            <v>80348.903170000005</v>
          </cell>
          <cell r="K9">
            <v>80874.758360000007</v>
          </cell>
          <cell r="L9">
            <v>81360.855190000002</v>
          </cell>
          <cell r="M9">
            <v>81807.092640000003</v>
          </cell>
          <cell r="N9">
            <v>82214.475659999996</v>
          </cell>
          <cell r="O9">
            <v>82584.999360000002</v>
          </cell>
          <cell r="P9">
            <v>82921.477299999999</v>
          </cell>
          <cell r="Q9">
            <v>83227.244690000007</v>
          </cell>
          <cell r="R9">
            <v>83505.873430000007</v>
          </cell>
          <cell r="S9">
            <v>83760.931939999995</v>
          </cell>
          <cell r="T9">
            <v>83995.80128</v>
          </cell>
          <cell r="U9">
            <v>84213.550340000002</v>
          </cell>
          <cell r="V9">
            <v>84412.746639999998</v>
          </cell>
          <cell r="W9">
            <v>84597.412710000004</v>
          </cell>
          <cell r="X9">
            <v>84770.882129999998</v>
          </cell>
          <cell r="Y9">
            <v>84935.716450000007</v>
          </cell>
          <cell r="Z9">
            <v>85093.74742</v>
          </cell>
          <cell r="AA9">
            <v>85235.188959999999</v>
          </cell>
          <cell r="AB9">
            <v>85360.294250000006</v>
          </cell>
          <cell r="AC9">
            <v>85470.446809999994</v>
          </cell>
          <cell r="AD9">
            <v>85567.558340000003</v>
          </cell>
          <cell r="AE9">
            <v>85653.612880000001</v>
          </cell>
          <cell r="AF9">
            <v>85730.421300000002</v>
          </cell>
          <cell r="AG9">
            <v>85799.491840000002</v>
          </cell>
          <cell r="AH9">
            <v>85861.988979999995</v>
          </cell>
          <cell r="AI9">
            <v>85918.756559999994</v>
          </cell>
          <cell r="AJ9">
            <v>85970.380300000004</v>
          </cell>
          <cell r="AK9">
            <v>86017.267319999999</v>
          </cell>
          <cell r="AL9">
            <v>86057.463440000007</v>
          </cell>
          <cell r="AM9">
            <v>86089.908620000002</v>
          </cell>
          <cell r="AN9">
            <v>86114.349319999994</v>
          </cell>
          <cell r="AO9">
            <v>86131.141459999999</v>
          </cell>
          <cell r="AP9">
            <v>86141.032990000007</v>
          </cell>
          <cell r="AQ9">
            <v>86144.977490000005</v>
          </cell>
          <cell r="AR9">
            <v>86143.989449999994</v>
          </cell>
          <cell r="AS9">
            <v>86139.043170000004</v>
          </cell>
          <cell r="AT9">
            <v>86131.012419999999</v>
          </cell>
          <cell r="AU9">
            <v>86120.644180000003</v>
          </cell>
          <cell r="AV9">
            <v>86108.733429999993</v>
          </cell>
          <cell r="AW9">
            <v>86095.892389999994</v>
          </cell>
          <cell r="AX9">
            <v>86082.582639999993</v>
          </cell>
          <cell r="AY9">
            <v>86069.157370000001</v>
          </cell>
          <cell r="AZ9">
            <v>86055.901110000006</v>
          </cell>
          <cell r="BA9">
            <v>163548.33609999999</v>
          </cell>
          <cell r="BB9">
            <v>166373.9596</v>
          </cell>
          <cell r="BC9">
            <v>169241.5043</v>
          </cell>
          <cell r="BD9">
            <v>172151.42559999999</v>
          </cell>
          <cell r="BE9">
            <v>175104.24179999999</v>
          </cell>
        </row>
        <row r="10">
          <cell r="B10">
            <v>400417.97070000001</v>
          </cell>
          <cell r="C10">
            <v>403764.62349999999</v>
          </cell>
          <cell r="D10">
            <v>407384.98879999999</v>
          </cell>
          <cell r="E10">
            <v>411370.30660000001</v>
          </cell>
          <cell r="F10">
            <v>415692.25140000001</v>
          </cell>
          <cell r="G10">
            <v>420281.6911</v>
          </cell>
          <cell r="H10">
            <v>425038.42629999999</v>
          </cell>
          <cell r="I10">
            <v>429888.34299999999</v>
          </cell>
          <cell r="J10">
            <v>434778.37719999999</v>
          </cell>
          <cell r="K10">
            <v>439672.19549999997</v>
          </cell>
          <cell r="L10">
            <v>444587.58059999999</v>
          </cell>
          <cell r="M10">
            <v>449477.12329999998</v>
          </cell>
          <cell r="N10">
            <v>454320.78619999997</v>
          </cell>
          <cell r="O10">
            <v>459112.18530000001</v>
          </cell>
          <cell r="P10">
            <v>463851.45039999997</v>
          </cell>
          <cell r="Q10">
            <v>468542.1483</v>
          </cell>
          <cell r="R10">
            <v>473184.1483</v>
          </cell>
          <cell r="S10">
            <v>477782.44540000003</v>
          </cell>
          <cell r="T10">
            <v>482344.28460000001</v>
          </cell>
          <cell r="U10">
            <v>486877.924</v>
          </cell>
          <cell r="V10">
            <v>491363.69410000002</v>
          </cell>
          <cell r="W10">
            <v>495830.51240000001</v>
          </cell>
          <cell r="X10">
            <v>500295.93859999999</v>
          </cell>
          <cell r="Y10">
            <v>504772.34710000001</v>
          </cell>
          <cell r="Z10">
            <v>509269.90259999997</v>
          </cell>
          <cell r="AA10">
            <v>513717.87959999999</v>
          </cell>
          <cell r="AB10">
            <v>518144.18670000002</v>
          </cell>
          <cell r="AC10">
            <v>522568.1372</v>
          </cell>
          <cell r="AD10">
            <v>527004.2182</v>
          </cell>
          <cell r="AE10">
            <v>531464.53359999997</v>
          </cell>
          <cell r="AF10">
            <v>535959.35060000001</v>
          </cell>
          <cell r="AG10">
            <v>540498.38509999996</v>
          </cell>
          <cell r="AH10">
            <v>545088.76</v>
          </cell>
          <cell r="AI10">
            <v>549735.62780000002</v>
          </cell>
          <cell r="AJ10">
            <v>554442.5784</v>
          </cell>
          <cell r="AK10">
            <v>559211.96149999998</v>
          </cell>
          <cell r="AL10">
            <v>564037.83010000002</v>
          </cell>
          <cell r="AM10">
            <v>568918.81880000001</v>
          </cell>
          <cell r="AN10">
            <v>573855.52780000004</v>
          </cell>
          <cell r="AO10">
            <v>578849.18720000004</v>
          </cell>
          <cell r="AP10">
            <v>583901.12659999996</v>
          </cell>
          <cell r="AQ10">
            <v>589014.27179999999</v>
          </cell>
          <cell r="AR10">
            <v>594190.15119999996</v>
          </cell>
          <cell r="AS10">
            <v>599429.49580000003</v>
          </cell>
          <cell r="AT10">
            <v>604732.49710000004</v>
          </cell>
          <cell r="AU10">
            <v>610098.94290000002</v>
          </cell>
          <cell r="AV10">
            <v>615535.80649999995</v>
          </cell>
          <cell r="AW10">
            <v>621045.10499999998</v>
          </cell>
          <cell r="AX10">
            <v>626264.2156</v>
          </cell>
          <cell r="AY10">
            <v>631082.80960000004</v>
          </cell>
          <cell r="AZ10">
            <v>635475.48750000005</v>
          </cell>
          <cell r="BA10">
            <v>865119.21860000002</v>
          </cell>
          <cell r="BB10">
            <v>879781.67909999995</v>
          </cell>
          <cell r="BC10">
            <v>894729.21810000006</v>
          </cell>
          <cell r="BD10">
            <v>909966.19389999995</v>
          </cell>
          <cell r="BE10">
            <v>925496.88950000005</v>
          </cell>
        </row>
        <row r="11">
          <cell r="B11">
            <v>401607.93449999997</v>
          </cell>
          <cell r="C11">
            <v>406515.59869999997</v>
          </cell>
          <cell r="D11">
            <v>411773.92479999998</v>
          </cell>
          <cell r="E11">
            <v>417376.75530000002</v>
          </cell>
          <cell r="F11">
            <v>423271.73389999999</v>
          </cell>
          <cell r="G11">
            <v>429396.80310000002</v>
          </cell>
          <cell r="H11">
            <v>435672.07939999999</v>
          </cell>
          <cell r="I11">
            <v>442047.09989999997</v>
          </cell>
          <cell r="J11">
            <v>448490.36869999999</v>
          </cell>
          <cell r="K11">
            <v>454982.47009999998</v>
          </cell>
          <cell r="L11">
            <v>461555.74579999998</v>
          </cell>
          <cell r="M11">
            <v>468173.46710000001</v>
          </cell>
          <cell r="N11">
            <v>474819.66940000001</v>
          </cell>
          <cell r="O11">
            <v>481488.42509999999</v>
          </cell>
          <cell r="P11">
            <v>488178.56150000001</v>
          </cell>
          <cell r="Q11">
            <v>494891.65669999999</v>
          </cell>
          <cell r="R11">
            <v>501631.125</v>
          </cell>
          <cell r="S11">
            <v>508401.64750000002</v>
          </cell>
          <cell r="T11">
            <v>515208.7415</v>
          </cell>
          <cell r="U11">
            <v>522058.41499999998</v>
          </cell>
          <cell r="V11">
            <v>528925.00989999995</v>
          </cell>
          <cell r="W11">
            <v>535836.67660000001</v>
          </cell>
          <cell r="X11">
            <v>542808.76</v>
          </cell>
          <cell r="Y11">
            <v>549850.73609999998</v>
          </cell>
          <cell r="Z11">
            <v>556969.51930000004</v>
          </cell>
          <cell r="AA11">
            <v>564079.37749999994</v>
          </cell>
          <cell r="AB11">
            <v>571204.11979999999</v>
          </cell>
          <cell r="AC11">
            <v>578359.72349999996</v>
          </cell>
          <cell r="AD11">
            <v>585557.83319999999</v>
          </cell>
          <cell r="AE11">
            <v>592808.10230000003</v>
          </cell>
          <cell r="AF11">
            <v>600118.67660000001</v>
          </cell>
          <cell r="AG11">
            <v>607496.18090000004</v>
          </cell>
          <cell r="AH11">
            <v>614945.70420000004</v>
          </cell>
          <cell r="AI11">
            <v>622470.90060000005</v>
          </cell>
          <cell r="AJ11">
            <v>630074.18980000005</v>
          </cell>
          <cell r="AK11">
            <v>637757.01009999996</v>
          </cell>
          <cell r="AL11">
            <v>645498.40960000001</v>
          </cell>
          <cell r="AM11">
            <v>653291.59620000003</v>
          </cell>
          <cell r="AN11">
            <v>661135.65079999994</v>
          </cell>
          <cell r="AO11">
            <v>669031.93389999995</v>
          </cell>
          <cell r="AP11">
            <v>676982.71340000001</v>
          </cell>
          <cell r="AQ11">
            <v>684990.5379</v>
          </cell>
          <cell r="AR11">
            <v>693057.88249999995</v>
          </cell>
          <cell r="AS11">
            <v>701186.93770000001</v>
          </cell>
          <cell r="AT11">
            <v>709379.50219999999</v>
          </cell>
          <cell r="AU11">
            <v>717636.95830000006</v>
          </cell>
          <cell r="AV11">
            <v>725962.2304</v>
          </cell>
          <cell r="AW11">
            <v>734356.6263</v>
          </cell>
          <cell r="AX11">
            <v>742820.68169999996</v>
          </cell>
          <cell r="AY11">
            <v>751354.57519999996</v>
          </cell>
          <cell r="AZ11">
            <v>759958.32849999995</v>
          </cell>
          <cell r="BA11">
            <v>872049.647</v>
          </cell>
          <cell r="BB11">
            <v>887091.75049999997</v>
          </cell>
          <cell r="BC11">
            <v>902425.33770000003</v>
          </cell>
          <cell r="BD11">
            <v>918054.73739999998</v>
          </cell>
          <cell r="BE11">
            <v>933984.26800000004</v>
          </cell>
        </row>
        <row r="13">
          <cell r="B13">
            <v>16085.011839999999</v>
          </cell>
          <cell r="C13">
            <v>16273.91181</v>
          </cell>
          <cell r="D13">
            <v>16467.351480000001</v>
          </cell>
          <cell r="E13">
            <v>16665.98532</v>
          </cell>
          <cell r="F13">
            <v>16870.20391</v>
          </cell>
          <cell r="G13">
            <v>17080.213759999999</v>
          </cell>
          <cell r="H13">
            <v>17295.507030000001</v>
          </cell>
          <cell r="I13">
            <v>17515.795539999999</v>
          </cell>
          <cell r="J13">
            <v>17740.916819999999</v>
          </cell>
          <cell r="K13">
            <v>17970.821</v>
          </cell>
          <cell r="L13">
            <v>18206.60586</v>
          </cell>
          <cell r="M13">
            <v>18447.93865</v>
          </cell>
          <cell r="N13">
            <v>18694.76959</v>
          </cell>
          <cell r="O13">
            <v>18947.153149999998</v>
          </cell>
          <cell r="P13">
            <v>19205.21919</v>
          </cell>
          <cell r="Q13">
            <v>19469.150290000001</v>
          </cell>
          <cell r="R13">
            <v>19739.163400000001</v>
          </cell>
          <cell r="S13">
            <v>20015.492719999998</v>
          </cell>
          <cell r="T13">
            <v>20298.37372</v>
          </cell>
          <cell r="U13">
            <v>20588.029579999999</v>
          </cell>
          <cell r="V13">
            <v>20883.89588</v>
          </cell>
          <cell r="W13">
            <v>21186.45938</v>
          </cell>
          <cell r="X13">
            <v>21496.02133</v>
          </cell>
          <cell r="Y13">
            <v>21812.80416</v>
          </cell>
          <cell r="Z13">
            <v>22136.9601</v>
          </cell>
          <cell r="AA13">
            <v>22466.375540000001</v>
          </cell>
          <cell r="AB13">
            <v>22800.931570000001</v>
          </cell>
          <cell r="AC13">
            <v>23140.444609999999</v>
          </cell>
          <cell r="AD13">
            <v>23484.782930000001</v>
          </cell>
          <cell r="AE13">
            <v>23833.842980000001</v>
          </cell>
          <cell r="AF13">
            <v>24187.52493</v>
          </cell>
          <cell r="AG13">
            <v>24545.710009999999</v>
          </cell>
          <cell r="AH13">
            <v>24908.24568</v>
          </cell>
          <cell r="AI13">
            <v>25274.940170000002</v>
          </cell>
          <cell r="AJ13">
            <v>25645.565129999999</v>
          </cell>
          <cell r="AK13">
            <v>26019.863649999999</v>
          </cell>
          <cell r="AL13">
            <v>26397.030330000001</v>
          </cell>
          <cell r="AM13">
            <v>26776.45824</v>
          </cell>
          <cell r="AN13">
            <v>27157.65122</v>
          </cell>
          <cell r="AO13">
            <v>27540.204409999998</v>
          </cell>
          <cell r="AP13">
            <v>27923.787410000001</v>
          </cell>
          <cell r="AQ13">
            <v>28308.127909999999</v>
          </cell>
          <cell r="AR13">
            <v>28692.995470000002</v>
          </cell>
          <cell r="AS13">
            <v>29078.187539999999</v>
          </cell>
          <cell r="AT13">
            <v>29463.51915</v>
          </cell>
          <cell r="AU13">
            <v>29848.816910000001</v>
          </cell>
          <cell r="AV13">
            <v>30233.964240000001</v>
          </cell>
          <cell r="AW13">
            <v>30618.836759999998</v>
          </cell>
          <cell r="AX13">
            <v>31003.313470000001</v>
          </cell>
          <cell r="AY13">
            <v>31387.28255</v>
          </cell>
          <cell r="AZ13">
            <v>31770.646550000001</v>
          </cell>
          <cell r="BA13">
            <v>37576.006950000003</v>
          </cell>
          <cell r="BB13">
            <v>38316.169329999997</v>
          </cell>
          <cell r="BC13">
            <v>39067.006710000001</v>
          </cell>
          <cell r="BD13">
            <v>39828.25834</v>
          </cell>
          <cell r="BE13">
            <v>40599.664290000001</v>
          </cell>
        </row>
        <row r="14">
          <cell r="B14">
            <v>13371.83188</v>
          </cell>
          <cell r="C14">
            <v>13494.20355</v>
          </cell>
          <cell r="D14">
            <v>13616.425950000001</v>
          </cell>
          <cell r="E14">
            <v>13741.88186</v>
          </cell>
          <cell r="F14">
            <v>13871.993780000001</v>
          </cell>
          <cell r="G14">
            <v>14007.19202</v>
          </cell>
          <cell r="H14">
            <v>14146.75324</v>
          </cell>
          <cell r="I14">
            <v>14290.085150000001</v>
          </cell>
          <cell r="J14">
            <v>14436.709849999999</v>
          </cell>
          <cell r="K14">
            <v>14586.273740000001</v>
          </cell>
          <cell r="L14">
            <v>14739.612010000001</v>
          </cell>
          <cell r="M14">
            <v>14895.900750000001</v>
          </cell>
          <cell r="N14">
            <v>15054.749750000001</v>
          </cell>
          <cell r="O14">
            <v>15215.956249999999</v>
          </cell>
          <cell r="P14">
            <v>15379.40041</v>
          </cell>
          <cell r="Q14">
            <v>15544.998380000001</v>
          </cell>
          <cell r="R14">
            <v>15712.560009999999</v>
          </cell>
          <cell r="S14">
            <v>15881.979160000001</v>
          </cell>
          <cell r="T14">
            <v>16053.18966</v>
          </cell>
          <cell r="U14">
            <v>16226.1518</v>
          </cell>
          <cell r="V14">
            <v>16400.10066</v>
          </cell>
          <cell r="W14">
            <v>16575.438679999999</v>
          </cell>
          <cell r="X14">
            <v>16752.39644</v>
          </cell>
          <cell r="Y14">
            <v>16931.148519999999</v>
          </cell>
          <cell r="Z14">
            <v>17111.85224</v>
          </cell>
          <cell r="AA14">
            <v>17292.55068</v>
          </cell>
          <cell r="AB14">
            <v>17473.532609999998</v>
          </cell>
          <cell r="AC14">
            <v>17655.004270000001</v>
          </cell>
          <cell r="AD14">
            <v>17837.175019999999</v>
          </cell>
          <cell r="AE14">
            <v>18020.271550000001</v>
          </cell>
          <cell r="AF14">
            <v>18204.528389999999</v>
          </cell>
          <cell r="AG14">
            <v>18390.198980000001</v>
          </cell>
          <cell r="AH14">
            <v>18577.499250000001</v>
          </cell>
          <cell r="AI14">
            <v>18766.608990000001</v>
          </cell>
          <cell r="AJ14">
            <v>18957.672589999998</v>
          </cell>
          <cell r="AK14">
            <v>19150.8014</v>
          </cell>
          <cell r="AL14">
            <v>19345.835729999999</v>
          </cell>
          <cell r="AM14">
            <v>19542.701400000002</v>
          </cell>
          <cell r="AN14">
            <v>19741.370019999998</v>
          </cell>
          <cell r="AO14">
            <v>19941.839029999999</v>
          </cell>
          <cell r="AP14">
            <v>20144.120019999998</v>
          </cell>
          <cell r="AQ14">
            <v>20348.270049999999</v>
          </cell>
          <cell r="AR14">
            <v>20554.324949999998</v>
          </cell>
          <cell r="AS14">
            <v>20762.306550000001</v>
          </cell>
          <cell r="AT14">
            <v>20972.223709999998</v>
          </cell>
          <cell r="AU14">
            <v>21184.072820000001</v>
          </cell>
          <cell r="AV14">
            <v>21398.015630000002</v>
          </cell>
          <cell r="AW14">
            <v>21614.114939999999</v>
          </cell>
          <cell r="AX14">
            <v>21814.40148</v>
          </cell>
          <cell r="AY14">
            <v>21984.644489999999</v>
          </cell>
          <cell r="AZ14">
            <v>22126.310570000001</v>
          </cell>
          <cell r="BA14">
            <v>29198.073670000002</v>
          </cell>
          <cell r="BB14">
            <v>29714.874299999999</v>
          </cell>
          <cell r="BC14">
            <v>30240.77392</v>
          </cell>
          <cell r="BD14">
            <v>30775.876130000001</v>
          </cell>
          <cell r="BE14">
            <v>31320.287349999999</v>
          </cell>
        </row>
        <row r="15">
          <cell r="B15">
            <v>13396.422500000001</v>
          </cell>
          <cell r="C15">
            <v>13553.29025</v>
          </cell>
          <cell r="D15">
            <v>13713.178260000001</v>
          </cell>
          <cell r="E15">
            <v>13876.88978</v>
          </cell>
          <cell r="F15">
            <v>14045.077880000001</v>
          </cell>
          <cell r="G15">
            <v>14218.194509999999</v>
          </cell>
          <cell r="H15">
            <v>14395.85324</v>
          </cell>
          <cell r="I15">
            <v>14577.851979999999</v>
          </cell>
          <cell r="J15">
            <v>14764.03534</v>
          </cell>
          <cell r="K15">
            <v>14954.2574</v>
          </cell>
          <cell r="L15">
            <v>15149.5021</v>
          </cell>
          <cell r="M15">
            <v>15349.0422</v>
          </cell>
          <cell r="N15">
            <v>15552.464760000001</v>
          </cell>
          <cell r="O15">
            <v>15759.49417</v>
          </cell>
          <cell r="P15">
            <v>15969.93116</v>
          </cell>
          <cell r="Q15">
            <v>16183.63105</v>
          </cell>
          <cell r="R15">
            <v>16400.495599999998</v>
          </cell>
          <cell r="S15">
            <v>16620.467219999999</v>
          </cell>
          <cell r="T15">
            <v>16843.522919999999</v>
          </cell>
          <cell r="U15">
            <v>17069.66805</v>
          </cell>
          <cell r="V15">
            <v>17298.114590000001</v>
          </cell>
          <cell r="W15">
            <v>17529.329150000001</v>
          </cell>
          <cell r="X15">
            <v>17763.575990000001</v>
          </cell>
          <cell r="Y15">
            <v>18001.04077</v>
          </cell>
          <cell r="Z15">
            <v>18241.872579999999</v>
          </cell>
          <cell r="AA15">
            <v>18483.864610000001</v>
          </cell>
          <cell r="AB15">
            <v>18727.216410000001</v>
          </cell>
          <cell r="AC15">
            <v>18972.053980000001</v>
          </cell>
          <cell r="AD15">
            <v>19218.50993</v>
          </cell>
          <cell r="AE15">
            <v>19466.739320000001</v>
          </cell>
          <cell r="AF15">
            <v>19716.91144</v>
          </cell>
          <cell r="AG15">
            <v>19969.193770000002</v>
          </cell>
          <cell r="AH15">
            <v>20223.738549999998</v>
          </cell>
          <cell r="AI15">
            <v>20480.67497</v>
          </cell>
          <cell r="AJ15">
            <v>20740.106749999999</v>
          </cell>
          <cell r="AK15">
            <v>21002.113259999998</v>
          </cell>
          <cell r="AL15">
            <v>21266.198919999999</v>
          </cell>
          <cell r="AM15">
            <v>21532.128809999998</v>
          </cell>
          <cell r="AN15">
            <v>21799.79106</v>
          </cell>
          <cell r="AO15">
            <v>22069.142380000001</v>
          </cell>
          <cell r="AP15">
            <v>22340.183110000002</v>
          </cell>
          <cell r="AQ15">
            <v>22612.941989999999</v>
          </cell>
          <cell r="AR15">
            <v>22887.464059999998</v>
          </cell>
          <cell r="AS15">
            <v>23163.800810000001</v>
          </cell>
          <cell r="AT15">
            <v>23442.002990000001</v>
          </cell>
          <cell r="AU15">
            <v>23722.116190000001</v>
          </cell>
          <cell r="AV15">
            <v>24004.227999999999</v>
          </cell>
          <cell r="AW15">
            <v>24288.39399</v>
          </cell>
          <cell r="AX15">
            <v>24574.65121</v>
          </cell>
          <cell r="AY15">
            <v>24863.02478</v>
          </cell>
          <cell r="AZ15">
            <v>25153.531790000001</v>
          </cell>
          <cell r="BA15">
            <v>29417.580399999999</v>
          </cell>
          <cell r="BB15">
            <v>29946.401600000001</v>
          </cell>
          <cell r="BC15">
            <v>30484.51958</v>
          </cell>
          <cell r="BD15">
            <v>31032.038619999999</v>
          </cell>
          <cell r="BE15">
            <v>31589.068230000001</v>
          </cell>
        </row>
        <row r="16">
          <cell r="B16">
            <v>36313.896430000001</v>
          </cell>
          <cell r="C16">
            <v>36623.711730000003</v>
          </cell>
          <cell r="D16">
            <v>36937.37975</v>
          </cell>
          <cell r="E16">
            <v>37264.780959999996</v>
          </cell>
          <cell r="F16">
            <v>37609.038679999998</v>
          </cell>
          <cell r="G16">
            <v>37970.228130000003</v>
          </cell>
          <cell r="H16">
            <v>38344.95912</v>
          </cell>
          <cell r="I16">
            <v>38730.572440000004</v>
          </cell>
          <cell r="J16">
            <v>39124.785259999997</v>
          </cell>
          <cell r="K16">
            <v>39525.671219999997</v>
          </cell>
          <cell r="L16">
            <v>39934.993860000002</v>
          </cell>
          <cell r="M16">
            <v>40348.9643</v>
          </cell>
          <cell r="N16">
            <v>40765.715060000002</v>
          </cell>
          <cell r="O16">
            <v>41184.17512</v>
          </cell>
          <cell r="P16">
            <v>41603.694819999997</v>
          </cell>
          <cell r="Q16">
            <v>42023.89501</v>
          </cell>
          <cell r="R16">
            <v>42444.17527</v>
          </cell>
          <cell r="S16">
            <v>42864.381029999997</v>
          </cell>
          <cell r="T16">
            <v>43284.592879999997</v>
          </cell>
          <cell r="U16">
            <v>43705.042840000002</v>
          </cell>
          <cell r="V16">
            <v>44123.77248</v>
          </cell>
          <cell r="W16">
            <v>44542.701739999997</v>
          </cell>
          <cell r="X16">
            <v>44962.910830000001</v>
          </cell>
          <cell r="Y16">
            <v>45385.22913</v>
          </cell>
          <cell r="Z16">
            <v>45810.395080000002</v>
          </cell>
          <cell r="AA16">
            <v>46232.660400000001</v>
          </cell>
          <cell r="AB16">
            <v>46653.905899999998</v>
          </cell>
          <cell r="AC16">
            <v>47075.242200000001</v>
          </cell>
          <cell r="AD16">
            <v>47497.592089999998</v>
          </cell>
          <cell r="AE16">
            <v>47921.819739999999</v>
          </cell>
          <cell r="AF16">
            <v>48348.737229999999</v>
          </cell>
          <cell r="AG16">
            <v>48779.170059999997</v>
          </cell>
          <cell r="AH16">
            <v>49213.781629999998</v>
          </cell>
          <cell r="AI16">
            <v>49653.097609999997</v>
          </cell>
          <cell r="AJ16">
            <v>50097.516530000001</v>
          </cell>
          <cell r="AK16">
            <v>50547.320899999999</v>
          </cell>
          <cell r="AL16">
            <v>51002.032399999996</v>
          </cell>
          <cell r="AM16">
            <v>51461.499239999997</v>
          </cell>
          <cell r="AN16">
            <v>51925.678379999998</v>
          </cell>
          <cell r="AO16">
            <v>52394.566290000002</v>
          </cell>
          <cell r="AP16">
            <v>52868.170120000002</v>
          </cell>
          <cell r="AQ16">
            <v>53346.620999999999</v>
          </cell>
          <cell r="AR16">
            <v>53829.954039999997</v>
          </cell>
          <cell r="AS16">
            <v>54318.149980000002</v>
          </cell>
          <cell r="AT16">
            <v>54811.146249999998</v>
          </cell>
          <cell r="AU16">
            <v>55308.841789999999</v>
          </cell>
          <cell r="AV16">
            <v>55811.668160000001</v>
          </cell>
          <cell r="AW16">
            <v>56319.693789999998</v>
          </cell>
          <cell r="AX16">
            <v>56798.788079999998</v>
          </cell>
          <cell r="AY16">
            <v>57238.07948</v>
          </cell>
          <cell r="AZ16">
            <v>57635.399319999997</v>
          </cell>
          <cell r="BA16">
            <v>79197.54393</v>
          </cell>
          <cell r="BB16">
            <v>80609.460149999999</v>
          </cell>
          <cell r="BC16">
            <v>82047.784960000005</v>
          </cell>
          <cell r="BD16">
            <v>83512.867060000004</v>
          </cell>
          <cell r="BE16">
            <v>85005.057159999997</v>
          </cell>
        </row>
        <row r="17">
          <cell r="B17">
            <v>36402.864370000003</v>
          </cell>
          <cell r="C17">
            <v>36832.126089999998</v>
          </cell>
          <cell r="D17">
            <v>37272.079599999997</v>
          </cell>
          <cell r="E17">
            <v>37724.457580000002</v>
          </cell>
          <cell r="F17">
            <v>38190.275869999998</v>
          </cell>
          <cell r="G17">
            <v>38669.94139</v>
          </cell>
          <cell r="H17">
            <v>39161.339090000001</v>
          </cell>
          <cell r="I17">
            <v>39663.287669999998</v>
          </cell>
          <cell r="J17">
            <v>40174.860220000002</v>
          </cell>
          <cell r="K17">
            <v>40695.224880000002</v>
          </cell>
          <cell r="L17">
            <v>41227.149940000003</v>
          </cell>
          <cell r="M17">
            <v>41767.702669999999</v>
          </cell>
          <cell r="N17">
            <v>42315.444430000003</v>
          </cell>
          <cell r="O17">
            <v>42869.511050000001</v>
          </cell>
          <cell r="P17">
            <v>43429.346400000002</v>
          </cell>
          <cell r="Q17">
            <v>43994.613239999999</v>
          </cell>
          <cell r="R17">
            <v>44565.156649999997</v>
          </cell>
          <cell r="S17">
            <v>45140.977400000003</v>
          </cell>
          <cell r="T17">
            <v>45722.205379999999</v>
          </cell>
          <cell r="U17">
            <v>46309.072370000002</v>
          </cell>
          <cell r="V17">
            <v>46899.347759999997</v>
          </cell>
          <cell r="W17">
            <v>47495.00303</v>
          </cell>
          <cell r="X17">
            <v>48097.054150000004</v>
          </cell>
          <cell r="Y17">
            <v>48706.202859999998</v>
          </cell>
          <cell r="Z17">
            <v>49323.018279999997</v>
          </cell>
          <cell r="AA17">
            <v>49940.753470000003</v>
          </cell>
          <cell r="AB17">
            <v>50560.973259999999</v>
          </cell>
          <cell r="AC17">
            <v>51184.507250000002</v>
          </cell>
          <cell r="AD17">
            <v>51812.017760000002</v>
          </cell>
          <cell r="AE17">
            <v>52444.131589999997</v>
          </cell>
          <cell r="AF17">
            <v>53081.448490000002</v>
          </cell>
          <cell r="AG17">
            <v>53724.514360000001</v>
          </cell>
          <cell r="AH17">
            <v>54373.795319999997</v>
          </cell>
          <cell r="AI17">
            <v>55029.663509999998</v>
          </cell>
          <cell r="AJ17">
            <v>55692.394959999998</v>
          </cell>
          <cell r="AK17">
            <v>56362.176359999998</v>
          </cell>
          <cell r="AL17">
            <v>57037.407440000003</v>
          </cell>
          <cell r="AM17">
            <v>57717.484040000003</v>
          </cell>
          <cell r="AN17">
            <v>58402.165540000002</v>
          </cell>
          <cell r="AO17">
            <v>59091.371619999998</v>
          </cell>
          <cell r="AP17">
            <v>59785.107609999999</v>
          </cell>
          <cell r="AQ17">
            <v>60483.427790000002</v>
          </cell>
          <cell r="AR17">
            <v>61186.409469999999</v>
          </cell>
          <cell r="AS17">
            <v>61894.1325</v>
          </cell>
          <cell r="AT17">
            <v>62606.664279999997</v>
          </cell>
          <cell r="AU17">
            <v>63324.050569999999</v>
          </cell>
          <cell r="AV17">
            <v>64046.462769999998</v>
          </cell>
          <cell r="AW17">
            <v>64773.95336</v>
          </cell>
          <cell r="AX17">
            <v>65506.51584</v>
          </cell>
          <cell r="AY17">
            <v>66244.108219999995</v>
          </cell>
          <cell r="AZ17">
            <v>66986.665179999996</v>
          </cell>
          <cell r="BA17">
            <v>79869.831170000005</v>
          </cell>
          <cell r="BB17">
            <v>81320.486560000005</v>
          </cell>
          <cell r="BC17">
            <v>82798.377609999996</v>
          </cell>
          <cell r="BD17">
            <v>84303.857399999994</v>
          </cell>
          <cell r="BE17">
            <v>85837.286909999995</v>
          </cell>
        </row>
        <row r="18">
          <cell r="B18">
            <v>13333.10124</v>
          </cell>
          <cell r="C18">
            <v>13451.45534</v>
          </cell>
          <cell r="D18">
            <v>13571.629199999999</v>
          </cell>
          <cell r="E18">
            <v>13697.03557</v>
          </cell>
          <cell r="F18">
            <v>13828.542649999999</v>
          </cell>
          <cell r="G18">
            <v>13965.877399999999</v>
          </cell>
          <cell r="H18">
            <v>14107.6001</v>
          </cell>
          <cell r="I18">
            <v>14252.53637</v>
          </cell>
          <cell r="J18">
            <v>14399.724829999999</v>
          </cell>
          <cell r="K18">
            <v>14548.41078</v>
          </cell>
          <cell r="L18">
            <v>14699.147919999999</v>
          </cell>
          <cell r="M18">
            <v>14850.739</v>
          </cell>
          <cell r="N18">
            <v>15002.583350000001</v>
          </cell>
          <cell r="O18">
            <v>15154.36651</v>
          </cell>
          <cell r="P18">
            <v>15305.935680000001</v>
          </cell>
          <cell r="Q18">
            <v>15457.24077</v>
          </cell>
          <cell r="R18">
            <v>15608.16194</v>
          </cell>
          <cell r="S18">
            <v>15758.72812</v>
          </cell>
          <cell r="T18">
            <v>15909.05034</v>
          </cell>
          <cell r="U18">
            <v>16059.292090000001</v>
          </cell>
          <cell r="V18">
            <v>16208.886560000001</v>
          </cell>
          <cell r="W18">
            <v>16358.51779</v>
          </cell>
          <cell r="X18">
            <v>16508.642110000001</v>
          </cell>
          <cell r="Y18">
            <v>16659.633549999999</v>
          </cell>
          <cell r="Z18">
            <v>16811.828259999998</v>
          </cell>
          <cell r="AA18">
            <v>16963.39417</v>
          </cell>
          <cell r="AB18">
            <v>17114.913499999999</v>
          </cell>
          <cell r="AC18">
            <v>17266.79722</v>
          </cell>
          <cell r="AD18">
            <v>17419.407729999999</v>
          </cell>
          <cell r="AE18">
            <v>17573.08438</v>
          </cell>
          <cell r="AF18">
            <v>17728.141729999999</v>
          </cell>
          <cell r="AG18">
            <v>17884.890719999999</v>
          </cell>
          <cell r="AH18">
            <v>18043.57935</v>
          </cell>
          <cell r="AI18">
            <v>18204.399890000001</v>
          </cell>
          <cell r="AJ18">
            <v>18367.493539999999</v>
          </cell>
          <cell r="AK18">
            <v>18532.9555</v>
          </cell>
          <cell r="AL18">
            <v>18700.63034</v>
          </cell>
          <cell r="AM18">
            <v>18870.443469999998</v>
          </cell>
          <cell r="AN18">
            <v>19042.353940000001</v>
          </cell>
          <cell r="AO18">
            <v>19216.336309999999</v>
          </cell>
          <cell r="AP18">
            <v>19392.370719999999</v>
          </cell>
          <cell r="AQ18">
            <v>19570.481179999999</v>
          </cell>
          <cell r="AR18">
            <v>19750.660769999999</v>
          </cell>
          <cell r="AS18">
            <v>19932.883539999999</v>
          </cell>
          <cell r="AT18">
            <v>20117.108209999999</v>
          </cell>
          <cell r="AU18">
            <v>20303.28009</v>
          </cell>
          <cell r="AV18">
            <v>20491.52706</v>
          </cell>
          <cell r="AW18">
            <v>20681.860779999999</v>
          </cell>
          <cell r="AX18">
            <v>20858.611560000001</v>
          </cell>
          <cell r="AY18">
            <v>21009.193190000002</v>
          </cell>
          <cell r="AZ18">
            <v>21134.88638</v>
          </cell>
          <cell r="BA18">
            <v>29288.266189999998</v>
          </cell>
          <cell r="BB18">
            <v>29817.964530000001</v>
          </cell>
          <cell r="BC18">
            <v>30357.277910000001</v>
          </cell>
          <cell r="BD18">
            <v>30906.279409999999</v>
          </cell>
          <cell r="BE18">
            <v>31465.041249999998</v>
          </cell>
        </row>
        <row r="19">
          <cell r="B19">
            <v>13361.851269999999</v>
          </cell>
          <cell r="C19">
            <v>13519.286270000001</v>
          </cell>
          <cell r="D19">
            <v>13680.65302</v>
          </cell>
          <cell r="E19">
            <v>13846.46688</v>
          </cell>
          <cell r="F19">
            <v>14016.93995</v>
          </cell>
          <cell r="G19">
            <v>14192.07696</v>
          </cell>
          <cell r="H19">
            <v>14371.06863</v>
          </cell>
          <cell r="I19">
            <v>14553.420969999999</v>
          </cell>
          <cell r="J19">
            <v>14738.7701</v>
          </cell>
          <cell r="K19">
            <v>14926.82353</v>
          </cell>
          <cell r="L19">
            <v>15118.51907</v>
          </cell>
          <cell r="M19">
            <v>15312.971939999999</v>
          </cell>
          <cell r="N19">
            <v>15509.727349999999</v>
          </cell>
          <cell r="O19">
            <v>15708.524789999999</v>
          </cell>
          <cell r="P19">
            <v>15909.2186</v>
          </cell>
          <cell r="Q19">
            <v>16111.74539</v>
          </cell>
          <cell r="R19">
            <v>16316.10871</v>
          </cell>
          <cell r="S19">
            <v>16522.367590000002</v>
          </cell>
          <cell r="T19">
            <v>16730.62557</v>
          </cell>
          <cell r="U19">
            <v>16941.019939999998</v>
          </cell>
          <cell r="V19">
            <v>17152.867490000001</v>
          </cell>
          <cell r="W19">
            <v>17366.833589999998</v>
          </cell>
          <cell r="X19">
            <v>17583.319439999999</v>
          </cell>
          <cell r="Y19">
            <v>17802.621500000001</v>
          </cell>
          <cell r="Z19">
            <v>18024.982779999998</v>
          </cell>
          <cell r="AA19">
            <v>18248.206880000002</v>
          </cell>
          <cell r="AB19">
            <v>18472.717769999999</v>
          </cell>
          <cell r="AC19">
            <v>18698.786769999999</v>
          </cell>
          <cell r="AD19">
            <v>18926.647649999999</v>
          </cell>
          <cell r="AE19">
            <v>19156.521720000001</v>
          </cell>
          <cell r="AF19">
            <v>19388.616549999999</v>
          </cell>
          <cell r="AG19">
            <v>19623.115280000002</v>
          </cell>
          <cell r="AH19">
            <v>19860.167229999999</v>
          </cell>
          <cell r="AI19">
            <v>20099.883180000001</v>
          </cell>
          <cell r="AJ19">
            <v>20342.3354</v>
          </cell>
          <cell r="AK19">
            <v>20587.561030000001</v>
          </cell>
          <cell r="AL19">
            <v>20835.000019999999</v>
          </cell>
          <cell r="AM19">
            <v>21084.388889999998</v>
          </cell>
          <cell r="AN19">
            <v>21335.589360000002</v>
          </cell>
          <cell r="AO19">
            <v>21588.524839999998</v>
          </cell>
          <cell r="AP19">
            <v>21843.153679999999</v>
          </cell>
          <cell r="AQ19">
            <v>22099.455040000001</v>
          </cell>
          <cell r="AR19">
            <v>22357.418849999998</v>
          </cell>
          <cell r="AS19">
            <v>22617.038130000001</v>
          </cell>
          <cell r="AT19">
            <v>22878.303479999999</v>
          </cell>
          <cell r="AU19">
            <v>23141.199970000001</v>
          </cell>
          <cell r="AV19">
            <v>23405.756229999999</v>
          </cell>
          <cell r="AW19">
            <v>23671.96644</v>
          </cell>
          <cell r="AX19">
            <v>23939.80747</v>
          </cell>
          <cell r="AY19">
            <v>24209.246859999999</v>
          </cell>
          <cell r="AZ19">
            <v>24480.24757</v>
          </cell>
          <cell r="BA19">
            <v>29526.82949</v>
          </cell>
          <cell r="BB19">
            <v>30069.428540000001</v>
          </cell>
          <cell r="BC19">
            <v>30621.811959999999</v>
          </cell>
          <cell r="BD19">
            <v>31184.047979999999</v>
          </cell>
          <cell r="BE19">
            <v>31756.206590000002</v>
          </cell>
        </row>
        <row r="20">
          <cell r="B20">
            <v>66395.560259999998</v>
          </cell>
          <cell r="C20">
            <v>66977.560899999997</v>
          </cell>
          <cell r="D20">
            <v>67566.040089999995</v>
          </cell>
          <cell r="E20">
            <v>68180.163620000007</v>
          </cell>
          <cell r="F20">
            <v>68825.712140000003</v>
          </cell>
          <cell r="G20">
            <v>69502.11623</v>
          </cell>
          <cell r="H20">
            <v>70202.629799999995</v>
          </cell>
          <cell r="I20">
            <v>70921.346619999997</v>
          </cell>
          <cell r="J20">
            <v>71653.239360000007</v>
          </cell>
          <cell r="K20">
            <v>72394.222120000006</v>
          </cell>
          <cell r="L20">
            <v>73146.501900000003</v>
          </cell>
          <cell r="M20">
            <v>73904.044169999994</v>
          </cell>
          <cell r="N20">
            <v>74663.578399999999</v>
          </cell>
          <cell r="O20">
            <v>75423.371969999993</v>
          </cell>
          <cell r="P20">
            <v>76182.592409999997</v>
          </cell>
          <cell r="Q20">
            <v>76940.993409999995</v>
          </cell>
          <cell r="R20">
            <v>77698.046419999999</v>
          </cell>
          <cell r="S20">
            <v>78453.991590000005</v>
          </cell>
          <cell r="T20">
            <v>79209.529410000003</v>
          </cell>
          <cell r="U20">
            <v>79965.661380000005</v>
          </cell>
          <cell r="V20">
            <v>80719.906340000001</v>
          </cell>
          <cell r="W20">
            <v>81475.755550000002</v>
          </cell>
          <cell r="X20">
            <v>82235.727400000003</v>
          </cell>
          <cell r="Y20">
            <v>83001.906180000005</v>
          </cell>
          <cell r="Z20">
            <v>83776.1731</v>
          </cell>
          <cell r="AA20">
            <v>84549.937909999993</v>
          </cell>
          <cell r="AB20">
            <v>85326.046579999995</v>
          </cell>
          <cell r="AC20">
            <v>86106.719280000005</v>
          </cell>
          <cell r="AD20">
            <v>86893.856769999999</v>
          </cell>
          <cell r="AE20">
            <v>87689.182400000005</v>
          </cell>
          <cell r="AF20">
            <v>88494.257429999998</v>
          </cell>
          <cell r="AG20">
            <v>89310.600139999995</v>
          </cell>
          <cell r="AH20">
            <v>90139.403520000007</v>
          </cell>
          <cell r="AI20">
            <v>90981.565919999994</v>
          </cell>
          <cell r="AJ20">
            <v>91837.713799999998</v>
          </cell>
          <cell r="AK20">
            <v>92708.227480000001</v>
          </cell>
          <cell r="AL20">
            <v>93592.278550000003</v>
          </cell>
          <cell r="AM20">
            <v>94489.392399999997</v>
          </cell>
          <cell r="AN20">
            <v>95399.245190000001</v>
          </cell>
          <cell r="AO20">
            <v>96321.564559999999</v>
          </cell>
          <cell r="AP20">
            <v>97256.082989999995</v>
          </cell>
          <cell r="AQ20">
            <v>98202.735879999993</v>
          </cell>
          <cell r="AR20">
            <v>99161.307279999994</v>
          </cell>
          <cell r="AS20">
            <v>100131.4866</v>
          </cell>
          <cell r="AT20">
            <v>101112.8916</v>
          </cell>
          <cell r="AU20">
            <v>102105.0815</v>
          </cell>
          <cell r="AV20">
            <v>103108.5273</v>
          </cell>
          <cell r="AW20">
            <v>104123.1655</v>
          </cell>
          <cell r="AX20">
            <v>105088.72560000001</v>
          </cell>
          <cell r="AY20">
            <v>105986.0759</v>
          </cell>
          <cell r="AZ20">
            <v>106812.1547</v>
          </cell>
          <cell r="BA20">
            <v>147963.2444</v>
          </cell>
          <cell r="BB20">
            <v>150724.8345</v>
          </cell>
          <cell r="BC20">
            <v>153535.99280000001</v>
          </cell>
          <cell r="BD20">
            <v>156396.79120000001</v>
          </cell>
          <cell r="BE20">
            <v>159307.28649999999</v>
          </cell>
        </row>
        <row r="21">
          <cell r="B21">
            <v>66541.219679999995</v>
          </cell>
          <cell r="C21">
            <v>67325.181030000007</v>
          </cell>
          <cell r="D21">
            <v>68129.964439999996</v>
          </cell>
          <cell r="E21">
            <v>68958.946290000007</v>
          </cell>
          <cell r="F21">
            <v>69813.550220000005</v>
          </cell>
          <cell r="G21">
            <v>70693.882700000002</v>
          </cell>
          <cell r="H21">
            <v>71595.994500000001</v>
          </cell>
          <cell r="I21">
            <v>72517.345889999997</v>
          </cell>
          <cell r="J21">
            <v>73456.078739999997</v>
          </cell>
          <cell r="K21">
            <v>74410.722179999997</v>
          </cell>
          <cell r="L21">
            <v>75385.772639999996</v>
          </cell>
          <cell r="M21">
            <v>76377.088579999996</v>
          </cell>
          <cell r="N21">
            <v>77382.446599999996</v>
          </cell>
          <cell r="O21">
            <v>78400.640790000005</v>
          </cell>
          <cell r="P21">
            <v>79431.060729999997</v>
          </cell>
          <cell r="Q21">
            <v>80473.510980000006</v>
          </cell>
          <cell r="R21">
            <v>81528.127590000004</v>
          </cell>
          <cell r="S21">
            <v>82595.320550000004</v>
          </cell>
          <cell r="T21">
            <v>83675.719599999997</v>
          </cell>
          <cell r="U21">
            <v>84770.120269999999</v>
          </cell>
          <cell r="V21">
            <v>85875.332639999993</v>
          </cell>
          <cell r="W21">
            <v>86994.626569999993</v>
          </cell>
          <cell r="X21">
            <v>88130.107069999998</v>
          </cell>
          <cell r="Y21">
            <v>89283.319099999993</v>
          </cell>
          <cell r="Z21">
            <v>90455.517760000002</v>
          </cell>
          <cell r="AA21">
            <v>91636.050959999993</v>
          </cell>
          <cell r="AB21">
            <v>92826.775769999993</v>
          </cell>
          <cell r="AC21">
            <v>94029.031140000006</v>
          </cell>
          <cell r="AD21">
            <v>95243.898069999996</v>
          </cell>
          <cell r="AE21">
            <v>96472.338619999995</v>
          </cell>
          <cell r="AF21">
            <v>97715.213650000005</v>
          </cell>
          <cell r="AG21">
            <v>98973.245259999996</v>
          </cell>
          <cell r="AH21">
            <v>100246.97659999999</v>
          </cell>
          <cell r="AI21">
            <v>101536.75</v>
          </cell>
          <cell r="AJ21">
            <v>102842.7068</v>
          </cell>
          <cell r="AK21">
            <v>104164.80349999999</v>
          </cell>
          <cell r="AL21">
            <v>105500.0506</v>
          </cell>
          <cell r="AM21">
            <v>106846.8465</v>
          </cell>
          <cell r="AN21">
            <v>108204.2249</v>
          </cell>
          <cell r="AO21">
            <v>109571.52280000001</v>
          </cell>
          <cell r="AP21">
            <v>110948.2427</v>
          </cell>
          <cell r="AQ21">
            <v>112333.9877</v>
          </cell>
          <cell r="AR21">
            <v>113728.4185</v>
          </cell>
          <cell r="AS21">
            <v>115131.2221</v>
          </cell>
          <cell r="AT21">
            <v>116542.08809999999</v>
          </cell>
          <cell r="AU21">
            <v>117960.69560000001</v>
          </cell>
          <cell r="AV21">
            <v>119386.9578</v>
          </cell>
          <cell r="AW21">
            <v>120820.6409</v>
          </cell>
          <cell r="AX21">
            <v>122261.4425</v>
          </cell>
          <cell r="AY21">
            <v>123709.0337</v>
          </cell>
          <cell r="AZ21">
            <v>125163.0828</v>
          </cell>
          <cell r="BA21">
            <v>149206.48629999999</v>
          </cell>
          <cell r="BB21">
            <v>152032.96799999999</v>
          </cell>
          <cell r="BC21">
            <v>154909.40760000001</v>
          </cell>
          <cell r="BD21">
            <v>157835.80369999999</v>
          </cell>
          <cell r="BE21">
            <v>160812.15539999999</v>
          </cell>
        </row>
        <row r="22">
          <cell r="B22">
            <v>128777.1156</v>
          </cell>
          <cell r="C22">
            <v>129800.9932</v>
          </cell>
          <cell r="D22">
            <v>130865.9152</v>
          </cell>
          <cell r="E22">
            <v>132007.4884</v>
          </cell>
          <cell r="F22">
            <v>133231.53719999999</v>
          </cell>
          <cell r="G22">
            <v>134531.851</v>
          </cell>
          <cell r="H22">
            <v>135889.79130000001</v>
          </cell>
          <cell r="I22">
            <v>137290.9143</v>
          </cell>
          <cell r="J22">
            <v>138723.24739999999</v>
          </cell>
          <cell r="K22">
            <v>140176.91269999999</v>
          </cell>
          <cell r="L22">
            <v>141656.48079999999</v>
          </cell>
          <cell r="M22">
            <v>143145.15820000001</v>
          </cell>
          <cell r="N22">
            <v>144634.67869999999</v>
          </cell>
          <cell r="O22">
            <v>146120.5073</v>
          </cell>
          <cell r="P22">
            <v>147600.09270000001</v>
          </cell>
          <cell r="Q22">
            <v>149072.1838</v>
          </cell>
          <cell r="R22">
            <v>150534.67199999999</v>
          </cell>
          <cell r="S22">
            <v>151987.57250000001</v>
          </cell>
          <cell r="T22">
            <v>153432.04</v>
          </cell>
          <cell r="U22">
            <v>154869.95689999999</v>
          </cell>
          <cell r="V22">
            <v>156295.09510000001</v>
          </cell>
          <cell r="W22">
            <v>157716.38089999999</v>
          </cell>
          <cell r="X22">
            <v>159139.09280000001</v>
          </cell>
          <cell r="Y22">
            <v>160567.345</v>
          </cell>
          <cell r="Z22">
            <v>162004.84150000001</v>
          </cell>
          <cell r="AA22">
            <v>163430.9368</v>
          </cell>
          <cell r="AB22">
            <v>164855.2156</v>
          </cell>
          <cell r="AC22">
            <v>166283.47949999999</v>
          </cell>
          <cell r="AD22">
            <v>167720.19</v>
          </cell>
          <cell r="AE22">
            <v>169169.21359999999</v>
          </cell>
          <cell r="AF22">
            <v>170633.97829999999</v>
          </cell>
          <cell r="AG22">
            <v>172117.86120000001</v>
          </cell>
          <cell r="AH22">
            <v>173623.47380000001</v>
          </cell>
          <cell r="AI22">
            <v>175152.8222</v>
          </cell>
          <cell r="AJ22">
            <v>176707.383</v>
          </cell>
          <cell r="AK22">
            <v>178288.16320000001</v>
          </cell>
          <cell r="AL22">
            <v>179893.77600000001</v>
          </cell>
          <cell r="AM22">
            <v>181523.9523</v>
          </cell>
          <cell r="AN22">
            <v>183178.69690000001</v>
          </cell>
          <cell r="AO22">
            <v>184858.03090000001</v>
          </cell>
          <cell r="AP22">
            <v>186561.91250000001</v>
          </cell>
          <cell r="AQ22">
            <v>188290.7781</v>
          </cell>
          <cell r="AR22">
            <v>190044.59729999999</v>
          </cell>
          <cell r="AS22">
            <v>191823.1041</v>
          </cell>
          <cell r="AT22">
            <v>193625.87770000001</v>
          </cell>
          <cell r="AU22">
            <v>195452.37899999999</v>
          </cell>
          <cell r="AV22">
            <v>197304.38010000001</v>
          </cell>
          <cell r="AW22">
            <v>199182.04130000001</v>
          </cell>
          <cell r="AX22">
            <v>200973.5913</v>
          </cell>
          <cell r="AY22">
            <v>202645.7475</v>
          </cell>
          <cell r="AZ22">
            <v>204191.7493</v>
          </cell>
          <cell r="BA22">
            <v>285631.02980000002</v>
          </cell>
          <cell r="BB22">
            <v>290823.48839999997</v>
          </cell>
          <cell r="BC22">
            <v>296116.929</v>
          </cell>
          <cell r="BD22">
            <v>301512.54700000002</v>
          </cell>
          <cell r="BE22">
            <v>307011.51209999999</v>
          </cell>
        </row>
        <row r="23">
          <cell r="B23">
            <v>129176.6197</v>
          </cell>
          <cell r="C23">
            <v>130725.626</v>
          </cell>
          <cell r="D23">
            <v>132340.5491</v>
          </cell>
          <cell r="E23">
            <v>134024.38920000001</v>
          </cell>
          <cell r="F23">
            <v>135775.49609999999</v>
          </cell>
          <cell r="G23">
            <v>137589.94320000001</v>
          </cell>
          <cell r="H23">
            <v>139454.95730000001</v>
          </cell>
          <cell r="I23">
            <v>141362.6747</v>
          </cell>
          <cell r="J23">
            <v>143307.16339999999</v>
          </cell>
          <cell r="K23">
            <v>145283.54019999999</v>
          </cell>
          <cell r="L23">
            <v>147301.18460000001</v>
          </cell>
          <cell r="M23">
            <v>149347.38920000001</v>
          </cell>
          <cell r="N23">
            <v>151416.19149999999</v>
          </cell>
          <cell r="O23">
            <v>153504.39989999999</v>
          </cell>
          <cell r="P23">
            <v>155610.2585</v>
          </cell>
          <cell r="Q23">
            <v>157732.9797</v>
          </cell>
          <cell r="R23">
            <v>159872.54380000001</v>
          </cell>
          <cell r="S23">
            <v>162029.56640000001</v>
          </cell>
          <cell r="T23">
            <v>164205.1783</v>
          </cell>
          <cell r="U23">
            <v>166400.90919999999</v>
          </cell>
          <cell r="V23">
            <v>168608.83189999999</v>
          </cell>
          <cell r="W23">
            <v>170837.72459999999</v>
          </cell>
          <cell r="X23">
            <v>173092.13070000001</v>
          </cell>
          <cell r="Y23">
            <v>175375.1372</v>
          </cell>
          <cell r="Z23">
            <v>177689.2561</v>
          </cell>
          <cell r="AA23">
            <v>180008.79790000001</v>
          </cell>
          <cell r="AB23">
            <v>182341.78589999999</v>
          </cell>
          <cell r="AC23">
            <v>184692.6286</v>
          </cell>
          <cell r="AD23">
            <v>187064.5123</v>
          </cell>
          <cell r="AE23">
            <v>189460.14920000001</v>
          </cell>
          <cell r="AF23">
            <v>191881.9388</v>
          </cell>
          <cell r="AG23">
            <v>194331.94870000001</v>
          </cell>
          <cell r="AH23">
            <v>196811.8682</v>
          </cell>
          <cell r="AI23">
            <v>199322.9859</v>
          </cell>
          <cell r="AJ23">
            <v>201866.20060000001</v>
          </cell>
          <cell r="AK23">
            <v>204442.05720000001</v>
          </cell>
          <cell r="AL23">
            <v>207044.14600000001</v>
          </cell>
          <cell r="AM23">
            <v>209670.3371</v>
          </cell>
          <cell r="AN23">
            <v>212319.94779999999</v>
          </cell>
          <cell r="AO23">
            <v>214992.80720000001</v>
          </cell>
          <cell r="AP23">
            <v>217688.94639999999</v>
          </cell>
          <cell r="AQ23">
            <v>220408.4786</v>
          </cell>
          <cell r="AR23">
            <v>223151.5343</v>
          </cell>
          <cell r="AS23">
            <v>225918.2151</v>
          </cell>
          <cell r="AT23">
            <v>228708.56289999999</v>
          </cell>
          <cell r="AU23">
            <v>231522.54380000001</v>
          </cell>
          <cell r="AV23">
            <v>234360.6398</v>
          </cell>
          <cell r="AW23">
            <v>237222.85860000001</v>
          </cell>
          <cell r="AX23">
            <v>240109.00659999999</v>
          </cell>
          <cell r="AY23">
            <v>243018.7948</v>
          </cell>
          <cell r="AZ23">
            <v>245951.88769999999</v>
          </cell>
          <cell r="BA23">
            <v>288049.45819999999</v>
          </cell>
          <cell r="BB23">
            <v>293378.7573</v>
          </cell>
          <cell r="BC23">
            <v>298811.56770000001</v>
          </cell>
          <cell r="BD23">
            <v>304349.05959999998</v>
          </cell>
          <cell r="BE23">
            <v>309992.39840000001</v>
          </cell>
        </row>
        <row r="24">
          <cell r="B24">
            <v>144679.49239999999</v>
          </cell>
          <cell r="C24">
            <v>146060.83989999999</v>
          </cell>
          <cell r="D24">
            <v>147439.61489999999</v>
          </cell>
          <cell r="E24">
            <v>148849.6384</v>
          </cell>
          <cell r="F24">
            <v>150303.25709999999</v>
          </cell>
          <cell r="G24">
            <v>151801.58350000001</v>
          </cell>
          <cell r="H24">
            <v>153334.39360000001</v>
          </cell>
          <cell r="I24">
            <v>154893.4963</v>
          </cell>
          <cell r="J24">
            <v>156473.34419999999</v>
          </cell>
          <cell r="K24">
            <v>158071.25599999999</v>
          </cell>
          <cell r="L24">
            <v>159697.64449999999</v>
          </cell>
          <cell r="M24">
            <v>161348.25760000001</v>
          </cell>
          <cell r="N24">
            <v>163023.14199999999</v>
          </cell>
          <cell r="O24">
            <v>164724.3118</v>
          </cell>
          <cell r="P24">
            <v>166454.58379999999</v>
          </cell>
          <cell r="Q24">
            <v>168216.90479999999</v>
          </cell>
          <cell r="R24">
            <v>170012.853</v>
          </cell>
          <cell r="S24">
            <v>171844.21969999999</v>
          </cell>
          <cell r="T24">
            <v>173712.6159</v>
          </cell>
          <cell r="U24">
            <v>175619.35509999999</v>
          </cell>
          <cell r="V24">
            <v>177558.05900000001</v>
          </cell>
          <cell r="W24">
            <v>179532.98190000001</v>
          </cell>
          <cell r="X24">
            <v>181546.64129999999</v>
          </cell>
          <cell r="Y24">
            <v>183600.7555</v>
          </cell>
          <cell r="Z24">
            <v>185696.58739999999</v>
          </cell>
          <cell r="AA24">
            <v>187814.1275</v>
          </cell>
          <cell r="AB24">
            <v>189954.3155</v>
          </cell>
          <cell r="AC24">
            <v>192117.74220000001</v>
          </cell>
          <cell r="AD24">
            <v>194305.22760000001</v>
          </cell>
          <cell r="AE24">
            <v>196517.8223</v>
          </cell>
          <cell r="AF24">
            <v>198756.67600000001</v>
          </cell>
          <cell r="AG24">
            <v>201023.13209999999</v>
          </cell>
          <cell r="AH24">
            <v>203318.20850000001</v>
          </cell>
          <cell r="AI24">
            <v>205642.60829999999</v>
          </cell>
          <cell r="AJ24">
            <v>207996.74290000001</v>
          </cell>
          <cell r="AK24">
            <v>210380.7788</v>
          </cell>
          <cell r="AL24">
            <v>212792.13449999999</v>
          </cell>
          <cell r="AM24">
            <v>215229.13930000001</v>
          </cell>
          <cell r="AN24">
            <v>217690.70689999999</v>
          </cell>
          <cell r="AO24">
            <v>220176.1483</v>
          </cell>
          <cell r="AP24">
            <v>222685.04089999999</v>
          </cell>
          <cell r="AQ24">
            <v>225217.5074</v>
          </cell>
          <cell r="AR24">
            <v>227773.56589999999</v>
          </cell>
          <cell r="AS24">
            <v>230353.15270000001</v>
          </cell>
          <cell r="AT24">
            <v>232956.11009999999</v>
          </cell>
          <cell r="AU24">
            <v>235582.18299999999</v>
          </cell>
          <cell r="AV24">
            <v>238232.7776</v>
          </cell>
          <cell r="AW24">
            <v>240908.45790000001</v>
          </cell>
          <cell r="AX24">
            <v>243440.86410000001</v>
          </cell>
          <cell r="AY24">
            <v>245778.71400000001</v>
          </cell>
          <cell r="AZ24">
            <v>247906.97039999999</v>
          </cell>
          <cell r="BA24">
            <v>321001.99890000001</v>
          </cell>
          <cell r="BB24">
            <v>326859.30650000001</v>
          </cell>
          <cell r="BC24">
            <v>332813.91570000001</v>
          </cell>
          <cell r="BD24">
            <v>338866.0429</v>
          </cell>
          <cell r="BE24">
            <v>345015.929</v>
          </cell>
        </row>
        <row r="25">
          <cell r="B25">
            <v>144894.54089999999</v>
          </cell>
          <cell r="C25">
            <v>146585.99530000001</v>
          </cell>
          <cell r="D25">
            <v>148307.80379999999</v>
          </cell>
          <cell r="E25">
            <v>150069.4889</v>
          </cell>
          <cell r="F25">
            <v>151878.0637</v>
          </cell>
          <cell r="G25">
            <v>153738.19680000001</v>
          </cell>
          <cell r="H25">
            <v>155646.5459</v>
          </cell>
          <cell r="I25">
            <v>157601.71350000001</v>
          </cell>
          <cell r="J25">
            <v>159603.21239999999</v>
          </cell>
          <cell r="K25">
            <v>161651.08319999999</v>
          </cell>
          <cell r="L25">
            <v>163756.73980000001</v>
          </cell>
          <cell r="M25">
            <v>165915.53349999999</v>
          </cell>
          <cell r="N25">
            <v>168125.35949999999</v>
          </cell>
          <cell r="O25">
            <v>170385.21960000001</v>
          </cell>
          <cell r="P25">
            <v>172694.715</v>
          </cell>
          <cell r="Q25">
            <v>175053.81409999999</v>
          </cell>
          <cell r="R25">
            <v>177462.73790000001</v>
          </cell>
          <cell r="S25">
            <v>179921.8738</v>
          </cell>
          <cell r="T25">
            <v>182431.69870000001</v>
          </cell>
          <cell r="U25">
            <v>184992.71220000001</v>
          </cell>
          <cell r="V25">
            <v>187597.3161</v>
          </cell>
          <cell r="W25">
            <v>190249.63560000001</v>
          </cell>
          <cell r="X25">
            <v>192952.0153</v>
          </cell>
          <cell r="Y25">
            <v>195705.96309999999</v>
          </cell>
          <cell r="Z25">
            <v>198512.47659999999</v>
          </cell>
          <cell r="AA25">
            <v>201348.96100000001</v>
          </cell>
          <cell r="AB25">
            <v>204215.3253</v>
          </cell>
          <cell r="AC25">
            <v>207111.2874</v>
          </cell>
          <cell r="AD25">
            <v>210036.88</v>
          </cell>
          <cell r="AE25">
            <v>212992.43789999999</v>
          </cell>
          <cell r="AF25">
            <v>215978.45970000001</v>
          </cell>
          <cell r="AG25">
            <v>218995.4271</v>
          </cell>
          <cell r="AH25">
            <v>222043.67079999999</v>
          </cell>
          <cell r="AI25">
            <v>225123.307</v>
          </cell>
          <cell r="AJ25">
            <v>228234.23509999999</v>
          </cell>
          <cell r="AK25">
            <v>231376.17679999999</v>
          </cell>
          <cell r="AL25">
            <v>234543.15429999999</v>
          </cell>
          <cell r="AM25">
            <v>237731.59520000001</v>
          </cell>
          <cell r="AN25">
            <v>240939.26240000001</v>
          </cell>
          <cell r="AO25">
            <v>244164.7898</v>
          </cell>
          <cell r="AP25">
            <v>247407.42240000001</v>
          </cell>
          <cell r="AQ25">
            <v>250666.83129999999</v>
          </cell>
          <cell r="AR25">
            <v>253942.95980000001</v>
          </cell>
          <cell r="AS25">
            <v>257235.89629999999</v>
          </cell>
          <cell r="AT25">
            <v>260545.7836</v>
          </cell>
          <cell r="AU25">
            <v>263872.76449999999</v>
          </cell>
          <cell r="AV25">
            <v>267217.45760000002</v>
          </cell>
          <cell r="AW25">
            <v>270580.23989999999</v>
          </cell>
          <cell r="AX25">
            <v>273961.36090000003</v>
          </cell>
          <cell r="AY25">
            <v>277361.00839999999</v>
          </cell>
          <cell r="AZ25">
            <v>280779.35269999999</v>
          </cell>
          <cell r="BA25">
            <v>323223.7169</v>
          </cell>
          <cell r="BB25">
            <v>329188.19819999998</v>
          </cell>
          <cell r="BC25">
            <v>335249.99739999999</v>
          </cell>
          <cell r="BD25">
            <v>341409.25400000002</v>
          </cell>
          <cell r="BE25">
            <v>347666.16600000003</v>
          </cell>
        </row>
        <row r="26">
          <cell r="B26">
            <v>1693575.3060000001</v>
          </cell>
          <cell r="C26">
            <v>1712381.534</v>
          </cell>
          <cell r="D26">
            <v>1731375.531</v>
          </cell>
          <cell r="E26">
            <v>1750727.3559999999</v>
          </cell>
          <cell r="F26">
            <v>1770484.727</v>
          </cell>
          <cell r="G26">
            <v>1790604.598</v>
          </cell>
          <cell r="H26">
            <v>1810957.1459999999</v>
          </cell>
          <cell r="I26">
            <v>1831417.8019999999</v>
          </cell>
          <cell r="J26">
            <v>1851899.38</v>
          </cell>
          <cell r="K26">
            <v>1872367.037</v>
          </cell>
          <cell r="L26">
            <v>1892912.8859999999</v>
          </cell>
          <cell r="M26">
            <v>1913589.3259999999</v>
          </cell>
          <cell r="N26">
            <v>1934477.6839999999</v>
          </cell>
          <cell r="O26">
            <v>1955680.37</v>
          </cell>
          <cell r="P26">
            <v>1977312.4339999999</v>
          </cell>
          <cell r="Q26">
            <v>1999492.281</v>
          </cell>
          <cell r="R26">
            <v>2022328.639</v>
          </cell>
          <cell r="S26">
            <v>2045921.2560000001</v>
          </cell>
          <cell r="T26">
            <v>2070357.85</v>
          </cell>
          <cell r="U26">
            <v>2095712.8570000001</v>
          </cell>
          <cell r="V26">
            <v>2121994.2579999999</v>
          </cell>
          <cell r="W26">
            <v>2149254.2239999999</v>
          </cell>
          <cell r="X26">
            <v>2177538.2650000001</v>
          </cell>
          <cell r="Y26">
            <v>2206883.1639999999</v>
          </cell>
          <cell r="Z26">
            <v>2237315.861</v>
          </cell>
          <cell r="AA26">
            <v>2268700.48</v>
          </cell>
          <cell r="AB26">
            <v>2300986.7119999998</v>
          </cell>
          <cell r="AC26">
            <v>2334135.3539999998</v>
          </cell>
          <cell r="AD26">
            <v>2368116.213</v>
          </cell>
          <cell r="AE26">
            <v>2402903.4610000001</v>
          </cell>
          <cell r="AF26">
            <v>2438472.699</v>
          </cell>
          <cell r="AG26">
            <v>2474800.1919999998</v>
          </cell>
          <cell r="AH26">
            <v>2511859.7140000002</v>
          </cell>
          <cell r="AI26">
            <v>2549621.8840000001</v>
          </cell>
          <cell r="AJ26">
            <v>2588054.2080000001</v>
          </cell>
          <cell r="AK26">
            <v>2627121.7599999998</v>
          </cell>
          <cell r="AL26">
            <v>2666764.9309999999</v>
          </cell>
          <cell r="AM26">
            <v>2706924.7050000001</v>
          </cell>
          <cell r="AN26">
            <v>2747546.804</v>
          </cell>
          <cell r="AO26">
            <v>2788582.4079999998</v>
          </cell>
          <cell r="AP26">
            <v>2829987.6579999998</v>
          </cell>
          <cell r="AQ26">
            <v>2871725.2349999999</v>
          </cell>
          <cell r="AR26">
            <v>2913760.7710000002</v>
          </cell>
          <cell r="AS26">
            <v>2956061.8859999999</v>
          </cell>
          <cell r="AT26">
            <v>2998597.3139999998</v>
          </cell>
          <cell r="AU26">
            <v>3041336.4980000001</v>
          </cell>
          <cell r="AV26">
            <v>3084261.7069999999</v>
          </cell>
          <cell r="AW26">
            <v>3127355.449</v>
          </cell>
          <cell r="AX26">
            <v>3168052.216</v>
          </cell>
          <cell r="AY26">
            <v>3205574.048</v>
          </cell>
          <cell r="AZ26">
            <v>3239749.5529999998</v>
          </cell>
          <cell r="BA26">
            <v>4240150.0130000003</v>
          </cell>
          <cell r="BB26">
            <v>4330272.5049999999</v>
          </cell>
          <cell r="BC26">
            <v>4421473.0580000002</v>
          </cell>
          <cell r="BD26">
            <v>4513684.6560000004</v>
          </cell>
          <cell r="BE26">
            <v>4606839.7630000003</v>
          </cell>
        </row>
        <row r="27">
          <cell r="B27">
            <v>1694146.3910000001</v>
          </cell>
          <cell r="C27">
            <v>1714012.916</v>
          </cell>
          <cell r="D27">
            <v>1734399.2990000001</v>
          </cell>
          <cell r="E27">
            <v>1755382.88</v>
          </cell>
          <cell r="F27">
            <v>1777024.8489999999</v>
          </cell>
          <cell r="G27">
            <v>1799376.148</v>
          </cell>
          <cell r="H27">
            <v>1822439.6140000001</v>
          </cell>
          <cell r="I27">
            <v>1846221.5349999999</v>
          </cell>
          <cell r="J27">
            <v>1870737.7209999999</v>
          </cell>
          <cell r="K27">
            <v>1896015.35</v>
          </cell>
          <cell r="L27">
            <v>1922167.726</v>
          </cell>
          <cell r="M27">
            <v>1949234.22</v>
          </cell>
          <cell r="N27">
            <v>1977252.281</v>
          </cell>
          <cell r="O27">
            <v>2006259.7379999999</v>
          </cell>
          <cell r="P27">
            <v>2036296.01</v>
          </cell>
          <cell r="Q27">
            <v>2067401.0959999999</v>
          </cell>
          <cell r="R27">
            <v>2099614.0759999999</v>
          </cell>
          <cell r="S27">
            <v>2132971.4909999999</v>
          </cell>
          <cell r="T27">
            <v>2167505.818</v>
          </cell>
          <cell r="U27">
            <v>2203244.1919999998</v>
          </cell>
          <cell r="V27">
            <v>2240150.2799999998</v>
          </cell>
          <cell r="W27">
            <v>2278241.2050000001</v>
          </cell>
          <cell r="X27">
            <v>2317532.838</v>
          </cell>
          <cell r="Y27">
            <v>2358035.9739999999</v>
          </cell>
          <cell r="Z27">
            <v>2399753.8939999999</v>
          </cell>
          <cell r="AA27">
            <v>2442514.0060000001</v>
          </cell>
          <cell r="AB27">
            <v>2486232.1320000002</v>
          </cell>
          <cell r="AC27">
            <v>2530836.9339999999</v>
          </cell>
          <cell r="AD27">
            <v>2576267.3539999998</v>
          </cell>
          <cell r="AE27">
            <v>2622467.9870000002</v>
          </cell>
          <cell r="AF27">
            <v>2669385.9270000001</v>
          </cell>
          <cell r="AG27">
            <v>2716968.2179999999</v>
          </cell>
          <cell r="AH27">
            <v>2765160.1320000002</v>
          </cell>
          <cell r="AI27">
            <v>2813904.4380000001</v>
          </cell>
          <cell r="AJ27">
            <v>2863141.5759999999</v>
          </cell>
          <cell r="AK27">
            <v>2912810.49</v>
          </cell>
          <cell r="AL27">
            <v>2962808.09</v>
          </cell>
          <cell r="AM27">
            <v>3013033.57</v>
          </cell>
          <cell r="AN27">
            <v>3063393.9449999998</v>
          </cell>
          <cell r="AO27">
            <v>3113806.4369999999</v>
          </cell>
          <cell r="AP27">
            <v>3164198.4840000002</v>
          </cell>
          <cell r="AQ27">
            <v>3214506.7429999998</v>
          </cell>
          <cell r="AR27">
            <v>3264675.642</v>
          </cell>
          <cell r="AS27">
            <v>3314655.909</v>
          </cell>
          <cell r="AT27">
            <v>3364403.3629999999</v>
          </cell>
          <cell r="AU27">
            <v>3413878.1269999999</v>
          </cell>
          <cell r="AV27">
            <v>3463048.04</v>
          </cell>
          <cell r="AW27">
            <v>3511884.7650000001</v>
          </cell>
          <cell r="AX27">
            <v>3560363.6239999998</v>
          </cell>
          <cell r="AY27">
            <v>3608463.8250000002</v>
          </cell>
          <cell r="AZ27">
            <v>3656168.8730000001</v>
          </cell>
          <cell r="BA27">
            <v>4261665.0319999997</v>
          </cell>
          <cell r="BB27">
            <v>4352016.2649999997</v>
          </cell>
          <cell r="BC27">
            <v>4443318.9220000003</v>
          </cell>
          <cell r="BD27">
            <v>4535498.1179999998</v>
          </cell>
          <cell r="BE27">
            <v>4628479.3269999996</v>
          </cell>
        </row>
        <row r="28">
          <cell r="B28">
            <v>4356.2440820000002</v>
          </cell>
          <cell r="C28">
            <v>4401.2085779999998</v>
          </cell>
          <cell r="D28">
            <v>4446.2678340000002</v>
          </cell>
          <cell r="E28">
            <v>4491.8866230000003</v>
          </cell>
          <cell r="F28">
            <v>4538.138559</v>
          </cell>
          <cell r="G28">
            <v>4584.9170860000004</v>
          </cell>
          <cell r="H28">
            <v>4631.8771450000004</v>
          </cell>
          <cell r="I28">
            <v>4678.7875130000002</v>
          </cell>
          <cell r="J28">
            <v>4725.5136839999996</v>
          </cell>
          <cell r="K28">
            <v>4772.0099049999999</v>
          </cell>
          <cell r="L28">
            <v>4818.6004350000003</v>
          </cell>
          <cell r="M28">
            <v>4865.1780239999998</v>
          </cell>
          <cell r="N28">
            <v>4911.7660740000001</v>
          </cell>
          <cell r="O28">
            <v>4958.4363359999998</v>
          </cell>
          <cell r="P28">
            <v>5005.2777759999999</v>
          </cell>
          <cell r="Q28">
            <v>5052.3791670000001</v>
          </cell>
          <cell r="R28">
            <v>5099.7935900000002</v>
          </cell>
          <cell r="S28">
            <v>5147.5765250000004</v>
          </cell>
          <cell r="T28">
            <v>5195.7763789999999</v>
          </cell>
          <cell r="U28">
            <v>5244.4327830000002</v>
          </cell>
          <cell r="V28">
            <v>5293.3717280000001</v>
          </cell>
          <cell r="W28">
            <v>5342.7272759999996</v>
          </cell>
          <cell r="X28">
            <v>5392.5741539999999</v>
          </cell>
          <cell r="Y28">
            <v>5442.9646210000001</v>
          </cell>
          <cell r="Z28">
            <v>5493.9384950000003</v>
          </cell>
          <cell r="AA28">
            <v>5544.9499249999999</v>
          </cell>
          <cell r="AB28">
            <v>5596.0632969999997</v>
          </cell>
          <cell r="AC28">
            <v>5647.3173790000001</v>
          </cell>
          <cell r="AD28">
            <v>5698.7553989999997</v>
          </cell>
          <cell r="AE28">
            <v>5750.4249589999999</v>
          </cell>
          <cell r="AF28">
            <v>5802.3746170000004</v>
          </cell>
          <cell r="AG28">
            <v>5854.6559020000004</v>
          </cell>
          <cell r="AH28">
            <v>5907.3110029999998</v>
          </cell>
          <cell r="AI28">
            <v>5960.3734999999997</v>
          </cell>
          <cell r="AJ28">
            <v>6013.8691859999999</v>
          </cell>
          <cell r="AK28">
            <v>6067.8174419999996</v>
          </cell>
          <cell r="AL28">
            <v>6122.1556499999997</v>
          </cell>
          <cell r="AM28">
            <v>6176.8567620000003</v>
          </cell>
          <cell r="AN28">
            <v>6231.9119110000001</v>
          </cell>
          <cell r="AO28">
            <v>6287.3229410000004</v>
          </cell>
          <cell r="AP28">
            <v>6343.0980460000001</v>
          </cell>
          <cell r="AQ28">
            <v>6399.2577389999997</v>
          </cell>
          <cell r="AR28">
            <v>6455.8190999999997</v>
          </cell>
          <cell r="AS28">
            <v>6512.7965059999997</v>
          </cell>
          <cell r="AT28">
            <v>6570.2012690000001</v>
          </cell>
          <cell r="AU28">
            <v>6628.0416500000001</v>
          </cell>
          <cell r="AV28">
            <v>6686.3654690000003</v>
          </cell>
          <cell r="AW28">
            <v>6745.1981219999998</v>
          </cell>
          <cell r="AX28">
            <v>6800.2870350000003</v>
          </cell>
          <cell r="AY28">
            <v>6849.1390620000002</v>
          </cell>
          <cell r="AZ28">
            <v>6891.9989619999997</v>
          </cell>
          <cell r="BA28">
            <v>8709.0840759999992</v>
          </cell>
          <cell r="BB28">
            <v>8845.8713709999993</v>
          </cell>
          <cell r="BC28">
            <v>8984.9626939999998</v>
          </cell>
          <cell r="BD28">
            <v>9126.3813480000008</v>
          </cell>
          <cell r="BE28">
            <v>9270.1512010000006</v>
          </cell>
        </row>
        <row r="29">
          <cell r="B29">
            <v>4360.3506379999999</v>
          </cell>
          <cell r="C29">
            <v>4411.0548429999999</v>
          </cell>
          <cell r="D29">
            <v>4462.2210569999997</v>
          </cell>
          <cell r="E29">
            <v>4513.8905050000003</v>
          </cell>
          <cell r="F29">
            <v>4566.1267099999995</v>
          </cell>
          <cell r="G29">
            <v>4618.9898460000004</v>
          </cell>
          <cell r="H29">
            <v>4672.3501239999996</v>
          </cell>
          <cell r="I29">
            <v>4726.1601309999996</v>
          </cell>
          <cell r="J29">
            <v>4780.4066830000002</v>
          </cell>
          <cell r="K29">
            <v>4835.0957740000003</v>
          </cell>
          <cell r="L29">
            <v>4890.5513799999999</v>
          </cell>
          <cell r="M29">
            <v>4946.6363439999996</v>
          </cell>
          <cell r="N29">
            <v>5003.3022769999998</v>
          </cell>
          <cell r="O29">
            <v>5060.5329629999997</v>
          </cell>
          <cell r="P29">
            <v>5118.3297920000005</v>
          </cell>
          <cell r="Q29">
            <v>5176.704839</v>
          </cell>
          <cell r="R29">
            <v>5235.6772490000003</v>
          </cell>
          <cell r="S29">
            <v>5295.2705969999997</v>
          </cell>
          <cell r="T29">
            <v>5355.5106599999999</v>
          </cell>
          <cell r="U29">
            <v>5416.4236739999997</v>
          </cell>
          <cell r="V29">
            <v>5477.8168230000001</v>
          </cell>
          <cell r="W29">
            <v>5539.8266880000001</v>
          </cell>
          <cell r="X29">
            <v>5602.5299969999996</v>
          </cell>
          <cell r="Y29">
            <v>5665.9801939999998</v>
          </cell>
          <cell r="Z29">
            <v>5730.2169459999996</v>
          </cell>
          <cell r="AA29">
            <v>5794.6501090000002</v>
          </cell>
          <cell r="AB29">
            <v>5859.3268310000003</v>
          </cell>
          <cell r="AC29">
            <v>5924.2725460000001</v>
          </cell>
          <cell r="AD29">
            <v>5989.5190670000002</v>
          </cell>
          <cell r="AE29">
            <v>6055.1044149999998</v>
          </cell>
          <cell r="AF29">
            <v>6121.0692859999999</v>
          </cell>
          <cell r="AG29">
            <v>6187.4526210000004</v>
          </cell>
          <cell r="AH29">
            <v>6254.2884969999996</v>
          </cell>
          <cell r="AI29">
            <v>6321.6048689999998</v>
          </cell>
          <cell r="AJ29">
            <v>6389.4237739999999</v>
          </cell>
          <cell r="AK29">
            <v>6457.7624089999999</v>
          </cell>
          <cell r="AL29">
            <v>6526.4892030000001</v>
          </cell>
          <cell r="AM29">
            <v>6595.5433050000001</v>
          </cell>
          <cell r="AN29">
            <v>6664.8983189999999</v>
          </cell>
          <cell r="AO29">
            <v>6734.5489630000002</v>
          </cell>
          <cell r="AP29">
            <v>6804.5037270000003</v>
          </cell>
          <cell r="AQ29">
            <v>6874.779818</v>
          </cell>
          <cell r="AR29">
            <v>6945.3991329999999</v>
          </cell>
          <cell r="AS29">
            <v>7016.3851130000003</v>
          </cell>
          <cell r="AT29">
            <v>7087.7606020000003</v>
          </cell>
          <cell r="AU29">
            <v>7159.5466450000004</v>
          </cell>
          <cell r="AV29">
            <v>7231.7748199999996</v>
          </cell>
          <cell r="AW29">
            <v>7304.4682190000003</v>
          </cell>
          <cell r="AX29">
            <v>7377.6451010000001</v>
          </cell>
          <cell r="AY29">
            <v>7451.3206399999999</v>
          </cell>
          <cell r="AZ29">
            <v>7525.5080509999998</v>
          </cell>
          <cell r="BA29">
            <v>8774.3944449999999</v>
          </cell>
          <cell r="BB29">
            <v>8914.5550019999991</v>
          </cell>
          <cell r="BC29">
            <v>9057.0619380000007</v>
          </cell>
          <cell r="BD29">
            <v>9201.939155</v>
          </cell>
          <cell r="BE29">
            <v>9349.2119129999992</v>
          </cell>
        </row>
        <row r="30">
          <cell r="B30">
            <v>43490.103179999998</v>
          </cell>
          <cell r="C30">
            <v>43937.855409999996</v>
          </cell>
          <cell r="D30">
            <v>44385.816129999999</v>
          </cell>
          <cell r="E30">
            <v>44838.609170000003</v>
          </cell>
          <cell r="F30">
            <v>45297.027190000001</v>
          </cell>
          <cell r="G30">
            <v>45760.107889999999</v>
          </cell>
          <cell r="H30">
            <v>46224.541510000003</v>
          </cell>
          <cell r="I30">
            <v>46688.154609999998</v>
          </cell>
          <cell r="J30">
            <v>47149.742639999997</v>
          </cell>
          <cell r="K30">
            <v>47608.983829999997</v>
          </cell>
          <cell r="L30">
            <v>48069.22769</v>
          </cell>
          <cell r="M30">
            <v>48529.546009999998</v>
          </cell>
          <cell r="N30">
            <v>48990.286370000002</v>
          </cell>
          <cell r="O30">
            <v>49452.271009999997</v>
          </cell>
          <cell r="P30">
            <v>49916.481970000001</v>
          </cell>
          <cell r="Q30">
            <v>50383.885929999997</v>
          </cell>
          <cell r="R30">
            <v>50855.081100000003</v>
          </cell>
          <cell r="S30">
            <v>51330.674070000001</v>
          </cell>
          <cell r="T30">
            <v>51811.187559999998</v>
          </cell>
          <cell r="U30">
            <v>52297.044190000001</v>
          </cell>
          <cell r="V30">
            <v>52786.531150000003</v>
          </cell>
          <cell r="W30">
            <v>53280.98055</v>
          </cell>
          <cell r="X30">
            <v>53781.132940000003</v>
          </cell>
          <cell r="Y30">
            <v>54287.495609999998</v>
          </cell>
          <cell r="Z30">
            <v>54800.446230000001</v>
          </cell>
          <cell r="AA30">
            <v>55314.529929999997</v>
          </cell>
          <cell r="AB30">
            <v>55830.343549999998</v>
          </cell>
          <cell r="AC30">
            <v>56348.237780000003</v>
          </cell>
          <cell r="AD30">
            <v>56868.600919999997</v>
          </cell>
          <cell r="AE30">
            <v>57391.862549999998</v>
          </cell>
          <cell r="AF30">
            <v>57918.462290000003</v>
          </cell>
          <cell r="AG30">
            <v>58448.871339999998</v>
          </cell>
          <cell r="AH30">
            <v>58983.47133</v>
          </cell>
          <cell r="AI30">
            <v>59522.56179</v>
          </cell>
          <cell r="AJ30">
            <v>60066.368589999998</v>
          </cell>
          <cell r="AK30">
            <v>60615.057719999997</v>
          </cell>
          <cell r="AL30">
            <v>61167.978840000003</v>
          </cell>
          <cell r="AM30">
            <v>61724.839590000003</v>
          </cell>
          <cell r="AN30">
            <v>62285.532650000001</v>
          </cell>
          <cell r="AO30">
            <v>62850.059520000003</v>
          </cell>
          <cell r="AP30">
            <v>63418.486700000001</v>
          </cell>
          <cell r="AQ30">
            <v>63991.005140000001</v>
          </cell>
          <cell r="AR30">
            <v>64567.774120000002</v>
          </cell>
          <cell r="AS30">
            <v>65148.928110000001</v>
          </cell>
          <cell r="AT30">
            <v>65734.573239999998</v>
          </cell>
          <cell r="AU30">
            <v>66324.787209999995</v>
          </cell>
          <cell r="AV30">
            <v>66920.043600000005</v>
          </cell>
          <cell r="AW30">
            <v>67520.595539999995</v>
          </cell>
          <cell r="AX30">
            <v>68083.430649999995</v>
          </cell>
          <cell r="AY30">
            <v>68588.749490000002</v>
          </cell>
          <cell r="AZ30">
            <v>69034.944459999999</v>
          </cell>
          <cell r="BA30">
            <v>87013.627139999997</v>
          </cell>
          <cell r="BB30">
            <v>88382.012359999993</v>
          </cell>
          <cell r="BC30">
            <v>89773.287920000002</v>
          </cell>
          <cell r="BD30">
            <v>91187.670169999998</v>
          </cell>
          <cell r="BE30">
            <v>92625.381370000003</v>
          </cell>
        </row>
        <row r="31">
          <cell r="B31">
            <v>43531.548999999999</v>
          </cell>
          <cell r="C31">
            <v>44037.560539999999</v>
          </cell>
          <cell r="D31">
            <v>44548.08165</v>
          </cell>
          <cell r="E31">
            <v>45063.557860000001</v>
          </cell>
          <cell r="F31">
            <v>45584.673569999999</v>
          </cell>
          <cell r="G31">
            <v>46112.088589999999</v>
          </cell>
          <cell r="H31">
            <v>46644.579250000003</v>
          </cell>
          <cell r="I31">
            <v>47181.738899999997</v>
          </cell>
          <cell r="J31">
            <v>47723.504679999998</v>
          </cell>
          <cell r="K31">
            <v>48270.003510000002</v>
          </cell>
          <cell r="L31">
            <v>48824.522929999999</v>
          </cell>
          <cell r="M31">
            <v>49385.768550000001</v>
          </cell>
          <cell r="N31">
            <v>49953.312460000001</v>
          </cell>
          <cell r="O31">
            <v>50527.043859999998</v>
          </cell>
          <cell r="P31">
            <v>51107.019520000002</v>
          </cell>
          <cell r="Q31">
            <v>51693.393389999997</v>
          </cell>
          <cell r="R31">
            <v>52286.380570000001</v>
          </cell>
          <cell r="S31">
            <v>52886.231440000003</v>
          </cell>
          <cell r="T31">
            <v>53493.210290000003</v>
          </cell>
          <cell r="U31">
            <v>54107.578780000003</v>
          </cell>
          <cell r="V31">
            <v>54727.408539999997</v>
          </cell>
          <cell r="W31">
            <v>55354.043440000001</v>
          </cell>
          <cell r="X31">
            <v>55988.23244</v>
          </cell>
          <cell r="Y31">
            <v>56630.486680000002</v>
          </cell>
          <cell r="Z31">
            <v>57281.177479999998</v>
          </cell>
          <cell r="AA31">
            <v>57934.389179999998</v>
          </cell>
          <cell r="AB31">
            <v>58590.55027</v>
          </cell>
          <cell r="AC31">
            <v>59249.880830000002</v>
          </cell>
          <cell r="AD31">
            <v>59912.658920000002</v>
          </cell>
          <cell r="AE31">
            <v>60579.223129999998</v>
          </cell>
          <cell r="AF31">
            <v>61249.939740000002</v>
          </cell>
          <cell r="AG31">
            <v>61925.159910000002</v>
          </cell>
          <cell r="AH31">
            <v>62605.189449999998</v>
          </cell>
          <cell r="AI31">
            <v>63290.276559999998</v>
          </cell>
          <cell r="AJ31">
            <v>63980.61406</v>
          </cell>
          <cell r="AK31">
            <v>64676.350200000001</v>
          </cell>
          <cell r="AL31">
            <v>65376.148639999999</v>
          </cell>
          <cell r="AM31">
            <v>66079.380749999997</v>
          </cell>
          <cell r="AN31">
            <v>66785.765719999996</v>
          </cell>
          <cell r="AO31">
            <v>67495.235579999993</v>
          </cell>
          <cell r="AP31">
            <v>68207.861499999999</v>
          </cell>
          <cell r="AQ31">
            <v>68923.803610000003</v>
          </cell>
          <cell r="AR31">
            <v>69643.270850000001</v>
          </cell>
          <cell r="AS31">
            <v>70366.489790000007</v>
          </cell>
          <cell r="AT31">
            <v>71093.683090000006</v>
          </cell>
          <cell r="AU31">
            <v>71825.057480000003</v>
          </cell>
          <cell r="AV31">
            <v>72560.92727</v>
          </cell>
          <cell r="AW31">
            <v>73301.523790000007</v>
          </cell>
          <cell r="AX31">
            <v>74047.031740000006</v>
          </cell>
          <cell r="AY31">
            <v>74797.606549999997</v>
          </cell>
          <cell r="AZ31">
            <v>75553.385630000004</v>
          </cell>
          <cell r="BA31">
            <v>87653.784390000001</v>
          </cell>
          <cell r="BB31">
            <v>89054.829429999998</v>
          </cell>
          <cell r="BC31">
            <v>90479.130709999998</v>
          </cell>
          <cell r="BD31">
            <v>91926.909010000003</v>
          </cell>
          <cell r="BE31">
            <v>93398.398969999995</v>
          </cell>
        </row>
        <row r="32">
          <cell r="B32">
            <v>25655.858049999999</v>
          </cell>
          <cell r="C32">
            <v>25841.070830000001</v>
          </cell>
          <cell r="D32">
            <v>26035.69125</v>
          </cell>
          <cell r="E32">
            <v>26247.738010000001</v>
          </cell>
          <cell r="F32">
            <v>26478.66286</v>
          </cell>
          <cell r="G32">
            <v>26727.224460000001</v>
          </cell>
          <cell r="H32">
            <v>26989.288830000001</v>
          </cell>
          <cell r="I32">
            <v>27261.55774</v>
          </cell>
          <cell r="J32">
            <v>27541.13867</v>
          </cell>
          <cell r="K32">
            <v>27825.498159999999</v>
          </cell>
          <cell r="L32">
            <v>28115.237649999999</v>
          </cell>
          <cell r="M32">
            <v>28406.076160000001</v>
          </cell>
          <cell r="N32">
            <v>28695.821459999999</v>
          </cell>
          <cell r="O32">
            <v>28983.19715</v>
          </cell>
          <cell r="P32">
            <v>29267.42223</v>
          </cell>
          <cell r="Q32">
            <v>29548.05414</v>
          </cell>
          <cell r="R32">
            <v>29824.48446</v>
          </cell>
          <cell r="S32">
            <v>30096.642</v>
          </cell>
          <cell r="T32">
            <v>30364.74338</v>
          </cell>
          <cell r="U32">
            <v>30629.188109999999</v>
          </cell>
          <cell r="V32">
            <v>30888.616050000001</v>
          </cell>
          <cell r="W32">
            <v>31145.104869999999</v>
          </cell>
          <cell r="X32">
            <v>31399.82807</v>
          </cell>
          <cell r="Y32">
            <v>31653.67483</v>
          </cell>
          <cell r="Z32">
            <v>31907.440589999998</v>
          </cell>
          <cell r="AA32">
            <v>32156.617340000001</v>
          </cell>
          <cell r="AB32">
            <v>32403.61015</v>
          </cell>
          <cell r="AC32">
            <v>32649.83267</v>
          </cell>
          <cell r="AD32">
            <v>32896.330269999999</v>
          </cell>
          <cell r="AE32">
            <v>33143.98545</v>
          </cell>
          <cell r="AF32">
            <v>33393.566989999999</v>
          </cell>
          <cell r="AG32">
            <v>33645.827120000002</v>
          </cell>
          <cell r="AH32">
            <v>33901.341639999999</v>
          </cell>
          <cell r="AI32">
            <v>34160.553059999998</v>
          </cell>
          <cell r="AJ32">
            <v>34423.78974</v>
          </cell>
          <cell r="AK32">
            <v>34691.279240000003</v>
          </cell>
          <cell r="AL32">
            <v>34962.771050000003</v>
          </cell>
          <cell r="AM32">
            <v>35238.274709999998</v>
          </cell>
          <cell r="AN32">
            <v>35517.854590000003</v>
          </cell>
          <cell r="AO32">
            <v>35801.568079999997</v>
          </cell>
          <cell r="AP32">
            <v>36089.448900000003</v>
          </cell>
          <cell r="AQ32">
            <v>36381.631009999997</v>
          </cell>
          <cell r="AR32">
            <v>36678.13435</v>
          </cell>
          <cell r="AS32">
            <v>36978.92398</v>
          </cell>
          <cell r="AT32">
            <v>37283.930890000003</v>
          </cell>
          <cell r="AU32">
            <v>37593.060519999999</v>
          </cell>
          <cell r="AV32">
            <v>37906.728969999996</v>
          </cell>
          <cell r="AW32">
            <v>38224.973239999999</v>
          </cell>
          <cell r="AX32">
            <v>38522.468719999997</v>
          </cell>
          <cell r="AY32">
            <v>38784.241439999998</v>
          </cell>
          <cell r="AZ32">
            <v>39011.192239999997</v>
          </cell>
          <cell r="BA32">
            <v>56467.149570000001</v>
          </cell>
          <cell r="BB32">
            <v>57483.405100000004</v>
          </cell>
          <cell r="BC32">
            <v>58520.538999999997</v>
          </cell>
          <cell r="BD32">
            <v>59578.896569999997</v>
          </cell>
          <cell r="BE32">
            <v>60658.817750000002</v>
          </cell>
        </row>
        <row r="33">
          <cell r="B33">
            <v>25752.504270000001</v>
          </cell>
          <cell r="C33">
            <v>26062.820309999999</v>
          </cell>
          <cell r="D33">
            <v>26387.44742</v>
          </cell>
          <cell r="E33">
            <v>26726.827109999998</v>
          </cell>
          <cell r="F33">
            <v>27080.412530000001</v>
          </cell>
          <cell r="G33">
            <v>27447.15856</v>
          </cell>
          <cell r="H33">
            <v>27824.03803</v>
          </cell>
          <cell r="I33">
            <v>28209.172630000001</v>
          </cell>
          <cell r="J33">
            <v>28601.105650000001</v>
          </cell>
          <cell r="K33">
            <v>28998.601030000002</v>
          </cell>
          <cell r="L33">
            <v>29403.57964</v>
          </cell>
          <cell r="M33">
            <v>29812.927100000001</v>
          </cell>
          <cell r="N33">
            <v>30225.190620000001</v>
          </cell>
          <cell r="O33">
            <v>30639.591960000002</v>
          </cell>
          <cell r="P33">
            <v>31055.691999999999</v>
          </cell>
          <cell r="Q33">
            <v>31473.278320000001</v>
          </cell>
          <cell r="R33">
            <v>31892.317719999999</v>
          </cell>
          <cell r="S33">
            <v>32312.92539</v>
          </cell>
          <cell r="T33">
            <v>32735.337650000001</v>
          </cell>
          <cell r="U33">
            <v>33159.885329999997</v>
          </cell>
          <cell r="V33">
            <v>33584.821430000004</v>
          </cell>
          <cell r="W33">
            <v>34012.203659999999</v>
          </cell>
          <cell r="X33">
            <v>34443.047639999997</v>
          </cell>
          <cell r="Y33">
            <v>34878.019410000001</v>
          </cell>
          <cell r="Z33">
            <v>35317.658510000001</v>
          </cell>
          <cell r="AA33">
            <v>35756.315150000002</v>
          </cell>
          <cell r="AB33">
            <v>36196.093999999997</v>
          </cell>
          <cell r="AC33">
            <v>36638.150500000003</v>
          </cell>
          <cell r="AD33">
            <v>37083.296679999999</v>
          </cell>
          <cell r="AE33">
            <v>37532.20721</v>
          </cell>
          <cell r="AF33">
            <v>37985.469149999997</v>
          </cell>
          <cell r="AG33">
            <v>38443.586389999997</v>
          </cell>
          <cell r="AH33">
            <v>38906.975050000001</v>
          </cell>
          <cell r="AI33">
            <v>39375.961589999999</v>
          </cell>
          <cell r="AJ33">
            <v>39850.786039999999</v>
          </cell>
          <cell r="AK33">
            <v>40331.609880000004</v>
          </cell>
          <cell r="AL33">
            <v>40817.075290000001</v>
          </cell>
          <cell r="AM33">
            <v>41306.837200000002</v>
          </cell>
          <cell r="AN33">
            <v>41800.869120000003</v>
          </cell>
          <cell r="AO33">
            <v>42299.237159999997</v>
          </cell>
          <cell r="AP33">
            <v>42802.031029999998</v>
          </cell>
          <cell r="AQ33">
            <v>43309.341009999996</v>
          </cell>
          <cell r="AR33">
            <v>43821.247629999998</v>
          </cell>
          <cell r="AS33">
            <v>44337.815210000001</v>
          </cell>
          <cell r="AT33">
            <v>44859.08769</v>
          </cell>
          <cell r="AU33">
            <v>45385.086479999998</v>
          </cell>
          <cell r="AV33">
            <v>45915.939429999999</v>
          </cell>
          <cell r="AW33">
            <v>46451.658490000002</v>
          </cell>
          <cell r="AX33">
            <v>46992.205249999999</v>
          </cell>
          <cell r="AY33">
            <v>47537.515420000003</v>
          </cell>
          <cell r="AZ33">
            <v>48087.509189999997</v>
          </cell>
          <cell r="BA33">
            <v>56986.638679999996</v>
          </cell>
          <cell r="BB33">
            <v>58034.382850000002</v>
          </cell>
          <cell r="BC33">
            <v>59103.829579999998</v>
          </cell>
          <cell r="BD33">
            <v>60195.3292</v>
          </cell>
          <cell r="BE33">
            <v>61309.229910000002</v>
          </cell>
        </row>
        <row r="34">
          <cell r="B34">
            <v>14889.46976</v>
          </cell>
          <cell r="C34">
            <v>15027.22731</v>
          </cell>
          <cell r="D34">
            <v>15168.46695</v>
          </cell>
          <cell r="E34">
            <v>15316.27096</v>
          </cell>
          <cell r="F34">
            <v>15471.665360000001</v>
          </cell>
          <cell r="G34">
            <v>15634.924730000001</v>
          </cell>
          <cell r="H34">
            <v>15805.236269999999</v>
          </cell>
          <cell r="I34">
            <v>15982.2147</v>
          </cell>
          <cell r="J34">
            <v>16165.71982</v>
          </cell>
          <cell r="K34">
            <v>16355.77664</v>
          </cell>
          <cell r="L34">
            <v>16553.917079999999</v>
          </cell>
          <cell r="M34">
            <v>16759.41951</v>
          </cell>
          <cell r="N34">
            <v>16972.062300000001</v>
          </cell>
          <cell r="O34">
            <v>17191.745340000001</v>
          </cell>
          <cell r="P34">
            <v>17418.365040000001</v>
          </cell>
          <cell r="Q34">
            <v>17651.773209999999</v>
          </cell>
          <cell r="R34">
            <v>17891.60961</v>
          </cell>
          <cell r="S34">
            <v>18137.572830000001</v>
          </cell>
          <cell r="T34">
            <v>18389.374029999999</v>
          </cell>
          <cell r="U34">
            <v>18646.734929999999</v>
          </cell>
          <cell r="V34">
            <v>18908.366870000002</v>
          </cell>
          <cell r="W34">
            <v>19174.556049999999</v>
          </cell>
          <cell r="X34">
            <v>19445.35584</v>
          </cell>
          <cell r="Y34">
            <v>19720.774020000001</v>
          </cell>
          <cell r="Z34">
            <v>20000.82458</v>
          </cell>
          <cell r="AA34">
            <v>20282.58037</v>
          </cell>
          <cell r="AB34">
            <v>20566.186259999999</v>
          </cell>
          <cell r="AC34">
            <v>20851.65814</v>
          </cell>
          <cell r="AD34">
            <v>21139.055840000001</v>
          </cell>
          <cell r="AE34">
            <v>21428.507839999998</v>
          </cell>
          <cell r="AF34">
            <v>21720.19601</v>
          </cell>
          <cell r="AG34">
            <v>22014.368610000001</v>
          </cell>
          <cell r="AH34">
            <v>22311.26052</v>
          </cell>
          <cell r="AI34">
            <v>22611.093339999999</v>
          </cell>
          <cell r="AJ34">
            <v>22914.072779999999</v>
          </cell>
          <cell r="AK34">
            <v>23220.387839999999</v>
          </cell>
          <cell r="AL34">
            <v>23529.841799999998</v>
          </cell>
          <cell r="AM34">
            <v>23842.35585</v>
          </cell>
          <cell r="AN34">
            <v>24157.916929999999</v>
          </cell>
          <cell r="AO34">
            <v>24476.556789999999</v>
          </cell>
          <cell r="AP34">
            <v>24798.339830000001</v>
          </cell>
          <cell r="AQ34">
            <v>25123.40742</v>
          </cell>
          <cell r="AR34">
            <v>25451.88378</v>
          </cell>
          <cell r="AS34">
            <v>25783.885450000002</v>
          </cell>
          <cell r="AT34">
            <v>26119.52061</v>
          </cell>
          <cell r="AU34">
            <v>26458.88795</v>
          </cell>
          <cell r="AV34">
            <v>26802.326819999998</v>
          </cell>
          <cell r="AW34">
            <v>27150.040809999999</v>
          </cell>
          <cell r="AX34">
            <v>27476.266769999998</v>
          </cell>
          <cell r="AY34">
            <v>27765.186860000002</v>
          </cell>
          <cell r="AZ34">
            <v>28017.91964</v>
          </cell>
          <cell r="BA34">
            <v>36789.749490000002</v>
          </cell>
          <cell r="BB34">
            <v>37531.980479999998</v>
          </cell>
          <cell r="BC34">
            <v>38288.681449999996</v>
          </cell>
          <cell r="BD34">
            <v>39060.101459999998</v>
          </cell>
          <cell r="BE34">
            <v>39846.50232</v>
          </cell>
        </row>
        <row r="35">
          <cell r="B35">
            <v>14918.520699999999</v>
          </cell>
          <cell r="C35">
            <v>15096.574839999999</v>
          </cell>
          <cell r="D35">
            <v>15283.094489999999</v>
          </cell>
          <cell r="E35">
            <v>15479.186540000001</v>
          </cell>
          <cell r="F35">
            <v>15685.314850000001</v>
          </cell>
          <cell r="G35">
            <v>15901.660599999999</v>
          </cell>
          <cell r="H35">
            <v>16127.430259999999</v>
          </cell>
          <cell r="I35">
            <v>16362.20109</v>
          </cell>
          <cell r="J35">
            <v>16605.688340000001</v>
          </cell>
          <cell r="K35">
            <v>16857.665730000001</v>
          </cell>
          <cell r="L35">
            <v>17119.43117</v>
          </cell>
          <cell r="M35">
            <v>17390.02793</v>
          </cell>
          <cell r="N35">
            <v>17668.93017</v>
          </cell>
          <cell r="O35">
            <v>17955.752759999999</v>
          </cell>
          <cell r="P35">
            <v>18250.171859999999</v>
          </cell>
          <cell r="Q35">
            <v>18551.903770000001</v>
          </cell>
          <cell r="R35">
            <v>18860.701089999999</v>
          </cell>
          <cell r="S35">
            <v>19176.35152</v>
          </cell>
          <cell r="T35">
            <v>19498.676299999999</v>
          </cell>
          <cell r="U35">
            <v>19827.528389999999</v>
          </cell>
          <cell r="V35">
            <v>20161.66057</v>
          </cell>
          <cell r="W35">
            <v>20501.537069999998</v>
          </cell>
          <cell r="X35">
            <v>20847.34792</v>
          </cell>
          <cell r="Y35">
            <v>21199.207979999999</v>
          </cell>
          <cell r="Z35">
            <v>21557.21098</v>
          </cell>
          <cell r="AA35">
            <v>21918.155729999999</v>
          </cell>
          <cell r="AB35">
            <v>22282.144980000001</v>
          </cell>
          <cell r="AC35">
            <v>22649.153129999999</v>
          </cell>
          <cell r="AD35">
            <v>23019.199110000001</v>
          </cell>
          <cell r="AE35">
            <v>23392.37371</v>
          </cell>
          <cell r="AF35">
            <v>23768.825359999999</v>
          </cell>
          <cell r="AG35">
            <v>24148.73561</v>
          </cell>
          <cell r="AH35">
            <v>24532.298470000002</v>
          </cell>
          <cell r="AI35">
            <v>24919.707350000001</v>
          </cell>
          <cell r="AJ35">
            <v>25311.148550000002</v>
          </cell>
          <cell r="AK35">
            <v>25706.799169999998</v>
          </cell>
          <cell r="AL35">
            <v>26106.024000000001</v>
          </cell>
          <cell r="AM35">
            <v>26508.54838</v>
          </cell>
          <cell r="AN35">
            <v>26914.262910000001</v>
          </cell>
          <cell r="AO35">
            <v>27323.158309999999</v>
          </cell>
          <cell r="AP35">
            <v>27735.296050000001</v>
          </cell>
          <cell r="AQ35">
            <v>28150.7883</v>
          </cell>
          <cell r="AR35">
            <v>28569.780510000001</v>
          </cell>
          <cell r="AS35">
            <v>28992.436740000001</v>
          </cell>
          <cell r="AT35">
            <v>29418.92859</v>
          </cell>
          <cell r="AU35">
            <v>29849.428100000001</v>
          </cell>
          <cell r="AV35">
            <v>30284.17684</v>
          </cell>
          <cell r="AW35">
            <v>30723.378710000001</v>
          </cell>
          <cell r="AX35">
            <v>31167.217110000001</v>
          </cell>
          <cell r="AY35">
            <v>31615.861440000001</v>
          </cell>
          <cell r="AZ35">
            <v>32069.470440000001</v>
          </cell>
          <cell r="BA35">
            <v>37058.8364</v>
          </cell>
          <cell r="BB35">
            <v>37816.079420000002</v>
          </cell>
          <cell r="BC35">
            <v>38588.090199999999</v>
          </cell>
          <cell r="BD35">
            <v>39375.126380000002</v>
          </cell>
          <cell r="BE35">
            <v>40177.462160000003</v>
          </cell>
        </row>
        <row r="36">
          <cell r="B36">
            <v>1987322.9450000001</v>
          </cell>
          <cell r="C36">
            <v>2007680.878</v>
          </cell>
          <cell r="D36">
            <v>2028034.074</v>
          </cell>
          <cell r="E36">
            <v>2048701.798</v>
          </cell>
          <cell r="F36">
            <v>2069812.0619999999</v>
          </cell>
          <cell r="G36">
            <v>2091394.2120000001</v>
          </cell>
          <cell r="H36">
            <v>2113359.2590000001</v>
          </cell>
          <cell r="I36">
            <v>2135656.9939999999</v>
          </cell>
          <cell r="J36">
            <v>2158279.0669999998</v>
          </cell>
          <cell r="K36">
            <v>2181258.1090000002</v>
          </cell>
          <cell r="L36">
            <v>2204796.2280000001</v>
          </cell>
          <cell r="M36">
            <v>2228911.8640000001</v>
          </cell>
          <cell r="N36">
            <v>2253663.767</v>
          </cell>
          <cell r="O36">
            <v>2279120.2200000002</v>
          </cell>
          <cell r="P36">
            <v>2305346.0750000002</v>
          </cell>
          <cell r="Q36">
            <v>2332395.1660000002</v>
          </cell>
          <cell r="R36">
            <v>2360294.6669999999</v>
          </cell>
          <cell r="S36">
            <v>2389061.716</v>
          </cell>
          <cell r="T36">
            <v>2418701.193</v>
          </cell>
          <cell r="U36">
            <v>2449206.7289999998</v>
          </cell>
          <cell r="V36">
            <v>2480464.5350000001</v>
          </cell>
          <cell r="W36">
            <v>2512491.702</v>
          </cell>
          <cell r="X36">
            <v>2545284.4939999999</v>
          </cell>
          <cell r="Y36">
            <v>2578831.34</v>
          </cell>
          <cell r="Z36">
            <v>2613116.3110000002</v>
          </cell>
          <cell r="AA36">
            <v>2647839.4130000002</v>
          </cell>
          <cell r="AB36">
            <v>2682963.4550000001</v>
          </cell>
          <cell r="AC36">
            <v>2718452.4580000001</v>
          </cell>
          <cell r="AD36">
            <v>2754282.4890000001</v>
          </cell>
          <cell r="AE36">
            <v>2790439.6940000001</v>
          </cell>
          <cell r="AF36">
            <v>2826917.165</v>
          </cell>
          <cell r="AG36">
            <v>2863714.6880000001</v>
          </cell>
          <cell r="AH36">
            <v>2900832.102</v>
          </cell>
          <cell r="AI36">
            <v>2938268.8110000002</v>
          </cell>
          <cell r="AJ36">
            <v>2976023.6529999999</v>
          </cell>
          <cell r="AK36">
            <v>3014095.247</v>
          </cell>
          <cell r="AL36">
            <v>3052442.9939999999</v>
          </cell>
          <cell r="AM36">
            <v>3091040.52</v>
          </cell>
          <cell r="AN36">
            <v>3129871.5159999998</v>
          </cell>
          <cell r="AO36">
            <v>3168927.4819999998</v>
          </cell>
          <cell r="AP36">
            <v>3208205.923</v>
          </cell>
          <cell r="AQ36">
            <v>3247713.1549999998</v>
          </cell>
          <cell r="AR36">
            <v>3287456.236</v>
          </cell>
          <cell r="AS36">
            <v>3327442.5610000002</v>
          </cell>
          <cell r="AT36">
            <v>3367679.0839999998</v>
          </cell>
          <cell r="AU36">
            <v>3408171.9470000002</v>
          </cell>
          <cell r="AV36">
            <v>3448948.0610000002</v>
          </cell>
          <cell r="AW36">
            <v>3490025.0010000002</v>
          </cell>
          <cell r="AX36">
            <v>3527797.216</v>
          </cell>
          <cell r="AY36">
            <v>3562528.639</v>
          </cell>
          <cell r="AZ36">
            <v>3594468.5120000001</v>
          </cell>
          <cell r="BA36">
            <v>4389959.9960000003</v>
          </cell>
          <cell r="BB36">
            <v>4466700.5690000001</v>
          </cell>
          <cell r="BC36">
            <v>4544619.5580000002</v>
          </cell>
          <cell r="BD36">
            <v>4623723.8540000003</v>
          </cell>
          <cell r="BE36">
            <v>4704021.2580000004</v>
          </cell>
        </row>
        <row r="37">
          <cell r="B37">
            <v>1989235.7620000001</v>
          </cell>
          <cell r="C37">
            <v>2012538.142</v>
          </cell>
          <cell r="D37">
            <v>2036362.84</v>
          </cell>
          <cell r="E37">
            <v>2060823.713</v>
          </cell>
          <cell r="F37">
            <v>2086015.422</v>
          </cell>
          <cell r="G37">
            <v>2112014.5329999998</v>
          </cell>
          <cell r="H37">
            <v>2138801.4670000002</v>
          </cell>
          <cell r="I37">
            <v>2166378.8429999999</v>
          </cell>
          <cell r="J37">
            <v>2194758.3459999999</v>
          </cell>
          <cell r="K37">
            <v>2223956.392</v>
          </cell>
          <cell r="L37">
            <v>2254133.5260000001</v>
          </cell>
          <cell r="M37">
            <v>2285250.301</v>
          </cell>
          <cell r="N37">
            <v>2317290.33</v>
          </cell>
          <cell r="O37">
            <v>2350242.784</v>
          </cell>
          <cell r="P37">
            <v>2384098.537</v>
          </cell>
          <cell r="Q37">
            <v>2418848.6189999999</v>
          </cell>
          <cell r="R37">
            <v>2454483.5729999999</v>
          </cell>
          <cell r="S37">
            <v>2490992.92</v>
          </cell>
          <cell r="T37">
            <v>2528364.6850000001</v>
          </cell>
          <cell r="U37">
            <v>2566585.105</v>
          </cell>
          <cell r="V37">
            <v>2605533.4419999998</v>
          </cell>
          <cell r="W37">
            <v>2645233.2680000002</v>
          </cell>
          <cell r="X37">
            <v>2685689.8539999998</v>
          </cell>
          <cell r="Y37">
            <v>2726901.5460000001</v>
          </cell>
          <cell r="Z37">
            <v>2768862.2949999999</v>
          </cell>
          <cell r="AA37">
            <v>2811258.8590000002</v>
          </cell>
          <cell r="AB37">
            <v>2854051.85</v>
          </cell>
          <cell r="AC37">
            <v>2897205.3709999998</v>
          </cell>
          <cell r="AD37">
            <v>2940696.0090000001</v>
          </cell>
          <cell r="AE37">
            <v>2984510.9920000001</v>
          </cell>
          <cell r="AF37">
            <v>3028644.8909999998</v>
          </cell>
          <cell r="AG37">
            <v>3073096.1669999999</v>
          </cell>
          <cell r="AH37">
            <v>3117864.6910000001</v>
          </cell>
          <cell r="AI37">
            <v>3162950.48</v>
          </cell>
          <cell r="AJ37">
            <v>3208353.4</v>
          </cell>
          <cell r="AK37">
            <v>3254073.4389999998</v>
          </cell>
          <cell r="AL37">
            <v>3300037.9890000001</v>
          </cell>
          <cell r="AM37">
            <v>3346202.5830000001</v>
          </cell>
          <cell r="AN37">
            <v>3392540.1690000002</v>
          </cell>
          <cell r="AO37">
            <v>3439037.0490000001</v>
          </cell>
          <cell r="AP37">
            <v>3485689.926</v>
          </cell>
          <cell r="AQ37">
            <v>3532503.1850000001</v>
          </cell>
          <cell r="AR37">
            <v>3579486.3190000001</v>
          </cell>
          <cell r="AS37">
            <v>3626651.716</v>
          </cell>
          <cell r="AT37">
            <v>3674013.03</v>
          </cell>
          <cell r="AU37">
            <v>3721584.1660000002</v>
          </cell>
          <cell r="AV37">
            <v>3769385.3139999998</v>
          </cell>
          <cell r="AW37">
            <v>3817433.9079999998</v>
          </cell>
          <cell r="AX37">
            <v>3865745.6839999999</v>
          </cell>
          <cell r="AY37">
            <v>3914335.2489999998</v>
          </cell>
          <cell r="AZ37">
            <v>3963216.5260000001</v>
          </cell>
          <cell r="BA37">
            <v>4416352.4210000001</v>
          </cell>
          <cell r="BB37">
            <v>4494341.6150000002</v>
          </cell>
          <cell r="BC37">
            <v>4573512.3600000003</v>
          </cell>
          <cell r="BD37">
            <v>4653871.7300000004</v>
          </cell>
          <cell r="BE37">
            <v>4735428.1529999999</v>
          </cell>
        </row>
        <row r="38">
          <cell r="B38">
            <v>436613.9865</v>
          </cell>
          <cell r="C38">
            <v>441850.3175</v>
          </cell>
          <cell r="D38">
            <v>447335.36849999998</v>
          </cell>
          <cell r="E38">
            <v>453068.63520000002</v>
          </cell>
          <cell r="F38">
            <v>459021.66950000002</v>
          </cell>
          <cell r="G38">
            <v>465157.07699999999</v>
          </cell>
          <cell r="H38">
            <v>471413.04979999998</v>
          </cell>
          <cell r="I38">
            <v>477755.68430000002</v>
          </cell>
          <cell r="J38">
            <v>484168.01870000002</v>
          </cell>
          <cell r="K38">
            <v>490646.21889999998</v>
          </cell>
          <cell r="L38">
            <v>497242.80089999997</v>
          </cell>
          <cell r="M38">
            <v>503937.73180000001</v>
          </cell>
          <cell r="N38">
            <v>510739.08899999998</v>
          </cell>
          <cell r="O38">
            <v>517663.67080000002</v>
          </cell>
          <cell r="P38">
            <v>524730.81079999998</v>
          </cell>
          <cell r="Q38">
            <v>531959.60900000005</v>
          </cell>
          <cell r="R38">
            <v>539366.62340000004</v>
          </cell>
          <cell r="S38">
            <v>546966.54079999996</v>
          </cell>
          <cell r="T38">
            <v>554771.39390000002</v>
          </cell>
          <cell r="U38">
            <v>562790.47499999998</v>
          </cell>
          <cell r="V38">
            <v>570996.37569999998</v>
          </cell>
          <cell r="W38">
            <v>579417.36320000002</v>
          </cell>
          <cell r="X38">
            <v>588063.04960000003</v>
          </cell>
          <cell r="Y38">
            <v>596936.60730000003</v>
          </cell>
          <cell r="Z38">
            <v>606038.15890000004</v>
          </cell>
          <cell r="AA38">
            <v>615266.7415</v>
          </cell>
          <cell r="AB38">
            <v>624642.46349999995</v>
          </cell>
          <cell r="AC38">
            <v>634168.7169</v>
          </cell>
          <cell r="AD38">
            <v>643844.77480000001</v>
          </cell>
          <cell r="AE38">
            <v>653668.61860000005</v>
          </cell>
          <cell r="AF38">
            <v>663637.62549999997</v>
          </cell>
          <cell r="AG38">
            <v>673748.96490000002</v>
          </cell>
          <cell r="AH38">
            <v>683999.26280000003</v>
          </cell>
          <cell r="AI38">
            <v>694384.87109999999</v>
          </cell>
          <cell r="AJ38">
            <v>704902.08680000005</v>
          </cell>
          <cell r="AK38">
            <v>715547.39850000001</v>
          </cell>
          <cell r="AL38">
            <v>726295.88470000005</v>
          </cell>
          <cell r="AM38">
            <v>737138.65399999998</v>
          </cell>
          <cell r="AN38">
            <v>748072.37120000005</v>
          </cell>
          <cell r="AO38">
            <v>759095.98210000002</v>
          </cell>
          <cell r="AP38">
            <v>770209.63670000003</v>
          </cell>
          <cell r="AQ38">
            <v>781414.68700000003</v>
          </cell>
          <cell r="AR38">
            <v>792712.75379999995</v>
          </cell>
          <cell r="AS38">
            <v>804105.73179999995</v>
          </cell>
          <cell r="AT38">
            <v>815595.68669999996</v>
          </cell>
          <cell r="AU38">
            <v>827184.82629999996</v>
          </cell>
          <cell r="AV38">
            <v>838879.32750000001</v>
          </cell>
          <cell r="AW38">
            <v>850683.19299999997</v>
          </cell>
          <cell r="AX38">
            <v>861949.86399999994</v>
          </cell>
          <cell r="AY38">
            <v>872496.67920000001</v>
          </cell>
          <cell r="AZ38">
            <v>882282.7818</v>
          </cell>
          <cell r="BA38">
            <v>969386.38840000005</v>
          </cell>
          <cell r="BB38">
            <v>986705.67310000001</v>
          </cell>
          <cell r="BC38">
            <v>1004324.552</v>
          </cell>
          <cell r="BD38">
            <v>1022245.498</v>
          </cell>
          <cell r="BE38">
            <v>1040471.069</v>
          </cell>
        </row>
        <row r="39">
          <cell r="B39">
            <v>436622.38789999997</v>
          </cell>
          <cell r="C39">
            <v>441840.41200000001</v>
          </cell>
          <cell r="D39">
            <v>447261.70520000003</v>
          </cell>
          <cell r="E39">
            <v>452895.03570000001</v>
          </cell>
          <cell r="F39">
            <v>458739.02769999998</v>
          </cell>
          <cell r="G39">
            <v>464789.71870000003</v>
          </cell>
          <cell r="H39">
            <v>471016.90850000002</v>
          </cell>
          <cell r="I39">
            <v>477410.41739999998</v>
          </cell>
          <cell r="J39">
            <v>483967.51799999998</v>
          </cell>
          <cell r="K39">
            <v>490689.3358</v>
          </cell>
          <cell r="L39">
            <v>497625.58380000002</v>
          </cell>
          <cell r="M39">
            <v>504748.6863</v>
          </cell>
          <cell r="N39">
            <v>512054.58120000002</v>
          </cell>
          <cell r="O39">
            <v>519545.91560000001</v>
          </cell>
          <cell r="P39">
            <v>527227.47340000002</v>
          </cell>
          <cell r="Q39">
            <v>535104.56810000003</v>
          </cell>
          <cell r="R39">
            <v>543182.33829999994</v>
          </cell>
          <cell r="S39">
            <v>551465.33700000006</v>
          </cell>
          <cell r="T39">
            <v>559957.26069999998</v>
          </cell>
          <cell r="U39">
            <v>568660.78729999997</v>
          </cell>
          <cell r="V39">
            <v>577542.89359999995</v>
          </cell>
          <cell r="W39">
            <v>586628.30940000003</v>
          </cell>
          <cell r="X39">
            <v>595924.14260000002</v>
          </cell>
          <cell r="Y39">
            <v>605431.92130000005</v>
          </cell>
          <cell r="Z39">
            <v>615150.848</v>
          </cell>
          <cell r="AA39">
            <v>624977.89910000004</v>
          </cell>
          <cell r="AB39">
            <v>634932.71710000001</v>
          </cell>
          <cell r="AC39">
            <v>645018.89020000002</v>
          </cell>
          <cell r="AD39">
            <v>655236.25210000004</v>
          </cell>
          <cell r="AE39">
            <v>665583.6973</v>
          </cell>
          <cell r="AF39">
            <v>676059.80149999994</v>
          </cell>
          <cell r="AG39">
            <v>686662.8737</v>
          </cell>
          <cell r="AH39">
            <v>697390.97019999998</v>
          </cell>
          <cell r="AI39">
            <v>708241.99450000003</v>
          </cell>
          <cell r="AJ39">
            <v>719213.87230000005</v>
          </cell>
          <cell r="AK39">
            <v>730304.75399999996</v>
          </cell>
          <cell r="AL39">
            <v>741488.38379999995</v>
          </cell>
          <cell r="AM39">
            <v>752756.04859999998</v>
          </cell>
          <cell r="AN39">
            <v>764105.01450000005</v>
          </cell>
          <cell r="AO39">
            <v>775535.20889999997</v>
          </cell>
          <cell r="AP39">
            <v>787048.04949999996</v>
          </cell>
          <cell r="AQ39">
            <v>798645.88179999997</v>
          </cell>
          <cell r="AR39">
            <v>810331.61060000001</v>
          </cell>
          <cell r="AS39">
            <v>822108.43729999999</v>
          </cell>
          <cell r="AT39">
            <v>833979.68920000002</v>
          </cell>
          <cell r="AU39">
            <v>845948.73129999998</v>
          </cell>
          <cell r="AV39">
            <v>858021.19629999995</v>
          </cell>
          <cell r="AW39">
            <v>870201.20330000005</v>
          </cell>
          <cell r="AX39">
            <v>882492.44880000001</v>
          </cell>
          <cell r="AY39">
            <v>894898.54819999996</v>
          </cell>
          <cell r="AZ39">
            <v>907423.16749999998</v>
          </cell>
          <cell r="BA39">
            <v>974839.33270000003</v>
          </cell>
          <cell r="BB39">
            <v>992423.24210000003</v>
          </cell>
          <cell r="BC39">
            <v>1010309.076</v>
          </cell>
          <cell r="BD39">
            <v>1028499.486</v>
          </cell>
          <cell r="BE39">
            <v>1046997.275</v>
          </cell>
        </row>
        <row r="40">
          <cell r="B40">
            <v>5627.9522470000002</v>
          </cell>
          <cell r="C40">
            <v>5680.7596869999998</v>
          </cell>
          <cell r="D40">
            <v>5732.834656</v>
          </cell>
          <cell r="E40">
            <v>5785.6798280000003</v>
          </cell>
          <cell r="F40">
            <v>5840.0565070000002</v>
          </cell>
          <cell r="G40">
            <v>5896.2914529999998</v>
          </cell>
          <cell r="H40">
            <v>5954.2161829999995</v>
          </cell>
          <cell r="I40">
            <v>6013.6238910000002</v>
          </cell>
          <cell r="J40">
            <v>6074.3146690000003</v>
          </cell>
          <cell r="K40">
            <v>6136.1162640000002</v>
          </cell>
          <cell r="L40">
            <v>6199.2869099999998</v>
          </cell>
          <cell r="M40">
            <v>6263.5203929999998</v>
          </cell>
          <cell r="N40">
            <v>6328.6144080000004</v>
          </cell>
          <cell r="O40">
            <v>6394.4437230000003</v>
          </cell>
          <cell r="P40">
            <v>6460.9274770000002</v>
          </cell>
          <cell r="Q40">
            <v>6528.0104860000001</v>
          </cell>
          <cell r="R40">
            <v>6595.6127710000001</v>
          </cell>
          <cell r="S40">
            <v>6663.6889119999996</v>
          </cell>
          <cell r="T40">
            <v>6732.2168359999996</v>
          </cell>
          <cell r="U40">
            <v>6801.1919420000004</v>
          </cell>
          <cell r="V40">
            <v>6870.3496670000004</v>
          </cell>
          <cell r="W40">
            <v>6939.8295660000003</v>
          </cell>
          <cell r="X40">
            <v>7009.7497389999999</v>
          </cell>
          <cell r="Y40">
            <v>7080.2103070000003</v>
          </cell>
          <cell r="Z40">
            <v>7151.3037459999996</v>
          </cell>
          <cell r="AA40">
            <v>7222.3476149999997</v>
          </cell>
          <cell r="AB40">
            <v>7293.3967080000002</v>
          </cell>
          <cell r="AC40">
            <v>7364.5438670000003</v>
          </cell>
          <cell r="AD40">
            <v>7435.8921209999999</v>
          </cell>
          <cell r="AE40">
            <v>7507.5516520000001</v>
          </cell>
          <cell r="AF40">
            <v>7579.635002</v>
          </cell>
          <cell r="AG40">
            <v>7652.2594520000002</v>
          </cell>
          <cell r="AH40">
            <v>7725.5276320000003</v>
          </cell>
          <cell r="AI40">
            <v>7799.5257019999999</v>
          </cell>
          <cell r="AJ40">
            <v>7874.3228399999998</v>
          </cell>
          <cell r="AK40">
            <v>7949.9718110000003</v>
          </cell>
          <cell r="AL40">
            <v>8026.4146220000002</v>
          </cell>
          <cell r="AM40">
            <v>8103.6139800000001</v>
          </cell>
          <cell r="AN40">
            <v>8181.5510649999997</v>
          </cell>
          <cell r="AO40">
            <v>8260.2179379999998</v>
          </cell>
          <cell r="AP40">
            <v>8339.6123150000003</v>
          </cell>
          <cell r="AQ40">
            <v>8419.7471089999999</v>
          </cell>
          <cell r="AR40">
            <v>8500.6292030000004</v>
          </cell>
          <cell r="AS40">
            <v>8582.2599050000008</v>
          </cell>
          <cell r="AT40">
            <v>8664.6349630000004</v>
          </cell>
          <cell r="AU40">
            <v>8747.7446440000003</v>
          </cell>
          <cell r="AV40">
            <v>8831.6337870000007</v>
          </cell>
          <cell r="AW40">
            <v>8916.3189650000004</v>
          </cell>
          <cell r="AX40">
            <v>8997.9910409999993</v>
          </cell>
          <cell r="AY40">
            <v>9073.983886</v>
          </cell>
          <cell r="AZ40">
            <v>9142.8959599999998</v>
          </cell>
          <cell r="BA40">
            <v>12147.36292</v>
          </cell>
          <cell r="BB40">
            <v>12363.873009999999</v>
          </cell>
          <cell r="BC40">
            <v>12584.15033</v>
          </cell>
          <cell r="BD40">
            <v>12808.216270000001</v>
          </cell>
          <cell r="BE40">
            <v>13036.09304</v>
          </cell>
        </row>
        <row r="41">
          <cell r="B41">
            <v>5636.5656449999997</v>
          </cell>
          <cell r="C41">
            <v>5702.0379910000001</v>
          </cell>
          <cell r="D41">
            <v>5768.1928120000002</v>
          </cell>
          <cell r="E41">
            <v>5835.3706519999996</v>
          </cell>
          <cell r="F41">
            <v>5903.9103590000004</v>
          </cell>
          <cell r="G41">
            <v>5974.0754159999997</v>
          </cell>
          <cell r="H41">
            <v>6045.8024169999999</v>
          </cell>
          <cell r="I41">
            <v>6119.0472609999997</v>
          </cell>
          <cell r="J41">
            <v>6193.7708300000004</v>
          </cell>
          <cell r="K41">
            <v>6269.9299099999998</v>
          </cell>
          <cell r="L41">
            <v>6347.8890570000003</v>
          </cell>
          <cell r="M41">
            <v>6427.4272419999998</v>
          </cell>
          <cell r="N41">
            <v>6508.379817</v>
          </cell>
          <cell r="O41">
            <v>6590.6322330000003</v>
          </cell>
          <cell r="P41">
            <v>6674.103282</v>
          </cell>
          <cell r="Q41">
            <v>6758.7367249999998</v>
          </cell>
          <cell r="R41">
            <v>6844.4978929999997</v>
          </cell>
          <cell r="S41">
            <v>6931.3714049999999</v>
          </cell>
          <cell r="T41">
            <v>7019.3586640000003</v>
          </cell>
          <cell r="U41">
            <v>7108.4750629999999</v>
          </cell>
          <cell r="V41">
            <v>7198.4502130000001</v>
          </cell>
          <cell r="W41">
            <v>7289.4411529999998</v>
          </cell>
          <cell r="X41">
            <v>7381.5729250000004</v>
          </cell>
          <cell r="Y41">
            <v>7474.942505</v>
          </cell>
          <cell r="Z41">
            <v>7569.6303520000001</v>
          </cell>
          <cell r="AA41">
            <v>7664.8590249999997</v>
          </cell>
          <cell r="AB41">
            <v>7760.6326159999999</v>
          </cell>
          <cell r="AC41">
            <v>7856.9980619999997</v>
          </cell>
          <cell r="AD41">
            <v>7954.0136890000003</v>
          </cell>
          <cell r="AE41">
            <v>8051.7466119999999</v>
          </cell>
          <cell r="AF41">
            <v>8150.2686629999998</v>
          </cell>
          <cell r="AG41">
            <v>8249.6499490000006</v>
          </cell>
          <cell r="AH41">
            <v>8349.953082</v>
          </cell>
          <cell r="AI41">
            <v>8451.2294860000002</v>
          </cell>
          <cell r="AJ41">
            <v>8553.5178899999992</v>
          </cell>
          <cell r="AK41">
            <v>8656.8445229999998</v>
          </cell>
          <cell r="AL41">
            <v>8761.0242539999999</v>
          </cell>
          <cell r="AM41">
            <v>8865.9419340000004</v>
          </cell>
          <cell r="AN41">
            <v>8971.5298710000006</v>
          </cell>
          <cell r="AO41">
            <v>9077.7489440000008</v>
          </cell>
          <cell r="AP41">
            <v>9184.5783599999995</v>
          </cell>
          <cell r="AQ41">
            <v>9292.0094719999997</v>
          </cell>
          <cell r="AR41">
            <v>9400.0410499999998</v>
          </cell>
          <cell r="AS41">
            <v>9508.6754270000001</v>
          </cell>
          <cell r="AT41">
            <v>9617.9155819999996</v>
          </cell>
          <cell r="AU41">
            <v>9727.7632470000008</v>
          </cell>
          <cell r="AV41">
            <v>9838.2356739999996</v>
          </cell>
          <cell r="AW41">
            <v>9949.3407019999995</v>
          </cell>
          <cell r="AX41">
            <v>10061.07927</v>
          </cell>
          <cell r="AY41">
            <v>10173.44788</v>
          </cell>
          <cell r="AZ41">
            <v>10286.4403</v>
          </cell>
          <cell r="BA41">
            <v>12237.932129999999</v>
          </cell>
          <cell r="BB41">
            <v>12459.11011</v>
          </cell>
          <cell r="BC41">
            <v>12684.09014</v>
          </cell>
          <cell r="BD41">
            <v>12912.89061</v>
          </cell>
          <cell r="BE41">
            <v>13145.53176</v>
          </cell>
        </row>
        <row r="42">
          <cell r="B42">
            <v>22359.115229999999</v>
          </cell>
          <cell r="C42">
            <v>22559.191200000001</v>
          </cell>
          <cell r="D42">
            <v>22745.051200000002</v>
          </cell>
          <cell r="E42">
            <v>22920.387139999999</v>
          </cell>
          <cell r="F42">
            <v>23088.713970000001</v>
          </cell>
          <cell r="G42">
            <v>23253.357889999999</v>
          </cell>
          <cell r="H42">
            <v>23416.410520000001</v>
          </cell>
          <cell r="I42">
            <v>23579.751359999998</v>
          </cell>
          <cell r="J42">
            <v>23744.931970000001</v>
          </cell>
          <cell r="K42">
            <v>23913.150699999998</v>
          </cell>
          <cell r="L42">
            <v>24086.608400000001</v>
          </cell>
          <cell r="M42">
            <v>24265.236209999999</v>
          </cell>
          <cell r="N42">
            <v>24449.035879999999</v>
          </cell>
          <cell r="O42">
            <v>24638.043470000001</v>
          </cell>
          <cell r="P42">
            <v>24832.253959999998</v>
          </cell>
          <cell r="Q42">
            <v>25031.5998</v>
          </cell>
          <cell r="R42">
            <v>25235.820179999999</v>
          </cell>
          <cell r="S42">
            <v>25444.697510000002</v>
          </cell>
          <cell r="T42">
            <v>25658.033240000001</v>
          </cell>
          <cell r="U42">
            <v>25875.64285</v>
          </cell>
          <cell r="V42">
            <v>26096.428879999999</v>
          </cell>
          <cell r="W42">
            <v>26320.64804</v>
          </cell>
          <cell r="X42">
            <v>26548.450349999999</v>
          </cell>
          <cell r="Y42">
            <v>26779.908299999999</v>
          </cell>
          <cell r="Z42">
            <v>27015.07836</v>
          </cell>
          <cell r="AA42">
            <v>27251.394550000001</v>
          </cell>
          <cell r="AB42">
            <v>27488.85816</v>
          </cell>
          <cell r="AC42">
            <v>27727.566019999998</v>
          </cell>
          <cell r="AD42">
            <v>27967.618569999999</v>
          </cell>
          <cell r="AE42">
            <v>28209.14603</v>
          </cell>
          <cell r="AF42">
            <v>28452.31826</v>
          </cell>
          <cell r="AG42">
            <v>28697.368450000002</v>
          </cell>
          <cell r="AH42">
            <v>28944.537680000001</v>
          </cell>
          <cell r="AI42">
            <v>29194.07287</v>
          </cell>
          <cell r="AJ42">
            <v>29446.221659999999</v>
          </cell>
          <cell r="AK42">
            <v>29701.226579999999</v>
          </cell>
          <cell r="AL42">
            <v>29958.953699999998</v>
          </cell>
          <cell r="AM42">
            <v>30219.365259999999</v>
          </cell>
          <cell r="AN42">
            <v>30482.504860000001</v>
          </cell>
          <cell r="AO42">
            <v>30748.461200000002</v>
          </cell>
          <cell r="AP42">
            <v>31017.346699999998</v>
          </cell>
          <cell r="AQ42">
            <v>31289.324260000001</v>
          </cell>
          <cell r="AR42">
            <v>31564.540679999998</v>
          </cell>
          <cell r="AS42">
            <v>31843.134559999999</v>
          </cell>
          <cell r="AT42">
            <v>32125.239079999999</v>
          </cell>
          <cell r="AU42">
            <v>32410.982039999999</v>
          </cell>
          <cell r="AV42">
            <v>32700.665349999999</v>
          </cell>
          <cell r="AW42">
            <v>32994.49136</v>
          </cell>
          <cell r="AX42">
            <v>33306.597229999999</v>
          </cell>
          <cell r="AY42">
            <v>33619.028590000002</v>
          </cell>
          <cell r="AZ42">
            <v>33924.164140000001</v>
          </cell>
          <cell r="BA42">
            <v>42085.823779999999</v>
          </cell>
          <cell r="BB42">
            <v>42720.464610000003</v>
          </cell>
          <cell r="BC42">
            <v>43365.87472</v>
          </cell>
          <cell r="BD42">
            <v>44022.131200000003</v>
          </cell>
          <cell r="BE42">
            <v>44689.325839999998</v>
          </cell>
        </row>
        <row r="43">
          <cell r="B43">
            <v>22396.21702</v>
          </cell>
          <cell r="C43">
            <v>22650.97552</v>
          </cell>
          <cell r="D43">
            <v>22900.63883</v>
          </cell>
          <cell r="E43">
            <v>23145.715400000001</v>
          </cell>
          <cell r="F43">
            <v>23388.253789999999</v>
          </cell>
          <cell r="G43">
            <v>23630.608840000001</v>
          </cell>
          <cell r="H43">
            <v>23874.051960000001</v>
          </cell>
          <cell r="I43">
            <v>24119.757809999999</v>
          </cell>
          <cell r="J43">
            <v>24368.683700000001</v>
          </cell>
          <cell r="K43">
            <v>24621.533319999999</v>
          </cell>
          <cell r="L43">
            <v>24880.210599999999</v>
          </cell>
          <cell r="M43">
            <v>25144.41274</v>
          </cell>
          <cell r="N43">
            <v>25413.924180000002</v>
          </cell>
          <cell r="O43">
            <v>25688.608909999999</v>
          </cell>
          <cell r="P43">
            <v>25968.344829999998</v>
          </cell>
          <cell r="Q43">
            <v>26253.001909999999</v>
          </cell>
          <cell r="R43">
            <v>26542.44383</v>
          </cell>
          <cell r="S43">
            <v>26836.536950000002</v>
          </cell>
          <cell r="T43">
            <v>27135.159629999998</v>
          </cell>
          <cell r="U43">
            <v>27438.20953</v>
          </cell>
          <cell r="V43">
            <v>27744.567940000001</v>
          </cell>
          <cell r="W43">
            <v>28054.625599999999</v>
          </cell>
          <cell r="X43">
            <v>28368.6332</v>
          </cell>
          <cell r="Y43">
            <v>28686.738440000001</v>
          </cell>
          <cell r="Z43">
            <v>29009.05399</v>
          </cell>
          <cell r="AA43">
            <v>29332.706969999999</v>
          </cell>
          <cell r="AB43">
            <v>29657.670699999999</v>
          </cell>
          <cell r="AC43">
            <v>29984.023290000001</v>
          </cell>
          <cell r="AD43">
            <v>30311.838070000002</v>
          </cell>
          <cell r="AE43">
            <v>30641.211090000001</v>
          </cell>
          <cell r="AF43">
            <v>30972.273929999999</v>
          </cell>
          <cell r="AG43">
            <v>31305.191060000001</v>
          </cell>
          <cell r="AH43">
            <v>31640.150740000001</v>
          </cell>
          <cell r="AI43">
            <v>31977.354790000001</v>
          </cell>
          <cell r="AJ43">
            <v>32317.00952</v>
          </cell>
          <cell r="AK43">
            <v>32659.318739999999</v>
          </cell>
          <cell r="AL43">
            <v>33003.770550000001</v>
          </cell>
          <cell r="AM43">
            <v>33350.142789999998</v>
          </cell>
          <cell r="AN43">
            <v>33698.38392</v>
          </cell>
          <cell r="AO43">
            <v>34048.525260000002</v>
          </cell>
          <cell r="AP43">
            <v>34400.642099999997</v>
          </cell>
          <cell r="AQ43">
            <v>34754.837180000002</v>
          </cell>
          <cell r="AR43">
            <v>35111.232360000002</v>
          </cell>
          <cell r="AS43">
            <v>35469.963170000003</v>
          </cell>
          <cell r="AT43">
            <v>35831.174330000002</v>
          </cell>
          <cell r="AU43">
            <v>36195.016069999998</v>
          </cell>
          <cell r="AV43">
            <v>36561.704290000001</v>
          </cell>
          <cell r="AW43">
            <v>36931.428330000002</v>
          </cell>
          <cell r="AX43">
            <v>37304.360500000003</v>
          </cell>
          <cell r="AY43">
            <v>37680.663249999998</v>
          </cell>
          <cell r="AZ43">
            <v>38060.492480000001</v>
          </cell>
          <cell r="BA43">
            <v>42263.765290000003</v>
          </cell>
          <cell r="BB43">
            <v>42902.801449999999</v>
          </cell>
          <cell r="BC43">
            <v>43552.226329999998</v>
          </cell>
          <cell r="BD43">
            <v>44212.114000000001</v>
          </cell>
          <cell r="BE43">
            <v>44882.554239999998</v>
          </cell>
        </row>
        <row r="44">
          <cell r="B44">
            <v>1606.101997</v>
          </cell>
          <cell r="C44">
            <v>1620.6750259999999</v>
          </cell>
          <cell r="D44">
            <v>1633.9991809999999</v>
          </cell>
          <cell r="E44">
            <v>1646.308383</v>
          </cell>
          <cell r="F44">
            <v>1657.881637</v>
          </cell>
          <cell r="G44">
            <v>1668.997738</v>
          </cell>
          <cell r="H44">
            <v>1679.8537329999999</v>
          </cell>
          <cell r="I44">
            <v>1690.6268809999999</v>
          </cell>
          <cell r="J44">
            <v>1701.466919</v>
          </cell>
          <cell r="K44">
            <v>1712.4962640000001</v>
          </cell>
          <cell r="L44">
            <v>1723.895078</v>
          </cell>
          <cell r="M44">
            <v>1735.6979200000001</v>
          </cell>
          <cell r="N44">
            <v>1747.9417060000001</v>
          </cell>
          <cell r="O44">
            <v>1760.658412</v>
          </cell>
          <cell r="P44">
            <v>1773.87051</v>
          </cell>
          <cell r="Q44">
            <v>1787.5900979999999</v>
          </cell>
          <cell r="R44">
            <v>1801.811338</v>
          </cell>
          <cell r="S44">
            <v>1816.5258550000001</v>
          </cell>
          <cell r="T44">
            <v>1831.721497</v>
          </cell>
          <cell r="U44">
            <v>1847.3829029999999</v>
          </cell>
          <cell r="V44">
            <v>1863.4344699999999</v>
          </cell>
          <cell r="W44">
            <v>1879.882658</v>
          </cell>
          <cell r="X44">
            <v>1896.7238749999999</v>
          </cell>
          <cell r="Y44">
            <v>1913.949615</v>
          </cell>
          <cell r="Z44">
            <v>1931.550557</v>
          </cell>
          <cell r="AA44">
            <v>1949.3530510000001</v>
          </cell>
          <cell r="AB44">
            <v>1967.3447639999999</v>
          </cell>
          <cell r="AC44">
            <v>1985.5150249999999</v>
          </cell>
          <cell r="AD44">
            <v>2003.8546759999999</v>
          </cell>
          <cell r="AE44">
            <v>2022.3581899999999</v>
          </cell>
          <cell r="AF44">
            <v>2041.0242800000001</v>
          </cell>
          <cell r="AG44">
            <v>2059.8573310000002</v>
          </cell>
          <cell r="AH44">
            <v>2078.8638380000002</v>
          </cell>
          <cell r="AI44">
            <v>2098.0523389999998</v>
          </cell>
          <cell r="AJ44">
            <v>2117.4330089999999</v>
          </cell>
          <cell r="AK44">
            <v>2137.017214</v>
          </cell>
          <cell r="AL44">
            <v>2156.793647</v>
          </cell>
          <cell r="AM44">
            <v>2176.757975</v>
          </cell>
          <cell r="AN44">
            <v>2196.9114509999999</v>
          </cell>
          <cell r="AO44">
            <v>2217.2588369999999</v>
          </cell>
          <cell r="AP44">
            <v>2237.8071690000002</v>
          </cell>
          <cell r="AQ44">
            <v>2258.5674479999998</v>
          </cell>
          <cell r="AR44">
            <v>2279.5503610000001</v>
          </cell>
          <cell r="AS44">
            <v>2300.7668530000001</v>
          </cell>
          <cell r="AT44">
            <v>2322.2282230000001</v>
          </cell>
          <cell r="AU44">
            <v>2343.9460399999998</v>
          </cell>
          <cell r="AV44">
            <v>2365.9434120000001</v>
          </cell>
          <cell r="AW44">
            <v>2388.2373899999998</v>
          </cell>
          <cell r="AX44">
            <v>2407.966739</v>
          </cell>
          <cell r="AY44">
            <v>2423.1941019999999</v>
          </cell>
          <cell r="AZ44">
            <v>2434.6493190000001</v>
          </cell>
          <cell r="BA44">
            <v>2954.5719279999998</v>
          </cell>
          <cell r="BB44">
            <v>2997.2094339999999</v>
          </cell>
          <cell r="BC44">
            <v>3040.5167059999999</v>
          </cell>
          <cell r="BD44">
            <v>3084.4992379999999</v>
          </cell>
          <cell r="BE44">
            <v>3129.163877</v>
          </cell>
        </row>
        <row r="45">
          <cell r="B45">
            <v>1608.491025</v>
          </cell>
          <cell r="C45">
            <v>1626.5651399999999</v>
          </cell>
          <cell r="D45">
            <v>1643.9870020000001</v>
          </cell>
          <cell r="E45">
            <v>1660.812021</v>
          </cell>
          <cell r="F45">
            <v>1677.2479499999999</v>
          </cell>
          <cell r="G45">
            <v>1693.5298210000001</v>
          </cell>
          <cell r="H45">
            <v>1709.813768</v>
          </cell>
          <cell r="I45">
            <v>1726.234553</v>
          </cell>
          <cell r="J45">
            <v>1742.8977500000001</v>
          </cell>
          <cell r="K45">
            <v>1759.881216</v>
          </cell>
          <cell r="L45">
            <v>1777.32907</v>
          </cell>
          <cell r="M45">
            <v>1795.240953</v>
          </cell>
          <cell r="N45">
            <v>1813.619895</v>
          </cell>
          <cell r="O45">
            <v>1832.468314</v>
          </cell>
          <cell r="P45">
            <v>1851.784895</v>
          </cell>
          <cell r="Q45">
            <v>1871.564136</v>
          </cell>
          <cell r="R45">
            <v>1891.7971090000001</v>
          </cell>
          <cell r="S45">
            <v>1912.472518</v>
          </cell>
          <cell r="T45">
            <v>1933.5777270000001</v>
          </cell>
          <cell r="U45">
            <v>1955.0996190000001</v>
          </cell>
          <cell r="V45">
            <v>1976.9599229999999</v>
          </cell>
          <cell r="W45">
            <v>1999.174407</v>
          </cell>
          <cell r="X45">
            <v>2021.7474099999999</v>
          </cell>
          <cell r="Y45">
            <v>2044.6775640000001</v>
          </cell>
          <cell r="Z45">
            <v>2067.962043</v>
          </cell>
          <cell r="AA45">
            <v>2091.4103580000001</v>
          </cell>
          <cell r="AB45">
            <v>2115.0125990000001</v>
          </cell>
          <cell r="AC45">
            <v>2138.7604190000002</v>
          </cell>
          <cell r="AD45">
            <v>2162.6461389999999</v>
          </cell>
          <cell r="AE45">
            <v>2186.665015</v>
          </cell>
          <cell r="AF45">
            <v>2210.816014</v>
          </cell>
          <cell r="AG45">
            <v>2235.1015860000002</v>
          </cell>
          <cell r="AH45">
            <v>2259.527043</v>
          </cell>
          <cell r="AI45">
            <v>2284.099858</v>
          </cell>
          <cell r="AJ45">
            <v>2308.8290510000002</v>
          </cell>
          <cell r="AK45">
            <v>2333.7246839999998</v>
          </cell>
          <cell r="AL45">
            <v>2358.7524830000002</v>
          </cell>
          <cell r="AM45">
            <v>2383.89777</v>
          </cell>
          <cell r="AN45">
            <v>2409.1563500000002</v>
          </cell>
          <cell r="AO45">
            <v>2434.529442</v>
          </cell>
          <cell r="AP45">
            <v>2460.0215189999999</v>
          </cell>
          <cell r="AQ45">
            <v>2485.6393629999998</v>
          </cell>
          <cell r="AR45">
            <v>2511.391529</v>
          </cell>
          <cell r="AS45">
            <v>2537.2879619999999</v>
          </cell>
          <cell r="AT45">
            <v>2563.339657</v>
          </cell>
          <cell r="AU45">
            <v>2589.5583889999998</v>
          </cell>
          <cell r="AV45">
            <v>2615.9605120000001</v>
          </cell>
          <cell r="AW45">
            <v>2642.5610280000001</v>
          </cell>
          <cell r="AX45">
            <v>2669.3742980000002</v>
          </cell>
          <cell r="AY45">
            <v>2696.4144190000002</v>
          </cell>
          <cell r="AZ45">
            <v>2723.6953709999998</v>
          </cell>
          <cell r="BA45">
            <v>2960.7927679999998</v>
          </cell>
          <cell r="BB45">
            <v>3003.4283660000001</v>
          </cell>
          <cell r="BC45">
            <v>3046.7030380000001</v>
          </cell>
          <cell r="BD45">
            <v>3090.6219099999998</v>
          </cell>
          <cell r="BE45">
            <v>3135.1914139999999</v>
          </cell>
        </row>
        <row r="46">
          <cell r="B46">
            <v>533.66214219999995</v>
          </cell>
          <cell r="C46">
            <v>538.69632009999998</v>
          </cell>
          <cell r="D46">
            <v>543.51952100000005</v>
          </cell>
          <cell r="E46">
            <v>548.20008080000002</v>
          </cell>
          <cell r="F46">
            <v>552.79040020000002</v>
          </cell>
          <cell r="G46">
            <v>557.33943710000005</v>
          </cell>
          <cell r="H46">
            <v>561.86876389999998</v>
          </cell>
          <cell r="I46">
            <v>566.40057730000001</v>
          </cell>
          <cell r="J46">
            <v>570.95442079999998</v>
          </cell>
          <cell r="K46">
            <v>575.54538709999997</v>
          </cell>
          <cell r="L46">
            <v>580.22139019999997</v>
          </cell>
          <cell r="M46">
            <v>584.97177180000006</v>
          </cell>
          <cell r="N46">
            <v>589.78771819999997</v>
          </cell>
          <cell r="O46">
            <v>594.66380049999998</v>
          </cell>
          <cell r="P46">
            <v>599.59645780000005</v>
          </cell>
          <cell r="Q46">
            <v>604.58302019999996</v>
          </cell>
          <cell r="R46">
            <v>609.61880659999997</v>
          </cell>
          <cell r="S46">
            <v>614.70100950000005</v>
          </cell>
          <cell r="T46">
            <v>619.82821909999996</v>
          </cell>
          <cell r="U46">
            <v>625.00016029999995</v>
          </cell>
          <cell r="V46">
            <v>630.19136760000004</v>
          </cell>
          <cell r="W46">
            <v>635.41387929999996</v>
          </cell>
          <cell r="X46">
            <v>640.67825660000005</v>
          </cell>
          <cell r="Y46">
            <v>645.99263780000001</v>
          </cell>
          <cell r="Z46">
            <v>651.36393080000005</v>
          </cell>
          <cell r="AA46">
            <v>656.72499189999996</v>
          </cell>
          <cell r="AB46">
            <v>662.07727390000002</v>
          </cell>
          <cell r="AC46">
            <v>667.42822049999995</v>
          </cell>
          <cell r="AD46">
            <v>672.78604270000005</v>
          </cell>
          <cell r="AE46">
            <v>678.15918050000005</v>
          </cell>
          <cell r="AF46">
            <v>683.55631040000003</v>
          </cell>
          <cell r="AG46">
            <v>688.98671109999998</v>
          </cell>
          <cell r="AH46">
            <v>694.45937400000003</v>
          </cell>
          <cell r="AI46">
            <v>699.98290199999997</v>
          </cell>
          <cell r="AJ46">
            <v>705.56539759999998</v>
          </cell>
          <cell r="AK46">
            <v>711.21437260000005</v>
          </cell>
          <cell r="AL46">
            <v>716.92371119999996</v>
          </cell>
          <cell r="AM46">
            <v>722.69131219999997</v>
          </cell>
          <cell r="AN46">
            <v>728.51834729999996</v>
          </cell>
          <cell r="AO46">
            <v>734.4076652</v>
          </cell>
          <cell r="AP46">
            <v>740.36281580000002</v>
          </cell>
          <cell r="AQ46">
            <v>746.38811569999996</v>
          </cell>
          <cell r="AR46">
            <v>752.48753820000002</v>
          </cell>
          <cell r="AS46">
            <v>758.66469089999998</v>
          </cell>
          <cell r="AT46">
            <v>764.92279559999997</v>
          </cell>
          <cell r="AU46">
            <v>771.26467869999999</v>
          </cell>
          <cell r="AV46">
            <v>777.69607110000004</v>
          </cell>
          <cell r="AW46">
            <v>784.22096309999995</v>
          </cell>
          <cell r="AX46">
            <v>789.38492369999994</v>
          </cell>
          <cell r="AY46">
            <v>792.73671569999999</v>
          </cell>
          <cell r="AZ46">
            <v>794.6659975</v>
          </cell>
          <cell r="BA46">
            <v>998.87981119999995</v>
          </cell>
          <cell r="BB46">
            <v>1013.927822</v>
          </cell>
          <cell r="BC46">
            <v>1029.2544969999999</v>
          </cell>
          <cell r="BD46">
            <v>1044.8615030000001</v>
          </cell>
          <cell r="BE46">
            <v>1060.750681</v>
          </cell>
        </row>
        <row r="47">
          <cell r="B47">
            <v>534.41086589999998</v>
          </cell>
          <cell r="C47">
            <v>540.56878219999999</v>
          </cell>
          <cell r="D47">
            <v>546.7103032</v>
          </cell>
          <cell r="E47">
            <v>552.83194719999995</v>
          </cell>
          <cell r="F47">
            <v>558.95084440000005</v>
          </cell>
          <cell r="G47">
            <v>565.09146229999999</v>
          </cell>
          <cell r="H47">
            <v>571.25485049999997</v>
          </cell>
          <cell r="I47">
            <v>577.44708449999996</v>
          </cell>
          <cell r="J47">
            <v>583.67613159999996</v>
          </cell>
          <cell r="K47">
            <v>589.949207</v>
          </cell>
          <cell r="L47">
            <v>596.31146100000001</v>
          </cell>
          <cell r="M47">
            <v>602.75083489999997</v>
          </cell>
          <cell r="N47">
            <v>609.25763410000002</v>
          </cell>
          <cell r="O47">
            <v>615.82612940000001</v>
          </cell>
          <cell r="P47">
            <v>622.45300599999996</v>
          </cell>
          <cell r="Q47">
            <v>629.13630890000002</v>
          </cell>
          <cell r="R47">
            <v>635.87502400000005</v>
          </cell>
          <cell r="S47">
            <v>642.66896510000004</v>
          </cell>
          <cell r="T47">
            <v>649.51875719999998</v>
          </cell>
          <cell r="U47">
            <v>656.42582460000006</v>
          </cell>
          <cell r="V47">
            <v>663.36383360000002</v>
          </cell>
          <cell r="W47">
            <v>670.3470476</v>
          </cell>
          <cell r="X47">
            <v>677.3873992</v>
          </cell>
          <cell r="Y47">
            <v>684.49373730000002</v>
          </cell>
          <cell r="Z47">
            <v>691.67320629999995</v>
          </cell>
          <cell r="AA47">
            <v>698.85109379999994</v>
          </cell>
          <cell r="AB47">
            <v>706.02750820000006</v>
          </cell>
          <cell r="AC47">
            <v>713.20865939999999</v>
          </cell>
          <cell r="AD47">
            <v>720.40134809999995</v>
          </cell>
          <cell r="AE47">
            <v>727.61251519999996</v>
          </cell>
          <cell r="AF47">
            <v>734.84933230000001</v>
          </cell>
          <cell r="AG47">
            <v>742.11913890000005</v>
          </cell>
          <cell r="AH47">
            <v>749.42927480000003</v>
          </cell>
          <cell r="AI47">
            <v>756.78689589999999</v>
          </cell>
          <cell r="AJ47">
            <v>764.19882070000006</v>
          </cell>
          <cell r="AK47">
            <v>771.67142639999997</v>
          </cell>
          <cell r="AL47">
            <v>779.19164369999999</v>
          </cell>
          <cell r="AM47">
            <v>786.75343459999999</v>
          </cell>
          <cell r="AN47">
            <v>794.35570729999995</v>
          </cell>
          <cell r="AO47">
            <v>801.99998010000002</v>
          </cell>
          <cell r="AP47">
            <v>809.68908269999997</v>
          </cell>
          <cell r="AQ47">
            <v>817.42651890000002</v>
          </cell>
          <cell r="AR47">
            <v>825.21613879999995</v>
          </cell>
          <cell r="AS47">
            <v>833.06194459999995</v>
          </cell>
          <cell r="AT47">
            <v>840.96796110000002</v>
          </cell>
          <cell r="AU47">
            <v>848.93814510000004</v>
          </cell>
          <cell r="AV47">
            <v>856.97798699999998</v>
          </cell>
          <cell r="AW47">
            <v>865.09213820000002</v>
          </cell>
          <cell r="AX47">
            <v>873.28458880000005</v>
          </cell>
          <cell r="AY47">
            <v>881.55887619999999</v>
          </cell>
          <cell r="AZ47">
            <v>889.91821010000001</v>
          </cell>
          <cell r="BA47">
            <v>1007.435973</v>
          </cell>
          <cell r="BB47">
            <v>1022.772274</v>
          </cell>
          <cell r="BC47">
            <v>1038.3784450000001</v>
          </cell>
          <cell r="BD47">
            <v>1054.256204</v>
          </cell>
          <cell r="BE47">
            <v>1070.407559</v>
          </cell>
        </row>
        <row r="48">
          <cell r="B48">
            <v>333.23281780000002</v>
          </cell>
          <cell r="C48">
            <v>336.39602000000002</v>
          </cell>
          <cell r="D48">
            <v>339.43676060000001</v>
          </cell>
          <cell r="E48">
            <v>342.39463289999998</v>
          </cell>
          <cell r="F48">
            <v>345.29776509999999</v>
          </cell>
          <cell r="G48">
            <v>348.17187150000001</v>
          </cell>
          <cell r="H48">
            <v>351.0260753</v>
          </cell>
          <cell r="I48">
            <v>353.87121719999999</v>
          </cell>
          <cell r="J48">
            <v>356.71764489999998</v>
          </cell>
          <cell r="K48">
            <v>359.57405410000001</v>
          </cell>
          <cell r="L48">
            <v>362.47066239999998</v>
          </cell>
          <cell r="M48">
            <v>365.4013362</v>
          </cell>
          <cell r="N48">
            <v>368.36210519999997</v>
          </cell>
          <cell r="O48">
            <v>371.35139909999998</v>
          </cell>
          <cell r="P48">
            <v>374.36895570000001</v>
          </cell>
          <cell r="Q48">
            <v>377.41507960000001</v>
          </cell>
          <cell r="R48">
            <v>380.48869189999999</v>
          </cell>
          <cell r="S48">
            <v>383.58974119999999</v>
          </cell>
          <cell r="T48">
            <v>386.71882779999999</v>
          </cell>
          <cell r="U48">
            <v>389.87701520000002</v>
          </cell>
          <cell r="V48">
            <v>393.04939689999998</v>
          </cell>
          <cell r="W48">
            <v>396.24447350000003</v>
          </cell>
          <cell r="X48">
            <v>399.469314</v>
          </cell>
          <cell r="Y48">
            <v>402.72929920000001</v>
          </cell>
          <cell r="Z48">
            <v>406.02886799999999</v>
          </cell>
          <cell r="AA48">
            <v>409.3260985</v>
          </cell>
          <cell r="AB48">
            <v>412.62242930000002</v>
          </cell>
          <cell r="AC48">
            <v>415.92245370000001</v>
          </cell>
          <cell r="AD48">
            <v>419.23118419999997</v>
          </cell>
          <cell r="AE48">
            <v>422.55369889999997</v>
          </cell>
          <cell r="AF48">
            <v>425.89513879999998</v>
          </cell>
          <cell r="AG48">
            <v>429.26095329999998</v>
          </cell>
          <cell r="AH48">
            <v>432.65634130000001</v>
          </cell>
          <cell r="AI48">
            <v>436.08621729999999</v>
          </cell>
          <cell r="AJ48">
            <v>439.5551658</v>
          </cell>
          <cell r="AK48">
            <v>443.06740769999999</v>
          </cell>
          <cell r="AL48">
            <v>446.61879599999997</v>
          </cell>
          <cell r="AM48">
            <v>450.20780330000002</v>
          </cell>
          <cell r="AN48">
            <v>453.83495859999999</v>
          </cell>
          <cell r="AO48">
            <v>457.50186389999999</v>
          </cell>
          <cell r="AP48">
            <v>461.2105871</v>
          </cell>
          <cell r="AQ48">
            <v>464.96371670000002</v>
          </cell>
          <cell r="AR48">
            <v>468.76363170000002</v>
          </cell>
          <cell r="AS48">
            <v>472.61249340000001</v>
          </cell>
          <cell r="AT48">
            <v>476.51222940000002</v>
          </cell>
          <cell r="AU48">
            <v>480.46452849999997</v>
          </cell>
          <cell r="AV48">
            <v>484.4729734</v>
          </cell>
          <cell r="AW48">
            <v>488.54001829999999</v>
          </cell>
          <cell r="AX48">
            <v>491.54530560000001</v>
          </cell>
          <cell r="AY48">
            <v>492.40004149999999</v>
          </cell>
          <cell r="AZ48">
            <v>492.6742319</v>
          </cell>
          <cell r="BA48">
            <v>621.88281159999997</v>
          </cell>
          <cell r="BB48">
            <v>631.22261949999995</v>
          </cell>
          <cell r="BC48">
            <v>640.73759889999997</v>
          </cell>
          <cell r="BD48">
            <v>650.4289172</v>
          </cell>
          <cell r="BE48">
            <v>660.29783580000003</v>
          </cell>
        </row>
        <row r="49">
          <cell r="B49">
            <v>333.69070900000003</v>
          </cell>
          <cell r="C49">
            <v>337.53632920000001</v>
          </cell>
          <cell r="D49">
            <v>341.3712769</v>
          </cell>
          <cell r="E49">
            <v>345.19230229999999</v>
          </cell>
          <cell r="F49">
            <v>349.00879279999998</v>
          </cell>
          <cell r="G49">
            <v>352.83479219999998</v>
          </cell>
          <cell r="H49">
            <v>356.66991610000002</v>
          </cell>
          <cell r="I49">
            <v>360.51749050000001</v>
          </cell>
          <cell r="J49">
            <v>364.38231969999998</v>
          </cell>
          <cell r="K49">
            <v>368.26903540000001</v>
          </cell>
          <cell r="L49">
            <v>372.20625250000001</v>
          </cell>
          <cell r="M49">
            <v>376.18661279999998</v>
          </cell>
          <cell r="N49">
            <v>380.20483780000001</v>
          </cell>
          <cell r="O49">
            <v>384.25817869999997</v>
          </cell>
          <cell r="P49">
            <v>388.3454357</v>
          </cell>
          <cell r="Q49">
            <v>392.46626659999998</v>
          </cell>
          <cell r="R49">
            <v>396.62088749999998</v>
          </cell>
          <cell r="S49">
            <v>400.80996570000002</v>
          </cell>
          <cell r="T49">
            <v>405.03458080000001</v>
          </cell>
          <cell r="U49">
            <v>409.29619869999999</v>
          </cell>
          <cell r="V49">
            <v>413.5788349</v>
          </cell>
          <cell r="W49">
            <v>417.89198169999997</v>
          </cell>
          <cell r="X49">
            <v>422.24326100000002</v>
          </cell>
          <cell r="Y49">
            <v>426.63828910000001</v>
          </cell>
          <cell r="Z49">
            <v>431.08152489999998</v>
          </cell>
          <cell r="AA49">
            <v>435.52624730000002</v>
          </cell>
          <cell r="AB49">
            <v>439.97307489999997</v>
          </cell>
          <cell r="AC49">
            <v>444.42588949999998</v>
          </cell>
          <cell r="AD49">
            <v>448.88892520000002</v>
          </cell>
          <cell r="AE49">
            <v>453.36645979999997</v>
          </cell>
          <cell r="AF49">
            <v>457.86285409999999</v>
          </cell>
          <cell r="AG49">
            <v>462.38250929999998</v>
          </cell>
          <cell r="AH49">
            <v>466.9297717</v>
          </cell>
          <cell r="AI49">
            <v>471.50883429999999</v>
          </cell>
          <cell r="AJ49">
            <v>476.12366270000001</v>
          </cell>
          <cell r="AK49">
            <v>480.77795020000002</v>
          </cell>
          <cell r="AL49">
            <v>485.46327209999998</v>
          </cell>
          <cell r="AM49">
            <v>490.17578550000002</v>
          </cell>
          <cell r="AN49">
            <v>494.91475059999999</v>
          </cell>
          <cell r="AO49">
            <v>499.68109129999999</v>
          </cell>
          <cell r="AP49">
            <v>504.47658209999997</v>
          </cell>
          <cell r="AQ49">
            <v>509.30343909999999</v>
          </cell>
          <cell r="AR49">
            <v>514.16410140000005</v>
          </cell>
          <cell r="AS49">
            <v>519.06109939999999</v>
          </cell>
          <cell r="AT49">
            <v>523.99696770000003</v>
          </cell>
          <cell r="AU49">
            <v>528.97418560000006</v>
          </cell>
          <cell r="AV49">
            <v>533.99617899999998</v>
          </cell>
          <cell r="AW49">
            <v>539.06582809999998</v>
          </cell>
          <cell r="AX49">
            <v>544.18559760000005</v>
          </cell>
          <cell r="AY49">
            <v>549.35766869999998</v>
          </cell>
          <cell r="AZ49">
            <v>554.58402009999998</v>
          </cell>
          <cell r="BA49">
            <v>627.44819989999996</v>
          </cell>
          <cell r="BB49">
            <v>636.98452870000006</v>
          </cell>
          <cell r="BC49">
            <v>646.69128360000002</v>
          </cell>
          <cell r="BD49">
            <v>656.56967480000003</v>
          </cell>
          <cell r="BE49">
            <v>666.62107909999997</v>
          </cell>
        </row>
        <row r="50">
          <cell r="B50">
            <v>27492.856960000001</v>
          </cell>
          <cell r="C50">
            <v>27745.436160000001</v>
          </cell>
          <cell r="D50">
            <v>27979.536240000001</v>
          </cell>
          <cell r="E50">
            <v>28199.185239999999</v>
          </cell>
          <cell r="F50">
            <v>28409.075819999998</v>
          </cell>
          <cell r="G50">
            <v>28614.002840000001</v>
          </cell>
          <cell r="H50">
            <v>28817.27059</v>
          </cell>
          <cell r="I50">
            <v>29021.348720000002</v>
          </cell>
          <cell r="J50">
            <v>29227.830610000001</v>
          </cell>
          <cell r="K50">
            <v>29437.459630000001</v>
          </cell>
          <cell r="L50">
            <v>29651.69917</v>
          </cell>
          <cell r="M50">
            <v>29869.591100000001</v>
          </cell>
          <cell r="N50">
            <v>30089.77953</v>
          </cell>
          <cell r="O50">
            <v>30310.895690000001</v>
          </cell>
          <cell r="P50">
            <v>30531.648829999998</v>
          </cell>
          <cell r="Q50">
            <v>30750.878120000001</v>
          </cell>
          <cell r="R50">
            <v>30967.517390000001</v>
          </cell>
          <cell r="S50">
            <v>31180.732240000001</v>
          </cell>
          <cell r="T50">
            <v>31389.948209999999</v>
          </cell>
          <cell r="U50">
            <v>31594.85916</v>
          </cell>
          <cell r="V50">
            <v>31794.406289999999</v>
          </cell>
          <cell r="W50">
            <v>31989.031869999999</v>
          </cell>
          <cell r="X50">
            <v>32179.43189</v>
          </cell>
          <cell r="Y50">
            <v>32366.357329999999</v>
          </cell>
          <cell r="Z50">
            <v>32550.60601</v>
          </cell>
          <cell r="AA50">
            <v>32730.21831</v>
          </cell>
          <cell r="AB50">
            <v>32905.509239999999</v>
          </cell>
          <cell r="AC50">
            <v>33077.292540000002</v>
          </cell>
          <cell r="AD50">
            <v>33246.482279999997</v>
          </cell>
          <cell r="AE50">
            <v>33414.014329999998</v>
          </cell>
          <cell r="AF50">
            <v>33580.829310000001</v>
          </cell>
          <cell r="AG50">
            <v>33747.869379999996</v>
          </cell>
          <cell r="AH50">
            <v>33916.0478</v>
          </cell>
          <cell r="AI50">
            <v>34086.225919999997</v>
          </cell>
          <cell r="AJ50">
            <v>34259.1927</v>
          </cell>
          <cell r="AK50">
            <v>34435.651469999997</v>
          </cell>
          <cell r="AL50">
            <v>34615.6613</v>
          </cell>
          <cell r="AM50">
            <v>34799.364150000001</v>
          </cell>
          <cell r="AN50">
            <v>34986.995439999999</v>
          </cell>
          <cell r="AO50">
            <v>35178.798600000002</v>
          </cell>
          <cell r="AP50">
            <v>35374.985269999997</v>
          </cell>
          <cell r="AQ50">
            <v>35575.735970000002</v>
          </cell>
          <cell r="AR50">
            <v>35781.195269999997</v>
          </cell>
          <cell r="AS50">
            <v>35991.470780000003</v>
          </cell>
          <cell r="AT50">
            <v>36206.630660000003</v>
          </cell>
          <cell r="AU50">
            <v>36426.704019999997</v>
          </cell>
          <cell r="AV50">
            <v>36651.765740000003</v>
          </cell>
          <cell r="AW50">
            <v>36881.861320000004</v>
          </cell>
          <cell r="AX50">
            <v>37104.594190000003</v>
          </cell>
          <cell r="AY50">
            <v>37316.145700000001</v>
          </cell>
          <cell r="AZ50">
            <v>37515.734680000001</v>
          </cell>
          <cell r="BA50">
            <v>47252.618300000002</v>
          </cell>
          <cell r="BB50">
            <v>47942.582459999998</v>
          </cell>
          <cell r="BC50">
            <v>48648.61911</v>
          </cell>
          <cell r="BD50">
            <v>49370.812539999999</v>
          </cell>
          <cell r="BE50">
            <v>50109.243090000004</v>
          </cell>
        </row>
        <row r="51">
          <cell r="B51">
            <v>27532.372050000002</v>
          </cell>
          <cell r="C51">
            <v>27844.448990000001</v>
          </cell>
          <cell r="D51">
            <v>28148.594870000001</v>
          </cell>
          <cell r="E51">
            <v>28443.615229999999</v>
          </cell>
          <cell r="F51">
            <v>28730.394939999998</v>
          </cell>
          <cell r="G51">
            <v>29010.563440000002</v>
          </cell>
          <cell r="H51">
            <v>29284.880089999999</v>
          </cell>
          <cell r="I51">
            <v>29553.997729999999</v>
          </cell>
          <cell r="J51">
            <v>29818.425660000001</v>
          </cell>
          <cell r="K51">
            <v>30078.47106</v>
          </cell>
          <cell r="L51">
            <v>30335.739000000001</v>
          </cell>
          <cell r="M51">
            <v>30589.803769999999</v>
          </cell>
          <cell r="N51">
            <v>30840.082200000001</v>
          </cell>
          <cell r="O51">
            <v>31086.114369999999</v>
          </cell>
          <cell r="P51">
            <v>31327.56551</v>
          </cell>
          <cell r="Q51">
            <v>31564.211370000001</v>
          </cell>
          <cell r="R51">
            <v>31795.939289999998</v>
          </cell>
          <cell r="S51">
            <v>32022.75592</v>
          </cell>
          <cell r="T51">
            <v>32244.792819999999</v>
          </cell>
          <cell r="U51">
            <v>32462.30572</v>
          </cell>
          <cell r="V51">
            <v>32674.621810000001</v>
          </cell>
          <cell r="W51">
            <v>32882.50058</v>
          </cell>
          <cell r="X51">
            <v>33086.829599999997</v>
          </cell>
          <cell r="Y51">
            <v>33288.453939999999</v>
          </cell>
          <cell r="Z51">
            <v>33488.188900000001</v>
          </cell>
          <cell r="AA51">
            <v>33683.913710000001</v>
          </cell>
          <cell r="AB51">
            <v>33875.832649999997</v>
          </cell>
          <cell r="AC51">
            <v>34064.601549999999</v>
          </cell>
          <cell r="AD51">
            <v>34250.955289999998</v>
          </cell>
          <cell r="AE51">
            <v>34435.649619999997</v>
          </cell>
          <cell r="AF51">
            <v>34619.453130000002</v>
          </cell>
          <cell r="AG51">
            <v>34803.136939999997</v>
          </cell>
          <cell r="AH51">
            <v>34987.45781</v>
          </cell>
          <cell r="AI51">
            <v>35173.139130000003</v>
          </cell>
          <cell r="AJ51">
            <v>35360.853519999997</v>
          </cell>
          <cell r="AK51">
            <v>35551.209540000003</v>
          </cell>
          <cell r="AL51">
            <v>35744.077980000002</v>
          </cell>
          <cell r="AM51">
            <v>35939.431380000002</v>
          </cell>
          <cell r="AN51">
            <v>36137.367830000003</v>
          </cell>
          <cell r="AO51">
            <v>36338.046829999999</v>
          </cell>
          <cell r="AP51">
            <v>36541.64877</v>
          </cell>
          <cell r="AQ51">
            <v>36748.357550000001</v>
          </cell>
          <cell r="AR51">
            <v>36958.354039999998</v>
          </cell>
          <cell r="AS51">
            <v>37171.81293</v>
          </cell>
          <cell r="AT51">
            <v>37388.899700000002</v>
          </cell>
          <cell r="AU51">
            <v>37609.767209999998</v>
          </cell>
          <cell r="AV51">
            <v>37834.60987</v>
          </cell>
          <cell r="AW51">
            <v>38063.587420000003</v>
          </cell>
          <cell r="AX51">
            <v>38296.820879999999</v>
          </cell>
          <cell r="AY51">
            <v>38534.397429999997</v>
          </cell>
          <cell r="AZ51">
            <v>38776.374250000001</v>
          </cell>
          <cell r="BA51">
            <v>47019.41704</v>
          </cell>
          <cell r="BB51">
            <v>47659.904040000001</v>
          </cell>
          <cell r="BC51">
            <v>48312.506249999999</v>
          </cell>
          <cell r="BD51">
            <v>48977.29161</v>
          </cell>
          <cell r="BE51">
            <v>49654.336730000003</v>
          </cell>
        </row>
        <row r="52">
          <cell r="B52">
            <v>547.92908260000002</v>
          </cell>
          <cell r="C52">
            <v>552.96323819999998</v>
          </cell>
          <cell r="D52">
            <v>557.62909520000005</v>
          </cell>
          <cell r="E52">
            <v>562.00693200000001</v>
          </cell>
          <cell r="F52">
            <v>566.1902728</v>
          </cell>
          <cell r="G52">
            <v>570.27467820000004</v>
          </cell>
          <cell r="H52">
            <v>574.32600290000005</v>
          </cell>
          <cell r="I52">
            <v>578.3934663</v>
          </cell>
          <cell r="J52">
            <v>582.50882460000003</v>
          </cell>
          <cell r="K52">
            <v>586.68689370000004</v>
          </cell>
          <cell r="L52">
            <v>590.95683910000002</v>
          </cell>
          <cell r="M52">
            <v>595.29956709999999</v>
          </cell>
          <cell r="N52">
            <v>599.68805550000002</v>
          </cell>
          <cell r="O52">
            <v>604.09502499999996</v>
          </cell>
          <cell r="P52">
            <v>608.49475189999998</v>
          </cell>
          <cell r="Q52">
            <v>612.86410109999997</v>
          </cell>
          <cell r="R52">
            <v>617.18182530000001</v>
          </cell>
          <cell r="S52">
            <v>621.43129520000002</v>
          </cell>
          <cell r="T52">
            <v>625.60106169999995</v>
          </cell>
          <cell r="U52">
            <v>629.68502360000002</v>
          </cell>
          <cell r="V52">
            <v>633.66207910000003</v>
          </cell>
          <cell r="W52">
            <v>637.54104199999995</v>
          </cell>
          <cell r="X52">
            <v>641.33578339999997</v>
          </cell>
          <cell r="Y52">
            <v>645.06127000000004</v>
          </cell>
          <cell r="Z52">
            <v>648.73340250000001</v>
          </cell>
          <cell r="AA52">
            <v>652.3131257</v>
          </cell>
          <cell r="AB52">
            <v>655.80671600000005</v>
          </cell>
          <cell r="AC52">
            <v>659.23039170000004</v>
          </cell>
          <cell r="AD52">
            <v>662.60236999999995</v>
          </cell>
          <cell r="AE52">
            <v>665.94130270000005</v>
          </cell>
          <cell r="AF52">
            <v>669.26593700000001</v>
          </cell>
          <cell r="AG52">
            <v>672.59504919999995</v>
          </cell>
          <cell r="AH52">
            <v>675.9468415</v>
          </cell>
          <cell r="AI52">
            <v>679.33848020000005</v>
          </cell>
          <cell r="AJ52">
            <v>682.78568989999997</v>
          </cell>
          <cell r="AK52">
            <v>686.30248830000005</v>
          </cell>
          <cell r="AL52">
            <v>689.89005010000005</v>
          </cell>
          <cell r="AM52">
            <v>693.55120520000003</v>
          </cell>
          <cell r="AN52">
            <v>697.29064589999996</v>
          </cell>
          <cell r="AO52">
            <v>701.11322489999998</v>
          </cell>
          <cell r="AP52">
            <v>705.02316059999998</v>
          </cell>
          <cell r="AQ52">
            <v>709.02405090000002</v>
          </cell>
          <cell r="AR52">
            <v>713.11877800000002</v>
          </cell>
          <cell r="AS52">
            <v>717.30948739999997</v>
          </cell>
          <cell r="AT52">
            <v>721.59753809999995</v>
          </cell>
          <cell r="AU52">
            <v>725.98351090000006</v>
          </cell>
          <cell r="AV52">
            <v>730.46889739999995</v>
          </cell>
          <cell r="AW52">
            <v>735.0546051</v>
          </cell>
          <cell r="AX52">
            <v>739.49357620000001</v>
          </cell>
          <cell r="AY52">
            <v>743.70970220000004</v>
          </cell>
          <cell r="AZ52">
            <v>747.68741469999998</v>
          </cell>
          <cell r="BA52">
            <v>941.73804810000001</v>
          </cell>
          <cell r="BB52">
            <v>955.48893710000004</v>
          </cell>
          <cell r="BC52">
            <v>969.56014830000004</v>
          </cell>
          <cell r="BD52">
            <v>983.95336199999997</v>
          </cell>
          <cell r="BE52">
            <v>998.67017920000001</v>
          </cell>
        </row>
        <row r="53">
          <cell r="B53">
            <v>548.71630919999996</v>
          </cell>
          <cell r="C53">
            <v>554.93595879999998</v>
          </cell>
          <cell r="D53">
            <v>560.99754359999997</v>
          </cell>
          <cell r="E53">
            <v>566.87725780000005</v>
          </cell>
          <cell r="F53">
            <v>572.59273729999995</v>
          </cell>
          <cell r="G53">
            <v>578.1764561</v>
          </cell>
          <cell r="H53">
            <v>583.64354839999999</v>
          </cell>
          <cell r="I53">
            <v>589.00702520000004</v>
          </cell>
          <cell r="J53">
            <v>594.27703680000002</v>
          </cell>
          <cell r="K53">
            <v>599.45970499999999</v>
          </cell>
          <cell r="L53">
            <v>604.58701900000005</v>
          </cell>
          <cell r="M53">
            <v>609.65049409999995</v>
          </cell>
          <cell r="N53">
            <v>614.63850809999997</v>
          </cell>
          <cell r="O53">
            <v>619.54189480000002</v>
          </cell>
          <cell r="P53">
            <v>624.35398199999997</v>
          </cell>
          <cell r="Q53">
            <v>629.07030080000004</v>
          </cell>
          <cell r="R53">
            <v>633.68860570000004</v>
          </cell>
          <cell r="S53">
            <v>638.2090293</v>
          </cell>
          <cell r="T53">
            <v>642.6341936</v>
          </cell>
          <cell r="U53">
            <v>646.96919500000001</v>
          </cell>
          <cell r="V53">
            <v>651.20062499999995</v>
          </cell>
          <cell r="W53">
            <v>655.34361960000001</v>
          </cell>
          <cell r="X53">
            <v>659.41586830000006</v>
          </cell>
          <cell r="Y53">
            <v>663.43421309999997</v>
          </cell>
          <cell r="Z53">
            <v>667.41490269999997</v>
          </cell>
          <cell r="AA53">
            <v>671.31567080000002</v>
          </cell>
          <cell r="AB53">
            <v>675.14058829999999</v>
          </cell>
          <cell r="AC53">
            <v>678.90272600000003</v>
          </cell>
          <cell r="AD53">
            <v>682.61672999999996</v>
          </cell>
          <cell r="AE53">
            <v>686.29766199999995</v>
          </cell>
          <cell r="AF53">
            <v>689.96084020000001</v>
          </cell>
          <cell r="AG53">
            <v>693.6216326</v>
          </cell>
          <cell r="AH53">
            <v>697.29512169999998</v>
          </cell>
          <cell r="AI53">
            <v>700.99572439999997</v>
          </cell>
          <cell r="AJ53">
            <v>704.73684579999997</v>
          </cell>
          <cell r="AK53">
            <v>708.53061449999996</v>
          </cell>
          <cell r="AL53">
            <v>712.37445560000003</v>
          </cell>
          <cell r="AM53">
            <v>716.26782130000004</v>
          </cell>
          <cell r="AN53">
            <v>720.21266690000004</v>
          </cell>
          <cell r="AO53">
            <v>724.21217130000002</v>
          </cell>
          <cell r="AP53">
            <v>728.26992940000002</v>
          </cell>
          <cell r="AQ53">
            <v>732.3896062</v>
          </cell>
          <cell r="AR53">
            <v>736.57480680000003</v>
          </cell>
          <cell r="AS53">
            <v>740.82901260000006</v>
          </cell>
          <cell r="AT53">
            <v>745.15552149999996</v>
          </cell>
          <cell r="AU53">
            <v>749.55737980000004</v>
          </cell>
          <cell r="AV53">
            <v>754.0384626</v>
          </cell>
          <cell r="AW53">
            <v>758.60195280000005</v>
          </cell>
          <cell r="AX53">
            <v>763.25026300000002</v>
          </cell>
          <cell r="AY53">
            <v>767.98513030000004</v>
          </cell>
          <cell r="AZ53">
            <v>772.80769439999995</v>
          </cell>
          <cell r="BA53">
            <v>937.09037980000005</v>
          </cell>
          <cell r="BB53">
            <v>949.85519580000005</v>
          </cell>
          <cell r="BC53">
            <v>962.86146629999996</v>
          </cell>
          <cell r="BD53">
            <v>976.11054520000005</v>
          </cell>
          <cell r="BE53">
            <v>989.60395930000004</v>
          </cell>
        </row>
        <row r="54">
          <cell r="B54">
            <v>796.23299789999999</v>
          </cell>
          <cell r="C54">
            <v>803.54846789999999</v>
          </cell>
          <cell r="D54">
            <v>810.32873830000005</v>
          </cell>
          <cell r="E54">
            <v>816.69046700000001</v>
          </cell>
          <cell r="F54">
            <v>822.76956059999998</v>
          </cell>
          <cell r="G54">
            <v>828.70488460000001</v>
          </cell>
          <cell r="H54">
            <v>834.59213690000001</v>
          </cell>
          <cell r="I54">
            <v>840.50284160000001</v>
          </cell>
          <cell r="J54">
            <v>846.48314589999995</v>
          </cell>
          <cell r="K54">
            <v>852.55457950000005</v>
          </cell>
          <cell r="L54">
            <v>858.75952500000005</v>
          </cell>
          <cell r="M54">
            <v>865.07023609999999</v>
          </cell>
          <cell r="N54">
            <v>871.44744470000001</v>
          </cell>
          <cell r="O54">
            <v>877.85150969999995</v>
          </cell>
          <cell r="P54">
            <v>884.24504999999999</v>
          </cell>
          <cell r="Q54">
            <v>890.5944465</v>
          </cell>
          <cell r="R54">
            <v>896.86882319999995</v>
          </cell>
          <cell r="S54">
            <v>903.04401510000002</v>
          </cell>
          <cell r="T54">
            <v>909.10338469999999</v>
          </cell>
          <cell r="U54">
            <v>915.03806580000003</v>
          </cell>
          <cell r="V54">
            <v>920.8173941</v>
          </cell>
          <cell r="W54">
            <v>926.45417750000001</v>
          </cell>
          <cell r="X54">
            <v>931.96857279999995</v>
          </cell>
          <cell r="Y54">
            <v>937.38232949999997</v>
          </cell>
          <cell r="Z54">
            <v>942.7185538</v>
          </cell>
          <cell r="AA54">
            <v>947.92049199999997</v>
          </cell>
          <cell r="AB54">
            <v>952.99726469999996</v>
          </cell>
          <cell r="AC54">
            <v>957.97243979999996</v>
          </cell>
          <cell r="AD54">
            <v>962.87249010000005</v>
          </cell>
          <cell r="AE54">
            <v>967.72451969999997</v>
          </cell>
          <cell r="AF54">
            <v>972.55577129999995</v>
          </cell>
          <cell r="AG54">
            <v>977.39353029999995</v>
          </cell>
          <cell r="AH54">
            <v>982.26424710000003</v>
          </cell>
          <cell r="AI54">
            <v>987.19286780000004</v>
          </cell>
          <cell r="AJ54">
            <v>992.20224259999998</v>
          </cell>
          <cell r="AK54">
            <v>997.31274129999997</v>
          </cell>
          <cell r="AL54">
            <v>1002.526071</v>
          </cell>
          <cell r="AM54">
            <v>1007.846345</v>
          </cell>
          <cell r="AN54">
            <v>1013.280381</v>
          </cell>
          <cell r="AO54">
            <v>1018.835231</v>
          </cell>
          <cell r="AP54">
            <v>1024.5170250000001</v>
          </cell>
          <cell r="AQ54">
            <v>1030.330991</v>
          </cell>
          <cell r="AR54">
            <v>1036.2813180000001</v>
          </cell>
          <cell r="AS54">
            <v>1042.3711229999999</v>
          </cell>
          <cell r="AT54">
            <v>1048.602382</v>
          </cell>
          <cell r="AU54">
            <v>1054.975938</v>
          </cell>
          <cell r="AV54">
            <v>1061.4939589999999</v>
          </cell>
          <cell r="AW54">
            <v>1068.1577629999999</v>
          </cell>
          <cell r="AX54">
            <v>1073.7571740000001</v>
          </cell>
          <cell r="AY54">
            <v>1077.1580730000001</v>
          </cell>
          <cell r="AZ54">
            <v>1079.9317450000001</v>
          </cell>
          <cell r="BA54">
            <v>1368.503584</v>
          </cell>
          <cell r="BB54">
            <v>1388.4859349999999</v>
          </cell>
          <cell r="BC54">
            <v>1408.933769</v>
          </cell>
          <cell r="BD54">
            <v>1429.8495270000001</v>
          </cell>
          <cell r="BE54">
            <v>1451.2355339999999</v>
          </cell>
        </row>
        <row r="55">
          <cell r="B55">
            <v>797.37697449999996</v>
          </cell>
          <cell r="C55">
            <v>806.4151703</v>
          </cell>
          <cell r="D55">
            <v>815.22367129999998</v>
          </cell>
          <cell r="E55">
            <v>823.76788369999997</v>
          </cell>
          <cell r="F55">
            <v>832.07343549999996</v>
          </cell>
          <cell r="G55">
            <v>840.18751689999999</v>
          </cell>
          <cell r="H55">
            <v>848.13212050000004</v>
          </cell>
          <cell r="I55">
            <v>855.92615330000001</v>
          </cell>
          <cell r="J55">
            <v>863.58436540000002</v>
          </cell>
          <cell r="K55">
            <v>871.11565289999999</v>
          </cell>
          <cell r="L55">
            <v>878.56650149999996</v>
          </cell>
          <cell r="M55">
            <v>885.92458139999997</v>
          </cell>
          <cell r="N55">
            <v>893.17300360000002</v>
          </cell>
          <cell r="O55">
            <v>900.29844820000005</v>
          </cell>
          <cell r="P55">
            <v>907.29121929999997</v>
          </cell>
          <cell r="Q55">
            <v>914.14482280000004</v>
          </cell>
          <cell r="R55">
            <v>920.85599560000003</v>
          </cell>
          <cell r="S55">
            <v>927.42493039999999</v>
          </cell>
          <cell r="T55">
            <v>933.85543749999999</v>
          </cell>
          <cell r="U55">
            <v>940.15492289999997</v>
          </cell>
          <cell r="V55">
            <v>946.30390139999997</v>
          </cell>
          <cell r="W55">
            <v>952.32436859999996</v>
          </cell>
          <cell r="X55">
            <v>958.24203</v>
          </cell>
          <cell r="Y55">
            <v>964.08136009999998</v>
          </cell>
          <cell r="Z55">
            <v>969.86597080000001</v>
          </cell>
          <cell r="AA55">
            <v>975.53444209999998</v>
          </cell>
          <cell r="AB55">
            <v>981.09268980000002</v>
          </cell>
          <cell r="AC55">
            <v>986.55970779999996</v>
          </cell>
          <cell r="AD55">
            <v>991.95677950000004</v>
          </cell>
          <cell r="AE55">
            <v>997.30579209999996</v>
          </cell>
          <cell r="AF55">
            <v>1002.629005</v>
          </cell>
          <cell r="AG55">
            <v>1007.948752</v>
          </cell>
          <cell r="AH55">
            <v>1013.2869480000001</v>
          </cell>
          <cell r="AI55">
            <v>1018.664546</v>
          </cell>
          <cell r="AJ55">
            <v>1024.1010240000001</v>
          </cell>
          <cell r="AK55">
            <v>1029.6140069999999</v>
          </cell>
          <cell r="AL55">
            <v>1035.199754</v>
          </cell>
          <cell r="AM55">
            <v>1040.8574679999999</v>
          </cell>
          <cell r="AN55">
            <v>1046.5899910000001</v>
          </cell>
          <cell r="AO55">
            <v>1052.4019430000001</v>
          </cell>
          <cell r="AP55">
            <v>1058.2985470000001</v>
          </cell>
          <cell r="AQ55">
            <v>1064.28513</v>
          </cell>
          <cell r="AR55">
            <v>1070.366929</v>
          </cell>
          <cell r="AS55">
            <v>1076.5490050000001</v>
          </cell>
          <cell r="AT55">
            <v>1082.836149</v>
          </cell>
          <cell r="AU55">
            <v>1089.2327889999999</v>
          </cell>
          <cell r="AV55">
            <v>1095.744555</v>
          </cell>
          <cell r="AW55">
            <v>1102.3760729999999</v>
          </cell>
          <cell r="AX55">
            <v>1109.130848</v>
          </cell>
          <cell r="AY55">
            <v>1116.0114060000001</v>
          </cell>
          <cell r="AZ55">
            <v>1123.0194019999999</v>
          </cell>
          <cell r="BA55">
            <v>1361.7497410000001</v>
          </cell>
          <cell r="BB55">
            <v>1380.2991629999999</v>
          </cell>
          <cell r="BC55">
            <v>1399.1994589999999</v>
          </cell>
          <cell r="BD55">
            <v>1418.4525960000001</v>
          </cell>
          <cell r="BE55">
            <v>1438.060794</v>
          </cell>
        </row>
        <row r="56">
          <cell r="B56">
            <v>723.38219040000001</v>
          </cell>
          <cell r="C56">
            <v>730.02833729999998</v>
          </cell>
          <cell r="D56">
            <v>736.18825230000004</v>
          </cell>
          <cell r="E56">
            <v>741.9679198</v>
          </cell>
          <cell r="F56">
            <v>747.49081169999999</v>
          </cell>
          <cell r="G56">
            <v>752.88308810000001</v>
          </cell>
          <cell r="H56">
            <v>758.23169089999999</v>
          </cell>
          <cell r="I56">
            <v>763.60160029999997</v>
          </cell>
          <cell r="J56">
            <v>769.03474140000003</v>
          </cell>
          <cell r="K56">
            <v>774.55067389999999</v>
          </cell>
          <cell r="L56">
            <v>780.1879027</v>
          </cell>
          <cell r="M56">
            <v>785.92122010000003</v>
          </cell>
          <cell r="N56">
            <v>791.7149508</v>
          </cell>
          <cell r="O56">
            <v>797.53308070000003</v>
          </cell>
          <cell r="P56">
            <v>803.34164880000003</v>
          </cell>
          <cell r="Q56">
            <v>809.11011199999996</v>
          </cell>
          <cell r="R56">
            <v>814.81041930000004</v>
          </cell>
          <cell r="S56">
            <v>820.42061660000002</v>
          </cell>
          <cell r="T56">
            <v>825.92558870000005</v>
          </cell>
          <cell r="U56">
            <v>831.31728039999996</v>
          </cell>
          <cell r="V56">
            <v>836.56783340000004</v>
          </cell>
          <cell r="W56">
            <v>841.68888330000004</v>
          </cell>
          <cell r="X56">
            <v>846.6987431</v>
          </cell>
          <cell r="Y56">
            <v>851.61717199999998</v>
          </cell>
          <cell r="Z56">
            <v>856.46516229999997</v>
          </cell>
          <cell r="AA56">
            <v>861.19115290000002</v>
          </cell>
          <cell r="AB56">
            <v>865.80342989999997</v>
          </cell>
          <cell r="AC56">
            <v>870.32340480000005</v>
          </cell>
          <cell r="AD56">
            <v>874.77512850000005</v>
          </cell>
          <cell r="AE56">
            <v>879.18322499999999</v>
          </cell>
          <cell r="AF56">
            <v>883.57244460000004</v>
          </cell>
          <cell r="AG56">
            <v>887.96757609999997</v>
          </cell>
          <cell r="AH56">
            <v>892.39265009999997</v>
          </cell>
          <cell r="AI56">
            <v>896.8703299</v>
          </cell>
          <cell r="AJ56">
            <v>901.42137530000002</v>
          </cell>
          <cell r="AK56">
            <v>906.0642924</v>
          </cell>
          <cell r="AL56">
            <v>910.80063229999996</v>
          </cell>
          <cell r="AM56">
            <v>915.63413089999995</v>
          </cell>
          <cell r="AN56">
            <v>920.5709832</v>
          </cell>
          <cell r="AO56">
            <v>925.61759559999996</v>
          </cell>
          <cell r="AP56">
            <v>930.77953739999998</v>
          </cell>
          <cell r="AQ56">
            <v>936.06155860000001</v>
          </cell>
          <cell r="AR56">
            <v>941.46746419999999</v>
          </cell>
          <cell r="AS56">
            <v>947.0000867</v>
          </cell>
          <cell r="AT56">
            <v>952.66122040000005</v>
          </cell>
          <cell r="AU56">
            <v>958.45163200000002</v>
          </cell>
          <cell r="AV56">
            <v>964.37329060000002</v>
          </cell>
          <cell r="AW56">
            <v>970.42739449999999</v>
          </cell>
          <cell r="AX56">
            <v>975.43703059999996</v>
          </cell>
          <cell r="AY56">
            <v>978.28013410000005</v>
          </cell>
          <cell r="AZ56">
            <v>980.52819280000006</v>
          </cell>
          <cell r="BA56">
            <v>1243.2932579999999</v>
          </cell>
          <cell r="BB56">
            <v>1261.4473379999999</v>
          </cell>
          <cell r="BC56">
            <v>1280.0243109999999</v>
          </cell>
          <cell r="BD56">
            <v>1299.0263950000001</v>
          </cell>
          <cell r="BE56">
            <v>1318.455704</v>
          </cell>
        </row>
        <row r="57">
          <cell r="B57">
            <v>724.42149849999998</v>
          </cell>
          <cell r="C57">
            <v>732.63275050000004</v>
          </cell>
          <cell r="D57">
            <v>740.63532359999999</v>
          </cell>
          <cell r="E57">
            <v>748.39778899999999</v>
          </cell>
          <cell r="F57">
            <v>755.94342979999999</v>
          </cell>
          <cell r="G57">
            <v>763.31511869999997</v>
          </cell>
          <cell r="H57">
            <v>770.53283610000005</v>
          </cell>
          <cell r="I57">
            <v>777.61375910000004</v>
          </cell>
          <cell r="J57">
            <v>784.57128809999995</v>
          </cell>
          <cell r="K57">
            <v>791.41350550000004</v>
          </cell>
          <cell r="L57">
            <v>798.18264369999997</v>
          </cell>
          <cell r="M57">
            <v>804.86750089999998</v>
          </cell>
          <cell r="N57">
            <v>811.45273359999999</v>
          </cell>
          <cell r="O57">
            <v>817.92624030000002</v>
          </cell>
          <cell r="P57">
            <v>824.27921249999997</v>
          </cell>
          <cell r="Q57">
            <v>830.5057501</v>
          </cell>
          <cell r="R57">
            <v>836.60288860000003</v>
          </cell>
          <cell r="S57">
            <v>842.57080310000003</v>
          </cell>
          <cell r="T57">
            <v>848.41295530000002</v>
          </cell>
          <cell r="U57">
            <v>854.13607339999999</v>
          </cell>
          <cell r="V57">
            <v>859.72245520000001</v>
          </cell>
          <cell r="W57">
            <v>865.19208379999998</v>
          </cell>
          <cell r="X57">
            <v>870.56831269999998</v>
          </cell>
          <cell r="Y57">
            <v>875.87337720000005</v>
          </cell>
          <cell r="Z57">
            <v>881.12872879999998</v>
          </cell>
          <cell r="AA57">
            <v>886.27856710000003</v>
          </cell>
          <cell r="AB57">
            <v>891.32826650000004</v>
          </cell>
          <cell r="AC57">
            <v>896.29508339999995</v>
          </cell>
          <cell r="AD57">
            <v>901.19835360000002</v>
          </cell>
          <cell r="AE57">
            <v>906.05796190000001</v>
          </cell>
          <cell r="AF57">
            <v>910.89413119999995</v>
          </cell>
          <cell r="AG57">
            <v>915.72715089999997</v>
          </cell>
          <cell r="AH57">
            <v>920.57693289999997</v>
          </cell>
          <cell r="AI57">
            <v>925.46251059999997</v>
          </cell>
          <cell r="AJ57">
            <v>930.40158150000002</v>
          </cell>
          <cell r="AK57">
            <v>935.41015800000002</v>
          </cell>
          <cell r="AL57">
            <v>940.48484059999998</v>
          </cell>
          <cell r="AM57">
            <v>945.62490620000005</v>
          </cell>
          <cell r="AN57">
            <v>950.83293609999998</v>
          </cell>
          <cell r="AO57">
            <v>956.11312720000001</v>
          </cell>
          <cell r="AP57">
            <v>961.47022560000005</v>
          </cell>
          <cell r="AQ57">
            <v>966.90906959999995</v>
          </cell>
          <cell r="AR57">
            <v>972.43441889999997</v>
          </cell>
          <cell r="AS57">
            <v>978.05086970000002</v>
          </cell>
          <cell r="AT57">
            <v>983.76277589999995</v>
          </cell>
          <cell r="AU57">
            <v>989.57415909999997</v>
          </cell>
          <cell r="AV57">
            <v>995.49013549999995</v>
          </cell>
          <cell r="AW57">
            <v>1001.514907</v>
          </cell>
          <cell r="AX57">
            <v>1007.651659</v>
          </cell>
          <cell r="AY57">
            <v>1013.902685</v>
          </cell>
          <cell r="AZ57">
            <v>1020.269488</v>
          </cell>
          <cell r="BA57">
            <v>1237.1573539999999</v>
          </cell>
          <cell r="BB57">
            <v>1254.009609</v>
          </cell>
          <cell r="BC57">
            <v>1271.1806349999999</v>
          </cell>
          <cell r="BD57">
            <v>1288.672219</v>
          </cell>
          <cell r="BE57">
            <v>1306.4863780000001</v>
          </cell>
        </row>
        <row r="58">
          <cell r="B58">
            <v>1423.6033749999999</v>
          </cell>
          <cell r="C58">
            <v>1436.6242319999999</v>
          </cell>
          <cell r="D58">
            <v>1448.625546</v>
          </cell>
          <cell r="E58">
            <v>1459.8120819999999</v>
          </cell>
          <cell r="F58">
            <v>1470.4231990000001</v>
          </cell>
          <cell r="G58">
            <v>1480.7036089999999</v>
          </cell>
          <cell r="H58">
            <v>1490.821081</v>
          </cell>
          <cell r="I58">
            <v>1500.900218</v>
          </cell>
          <cell r="J58">
            <v>1511.0205679999999</v>
          </cell>
          <cell r="K58">
            <v>1521.218077</v>
          </cell>
          <cell r="L58">
            <v>1531.5659069999999</v>
          </cell>
          <cell r="M58">
            <v>1542.012964</v>
          </cell>
          <cell r="N58">
            <v>1552.48749</v>
          </cell>
          <cell r="O58">
            <v>1562.9176190000001</v>
          </cell>
          <cell r="P58">
            <v>1573.2360389999999</v>
          </cell>
          <cell r="Q58">
            <v>1583.3826240000001</v>
          </cell>
          <cell r="R58">
            <v>1593.3026090000001</v>
          </cell>
          <cell r="S58">
            <v>1602.9528</v>
          </cell>
          <cell r="T58">
            <v>1612.3037320000001</v>
          </cell>
          <cell r="U58">
            <v>1621.340017</v>
          </cell>
          <cell r="V58">
            <v>1630.008446</v>
          </cell>
          <cell r="W58">
            <v>1638.3323849999999</v>
          </cell>
          <cell r="X58">
            <v>1646.348236</v>
          </cell>
          <cell r="Y58">
            <v>1654.0952480000001</v>
          </cell>
          <cell r="Z58">
            <v>1661.615065</v>
          </cell>
          <cell r="AA58">
            <v>1668.810512</v>
          </cell>
          <cell r="AB58">
            <v>1675.699396</v>
          </cell>
          <cell r="AC58">
            <v>1682.3250439999999</v>
          </cell>
          <cell r="AD58">
            <v>1688.7357119999999</v>
          </cell>
          <cell r="AE58">
            <v>1694.980591</v>
          </cell>
          <cell r="AF58">
            <v>1701.108937</v>
          </cell>
          <cell r="AG58">
            <v>1707.169875</v>
          </cell>
          <cell r="AH58">
            <v>1713.2110709999999</v>
          </cell>
          <cell r="AI58">
            <v>1719.2773649999999</v>
          </cell>
          <cell r="AJ58">
            <v>1725.409768</v>
          </cell>
          <cell r="AK58">
            <v>1731.644814</v>
          </cell>
          <cell r="AL58">
            <v>1737.9870020000001</v>
          </cell>
          <cell r="AM58">
            <v>1744.4466170000001</v>
          </cell>
          <cell r="AN58">
            <v>1751.038339</v>
          </cell>
          <cell r="AO58">
            <v>1757.777004</v>
          </cell>
          <cell r="AP58">
            <v>1764.675659</v>
          </cell>
          <cell r="AQ58">
            <v>1771.7455950000001</v>
          </cell>
          <cell r="AR58">
            <v>1778.9964239999999</v>
          </cell>
          <cell r="AS58">
            <v>1786.435727</v>
          </cell>
          <cell r="AT58">
            <v>1794.0689520000001</v>
          </cell>
          <cell r="AU58">
            <v>1801.899449</v>
          </cell>
          <cell r="AV58">
            <v>1809.9325960000001</v>
          </cell>
          <cell r="AW58">
            <v>1818.1731600000001</v>
          </cell>
          <cell r="AX58">
            <v>1825.1717639999999</v>
          </cell>
          <cell r="AY58">
            <v>1829.7187590000001</v>
          </cell>
          <cell r="AZ58">
            <v>1833.385755</v>
          </cell>
          <cell r="BA58">
            <v>2311.4076319999999</v>
          </cell>
          <cell r="BB58">
            <v>2341.1783350000001</v>
          </cell>
          <cell r="BC58">
            <v>2371.645669</v>
          </cell>
          <cell r="BD58">
            <v>2402.8138439999998</v>
          </cell>
          <cell r="BE58">
            <v>2434.686631</v>
          </cell>
        </row>
        <row r="59">
          <cell r="B59">
            <v>1425.648733</v>
          </cell>
          <cell r="C59">
            <v>1441.8081520000001</v>
          </cell>
          <cell r="D59">
            <v>1457.556887</v>
          </cell>
          <cell r="E59">
            <v>1472.8330960000001</v>
          </cell>
          <cell r="F59">
            <v>1487.682603</v>
          </cell>
          <cell r="G59">
            <v>1502.1897819999999</v>
          </cell>
          <cell r="H59">
            <v>1516.393955</v>
          </cell>
          <cell r="I59">
            <v>1530.3289259999999</v>
          </cell>
          <cell r="J59">
            <v>1544.021066</v>
          </cell>
          <cell r="K59">
            <v>1557.4862820000001</v>
          </cell>
          <cell r="L59">
            <v>1570.8076860000001</v>
          </cell>
          <cell r="M59">
            <v>1583.9632340000001</v>
          </cell>
          <cell r="N59">
            <v>1596.9227289999999</v>
          </cell>
          <cell r="O59">
            <v>1609.6623569999999</v>
          </cell>
          <cell r="P59">
            <v>1622.1647809999999</v>
          </cell>
          <cell r="Q59">
            <v>1634.418392</v>
          </cell>
          <cell r="R59">
            <v>1646.417353</v>
          </cell>
          <cell r="S59">
            <v>1658.1620109999999</v>
          </cell>
          <cell r="T59">
            <v>1669.659177</v>
          </cell>
          <cell r="U59">
            <v>1680.922092</v>
          </cell>
          <cell r="V59">
            <v>1691.915919</v>
          </cell>
          <cell r="W59">
            <v>1702.679983</v>
          </cell>
          <cell r="X59">
            <v>1713.2602440000001</v>
          </cell>
          <cell r="Y59">
            <v>1723.7004589999999</v>
          </cell>
          <cell r="Z59">
            <v>1734.0428460000001</v>
          </cell>
          <cell r="AA59">
            <v>1744.1775889999999</v>
          </cell>
          <cell r="AB59">
            <v>1754.1152649999999</v>
          </cell>
          <cell r="AC59">
            <v>1763.8898340000001</v>
          </cell>
          <cell r="AD59">
            <v>1773.5393489999999</v>
          </cell>
          <cell r="AE59">
            <v>1783.1029410000001</v>
          </cell>
          <cell r="AF59">
            <v>1792.62041</v>
          </cell>
          <cell r="AG59">
            <v>1802.131684</v>
          </cell>
          <cell r="AH59">
            <v>1811.6759480000001</v>
          </cell>
          <cell r="AI59">
            <v>1821.2906599999999</v>
          </cell>
          <cell r="AJ59">
            <v>1831.0106490000001</v>
          </cell>
          <cell r="AK59">
            <v>1840.867426</v>
          </cell>
          <cell r="AL59">
            <v>1850.8543</v>
          </cell>
          <cell r="AM59">
            <v>1860.9698490000001</v>
          </cell>
          <cell r="AN59">
            <v>1871.2191519999999</v>
          </cell>
          <cell r="AO59">
            <v>1881.6104680000001</v>
          </cell>
          <cell r="AP59">
            <v>1892.1531379999999</v>
          </cell>
          <cell r="AQ59">
            <v>1902.856683</v>
          </cell>
          <cell r="AR59">
            <v>1913.73047</v>
          </cell>
          <cell r="AS59">
            <v>1924.7835439999999</v>
          </cell>
          <cell r="AT59">
            <v>1936.0244729999999</v>
          </cell>
          <cell r="AU59">
            <v>1947.461172</v>
          </cell>
          <cell r="AV59">
            <v>1959.103709</v>
          </cell>
          <cell r="AW59">
            <v>1970.9603529999999</v>
          </cell>
          <cell r="AX59">
            <v>1983.0373729999999</v>
          </cell>
          <cell r="AY59">
            <v>1995.339281</v>
          </cell>
          <cell r="AZ59">
            <v>2007.8690389999999</v>
          </cell>
          <cell r="BA59">
            <v>2348.0538369999999</v>
          </cell>
          <cell r="BB59">
            <v>2379.1126669999999</v>
          </cell>
          <cell r="BC59">
            <v>2410.8315600000001</v>
          </cell>
          <cell r="BD59">
            <v>2443.2137870000001</v>
          </cell>
          <cell r="BE59">
            <v>2476.2628920000002</v>
          </cell>
        </row>
        <row r="60">
          <cell r="B60">
            <v>517.53425909999999</v>
          </cell>
          <cell r="C60">
            <v>522.25201909999998</v>
          </cell>
          <cell r="D60">
            <v>526.58393260000003</v>
          </cell>
          <cell r="E60">
            <v>530.60508460000005</v>
          </cell>
          <cell r="F60">
            <v>534.40307110000003</v>
          </cell>
          <cell r="G60">
            <v>538.06735519999995</v>
          </cell>
          <cell r="H60">
            <v>541.65940049999995</v>
          </cell>
          <cell r="I60">
            <v>545.22494470000004</v>
          </cell>
          <cell r="J60">
            <v>548.79334410000001</v>
          </cell>
          <cell r="K60">
            <v>552.37812350000002</v>
          </cell>
          <cell r="L60">
            <v>556.0062676</v>
          </cell>
          <cell r="M60">
            <v>559.65974349999999</v>
          </cell>
          <cell r="N60">
            <v>563.31300920000001</v>
          </cell>
          <cell r="O60">
            <v>566.94051330000002</v>
          </cell>
          <cell r="P60">
            <v>570.51837890000002</v>
          </cell>
          <cell r="Q60">
            <v>574.02535279999995</v>
          </cell>
          <cell r="R60">
            <v>577.44213920000004</v>
          </cell>
          <cell r="S60">
            <v>580.75358570000003</v>
          </cell>
          <cell r="T60">
            <v>583.94951140000001</v>
          </cell>
          <cell r="U60">
            <v>587.02482199999997</v>
          </cell>
          <cell r="V60">
            <v>589.96078490000002</v>
          </cell>
          <cell r="W60">
            <v>592.76628679999999</v>
          </cell>
          <cell r="X60">
            <v>595.45489410000005</v>
          </cell>
          <cell r="Y60">
            <v>598.04117269999995</v>
          </cell>
          <cell r="Z60">
            <v>600.54052149999995</v>
          </cell>
          <cell r="AA60">
            <v>602.9183587</v>
          </cell>
          <cell r="AB60">
            <v>605.18149110000002</v>
          </cell>
          <cell r="AC60">
            <v>607.345911</v>
          </cell>
          <cell r="AD60">
            <v>609.42934600000001</v>
          </cell>
          <cell r="AE60">
            <v>611.44982549999997</v>
          </cell>
          <cell r="AF60">
            <v>613.4253635</v>
          </cell>
          <cell r="AG60">
            <v>615.37389150000001</v>
          </cell>
          <cell r="AH60">
            <v>617.31279319999999</v>
          </cell>
          <cell r="AI60">
            <v>619.25840310000001</v>
          </cell>
          <cell r="AJ60">
            <v>621.22564720000003</v>
          </cell>
          <cell r="AK60">
            <v>623.22781469999995</v>
          </cell>
          <cell r="AL60">
            <v>625.26668819999998</v>
          </cell>
          <cell r="AM60">
            <v>627.34622309999997</v>
          </cell>
          <cell r="AN60">
            <v>629.47191959999998</v>
          </cell>
          <cell r="AO60">
            <v>631.64930809999998</v>
          </cell>
          <cell r="AP60">
            <v>633.88324980000004</v>
          </cell>
          <cell r="AQ60">
            <v>636.17795420000004</v>
          </cell>
          <cell r="AR60">
            <v>638.53702469999996</v>
          </cell>
          <cell r="AS60">
            <v>640.96331580000003</v>
          </cell>
          <cell r="AT60">
            <v>643.45889790000001</v>
          </cell>
          <cell r="AU60">
            <v>646.02507160000005</v>
          </cell>
          <cell r="AV60">
            <v>648.66384289999996</v>
          </cell>
          <cell r="AW60">
            <v>651.37704699999995</v>
          </cell>
          <cell r="AX60">
            <v>653.9519957</v>
          </cell>
          <cell r="AY60">
            <v>656.32472570000004</v>
          </cell>
          <cell r="AZ60">
            <v>658.48370580000005</v>
          </cell>
          <cell r="BA60">
            <v>826.75095950000002</v>
          </cell>
          <cell r="BB60">
            <v>837.11272180000003</v>
          </cell>
          <cell r="BC60">
            <v>847.72050979999995</v>
          </cell>
          <cell r="BD60">
            <v>858.57579580000004</v>
          </cell>
          <cell r="BE60">
            <v>869.67987830000004</v>
          </cell>
        </row>
        <row r="61">
          <cell r="B61">
            <v>518.27781619999996</v>
          </cell>
          <cell r="C61">
            <v>524.15244829999995</v>
          </cell>
          <cell r="D61">
            <v>529.87778370000001</v>
          </cell>
          <cell r="E61">
            <v>535.4313373</v>
          </cell>
          <cell r="F61">
            <v>540.82976659999997</v>
          </cell>
          <cell r="G61">
            <v>546.10374439999998</v>
          </cell>
          <cell r="H61">
            <v>551.26756520000004</v>
          </cell>
          <cell r="I61">
            <v>556.33351819999996</v>
          </cell>
          <cell r="J61">
            <v>561.3111907</v>
          </cell>
          <cell r="K61">
            <v>566.20636500000001</v>
          </cell>
          <cell r="L61">
            <v>571.0492557</v>
          </cell>
          <cell r="M61">
            <v>575.83184870000002</v>
          </cell>
          <cell r="N61">
            <v>580.54316670000003</v>
          </cell>
          <cell r="O61">
            <v>585.17455180000002</v>
          </cell>
          <cell r="P61">
            <v>589.71970199999998</v>
          </cell>
          <cell r="Q61">
            <v>594.17439630000001</v>
          </cell>
          <cell r="R61">
            <v>598.5365137</v>
          </cell>
          <cell r="S61">
            <v>602.80617949999998</v>
          </cell>
          <cell r="T61">
            <v>606.98587029999999</v>
          </cell>
          <cell r="U61">
            <v>611.08039980000001</v>
          </cell>
          <cell r="V61">
            <v>615.07710299999997</v>
          </cell>
          <cell r="W61">
            <v>618.99027669999998</v>
          </cell>
          <cell r="X61">
            <v>622.83662879999997</v>
          </cell>
          <cell r="Y61">
            <v>626.63206730000002</v>
          </cell>
          <cell r="Z61">
            <v>630.39193939999996</v>
          </cell>
          <cell r="AA61">
            <v>634.07632330000001</v>
          </cell>
          <cell r="AB61">
            <v>637.68906430000004</v>
          </cell>
          <cell r="AC61">
            <v>641.24250789999996</v>
          </cell>
          <cell r="AD61">
            <v>644.75048800000002</v>
          </cell>
          <cell r="AE61">
            <v>648.22723069999995</v>
          </cell>
          <cell r="AF61">
            <v>651.68720440000004</v>
          </cell>
          <cell r="AG61">
            <v>655.14492459999997</v>
          </cell>
          <cell r="AH61">
            <v>658.61463730000003</v>
          </cell>
          <cell r="AI61">
            <v>662.10995939999998</v>
          </cell>
          <cell r="AJ61">
            <v>665.64355269999999</v>
          </cell>
          <cell r="AK61">
            <v>669.22687269999994</v>
          </cell>
          <cell r="AL61">
            <v>672.85748750000005</v>
          </cell>
          <cell r="AM61">
            <v>676.53487970000003</v>
          </cell>
          <cell r="AN61">
            <v>680.26089609999997</v>
          </cell>
          <cell r="AO61">
            <v>684.03853930000002</v>
          </cell>
          <cell r="AP61">
            <v>687.87120470000002</v>
          </cell>
          <cell r="AQ61">
            <v>691.76235399999996</v>
          </cell>
          <cell r="AR61">
            <v>695.71539240000004</v>
          </cell>
          <cell r="AS61">
            <v>699.73360809999997</v>
          </cell>
          <cell r="AT61">
            <v>703.82011609999995</v>
          </cell>
          <cell r="AU61">
            <v>707.97779370000001</v>
          </cell>
          <cell r="AV61">
            <v>712.21030099999996</v>
          </cell>
          <cell r="AW61">
            <v>716.5206445</v>
          </cell>
          <cell r="AX61">
            <v>720.91110270000001</v>
          </cell>
          <cell r="AY61">
            <v>725.38331659999994</v>
          </cell>
          <cell r="AZ61">
            <v>729.9383626</v>
          </cell>
          <cell r="BA61">
            <v>843.12812159999999</v>
          </cell>
          <cell r="BB61">
            <v>854.19711310000002</v>
          </cell>
          <cell r="BC61">
            <v>865.50899930000003</v>
          </cell>
          <cell r="BD61">
            <v>877.06487609999999</v>
          </cell>
          <cell r="BE61">
            <v>888.86592389999998</v>
          </cell>
        </row>
        <row r="62">
          <cell r="B62">
            <v>3984.0567390000001</v>
          </cell>
          <cell r="C62">
            <v>4019.3435340000001</v>
          </cell>
          <cell r="D62">
            <v>4050.744612</v>
          </cell>
          <cell r="E62">
            <v>4078.9450900000002</v>
          </cell>
          <cell r="F62">
            <v>4104.7166989999996</v>
          </cell>
          <cell r="G62">
            <v>4128.8359609999998</v>
          </cell>
          <cell r="H62">
            <v>4151.8579559999998</v>
          </cell>
          <cell r="I62">
            <v>4174.2118119999996</v>
          </cell>
          <cell r="J62">
            <v>4196.1965810000002</v>
          </cell>
          <cell r="K62">
            <v>4217.9866249999995</v>
          </cell>
          <cell r="L62">
            <v>4239.8528120000001</v>
          </cell>
          <cell r="M62">
            <v>4261.7233029999998</v>
          </cell>
          <cell r="N62">
            <v>4283.4687350000004</v>
          </cell>
          <cell r="O62">
            <v>4304.9565830000001</v>
          </cell>
          <cell r="P62">
            <v>4326.0636720000002</v>
          </cell>
          <cell r="Q62">
            <v>4346.6831229999998</v>
          </cell>
          <cell r="R62">
            <v>4366.7192500000001</v>
          </cell>
          <cell r="S62">
            <v>4386.1057490000003</v>
          </cell>
          <cell r="T62">
            <v>4404.8096349999996</v>
          </cell>
          <cell r="U62">
            <v>4422.8320299999996</v>
          </cell>
          <cell r="V62">
            <v>4440.068929</v>
          </cell>
          <cell r="W62">
            <v>4456.6181239999996</v>
          </cell>
          <cell r="X62">
            <v>4472.6085199999998</v>
          </cell>
          <cell r="Y62">
            <v>4488.1730900000002</v>
          </cell>
          <cell r="Z62">
            <v>4503.4478600000002</v>
          </cell>
          <cell r="AA62">
            <v>4518.1942150000004</v>
          </cell>
          <cell r="AB62">
            <v>4532.4783660000003</v>
          </cell>
          <cell r="AC62">
            <v>4546.4311269999998</v>
          </cell>
          <cell r="AD62">
            <v>4560.1939510000002</v>
          </cell>
          <cell r="AE62">
            <v>4573.9085089999999</v>
          </cell>
          <cell r="AF62">
            <v>4587.7145620000001</v>
          </cell>
          <cell r="AG62">
            <v>4601.7496879999999</v>
          </cell>
          <cell r="AH62">
            <v>4616.145501</v>
          </cell>
          <cell r="AI62">
            <v>4631.0246379999999</v>
          </cell>
          <cell r="AJ62">
            <v>4646.498216</v>
          </cell>
          <cell r="AK62">
            <v>4662.6642529999999</v>
          </cell>
          <cell r="AL62">
            <v>4679.5336159999997</v>
          </cell>
          <cell r="AM62">
            <v>4697.1279709999999</v>
          </cell>
          <cell r="AN62">
            <v>4715.4801710000002</v>
          </cell>
          <cell r="AO62">
            <v>4734.6229830000002</v>
          </cell>
          <cell r="AP62">
            <v>4754.5838990000002</v>
          </cell>
          <cell r="AQ62">
            <v>4775.3853250000002</v>
          </cell>
          <cell r="AR62">
            <v>4797.0441989999999</v>
          </cell>
          <cell r="AS62">
            <v>4819.5717699999996</v>
          </cell>
          <cell r="AT62">
            <v>4842.9733420000002</v>
          </cell>
          <cell r="AU62">
            <v>4867.2484109999996</v>
          </cell>
          <cell r="AV62">
            <v>4892.4019209999997</v>
          </cell>
          <cell r="AW62">
            <v>4918.4350000000004</v>
          </cell>
          <cell r="AX62">
            <v>4942.852081</v>
          </cell>
          <cell r="AY62">
            <v>4964.1063160000003</v>
          </cell>
          <cell r="AZ62">
            <v>4983.6981939999996</v>
          </cell>
          <cell r="BA62">
            <v>6279.5823499999997</v>
          </cell>
          <cell r="BB62">
            <v>6367.1195879999996</v>
          </cell>
          <cell r="BC62">
            <v>6456.9473399999997</v>
          </cell>
          <cell r="BD62">
            <v>6549.0697090000003</v>
          </cell>
          <cell r="BE62">
            <v>6643.4899400000004</v>
          </cell>
        </row>
        <row r="63">
          <cell r="B63">
            <v>3989.7810380000001</v>
          </cell>
          <cell r="C63">
            <v>4035.0048449999999</v>
          </cell>
          <cell r="D63">
            <v>4079.0793429999999</v>
          </cell>
          <cell r="E63">
            <v>4121.8314389999996</v>
          </cell>
          <cell r="F63">
            <v>4163.3893639999997</v>
          </cell>
          <cell r="G63">
            <v>4203.989243</v>
          </cell>
          <cell r="H63">
            <v>4243.7411160000001</v>
          </cell>
          <cell r="I63">
            <v>4282.7395889999998</v>
          </cell>
          <cell r="J63">
            <v>4321.0584650000001</v>
          </cell>
          <cell r="K63">
            <v>4358.7422569999999</v>
          </cell>
          <cell r="L63">
            <v>4396.0235629999997</v>
          </cell>
          <cell r="M63">
            <v>4432.8406869999999</v>
          </cell>
          <cell r="N63">
            <v>4469.1091260000003</v>
          </cell>
          <cell r="O63">
            <v>4504.7622289999999</v>
          </cell>
          <cell r="P63">
            <v>4539.751483</v>
          </cell>
          <cell r="Q63">
            <v>4574.0443939999996</v>
          </cell>
          <cell r="R63">
            <v>4607.6246339999998</v>
          </cell>
          <cell r="S63">
            <v>4640.4931669999996</v>
          </cell>
          <cell r="T63">
            <v>4672.6690589999998</v>
          </cell>
          <cell r="U63">
            <v>4704.1893659999996</v>
          </cell>
          <cell r="V63">
            <v>4734.9565919999995</v>
          </cell>
          <cell r="W63">
            <v>4765.0807960000002</v>
          </cell>
          <cell r="X63">
            <v>4794.6905960000004</v>
          </cell>
          <cell r="Y63">
            <v>4823.9084560000001</v>
          </cell>
          <cell r="Z63">
            <v>4852.8525200000004</v>
          </cell>
          <cell r="AA63">
            <v>4881.2154650000002</v>
          </cell>
          <cell r="AB63">
            <v>4909.0268910000004</v>
          </cell>
          <cell r="AC63">
            <v>4936.3818380000002</v>
          </cell>
          <cell r="AD63">
            <v>4963.3867989999999</v>
          </cell>
          <cell r="AE63">
            <v>4990.1512910000001</v>
          </cell>
          <cell r="AF63">
            <v>5016.7866910000002</v>
          </cell>
          <cell r="AG63">
            <v>5043.4047449999998</v>
          </cell>
          <cell r="AH63">
            <v>5070.1151179999997</v>
          </cell>
          <cell r="AI63">
            <v>5097.022637</v>
          </cell>
          <cell r="AJ63">
            <v>5124.2247719999996</v>
          </cell>
          <cell r="AK63">
            <v>5151.8097120000002</v>
          </cell>
          <cell r="AL63">
            <v>5179.758734</v>
          </cell>
          <cell r="AM63">
            <v>5208.0678550000002</v>
          </cell>
          <cell r="AN63">
            <v>5236.7512930000003</v>
          </cell>
          <cell r="AO63">
            <v>5265.8321619999997</v>
          </cell>
          <cell r="AP63">
            <v>5295.3365999999996</v>
          </cell>
          <cell r="AQ63">
            <v>5325.2912560000004</v>
          </cell>
          <cell r="AR63">
            <v>5355.7223430000004</v>
          </cell>
          <cell r="AS63">
            <v>5386.6551760000002</v>
          </cell>
          <cell r="AT63">
            <v>5418.1137330000001</v>
          </cell>
          <cell r="AU63">
            <v>5450.1201639999999</v>
          </cell>
          <cell r="AV63">
            <v>5482.7026459999997</v>
          </cell>
          <cell r="AW63">
            <v>5515.8843219999999</v>
          </cell>
          <cell r="AX63">
            <v>5549.6827329999996</v>
          </cell>
          <cell r="AY63">
            <v>5584.1105129999996</v>
          </cell>
          <cell r="AZ63">
            <v>5619.175945</v>
          </cell>
          <cell r="BA63">
            <v>6275.9039229999998</v>
          </cell>
          <cell r="BB63">
            <v>6358.980654</v>
          </cell>
          <cell r="BC63">
            <v>6443.9139329999998</v>
          </cell>
          <cell r="BD63">
            <v>6530.7056890000003</v>
          </cell>
          <cell r="BE63">
            <v>6619.3587230000003</v>
          </cell>
        </row>
        <row r="64">
          <cell r="B64">
            <v>4696.1317259999996</v>
          </cell>
          <cell r="C64">
            <v>4743.944399</v>
          </cell>
          <cell r="D64">
            <v>4790.5076449999997</v>
          </cell>
          <cell r="E64">
            <v>4836.3939289999998</v>
          </cell>
          <cell r="F64">
            <v>4882.1656460000004</v>
          </cell>
          <cell r="G64">
            <v>4928.3292860000001</v>
          </cell>
          <cell r="H64">
            <v>4975.0583329999999</v>
          </cell>
          <cell r="I64">
            <v>5022.465287</v>
          </cell>
          <cell r="J64">
            <v>5070.6256249999997</v>
          </cell>
          <cell r="K64">
            <v>5119.5666149999997</v>
          </cell>
          <cell r="L64">
            <v>5169.6374150000001</v>
          </cell>
          <cell r="M64">
            <v>5220.6469470000002</v>
          </cell>
          <cell r="N64">
            <v>5272.3507559999998</v>
          </cell>
          <cell r="O64">
            <v>5324.5363699999998</v>
          </cell>
          <cell r="P64">
            <v>5377.0241839999999</v>
          </cell>
          <cell r="Q64">
            <v>5429.6605040000004</v>
          </cell>
          <cell r="R64">
            <v>5482.2962049999996</v>
          </cell>
          <cell r="S64">
            <v>5534.8120040000003</v>
          </cell>
          <cell r="T64">
            <v>5587.1198180000001</v>
          </cell>
          <cell r="U64">
            <v>5639.1622360000001</v>
          </cell>
          <cell r="V64">
            <v>5690.6547039999996</v>
          </cell>
          <cell r="W64">
            <v>5741.6663230000004</v>
          </cell>
          <cell r="X64">
            <v>5792.305848</v>
          </cell>
          <cell r="Y64">
            <v>5842.668447</v>
          </cell>
          <cell r="Z64">
            <v>5892.8390849999996</v>
          </cell>
          <cell r="AA64">
            <v>5942.1938920000002</v>
          </cell>
          <cell r="AB64">
            <v>5990.6908860000003</v>
          </cell>
          <cell r="AC64">
            <v>6038.425561</v>
          </cell>
          <cell r="AD64">
            <v>6085.5163329999996</v>
          </cell>
          <cell r="AE64">
            <v>6132.081792</v>
          </cell>
          <cell r="AF64">
            <v>6178.237024</v>
          </cell>
          <cell r="AG64">
            <v>6224.0983660000002</v>
          </cell>
          <cell r="AH64">
            <v>6269.7780489999996</v>
          </cell>
          <cell r="AI64">
            <v>6315.3827629999996</v>
          </cell>
          <cell r="AJ64">
            <v>6361.0122220000003</v>
          </cell>
          <cell r="AK64">
            <v>6406.7581099999998</v>
          </cell>
          <cell r="AL64">
            <v>6452.5849989999997</v>
          </cell>
          <cell r="AM64">
            <v>6498.4807430000001</v>
          </cell>
          <cell r="AN64">
            <v>6544.4656100000002</v>
          </cell>
          <cell r="AO64">
            <v>6590.5749999999998</v>
          </cell>
          <cell r="AP64">
            <v>6636.8485119999996</v>
          </cell>
          <cell r="AQ64">
            <v>6683.3301369999999</v>
          </cell>
          <cell r="AR64">
            <v>6730.0598929999996</v>
          </cell>
          <cell r="AS64">
            <v>6777.0732090000001</v>
          </cell>
          <cell r="AT64">
            <v>6824.400944</v>
          </cell>
          <cell r="AU64">
            <v>6872.0697469999996</v>
          </cell>
          <cell r="AV64">
            <v>6920.1321049999997</v>
          </cell>
          <cell r="AW64">
            <v>6968.628764</v>
          </cell>
          <cell r="AX64">
            <v>7015.0253210000001</v>
          </cell>
          <cell r="AY64">
            <v>7058.4859230000002</v>
          </cell>
          <cell r="AZ64">
            <v>7098.9772999999996</v>
          </cell>
          <cell r="BA64">
            <v>7835.2333630000003</v>
          </cell>
          <cell r="BB64">
            <v>7924.841547</v>
          </cell>
          <cell r="BC64">
            <v>8016.2188239999996</v>
          </cell>
          <cell r="BD64">
            <v>8109.3837100000001</v>
          </cell>
          <cell r="BE64">
            <v>8204.3534830000008</v>
          </cell>
        </row>
        <row r="65">
          <cell r="B65">
            <v>4700.1422009999997</v>
          </cell>
          <cell r="C65">
            <v>4754.0070809999997</v>
          </cell>
          <cell r="D65">
            <v>4807.8066920000001</v>
          </cell>
          <cell r="E65">
            <v>4861.5721210000002</v>
          </cell>
          <cell r="F65">
            <v>4915.4427450000003</v>
          </cell>
          <cell r="G65">
            <v>4969.576583</v>
          </cell>
          <cell r="H65">
            <v>5023.8799079999999</v>
          </cell>
          <cell r="I65">
            <v>5078.2780759999996</v>
          </cell>
          <cell r="J65">
            <v>5132.7306289999997</v>
          </cell>
          <cell r="K65">
            <v>5187.2087259999998</v>
          </cell>
          <cell r="L65">
            <v>5242.0624859999998</v>
          </cell>
          <cell r="M65">
            <v>5297.1458720000001</v>
          </cell>
          <cell r="N65">
            <v>5352.2808130000003</v>
          </cell>
          <cell r="O65">
            <v>5407.3346490000004</v>
          </cell>
          <cell r="P65">
            <v>5462.2137480000001</v>
          </cell>
          <cell r="Q65">
            <v>5516.8506029999999</v>
          </cell>
          <cell r="R65">
            <v>5571.1965149999996</v>
          </cell>
          <cell r="S65">
            <v>5625.2186369999999</v>
          </cell>
          <cell r="T65">
            <v>5678.8989899999997</v>
          </cell>
          <cell r="U65">
            <v>5732.2339110000003</v>
          </cell>
          <cell r="V65">
            <v>5784.9721570000002</v>
          </cell>
          <cell r="W65">
            <v>5837.2102940000004</v>
          </cell>
          <cell r="X65">
            <v>5889.0718989999996</v>
          </cell>
          <cell r="Y65">
            <v>5940.656637</v>
          </cell>
          <cell r="Z65">
            <v>5992.0457829999996</v>
          </cell>
          <cell r="AA65">
            <v>6042.5891410000004</v>
          </cell>
          <cell r="AB65">
            <v>6092.2210109999996</v>
          </cell>
          <cell r="AC65">
            <v>6141.0121680000002</v>
          </cell>
          <cell r="AD65">
            <v>6189.0564240000003</v>
          </cell>
          <cell r="AE65">
            <v>6236.4489219999996</v>
          </cell>
          <cell r="AF65">
            <v>6283.2839000000004</v>
          </cell>
          <cell r="AG65">
            <v>6329.6548380000004</v>
          </cell>
          <cell r="AH65">
            <v>6375.6538119999996</v>
          </cell>
          <cell r="AI65">
            <v>6421.3701259999998</v>
          </cell>
          <cell r="AJ65">
            <v>6466.8887279999999</v>
          </cell>
          <cell r="AK65">
            <v>6512.2888039999998</v>
          </cell>
          <cell r="AL65">
            <v>6557.4838280000004</v>
          </cell>
          <cell r="AM65">
            <v>6602.4250380000003</v>
          </cell>
          <cell r="AN65">
            <v>6647.1103419999999</v>
          </cell>
          <cell r="AO65">
            <v>6691.56477</v>
          </cell>
          <cell r="AP65">
            <v>6735.8259790000002</v>
          </cell>
          <cell r="AQ65">
            <v>6779.9366689999997</v>
          </cell>
          <cell r="AR65">
            <v>6823.9411</v>
          </cell>
          <cell r="AS65">
            <v>6867.8835239999999</v>
          </cell>
          <cell r="AT65">
            <v>6911.8073700000004</v>
          </cell>
          <cell r="AU65">
            <v>6955.7546810000003</v>
          </cell>
          <cell r="AV65">
            <v>6999.7788950000004</v>
          </cell>
          <cell r="AW65">
            <v>7043.9274299999997</v>
          </cell>
          <cell r="AX65">
            <v>7088.2406810000002</v>
          </cell>
          <cell r="AY65">
            <v>7132.7534809999997</v>
          </cell>
          <cell r="AZ65">
            <v>7177.496255</v>
          </cell>
          <cell r="BA65">
            <v>7874.7870460000004</v>
          </cell>
          <cell r="BB65">
            <v>7959.7424099999998</v>
          </cell>
          <cell r="BC65">
            <v>8045.8550219999997</v>
          </cell>
          <cell r="BD65">
            <v>8133.1440060000004</v>
          </cell>
          <cell r="BE65">
            <v>8221.6304949999994</v>
          </cell>
        </row>
        <row r="66">
          <cell r="B66">
            <v>65.079765109999997</v>
          </cell>
          <cell r="C66">
            <v>65.67769285</v>
          </cell>
          <cell r="D66">
            <v>66.231876249999999</v>
          </cell>
          <cell r="E66">
            <v>66.751850270000006</v>
          </cell>
          <cell r="F66">
            <v>67.248723200000001</v>
          </cell>
          <cell r="G66">
            <v>67.733845149999993</v>
          </cell>
          <cell r="H66">
            <v>68.215037929999994</v>
          </cell>
          <cell r="I66">
            <v>68.698147539999994</v>
          </cell>
          <cell r="J66">
            <v>69.186945820000005</v>
          </cell>
          <cell r="K66">
            <v>69.683192469999995</v>
          </cell>
          <cell r="L66">
            <v>70.190351629999995</v>
          </cell>
          <cell r="M66">
            <v>70.706155460000005</v>
          </cell>
          <cell r="N66">
            <v>71.227394410000002</v>
          </cell>
          <cell r="O66">
            <v>71.750828429999999</v>
          </cell>
          <cell r="P66">
            <v>72.273402189999999</v>
          </cell>
          <cell r="Q66">
            <v>72.792367859999999</v>
          </cell>
          <cell r="R66">
            <v>73.305201800000006</v>
          </cell>
          <cell r="S66">
            <v>73.809928880000001</v>
          </cell>
          <cell r="T66">
            <v>74.305189260000006</v>
          </cell>
          <cell r="U66">
            <v>74.790258249999994</v>
          </cell>
          <cell r="V66">
            <v>75.262629540000006</v>
          </cell>
          <cell r="W66">
            <v>75.723349949999999</v>
          </cell>
          <cell r="X66">
            <v>76.174067010000002</v>
          </cell>
          <cell r="Y66">
            <v>76.616558380000001</v>
          </cell>
          <cell r="Z66">
            <v>77.052712670000005</v>
          </cell>
          <cell r="AA66">
            <v>77.477891099999994</v>
          </cell>
          <cell r="AB66">
            <v>77.892839170000002</v>
          </cell>
          <cell r="AC66">
            <v>78.299483170000002</v>
          </cell>
          <cell r="AD66">
            <v>78.699986850000002</v>
          </cell>
          <cell r="AE66">
            <v>79.096565560000002</v>
          </cell>
          <cell r="AF66">
            <v>79.491445959999993</v>
          </cell>
          <cell r="AG66">
            <v>79.88685821</v>
          </cell>
          <cell r="AH66">
            <v>80.284964239999994</v>
          </cell>
          <cell r="AI66">
            <v>80.687802989999994</v>
          </cell>
          <cell r="AJ66">
            <v>81.097242109999996</v>
          </cell>
          <cell r="AK66">
            <v>81.514946550000005</v>
          </cell>
          <cell r="AL66">
            <v>81.941055829999996</v>
          </cell>
          <cell r="AM66">
            <v>82.375906060000005</v>
          </cell>
          <cell r="AN66">
            <v>82.820054589999998</v>
          </cell>
          <cell r="AO66">
            <v>83.274077759999997</v>
          </cell>
          <cell r="AP66">
            <v>83.738476640000002</v>
          </cell>
          <cell r="AQ66">
            <v>84.213678560000005</v>
          </cell>
          <cell r="AR66">
            <v>84.700025839999995</v>
          </cell>
          <cell r="AS66">
            <v>85.197773319999996</v>
          </cell>
          <cell r="AT66">
            <v>85.707082409999998</v>
          </cell>
          <cell r="AU66">
            <v>86.228022109999998</v>
          </cell>
          <cell r="AV66">
            <v>86.76076956</v>
          </cell>
          <cell r="AW66">
            <v>87.305432569999994</v>
          </cell>
          <cell r="AX66">
            <v>87.037427030000003</v>
          </cell>
          <cell r="AY66">
            <v>85.152580959999995</v>
          </cell>
          <cell r="AZ66">
            <v>83.016858220000003</v>
          </cell>
          <cell r="BA66">
            <v>111.85405609999999</v>
          </cell>
          <cell r="BB66">
            <v>113.4873051</v>
          </cell>
          <cell r="BC66">
            <v>115.1586001</v>
          </cell>
          <cell r="BD66">
            <v>116.8681406</v>
          </cell>
          <cell r="BE66">
            <v>118.6161168</v>
          </cell>
        </row>
        <row r="67">
          <cell r="B67">
            <v>65.173266569999996</v>
          </cell>
          <cell r="C67">
            <v>65.911999640000005</v>
          </cell>
          <cell r="D67">
            <v>66.631958710000006</v>
          </cell>
          <cell r="E67">
            <v>67.330316269999997</v>
          </cell>
          <cell r="F67">
            <v>68.009166989999997</v>
          </cell>
          <cell r="G67">
            <v>68.672367969999996</v>
          </cell>
          <cell r="H67">
            <v>69.321716760000001</v>
          </cell>
          <cell r="I67">
            <v>69.958758700000004</v>
          </cell>
          <cell r="J67">
            <v>70.584699400000005</v>
          </cell>
          <cell r="K67">
            <v>71.200265970000004</v>
          </cell>
          <cell r="L67">
            <v>71.809257889999998</v>
          </cell>
          <cell r="M67">
            <v>72.410667410000002</v>
          </cell>
          <cell r="N67">
            <v>73.003114109999999</v>
          </cell>
          <cell r="O67">
            <v>73.585509279999997</v>
          </cell>
          <cell r="P67">
            <v>74.157060439999995</v>
          </cell>
          <cell r="Q67">
            <v>74.717236799999995</v>
          </cell>
          <cell r="R67">
            <v>75.265771639999997</v>
          </cell>
          <cell r="S67">
            <v>75.802680719999998</v>
          </cell>
          <cell r="T67">
            <v>76.328275480000002</v>
          </cell>
          <cell r="U67">
            <v>76.843161219999999</v>
          </cell>
          <cell r="V67">
            <v>77.345745359999995</v>
          </cell>
          <cell r="W67">
            <v>77.837825670000001</v>
          </cell>
          <cell r="X67">
            <v>78.321503199999995</v>
          </cell>
          <cell r="Y67">
            <v>78.798778350000006</v>
          </cell>
          <cell r="Z67">
            <v>79.271581040000001</v>
          </cell>
          <cell r="AA67">
            <v>79.73489112</v>
          </cell>
          <cell r="AB67">
            <v>80.189192120000001</v>
          </cell>
          <cell r="AC67">
            <v>80.636036500000003</v>
          </cell>
          <cell r="AD67">
            <v>81.077163850000005</v>
          </cell>
          <cell r="AE67">
            <v>81.514363119999999</v>
          </cell>
          <cell r="AF67">
            <v>81.949453680000005</v>
          </cell>
          <cell r="AG67">
            <v>82.384260870000006</v>
          </cell>
          <cell r="AH67">
            <v>82.820576110000005</v>
          </cell>
          <cell r="AI67">
            <v>83.260111730000006</v>
          </cell>
          <cell r="AJ67">
            <v>83.704459929999999</v>
          </cell>
          <cell r="AK67">
            <v>84.155061259999997</v>
          </cell>
          <cell r="AL67">
            <v>84.611609889999997</v>
          </cell>
          <cell r="AM67">
            <v>85.074040760000003</v>
          </cell>
          <cell r="AN67">
            <v>85.542586110000002</v>
          </cell>
          <cell r="AO67">
            <v>86.017623499999999</v>
          </cell>
          <cell r="AP67">
            <v>86.499579929999996</v>
          </cell>
          <cell r="AQ67">
            <v>86.988890690000005</v>
          </cell>
          <cell r="AR67">
            <v>87.48598398</v>
          </cell>
          <cell r="AS67">
            <v>87.991273289999995</v>
          </cell>
          <cell r="AT67">
            <v>88.50515034</v>
          </cell>
          <cell r="AU67">
            <v>89.027976949999996</v>
          </cell>
          <cell r="AV67">
            <v>89.560213360000006</v>
          </cell>
          <cell r="AW67">
            <v>90.10223766</v>
          </cell>
          <cell r="AX67">
            <v>90.654336349999994</v>
          </cell>
          <cell r="AY67">
            <v>91.216715789999995</v>
          </cell>
          <cell r="AZ67">
            <v>91.789511329999996</v>
          </cell>
          <cell r="BA67">
            <v>111.3020337</v>
          </cell>
          <cell r="BB67">
            <v>112.8181628</v>
          </cell>
          <cell r="BC67">
            <v>114.36297039999999</v>
          </cell>
          <cell r="BD67">
            <v>115.93661729999999</v>
          </cell>
          <cell r="BE67">
            <v>117.53928500000001</v>
          </cell>
        </row>
      </sheetData>
      <sheetData sheetId="6">
        <row r="3">
          <cell r="F3">
            <v>32317.940999999999</v>
          </cell>
          <cell r="G3">
            <v>31905.20335</v>
          </cell>
          <cell r="H3">
            <v>31663.351549999999</v>
          </cell>
          <cell r="I3">
            <v>31542.86908</v>
          </cell>
          <cell r="J3">
            <v>31510.152150000002</v>
          </cell>
          <cell r="K3">
            <v>31545.604169999999</v>
          </cell>
          <cell r="L3">
            <v>31634.046709999999</v>
          </cell>
          <cell r="M3">
            <v>31769.000759999999</v>
          </cell>
          <cell r="N3">
            <v>31946.26728</v>
          </cell>
          <cell r="O3">
            <v>32162.200939999999</v>
          </cell>
          <cell r="P3">
            <v>32419.88521</v>
          </cell>
          <cell r="Q3">
            <v>32707.966329999999</v>
          </cell>
          <cell r="R3">
            <v>33021.996570000003</v>
          </cell>
          <cell r="S3">
            <v>33357.791989999998</v>
          </cell>
          <cell r="T3">
            <v>33710.488239999999</v>
          </cell>
          <cell r="U3">
            <v>34075.498390000001</v>
          </cell>
          <cell r="V3">
            <v>34448.433559999998</v>
          </cell>
          <cell r="W3">
            <v>34825.572090000001</v>
          </cell>
          <cell r="X3">
            <v>35203.886059999997</v>
          </cell>
          <cell r="Y3">
            <v>35580.936329999997</v>
          </cell>
          <cell r="Z3">
            <v>35949.959170000002</v>
          </cell>
          <cell r="AA3">
            <v>36315.172330000001</v>
          </cell>
          <cell r="AB3">
            <v>36675.858500000002</v>
          </cell>
          <cell r="AC3">
            <v>37031.362880000001</v>
          </cell>
          <cell r="AD3">
            <v>37381.756309999997</v>
          </cell>
          <cell r="AE3">
            <v>37713.340470000003</v>
          </cell>
          <cell r="AF3">
            <v>38035.570200000002</v>
          </cell>
          <cell r="AG3">
            <v>38349.820630000002</v>
          </cell>
          <cell r="AH3">
            <v>38656.641609999999</v>
          </cell>
          <cell r="AI3">
            <v>38957.358560000001</v>
          </cell>
          <cell r="AJ3">
            <v>39253.17974</v>
          </cell>
          <cell r="AK3">
            <v>39545.244680000003</v>
          </cell>
          <cell r="AL3">
            <v>39834.565560000003</v>
          </cell>
          <cell r="AM3">
            <v>40122.053740000003</v>
          </cell>
          <cell r="AN3">
            <v>40408.564709999999</v>
          </cell>
          <cell r="AO3">
            <v>40694.886910000001</v>
          </cell>
          <cell r="AP3">
            <v>40978.960760000002</v>
          </cell>
          <cell r="AQ3">
            <v>41261.867039999997</v>
          </cell>
          <cell r="AR3">
            <v>41544.347070000003</v>
          </cell>
          <cell r="AS3">
            <v>41826.967510000002</v>
          </cell>
          <cell r="AT3">
            <v>42110.274550000002</v>
          </cell>
          <cell r="AU3">
            <v>42394.818120000004</v>
          </cell>
          <cell r="AV3">
            <v>42681.020270000001</v>
          </cell>
          <cell r="AW3">
            <v>42969.186020000001</v>
          </cell>
          <cell r="AX3">
            <v>43259.571889999999</v>
          </cell>
          <cell r="AY3">
            <v>43552.38538</v>
          </cell>
          <cell r="AZ3">
            <v>43848.275289999998</v>
          </cell>
          <cell r="BA3">
            <v>44147.376510000002</v>
          </cell>
          <cell r="BB3">
            <v>44147.71456</v>
          </cell>
          <cell r="BC3">
            <v>44148.555540000001</v>
          </cell>
          <cell r="BD3">
            <v>44148.678919999998</v>
          </cell>
          <cell r="BE3">
            <v>46008.79161</v>
          </cell>
          <cell r="BF3">
            <v>46338.604979999996</v>
          </cell>
          <cell r="BG3">
            <v>46669.607629999999</v>
          </cell>
          <cell r="BH3">
            <v>47001.910230000001</v>
          </cell>
          <cell r="BI3">
            <v>47335.641969999997</v>
          </cell>
        </row>
        <row r="4">
          <cell r="F4">
            <v>32271.24</v>
          </cell>
          <cell r="G4">
            <v>31841.098460000001</v>
          </cell>
          <cell r="H4">
            <v>31581.329119999999</v>
          </cell>
          <cell r="I4">
            <v>31442.745340000001</v>
          </cell>
          <cell r="J4">
            <v>31391.941989999999</v>
          </cell>
          <cell r="K4">
            <v>31409.41416</v>
          </cell>
          <cell r="L4">
            <v>31480.056919999999</v>
          </cell>
          <cell r="M4">
            <v>31597.406660000001</v>
          </cell>
          <cell r="N4">
            <v>31757.275119999998</v>
          </cell>
          <cell r="O4">
            <v>31956.035879999999</v>
          </cell>
          <cell r="P4">
            <v>32196.740030000001</v>
          </cell>
          <cell r="Q4">
            <v>32468.14084</v>
          </cell>
          <cell r="R4">
            <v>32765.845539999998</v>
          </cell>
          <cell r="S4">
            <v>33085.728300000002</v>
          </cell>
          <cell r="T4">
            <v>33422.993499999997</v>
          </cell>
          <cell r="U4">
            <v>33773.124109999997</v>
          </cell>
          <cell r="V4">
            <v>34131.802750000003</v>
          </cell>
          <cell r="W4">
            <v>34495.376649999998</v>
          </cell>
          <cell r="X4">
            <v>34860.883099999999</v>
          </cell>
          <cell r="Y4">
            <v>35225.945140000003</v>
          </cell>
          <cell r="Z4">
            <v>35583.898119999998</v>
          </cell>
          <cell r="AA4">
            <v>35938.972349999996</v>
          </cell>
          <cell r="AB4">
            <v>36290.504269999998</v>
          </cell>
          <cell r="AC4">
            <v>36637.895729999997</v>
          </cell>
          <cell r="AD4">
            <v>36981.272709999997</v>
          </cell>
          <cell r="AE4">
            <v>37307.090219999998</v>
          </cell>
          <cell r="AF4">
            <v>37624.801240000001</v>
          </cell>
          <cell r="AG4">
            <v>37935.837789999998</v>
          </cell>
          <cell r="AH4">
            <v>38240.818059999998</v>
          </cell>
          <cell r="AI4">
            <v>38541.138500000001</v>
          </cell>
          <cell r="AJ4">
            <v>38838.087639999998</v>
          </cell>
          <cell r="AK4">
            <v>39132.895320000003</v>
          </cell>
          <cell r="AL4">
            <v>39426.675340000002</v>
          </cell>
          <cell r="AM4">
            <v>39720.453170000001</v>
          </cell>
          <cell r="AN4">
            <v>40015.212030000002</v>
          </cell>
          <cell r="AO4">
            <v>40311.883130000002</v>
          </cell>
          <cell r="AP4">
            <v>40608.567130000003</v>
          </cell>
          <cell r="AQ4">
            <v>40906.513460000002</v>
          </cell>
          <cell r="AR4">
            <v>41206.650199999996</v>
          </cell>
          <cell r="AS4">
            <v>41509.75058</v>
          </cell>
          <cell r="AT4">
            <v>41816.589209999998</v>
          </cell>
          <cell r="AU4">
            <v>42127.968249999998</v>
          </cell>
          <cell r="AV4">
            <v>42444.587330000002</v>
          </cell>
          <cell r="AW4">
            <v>42767.056550000001</v>
          </cell>
          <cell r="AX4">
            <v>43095.967830000001</v>
          </cell>
          <cell r="AY4">
            <v>43431.89716</v>
          </cell>
          <cell r="AZ4">
            <v>43775.903010000002</v>
          </cell>
          <cell r="BA4">
            <v>44128.564879999998</v>
          </cell>
          <cell r="BB4">
            <v>44253.82086</v>
          </cell>
          <cell r="BC4">
            <v>44378.695189999999</v>
          </cell>
          <cell r="BD4">
            <v>44500.779540000003</v>
          </cell>
          <cell r="BE4">
            <v>45733.742980000003</v>
          </cell>
          <cell r="BF4">
            <v>46096.605170000003</v>
          </cell>
          <cell r="BG4">
            <v>46464.389629999998</v>
          </cell>
          <cell r="BH4">
            <v>46837.523480000003</v>
          </cell>
          <cell r="BI4">
            <v>47216.482490000002</v>
          </cell>
        </row>
        <row r="12">
          <cell r="F12">
            <v>44.765000000000001</v>
          </cell>
          <cell r="G12">
            <v>62.115037030000003</v>
          </cell>
          <cell r="H12">
            <v>79.97060304</v>
          </cell>
          <cell r="I12">
            <v>98.005322680000006</v>
          </cell>
          <cell r="J12">
            <v>116.0228491</v>
          </cell>
          <cell r="K12">
            <v>133.9326945</v>
          </cell>
          <cell r="L12">
            <v>151.6622788</v>
          </cell>
          <cell r="M12">
            <v>169.1963816</v>
          </cell>
          <cell r="N12">
            <v>186.52429309999999</v>
          </cell>
          <cell r="O12">
            <v>203.62711540000001</v>
          </cell>
          <cell r="P12">
            <v>220.53670650000001</v>
          </cell>
          <cell r="Q12">
            <v>237.14675149999999</v>
          </cell>
          <cell r="R12">
            <v>253.4024258</v>
          </cell>
          <cell r="S12">
            <v>269.24578029999998</v>
          </cell>
          <cell r="T12">
            <v>284.60830529999998</v>
          </cell>
          <cell r="U12">
            <v>299.42031300000002</v>
          </cell>
          <cell r="V12">
            <v>313.61052999999998</v>
          </cell>
          <cell r="W12">
            <v>327.11023540000002</v>
          </cell>
          <cell r="X12">
            <v>339.8543416</v>
          </cell>
          <cell r="Y12">
            <v>351.78077309999998</v>
          </cell>
          <cell r="Z12">
            <v>362.79089299999998</v>
          </cell>
          <cell r="AA12">
            <v>372.87173369999999</v>
          </cell>
          <cell r="AB12">
            <v>381.96949599999999</v>
          </cell>
          <cell r="AC12">
            <v>390.02751160000003</v>
          </cell>
          <cell r="AD12">
            <v>396.9905531</v>
          </cell>
          <cell r="AE12">
            <v>402.70636100000002</v>
          </cell>
          <cell r="AF12">
            <v>407.17596550000002</v>
          </cell>
          <cell r="AG12">
            <v>410.34228200000001</v>
          </cell>
          <cell r="AH12">
            <v>412.13687499999997</v>
          </cell>
          <cell r="AI12">
            <v>412.48856110000003</v>
          </cell>
          <cell r="AJ12">
            <v>411.31689319999998</v>
          </cell>
          <cell r="AK12">
            <v>408.53141299999999</v>
          </cell>
          <cell r="AL12">
            <v>404.03036550000002</v>
          </cell>
          <cell r="AM12">
            <v>397.6995081</v>
          </cell>
          <cell r="AN12">
            <v>389.41097200000002</v>
          </cell>
          <cell r="AO12">
            <v>379.02188949999999</v>
          </cell>
          <cell r="AP12">
            <v>366.3721276</v>
          </cell>
          <cell r="AQ12">
            <v>351.2928872</v>
          </cell>
          <cell r="AR12">
            <v>333.5973108</v>
          </cell>
          <cell r="AS12">
            <v>313.0787206</v>
          </cell>
          <cell r="AT12">
            <v>289.50860790000002</v>
          </cell>
          <cell r="AU12">
            <v>262.6346221</v>
          </cell>
          <cell r="AV12">
            <v>232.1791139</v>
          </cell>
          <cell r="AW12">
            <v>197.83691139999999</v>
          </cell>
          <cell r="AX12">
            <v>159.2725404</v>
          </cell>
          <cell r="AY12">
            <v>116.11743920000001</v>
          </cell>
          <cell r="AZ12">
            <v>67.961805850000005</v>
          </cell>
          <cell r="BA12">
            <v>14.36097764</v>
          </cell>
          <cell r="BB12">
            <v>-37.048208080000002</v>
          </cell>
          <cell r="BC12">
            <v>-86.243476900000005</v>
          </cell>
          <cell r="BD12">
            <v>-133.4427556</v>
          </cell>
          <cell r="BE12">
            <v>270.4199448</v>
          </cell>
          <cell r="BF12">
            <v>237.33092400000001</v>
          </cell>
          <cell r="BG12">
            <v>200.5086518</v>
          </cell>
          <cell r="BH12">
            <v>159.6366142</v>
          </cell>
          <cell r="BI12">
            <v>114.3681741</v>
          </cell>
        </row>
        <row r="20">
          <cell r="F20">
            <v>1.9359999999999999</v>
          </cell>
          <cell r="G20">
            <v>1.9898469599999999</v>
          </cell>
          <cell r="H20">
            <v>2.0518294350000001</v>
          </cell>
          <cell r="I20">
            <v>2.1184205989999998</v>
          </cell>
          <cell r="J20">
            <v>2.1873183009999999</v>
          </cell>
          <cell r="K20">
            <v>2.2573136489999999</v>
          </cell>
          <cell r="L20">
            <v>2.3275154300000001</v>
          </cell>
          <cell r="M20">
            <v>2.397715351</v>
          </cell>
          <cell r="N20">
            <v>2.467867027</v>
          </cell>
          <cell r="O20">
            <v>2.5379467959999999</v>
          </cell>
          <cell r="P20">
            <v>2.6084697480000001</v>
          </cell>
          <cell r="Q20">
            <v>2.6787375519999999</v>
          </cell>
          <cell r="R20">
            <v>2.7485978050000002</v>
          </cell>
          <cell r="S20">
            <v>2.8179013319999999</v>
          </cell>
          <cell r="T20">
            <v>2.8864250419999999</v>
          </cell>
          <cell r="U20">
            <v>2.9539518349999998</v>
          </cell>
          <cell r="V20">
            <v>3.0202654230000001</v>
          </cell>
          <cell r="W20">
            <v>3.0851906429999998</v>
          </cell>
          <cell r="X20">
            <v>3.1485973739999999</v>
          </cell>
          <cell r="Y20">
            <v>3.2103934650000001</v>
          </cell>
          <cell r="Z20">
            <v>3.2701167710000001</v>
          </cell>
          <cell r="AA20">
            <v>3.328205756</v>
          </cell>
          <cell r="AB20">
            <v>3.384687998</v>
          </cell>
          <cell r="AC20">
            <v>3.4395905089999999</v>
          </cell>
          <cell r="AD20">
            <v>3.4929955349999999</v>
          </cell>
          <cell r="AE20">
            <v>3.5438324950000002</v>
          </cell>
          <cell r="AF20">
            <v>3.5929412479999998</v>
          </cell>
          <cell r="AG20">
            <v>3.6404971119999998</v>
          </cell>
          <cell r="AH20">
            <v>3.6866054419999998</v>
          </cell>
          <cell r="AI20">
            <v>3.7314344309999998</v>
          </cell>
          <cell r="AJ20">
            <v>3.7751418220000001</v>
          </cell>
          <cell r="AK20">
            <v>3.8178789960000001</v>
          </cell>
          <cell r="AL20">
            <v>3.8597861619999998</v>
          </cell>
          <cell r="AM20">
            <v>3.9009946260000001</v>
          </cell>
          <cell r="AN20">
            <v>3.9416306460000001</v>
          </cell>
          <cell r="AO20">
            <v>3.981814645</v>
          </cell>
          <cell r="AP20">
            <v>4.0214278090000004</v>
          </cell>
          <cell r="AQ20">
            <v>4.0606108680000004</v>
          </cell>
          <cell r="AR20">
            <v>4.0994769230000001</v>
          </cell>
          <cell r="AS20">
            <v>4.1381250679999999</v>
          </cell>
          <cell r="AT20">
            <v>4.1766533739999998</v>
          </cell>
          <cell r="AU20">
            <v>4.2151611610000002</v>
          </cell>
          <cell r="AV20">
            <v>4.2537381730000003</v>
          </cell>
          <cell r="AW20">
            <v>4.2924655969999996</v>
          </cell>
          <cell r="AX20">
            <v>4.3314220060000004</v>
          </cell>
          <cell r="AY20">
            <v>4.3706835960000001</v>
          </cell>
          <cell r="AZ20">
            <v>4.410366099</v>
          </cell>
          <cell r="BA20">
            <v>4.4505446959999997</v>
          </cell>
          <cell r="BB20">
            <v>4.4714131740000003</v>
          </cell>
          <cell r="BC20">
            <v>4.4917642100000004</v>
          </cell>
          <cell r="BD20">
            <v>4.5114253250000003</v>
          </cell>
          <cell r="BE20">
            <v>4.6286853649999999</v>
          </cell>
          <cell r="BF20">
            <v>4.6688759529999997</v>
          </cell>
          <cell r="BG20">
            <v>4.7093404809999999</v>
          </cell>
          <cell r="BH20">
            <v>4.7501298930000004</v>
          </cell>
          <cell r="BI20">
            <v>4.7912988260000002</v>
          </cell>
        </row>
        <row r="28">
          <cell r="F28">
            <v>32317.940999999999</v>
          </cell>
          <cell r="G28">
            <v>31939.359629999999</v>
          </cell>
          <cell r="H28">
            <v>31768.200509999999</v>
          </cell>
          <cell r="I28">
            <v>31740.481919999998</v>
          </cell>
          <cell r="J28">
            <v>31812.69094</v>
          </cell>
          <cell r="K28">
            <v>31957.171289999998</v>
          </cell>
          <cell r="L28">
            <v>32152.135419999999</v>
          </cell>
          <cell r="M28">
            <v>32385.901969999999</v>
          </cell>
          <cell r="N28">
            <v>32650.440739999998</v>
          </cell>
          <cell r="O28">
            <v>32939.650479999997</v>
          </cell>
          <cell r="P28">
            <v>33255.642970000001</v>
          </cell>
          <cell r="Q28">
            <v>33587.061269999998</v>
          </cell>
          <cell r="R28">
            <v>33930.388370000001</v>
          </cell>
          <cell r="S28">
            <v>34282.97481</v>
          </cell>
          <cell r="T28">
            <v>34641.952579999997</v>
          </cell>
          <cell r="U28">
            <v>35004.922149999999</v>
          </cell>
          <cell r="V28">
            <v>35369.872689999997</v>
          </cell>
          <cell r="W28">
            <v>35735.136160000002</v>
          </cell>
          <cell r="X28">
            <v>36099.364370000003</v>
          </cell>
          <cell r="Y28">
            <v>36461.514450000002</v>
          </cell>
          <cell r="Z28">
            <v>36815.854939999997</v>
          </cell>
          <cell r="AA28">
            <v>37167.397089999999</v>
          </cell>
          <cell r="AB28">
            <v>37515.966039999999</v>
          </cell>
          <cell r="AC28">
            <v>37861.253879999997</v>
          </cell>
          <cell r="AD28">
            <v>38203.499340000002</v>
          </cell>
          <cell r="AE28">
            <v>38528.930480000003</v>
          </cell>
          <cell r="AF28">
            <v>38846.803090000001</v>
          </cell>
          <cell r="AG28">
            <v>39158.337789999998</v>
          </cell>
          <cell r="AH28">
            <v>39463.992590000002</v>
          </cell>
          <cell r="AI28">
            <v>39764.946750000003</v>
          </cell>
          <cell r="AJ28">
            <v>40062.247580000003</v>
          </cell>
          <cell r="AK28">
            <v>40356.817029999998</v>
          </cell>
          <cell r="AL28">
            <v>40649.48083</v>
          </cell>
          <cell r="AM28">
            <v>40940.992010000002</v>
          </cell>
          <cell r="AN28">
            <v>41232.04221</v>
          </cell>
          <cell r="AO28">
            <v>41523.262739999998</v>
          </cell>
          <cell r="AP28">
            <v>41812.025739999997</v>
          </cell>
          <cell r="AQ28">
            <v>42099.176780000002</v>
          </cell>
          <cell r="AR28">
            <v>42385.508670000003</v>
          </cell>
          <cell r="AS28">
            <v>42671.585299999999</v>
          </cell>
          <cell r="AT28">
            <v>42957.96344</v>
          </cell>
          <cell r="AU28">
            <v>43245.136530000003</v>
          </cell>
          <cell r="AV28">
            <v>43533.514569999999</v>
          </cell>
          <cell r="AW28">
            <v>43823.428720000004</v>
          </cell>
          <cell r="AX28">
            <v>44115.146910000003</v>
          </cell>
          <cell r="AY28">
            <v>44408.890789999998</v>
          </cell>
          <cell r="AZ28">
            <v>44705.12227</v>
          </cell>
          <cell r="BA28">
            <v>45003.97524</v>
          </cell>
          <cell r="BB28">
            <v>45305.563450000001</v>
          </cell>
          <cell r="BC28">
            <v>45609.995139999999</v>
          </cell>
          <cell r="BD28">
            <v>45917.355439999999</v>
          </cell>
          <cell r="BE28">
            <v>45939.1077</v>
          </cell>
          <cell r="BF28">
            <v>46264.987730000001</v>
          </cell>
          <cell r="BG28">
            <v>46592.00649</v>
          </cell>
          <cell r="BH28">
            <v>46920.289089999998</v>
          </cell>
          <cell r="BI28">
            <v>47249.974520000003</v>
          </cell>
        </row>
        <row r="29">
          <cell r="F29">
            <v>32271.24</v>
          </cell>
          <cell r="G29">
            <v>31874.837589999999</v>
          </cell>
          <cell r="H29">
            <v>31684.91403</v>
          </cell>
          <cell r="I29">
            <v>31637.954160000001</v>
          </cell>
          <cell r="J29">
            <v>31690.75186</v>
          </cell>
          <cell r="K29">
            <v>31815.834490000001</v>
          </cell>
          <cell r="L29">
            <v>31991.562399999999</v>
          </cell>
          <cell r="M29">
            <v>32206.323950000002</v>
          </cell>
          <cell r="N29">
            <v>32452.13493</v>
          </cell>
          <cell r="O29">
            <v>32722.93</v>
          </cell>
          <cell r="P29">
            <v>33020.785960000001</v>
          </cell>
          <cell r="Q29">
            <v>33334.43922</v>
          </cell>
          <cell r="R29">
            <v>33660.400399999999</v>
          </cell>
          <cell r="S29">
            <v>33996.042200000004</v>
          </cell>
          <cell r="T29">
            <v>34338.52306</v>
          </cell>
          <cell r="U29">
            <v>34685.467470000003</v>
          </cell>
          <cell r="V29">
            <v>35034.886550000003</v>
          </cell>
          <cell r="W29">
            <v>35385.132259999998</v>
          </cell>
          <cell r="X29">
            <v>35734.874530000001</v>
          </cell>
          <cell r="Y29">
            <v>36083.086810000001</v>
          </cell>
          <cell r="Z29">
            <v>36424.09706</v>
          </cell>
          <cell r="AA29">
            <v>36762.881809999999</v>
          </cell>
          <cell r="AB29">
            <v>37099.27693</v>
          </cell>
          <cell r="AC29">
            <v>37432.98803</v>
          </cell>
          <cell r="AD29">
            <v>37764.264289999999</v>
          </cell>
          <cell r="AE29">
            <v>38079.465409999997</v>
          </cell>
          <cell r="AF29">
            <v>38387.787259999997</v>
          </cell>
          <cell r="AG29">
            <v>38690.457179999998</v>
          </cell>
          <cell r="AH29">
            <v>38987.948239999998</v>
          </cell>
          <cell r="AI29">
            <v>39281.451269999998</v>
          </cell>
          <cell r="AJ29">
            <v>39572.028870000002</v>
          </cell>
          <cell r="AK29">
            <v>39860.622490000002</v>
          </cell>
          <cell r="AL29">
            <v>40148.0818</v>
          </cell>
          <cell r="AM29">
            <v>40435.188540000003</v>
          </cell>
          <cell r="AN29">
            <v>40722.668310000001</v>
          </cell>
          <cell r="AO29">
            <v>41011.192000000003</v>
          </cell>
          <cell r="AP29">
            <v>41298.197959999998</v>
          </cell>
          <cell r="AQ29">
            <v>41584.580889999997</v>
          </cell>
          <cell r="AR29">
            <v>41871.18909</v>
          </cell>
          <cell r="AS29">
            <v>42158.649899999997</v>
          </cell>
          <cell r="AT29">
            <v>42447.590770000003</v>
          </cell>
          <cell r="AU29">
            <v>42738.583850000003</v>
          </cell>
          <cell r="AV29">
            <v>43032.126669999998</v>
          </cell>
          <cell r="AW29">
            <v>43328.647380000002</v>
          </cell>
          <cell r="AX29">
            <v>43628.520980000001</v>
          </cell>
          <cell r="AY29">
            <v>43932.087119999997</v>
          </cell>
          <cell r="AZ29">
            <v>44239.936869999998</v>
          </cell>
          <cell r="BA29">
            <v>44552.346989999998</v>
          </cell>
          <cell r="BB29">
            <v>44869.587979999997</v>
          </cell>
          <cell r="BC29">
            <v>45191.939939999997</v>
          </cell>
          <cell r="BD29">
            <v>45519.676229999997</v>
          </cell>
          <cell r="BE29">
            <v>45601.084470000002</v>
          </cell>
          <cell r="BF29">
            <v>45952.474289999998</v>
          </cell>
          <cell r="BG29">
            <v>46307.97365</v>
          </cell>
          <cell r="BH29">
            <v>46667.953820000002</v>
          </cell>
          <cell r="BI29">
            <v>47032.82314</v>
          </cell>
        </row>
        <row r="37">
          <cell r="F37">
            <v>44.765000000000001</v>
          </cell>
          <cell r="G37">
            <v>62.529356249999999</v>
          </cell>
          <cell r="H37">
            <v>81.225907860000007</v>
          </cell>
          <cell r="I37">
            <v>100.39276460000001</v>
          </cell>
          <cell r="J37">
            <v>119.7262479</v>
          </cell>
          <cell r="K37">
            <v>139.044566</v>
          </cell>
          <cell r="L37">
            <v>158.20128869999999</v>
          </cell>
          <cell r="M37">
            <v>177.1273248</v>
          </cell>
          <cell r="N37">
            <v>195.77706620000001</v>
          </cell>
          <cell r="O37">
            <v>214.1148657</v>
          </cell>
          <cell r="P37">
            <v>232.17528770000001</v>
          </cell>
          <cell r="Q37">
            <v>249.86570140000001</v>
          </cell>
          <cell r="R37">
            <v>267.15857440000002</v>
          </cell>
          <cell r="S37">
            <v>284.03178389999999</v>
          </cell>
          <cell r="T37">
            <v>300.4589603</v>
          </cell>
          <cell r="U37">
            <v>316.41612579999997</v>
          </cell>
          <cell r="V37">
            <v>331.8813677</v>
          </cell>
          <cell r="W37">
            <v>346.83469250000002</v>
          </cell>
          <cell r="X37">
            <v>361.25797610000001</v>
          </cell>
          <cell r="Y37">
            <v>375.13488949999999</v>
          </cell>
          <cell r="Z37">
            <v>388.40635830000002</v>
          </cell>
          <cell r="AA37">
            <v>401.10662669999999</v>
          </cell>
          <cell r="AB37">
            <v>413.2248831</v>
          </cell>
          <cell r="AC37">
            <v>424.7475551</v>
          </cell>
          <cell r="AD37">
            <v>435.66407770000001</v>
          </cell>
          <cell r="AE37">
            <v>445.84390560000003</v>
          </cell>
          <cell r="AF37">
            <v>455.34611530000001</v>
          </cell>
          <cell r="AG37">
            <v>464.1638567</v>
          </cell>
          <cell r="AH37">
            <v>472.2819404</v>
          </cell>
          <cell r="AI37">
            <v>479.68866559999998</v>
          </cell>
          <cell r="AJ37">
            <v>486.36858539999997</v>
          </cell>
          <cell r="AK37">
            <v>492.30208379999999</v>
          </cell>
          <cell r="AL37">
            <v>497.46509959999997</v>
          </cell>
          <cell r="AM37">
            <v>501.82879459999998</v>
          </cell>
          <cell r="AN37">
            <v>505.3591346</v>
          </cell>
          <cell r="AO37">
            <v>508.01641030000002</v>
          </cell>
          <cell r="AP37">
            <v>509.73459989999998</v>
          </cell>
          <cell r="AQ37">
            <v>510.46446780000002</v>
          </cell>
          <cell r="AR37">
            <v>510.15041969999999</v>
          </cell>
          <cell r="AS37">
            <v>508.72890180000002</v>
          </cell>
          <cell r="AT37">
            <v>506.12917879999998</v>
          </cell>
          <cell r="AU37">
            <v>502.27244020000001</v>
          </cell>
          <cell r="AV37">
            <v>497.0710851</v>
          </cell>
          <cell r="AW37">
            <v>490.42807549999998</v>
          </cell>
          <cell r="AX37">
            <v>482.23626059999998</v>
          </cell>
          <cell r="AY37">
            <v>472.37761169999999</v>
          </cell>
          <cell r="AZ37">
            <v>460.72287949999998</v>
          </cell>
          <cell r="BA37">
            <v>447.12915040000001</v>
          </cell>
          <cell r="BB37">
            <v>431.4396198</v>
          </cell>
          <cell r="BC37">
            <v>413.48240440000001</v>
          </cell>
          <cell r="BD37">
            <v>393.06920730000002</v>
          </cell>
          <cell r="BE37">
            <v>333.40671650000002</v>
          </cell>
          <cell r="BF37">
            <v>307.85780840000001</v>
          </cell>
          <cell r="BG37">
            <v>279.3378955</v>
          </cell>
          <cell r="BH37">
            <v>247.6007549</v>
          </cell>
          <cell r="BI37">
            <v>212.3770069</v>
          </cell>
        </row>
        <row r="45">
          <cell r="F45">
            <v>1.9359999999999999</v>
          </cell>
          <cell r="G45">
            <v>1.9926814180000001</v>
          </cell>
          <cell r="H45">
            <v>2.0605751329999999</v>
          </cell>
          <cell r="I45">
            <v>2.1349943269999998</v>
          </cell>
          <cell r="J45">
            <v>2.2128360389999999</v>
          </cell>
          <cell r="K45">
            <v>2.2922305540000001</v>
          </cell>
          <cell r="L45">
            <v>2.3717354410000002</v>
          </cell>
          <cell r="M45">
            <v>2.4506994039999999</v>
          </cell>
          <cell r="N45">
            <v>2.5287406859999999</v>
          </cell>
          <cell r="O45">
            <v>2.6056103940000002</v>
          </cell>
          <cell r="P45">
            <v>2.6817195680000001</v>
          </cell>
          <cell r="Q45">
            <v>2.7563463929999998</v>
          </cell>
          <cell r="R45">
            <v>2.8293936519999998</v>
          </cell>
          <cell r="S45">
            <v>2.9008198109999999</v>
          </cell>
          <cell r="T45">
            <v>2.9705507569999998</v>
          </cell>
          <cell r="U45">
            <v>3.0385375849999998</v>
          </cell>
          <cell r="V45">
            <v>3.1047513960000002</v>
          </cell>
          <cell r="W45">
            <v>3.1691807289999998</v>
          </cell>
          <cell r="X45">
            <v>3.231830778</v>
          </cell>
          <cell r="Y45">
            <v>3.2927232150000001</v>
          </cell>
          <cell r="Z45">
            <v>3.351481374</v>
          </cell>
          <cell r="AA45">
            <v>3.4086096459999999</v>
          </cell>
          <cell r="AB45">
            <v>3.4641815600000001</v>
          </cell>
          <cell r="AC45">
            <v>3.5182540320000002</v>
          </cell>
          <cell r="AD45">
            <v>3.5709241650000001</v>
          </cell>
          <cell r="AE45">
            <v>3.6211177509999999</v>
          </cell>
          <cell r="AF45">
            <v>3.669657033</v>
          </cell>
          <cell r="AG45">
            <v>3.7167035369999999</v>
          </cell>
          <cell r="AH45">
            <v>3.7623533560000002</v>
          </cell>
          <cell r="AI45">
            <v>3.8067599649999999</v>
          </cell>
          <cell r="AJ45">
            <v>3.8500642639999998</v>
          </cell>
          <cell r="AK45">
            <v>3.8923951130000001</v>
          </cell>
          <cell r="AL45">
            <v>3.9338717609999998</v>
          </cell>
          <cell r="AM45">
            <v>3.9746058569999998</v>
          </cell>
          <cell r="AN45">
            <v>4.0147024629999999</v>
          </cell>
          <cell r="AO45">
            <v>4.054260223</v>
          </cell>
          <cell r="AP45">
            <v>4.0931044329999997</v>
          </cell>
          <cell r="AQ45">
            <v>4.1313449320000002</v>
          </cell>
          <cell r="AR45">
            <v>4.1690866460000002</v>
          </cell>
          <cell r="AS45">
            <v>4.2064149229999996</v>
          </cell>
          <cell r="AT45">
            <v>4.2434138920000004</v>
          </cell>
          <cell r="AU45">
            <v>4.2801618770000003</v>
          </cell>
          <cell r="AV45">
            <v>4.3167297800000002</v>
          </cell>
          <cell r="AW45">
            <v>4.3531814950000003</v>
          </cell>
          <cell r="AX45">
            <v>4.3895752569999997</v>
          </cell>
          <cell r="AY45">
            <v>4.4259651419999999</v>
          </cell>
          <cell r="AZ45">
            <v>4.4624251900000003</v>
          </cell>
          <cell r="BA45">
            <v>4.4990022740000004</v>
          </cell>
          <cell r="BB45">
            <v>4.5357416170000002</v>
          </cell>
          <cell r="BC45">
            <v>4.5726881930000003</v>
          </cell>
          <cell r="BD45">
            <v>4.6098854310000004</v>
          </cell>
          <cell r="BE45">
            <v>4.6165073259999998</v>
          </cell>
          <cell r="BF45">
            <v>4.6556279380000003</v>
          </cell>
          <cell r="BG45">
            <v>4.6949460810000003</v>
          </cell>
          <cell r="BH45">
            <v>4.7345074699999996</v>
          </cell>
          <cell r="BI45">
            <v>4.7743605000000002</v>
          </cell>
        </row>
        <row r="104">
          <cell r="F104">
            <v>3.476542051</v>
          </cell>
          <cell r="G104">
            <v>6.2681680880000004</v>
          </cell>
          <cell r="H104">
            <v>9.2806592709999993</v>
          </cell>
          <cell r="I104">
            <v>12.25316582</v>
          </cell>
          <cell r="J104">
            <v>15.0159995</v>
          </cell>
          <cell r="K104">
            <v>17.498123240000002</v>
          </cell>
          <cell r="L104">
            <v>19.673925180000001</v>
          </cell>
          <cell r="M104">
            <v>21.600766180000001</v>
          </cell>
          <cell r="N104">
            <v>23.328704009999999</v>
          </cell>
          <cell r="O104">
            <v>24.907364690000001</v>
          </cell>
          <cell r="P104">
            <v>26.42358286</v>
          </cell>
          <cell r="Q104">
            <v>27.83808135</v>
          </cell>
          <cell r="R104">
            <v>29.21661186</v>
          </cell>
          <cell r="S104">
            <v>30.59006011</v>
          </cell>
          <cell r="T104">
            <v>31.978152940000001</v>
          </cell>
          <cell r="U104">
            <v>33.392030599999998</v>
          </cell>
          <cell r="V104">
            <v>34.835538270000001</v>
          </cell>
          <cell r="W104">
            <v>36.306546249999997</v>
          </cell>
          <cell r="X104">
            <v>37.801797020000002</v>
          </cell>
          <cell r="Y104">
            <v>39.315817969999998</v>
          </cell>
          <cell r="Z104">
            <v>40.815262079999997</v>
          </cell>
          <cell r="AA104">
            <v>42.34589896</v>
          </cell>
          <cell r="AB104">
            <v>43.87788639</v>
          </cell>
          <cell r="AC104">
            <v>45.40300706</v>
          </cell>
          <cell r="AD104">
            <v>46.915159760000002</v>
          </cell>
          <cell r="AE104">
            <v>48.336923040000002</v>
          </cell>
          <cell r="AF104">
            <v>49.775006580000003</v>
          </cell>
          <cell r="AG104">
            <v>51.19718237</v>
          </cell>
          <cell r="AH104">
            <v>52.600241959999998</v>
          </cell>
          <cell r="AI104">
            <v>53.982705129999999</v>
          </cell>
          <cell r="AJ104">
            <v>55.34355558</v>
          </cell>
          <cell r="AK104">
            <v>56.681925079999999</v>
          </cell>
          <cell r="AL104">
            <v>57.997188780000002</v>
          </cell>
          <cell r="AM104">
            <v>59.288477630000003</v>
          </cell>
          <cell r="AN104">
            <v>60.555311709999998</v>
          </cell>
          <cell r="AO104">
            <v>61.797732259999997</v>
          </cell>
          <cell r="AP104">
            <v>63.001817629999998</v>
          </cell>
          <cell r="AQ104">
            <v>64.186582729999998</v>
          </cell>
          <cell r="AR104">
            <v>65.353628279999995</v>
          </cell>
          <cell r="AS104">
            <v>66.504085000000003</v>
          </cell>
          <cell r="AT104">
            <v>67.63941122</v>
          </cell>
          <cell r="AU104">
            <v>68.761345300000002</v>
          </cell>
          <cell r="AV104">
            <v>69.871721539999996</v>
          </cell>
          <cell r="AW104">
            <v>70.971477480000004</v>
          </cell>
          <cell r="AX104">
            <v>72.061292660000007</v>
          </cell>
          <cell r="AY104">
            <v>73.141715700000006</v>
          </cell>
          <cell r="AZ104">
            <v>74.214938040000007</v>
          </cell>
          <cell r="BA104">
            <v>75.281421199999997</v>
          </cell>
          <cell r="BB104">
            <v>76.409360329999998</v>
          </cell>
          <cell r="BC104">
            <v>79.182834729999996</v>
          </cell>
          <cell r="BD104">
            <v>79.595657259999996</v>
          </cell>
          <cell r="BE104">
            <v>22.97561808</v>
          </cell>
          <cell r="BF104">
            <v>23.049233709999999</v>
          </cell>
          <cell r="BG104">
            <v>23.122476450000001</v>
          </cell>
          <cell r="BH104">
            <v>23.195350779999998</v>
          </cell>
          <cell r="BI104">
            <v>23.267860880000001</v>
          </cell>
        </row>
        <row r="105">
          <cell r="F105">
            <v>68.80476281</v>
          </cell>
          <cell r="G105">
            <v>78.23714244</v>
          </cell>
          <cell r="H105">
            <v>88.355438559999996</v>
          </cell>
          <cell r="I105">
            <v>98.296244000000002</v>
          </cell>
          <cell r="J105">
            <v>107.9361974</v>
          </cell>
          <cell r="K105">
            <v>117.2650336</v>
          </cell>
          <cell r="L105">
            <v>125.7165495</v>
          </cell>
          <cell r="M105">
            <v>133.99232499999999</v>
          </cell>
          <cell r="N105">
            <v>142.17091389999999</v>
          </cell>
          <cell r="O105">
            <v>150.3074714</v>
          </cell>
          <cell r="P105">
            <v>159.4697285</v>
          </cell>
          <cell r="Q105">
            <v>167.5916671</v>
          </cell>
          <cell r="R105">
            <v>175.6958477</v>
          </cell>
          <cell r="S105">
            <v>183.76907360000001</v>
          </cell>
          <cell r="T105">
            <v>191.79360650000001</v>
          </cell>
          <cell r="U105">
            <v>199.7546059</v>
          </cell>
          <cell r="V105">
            <v>207.64282800000001</v>
          </cell>
          <cell r="W105">
            <v>215.45366609999999</v>
          </cell>
          <cell r="X105">
            <v>223.1880424</v>
          </cell>
          <cell r="Y105">
            <v>230.84929339999999</v>
          </cell>
          <cell r="Z105">
            <v>237.75493420000001</v>
          </cell>
          <cell r="AA105">
            <v>245.2822334</v>
          </cell>
          <cell r="AB105">
            <v>252.7536193</v>
          </cell>
          <cell r="AC105">
            <v>260.17245860000003</v>
          </cell>
          <cell r="AD105">
            <v>267.54325729999999</v>
          </cell>
          <cell r="AE105">
            <v>272.99461789999998</v>
          </cell>
          <cell r="AF105">
            <v>279.39459820000002</v>
          </cell>
          <cell r="AG105">
            <v>285.7584938</v>
          </cell>
          <cell r="AH105">
            <v>292.08694259999999</v>
          </cell>
          <cell r="AI105">
            <v>298.38188930000001</v>
          </cell>
          <cell r="AJ105">
            <v>304.64524030000001</v>
          </cell>
          <cell r="AK105">
            <v>310.87852359999999</v>
          </cell>
          <cell r="AL105">
            <v>317.08328749999998</v>
          </cell>
          <cell r="AM105">
            <v>323.26070299999998</v>
          </cell>
          <cell r="AN105">
            <v>329.41200850000001</v>
          </cell>
          <cell r="AO105">
            <v>335.53848770000002</v>
          </cell>
          <cell r="AP105">
            <v>341.2402798</v>
          </cell>
          <cell r="AQ105">
            <v>346.9185627</v>
          </cell>
          <cell r="AR105">
            <v>352.57375860000002</v>
          </cell>
          <cell r="AS105">
            <v>358.20590809999999</v>
          </cell>
          <cell r="AT105">
            <v>363.81513819999998</v>
          </cell>
          <cell r="AU105">
            <v>369.40132670000003</v>
          </cell>
          <cell r="AV105">
            <v>374.96451309999998</v>
          </cell>
          <cell r="AW105">
            <v>380.504279</v>
          </cell>
          <cell r="AX105">
            <v>386.02032050000003</v>
          </cell>
          <cell r="AY105">
            <v>391.51249769999998</v>
          </cell>
          <cell r="AZ105">
            <v>397.01246809999998</v>
          </cell>
          <cell r="BA105">
            <v>402.48878839999998</v>
          </cell>
          <cell r="BB105">
            <v>402.67445839999999</v>
          </cell>
          <cell r="BC105">
            <v>403.13294180000003</v>
          </cell>
          <cell r="BD105">
            <v>403.20146970000002</v>
          </cell>
          <cell r="BE105">
            <v>476.70896579999999</v>
          </cell>
          <cell r="BF105">
            <v>481.95657119999998</v>
          </cell>
          <cell r="BG105">
            <v>487.1573343</v>
          </cell>
          <cell r="BH105">
            <v>492.3115464</v>
          </cell>
          <cell r="BI105">
            <v>497.41941509999998</v>
          </cell>
        </row>
        <row r="106">
          <cell r="F106">
            <v>408.28039699999999</v>
          </cell>
          <cell r="G106">
            <v>427.29661970000001</v>
          </cell>
          <cell r="H106">
            <v>448.064367</v>
          </cell>
          <cell r="I106">
            <v>468.4191644</v>
          </cell>
          <cell r="J106">
            <v>488.20136439999999</v>
          </cell>
          <cell r="K106">
            <v>507.44762109999999</v>
          </cell>
          <cell r="L106">
            <v>524.5447921</v>
          </cell>
          <cell r="M106">
            <v>541.39530379999997</v>
          </cell>
          <cell r="N106">
            <v>558.13791040000001</v>
          </cell>
          <cell r="O106">
            <v>574.86064069999998</v>
          </cell>
          <cell r="P106">
            <v>594.51558850000004</v>
          </cell>
          <cell r="Q106">
            <v>611.28198399999997</v>
          </cell>
          <cell r="R106">
            <v>628.03628679999997</v>
          </cell>
          <cell r="S106">
            <v>644.74590679999994</v>
          </cell>
          <cell r="T106">
            <v>661.37657569999999</v>
          </cell>
          <cell r="U106">
            <v>677.90252610000005</v>
          </cell>
          <cell r="V106">
            <v>694.30991610000001</v>
          </cell>
          <cell r="W106">
            <v>710.59298190000004</v>
          </cell>
          <cell r="X106">
            <v>726.75446729999999</v>
          </cell>
          <cell r="Y106">
            <v>742.8010544</v>
          </cell>
          <cell r="Z106">
            <v>756.81221849999997</v>
          </cell>
          <cell r="AA106">
            <v>772.64881439999999</v>
          </cell>
          <cell r="AB106">
            <v>788.39919980000002</v>
          </cell>
          <cell r="AC106">
            <v>804.06943999999999</v>
          </cell>
          <cell r="AD106">
            <v>819.66685340000004</v>
          </cell>
          <cell r="AE106">
            <v>829.93235419999996</v>
          </cell>
          <cell r="AF106">
            <v>842.91249119999998</v>
          </cell>
          <cell r="AG106">
            <v>855.82974679999995</v>
          </cell>
          <cell r="AH106">
            <v>868.68550500000003</v>
          </cell>
          <cell r="AI106">
            <v>881.48286910000002</v>
          </cell>
          <cell r="AJ106">
            <v>894.22507780000001</v>
          </cell>
          <cell r="AK106">
            <v>906.91497730000003</v>
          </cell>
          <cell r="AL106">
            <v>919.55588890000001</v>
          </cell>
          <cell r="AM106">
            <v>932.15081710000004</v>
          </cell>
          <cell r="AN106">
            <v>944.70291210000005</v>
          </cell>
          <cell r="AO106">
            <v>957.21536179999998</v>
          </cell>
          <cell r="AP106">
            <v>968.56424330000004</v>
          </cell>
          <cell r="AQ106">
            <v>979.87360460000002</v>
          </cell>
          <cell r="AR106">
            <v>991.14546159999998</v>
          </cell>
          <cell r="AS106">
            <v>1002.381117</v>
          </cell>
          <cell r="AT106">
            <v>1013.581656</v>
          </cell>
          <cell r="AU106">
            <v>1024.747253</v>
          </cell>
          <cell r="AV106">
            <v>1035.8785889999999</v>
          </cell>
          <cell r="AW106">
            <v>1046.9757950000001</v>
          </cell>
          <cell r="AX106">
            <v>1058.0391340000001</v>
          </cell>
          <cell r="AY106">
            <v>1069.0690729999999</v>
          </cell>
          <cell r="AZ106">
            <v>1080.1547479999999</v>
          </cell>
          <cell r="BA106">
            <v>1091.2076259999999</v>
          </cell>
          <cell r="BB106">
            <v>1091.412143</v>
          </cell>
          <cell r="BC106">
            <v>1091.915528</v>
          </cell>
          <cell r="BD106">
            <v>1091.990587</v>
          </cell>
          <cell r="BE106">
            <v>1081.1689630000001</v>
          </cell>
          <cell r="BF106">
            <v>1090.184426</v>
          </cell>
          <cell r="BG106">
            <v>1099.142771</v>
          </cell>
          <cell r="BH106">
            <v>1108.044478</v>
          </cell>
          <cell r="BI106">
            <v>1116.890073</v>
          </cell>
        </row>
        <row r="107">
          <cell r="F107">
            <v>954.38155940000001</v>
          </cell>
          <cell r="G107">
            <v>947.61373990000004</v>
          </cell>
          <cell r="H107">
            <v>941.27935119999995</v>
          </cell>
          <cell r="I107">
            <v>935.14758819999997</v>
          </cell>
          <cell r="J107">
            <v>929.02736540000001</v>
          </cell>
          <cell r="K107">
            <v>922.8108479</v>
          </cell>
          <cell r="L107">
            <v>916.44573800000001</v>
          </cell>
          <cell r="M107">
            <v>909.90638090000004</v>
          </cell>
          <cell r="N107">
            <v>903.18511090000004</v>
          </cell>
          <cell r="O107">
            <v>896.29720759999998</v>
          </cell>
          <cell r="P107">
            <v>889.28184290000002</v>
          </cell>
          <cell r="Q107">
            <v>882.19861249999997</v>
          </cell>
          <cell r="R107">
            <v>875.1149739</v>
          </cell>
          <cell r="S107">
            <v>868.09760500000004</v>
          </cell>
          <cell r="T107">
            <v>861.20666989999995</v>
          </cell>
          <cell r="U107">
            <v>854.4858428</v>
          </cell>
          <cell r="V107">
            <v>847.96024260000002</v>
          </cell>
          <cell r="W107">
            <v>841.63856810000004</v>
          </cell>
          <cell r="X107">
            <v>835.51600470000005</v>
          </cell>
          <cell r="Y107">
            <v>829.57922959999996</v>
          </cell>
          <cell r="Z107">
            <v>823.80981120000001</v>
          </cell>
          <cell r="AA107">
            <v>818.18676310000001</v>
          </cell>
          <cell r="AB107">
            <v>812.68985710000004</v>
          </cell>
          <cell r="AC107">
            <v>807.3005167</v>
          </cell>
          <cell r="AD107">
            <v>802.00048730000003</v>
          </cell>
          <cell r="AE107">
            <v>796.77383810000003</v>
          </cell>
          <cell r="AF107">
            <v>791.60647359999996</v>
          </cell>
          <cell r="AG107">
            <v>786.48868389999996</v>
          </cell>
          <cell r="AH107">
            <v>781.41543539999998</v>
          </cell>
          <cell r="AI107">
            <v>776.38107460000003</v>
          </cell>
          <cell r="AJ107">
            <v>771.38073169999996</v>
          </cell>
          <cell r="AK107">
            <v>766.41035460000001</v>
          </cell>
          <cell r="AL107">
            <v>761.46640339999999</v>
          </cell>
          <cell r="AM107">
            <v>756.54607929999997</v>
          </cell>
          <cell r="AN107">
            <v>751.64719409999998</v>
          </cell>
          <cell r="AO107">
            <v>746.76831970000001</v>
          </cell>
          <cell r="AP107">
            <v>741.90822290000006</v>
          </cell>
          <cell r="AQ107">
            <v>737.06522700000005</v>
          </cell>
          <cell r="AR107">
            <v>732.24052329999995</v>
          </cell>
          <cell r="AS107">
            <v>727.43649930000004</v>
          </cell>
          <cell r="AT107">
            <v>722.65615460000004</v>
          </cell>
          <cell r="AU107">
            <v>717.90280840000003</v>
          </cell>
          <cell r="AV107">
            <v>713.1797067</v>
          </cell>
          <cell r="AW107">
            <v>708.49009599999999</v>
          </cell>
          <cell r="AX107">
            <v>703.83675359999995</v>
          </cell>
          <cell r="AY107">
            <v>699.22199539999997</v>
          </cell>
          <cell r="AZ107">
            <v>694.64738009999996</v>
          </cell>
          <cell r="BA107">
            <v>690.11345610000001</v>
          </cell>
          <cell r="BB107">
            <v>690.22243500000002</v>
          </cell>
          <cell r="BC107">
            <v>690.49123689999999</v>
          </cell>
          <cell r="BD107">
            <v>690.53139080000005</v>
          </cell>
          <cell r="BE107">
            <v>524.96822689999999</v>
          </cell>
          <cell r="BF107">
            <v>519.65419159999999</v>
          </cell>
          <cell r="BG107">
            <v>514.41976720000002</v>
          </cell>
          <cell r="BH107">
            <v>509.26440919999999</v>
          </cell>
          <cell r="BI107">
            <v>504.18760109999999</v>
          </cell>
        </row>
        <row r="108">
          <cell r="F108">
            <v>878.79999729999997</v>
          </cell>
          <cell r="G108">
            <v>864.78652279999994</v>
          </cell>
          <cell r="H108">
            <v>850.19926399999997</v>
          </cell>
          <cell r="I108">
            <v>836.04674379999994</v>
          </cell>
          <cell r="J108">
            <v>822.94815080000001</v>
          </cell>
          <cell r="K108">
            <v>811.04557850000003</v>
          </cell>
          <cell r="L108">
            <v>800.19598029999997</v>
          </cell>
          <cell r="M108">
            <v>790.15527599999996</v>
          </cell>
          <cell r="N108">
            <v>780.67604470000003</v>
          </cell>
          <cell r="O108">
            <v>771.56251810000003</v>
          </cell>
          <cell r="P108">
            <v>762.67217860000005</v>
          </cell>
          <cell r="Q108">
            <v>753.90997249999998</v>
          </cell>
          <cell r="R108">
            <v>745.22830320000003</v>
          </cell>
          <cell r="S108">
            <v>736.5809974</v>
          </cell>
          <cell r="T108">
            <v>727.94358020000004</v>
          </cell>
          <cell r="U108">
            <v>719.30359550000003</v>
          </cell>
          <cell r="V108">
            <v>710.65578919999996</v>
          </cell>
          <cell r="W108">
            <v>702.00330580000002</v>
          </cell>
          <cell r="X108">
            <v>693.34953370000005</v>
          </cell>
          <cell r="Y108">
            <v>684.70180449999998</v>
          </cell>
          <cell r="Z108">
            <v>676.07058949999998</v>
          </cell>
          <cell r="AA108">
            <v>667.46734119999996</v>
          </cell>
          <cell r="AB108">
            <v>658.89652860000001</v>
          </cell>
          <cell r="AC108">
            <v>650.37380429999996</v>
          </cell>
          <cell r="AD108">
            <v>641.91042789999995</v>
          </cell>
          <cell r="AE108">
            <v>633.51560099999995</v>
          </cell>
          <cell r="AF108">
            <v>625.19588320000003</v>
          </cell>
          <cell r="AG108">
            <v>616.93605400000001</v>
          </cell>
          <cell r="AH108">
            <v>608.74189320000005</v>
          </cell>
          <cell r="AI108">
            <v>600.61541539999996</v>
          </cell>
          <cell r="AJ108">
            <v>592.55748770000002</v>
          </cell>
          <cell r="AK108">
            <v>584.56885139999997</v>
          </cell>
          <cell r="AL108">
            <v>576.64919259999999</v>
          </cell>
          <cell r="AM108">
            <v>568.79843059999996</v>
          </cell>
          <cell r="AN108">
            <v>561.01536899999996</v>
          </cell>
          <cell r="AO108">
            <v>553.29754500000001</v>
          </cell>
          <cell r="AP108">
            <v>545.64443500000004</v>
          </cell>
          <cell r="AQ108">
            <v>538.04833380000002</v>
          </cell>
          <cell r="AR108">
            <v>530.50474559999998</v>
          </cell>
          <cell r="AS108">
            <v>523.00944570000001</v>
          </cell>
          <cell r="AT108">
            <v>515.55741279999995</v>
          </cell>
          <cell r="AU108">
            <v>508.14407940000001</v>
          </cell>
          <cell r="AV108">
            <v>500.76429719999999</v>
          </cell>
          <cell r="AW108">
            <v>493.41468989999998</v>
          </cell>
          <cell r="AX108">
            <v>486.0922994</v>
          </cell>
          <cell r="AY108">
            <v>478.79435439999997</v>
          </cell>
          <cell r="AZ108">
            <v>471.52042039999998</v>
          </cell>
          <cell r="BA108">
            <v>464.26631200000003</v>
          </cell>
          <cell r="BB108">
            <v>464.3367758</v>
          </cell>
          <cell r="BC108">
            <v>464.51080030000003</v>
          </cell>
          <cell r="BD108">
            <v>464.53682040000001</v>
          </cell>
          <cell r="BE108">
            <v>630.2942673</v>
          </cell>
          <cell r="BF108">
            <v>626.75182099999995</v>
          </cell>
          <cell r="BG108">
            <v>623.22951149999994</v>
          </cell>
          <cell r="BH108">
            <v>619.72726850000004</v>
          </cell>
          <cell r="BI108">
            <v>616.24502619999998</v>
          </cell>
        </row>
        <row r="109">
          <cell r="F109">
            <v>139.85209269999999</v>
          </cell>
          <cell r="G109">
            <v>137.80797530000001</v>
          </cell>
          <cell r="H109">
            <v>135.76597770000001</v>
          </cell>
          <cell r="I109">
            <v>133.75711580000001</v>
          </cell>
          <cell r="J109">
            <v>131.80492570000001</v>
          </cell>
          <cell r="K109">
            <v>129.9196642</v>
          </cell>
          <cell r="L109">
            <v>128.1004739</v>
          </cell>
          <cell r="M109">
            <v>126.3398116</v>
          </cell>
          <cell r="N109">
            <v>124.62652559999999</v>
          </cell>
          <cell r="O109">
            <v>122.9493803</v>
          </cell>
          <cell r="P109">
            <v>121.29826559999999</v>
          </cell>
          <cell r="Q109">
            <v>119.6646707</v>
          </cell>
          <cell r="R109">
            <v>118.04318739999999</v>
          </cell>
          <cell r="S109">
            <v>116.428743</v>
          </cell>
          <cell r="T109">
            <v>114.8183082</v>
          </cell>
          <cell r="U109">
            <v>113.2104046</v>
          </cell>
          <cell r="V109">
            <v>111.60460260000001</v>
          </cell>
          <cell r="W109">
            <v>110.0016889</v>
          </cell>
          <cell r="X109">
            <v>108.40279750000001</v>
          </cell>
          <cell r="Y109">
            <v>106.80947190000001</v>
          </cell>
          <cell r="Z109">
            <v>105.2235074</v>
          </cell>
          <cell r="AA109">
            <v>103.6468418</v>
          </cell>
          <cell r="AB109">
            <v>102.08079720000001</v>
          </cell>
          <cell r="AC109">
            <v>100.5271886</v>
          </cell>
          <cell r="AD109">
            <v>98.987416469999999</v>
          </cell>
          <cell r="AE109">
            <v>97.462602869999998</v>
          </cell>
          <cell r="AF109">
            <v>95.953945689999998</v>
          </cell>
          <cell r="AG109">
            <v>94.460926490000006</v>
          </cell>
          <cell r="AH109">
            <v>92.984072690000005</v>
          </cell>
          <cell r="AI109">
            <v>91.523555369999997</v>
          </cell>
          <cell r="AJ109">
            <v>90.079352259999993</v>
          </cell>
          <cell r="AK109">
            <v>88.651373300000003</v>
          </cell>
          <cell r="AL109">
            <v>87.239334720000002</v>
          </cell>
          <cell r="AM109">
            <v>85.842914710000002</v>
          </cell>
          <cell r="AN109">
            <v>84.461693530000005</v>
          </cell>
          <cell r="AO109">
            <v>83.095153949999997</v>
          </cell>
          <cell r="AP109">
            <v>81.743254210000003</v>
          </cell>
          <cell r="AQ109">
            <v>80.405095729999999</v>
          </cell>
          <cell r="AR109">
            <v>79.080028619999993</v>
          </cell>
          <cell r="AS109">
            <v>77.767492230000002</v>
          </cell>
          <cell r="AT109">
            <v>76.466911539999998</v>
          </cell>
          <cell r="AU109">
            <v>75.177813760000006</v>
          </cell>
          <cell r="AV109">
            <v>73.899613639999998</v>
          </cell>
          <cell r="AW109">
            <v>72.63185344</v>
          </cell>
          <cell r="AX109">
            <v>71.374130769999994</v>
          </cell>
          <cell r="AY109">
            <v>70.12608066</v>
          </cell>
          <cell r="AZ109">
            <v>68.88773578</v>
          </cell>
          <cell r="BA109">
            <v>67.658609229999996</v>
          </cell>
          <cell r="BB109">
            <v>67.671199099999995</v>
          </cell>
          <cell r="BC109">
            <v>67.702309150000005</v>
          </cell>
          <cell r="BD109">
            <v>67.706957650000007</v>
          </cell>
          <cell r="BE109">
            <v>73.136080030000002</v>
          </cell>
          <cell r="BF109">
            <v>72.266466910000005</v>
          </cell>
          <cell r="BG109">
            <v>71.408305409999997</v>
          </cell>
          <cell r="BH109">
            <v>70.561469470000006</v>
          </cell>
          <cell r="BI109">
            <v>69.725838089999996</v>
          </cell>
        </row>
        <row r="110">
          <cell r="F110">
            <v>3.874567114</v>
          </cell>
          <cell r="G110">
            <v>3.716205338</v>
          </cell>
          <cell r="H110">
            <v>3.5630491580000001</v>
          </cell>
          <cell r="I110">
            <v>3.4169627340000002</v>
          </cell>
          <cell r="J110">
            <v>3.2792101699999998</v>
          </cell>
          <cell r="K110">
            <v>3.1501316090000002</v>
          </cell>
          <cell r="L110">
            <v>3.0293306790000001</v>
          </cell>
          <cell r="M110">
            <v>2.9159853280000001</v>
          </cell>
          <cell r="N110">
            <v>2.8090679729999999</v>
          </cell>
          <cell r="O110">
            <v>2.7075930270000002</v>
          </cell>
          <cell r="P110">
            <v>2.6106948449999998</v>
          </cell>
          <cell r="Q110">
            <v>2.517669105</v>
          </cell>
          <cell r="R110">
            <v>2.4280415500000001</v>
          </cell>
          <cell r="S110">
            <v>2.3413826900000001</v>
          </cell>
          <cell r="T110">
            <v>2.257414732</v>
          </cell>
          <cell r="U110">
            <v>2.1759682919999999</v>
          </cell>
          <cell r="V110">
            <v>2.0969516499999998</v>
          </cell>
          <cell r="W110">
            <v>2.0203377389999999</v>
          </cell>
          <cell r="X110">
            <v>1.9461146460000001</v>
          </cell>
          <cell r="Y110">
            <v>1.874287292</v>
          </cell>
          <cell r="Z110">
            <v>1.80486792</v>
          </cell>
          <cell r="AA110">
            <v>1.737866777</v>
          </cell>
          <cell r="AB110">
            <v>1.6732628789999999</v>
          </cell>
          <cell r="AC110">
            <v>1.611055787</v>
          </cell>
          <cell r="AD110">
            <v>1.5512222600000001</v>
          </cell>
          <cell r="AE110">
            <v>1.4937253159999999</v>
          </cell>
          <cell r="AF110">
            <v>1.438518677</v>
          </cell>
          <cell r="AG110">
            <v>1.3854930080000001</v>
          </cell>
          <cell r="AH110">
            <v>1.3345878739999999</v>
          </cell>
          <cell r="AI110">
            <v>1.285730397</v>
          </cell>
          <cell r="AJ110">
            <v>1.2388432629999999</v>
          </cell>
          <cell r="AK110">
            <v>1.193848311</v>
          </cell>
          <cell r="AL110">
            <v>1.1506651459999999</v>
          </cell>
          <cell r="AM110">
            <v>1.1092159669999999</v>
          </cell>
          <cell r="AN110">
            <v>1.0694231599999999</v>
          </cell>
          <cell r="AO110">
            <v>1.0312093010000001</v>
          </cell>
          <cell r="AP110">
            <v>0.99450100259999996</v>
          </cell>
          <cell r="AQ110">
            <v>0.95920991229999997</v>
          </cell>
          <cell r="AR110">
            <v>0.92526273999999997</v>
          </cell>
          <cell r="AS110">
            <v>0.89259393909999996</v>
          </cell>
          <cell r="AT110">
            <v>0.86114125360000005</v>
          </cell>
          <cell r="AU110">
            <v>0.83084634700000004</v>
          </cell>
          <cell r="AV110">
            <v>0.80165228929999999</v>
          </cell>
          <cell r="AW110">
            <v>0.77350889219999996</v>
          </cell>
          <cell r="AX110">
            <v>0.74636997309999997</v>
          </cell>
          <cell r="AY110">
            <v>0.72019247829999999</v>
          </cell>
          <cell r="AZ110">
            <v>0.6949382342</v>
          </cell>
          <cell r="BA110">
            <v>0.67056309869999997</v>
          </cell>
          <cell r="BB110">
            <v>0.68006658600000003</v>
          </cell>
          <cell r="BC110">
            <v>0.70355084300000004</v>
          </cell>
          <cell r="BD110">
            <v>0.70706013229999998</v>
          </cell>
          <cell r="BE110">
            <v>0.72578483000000005</v>
          </cell>
          <cell r="BF110">
            <v>0.70667312709999996</v>
          </cell>
          <cell r="BG110">
            <v>0.68819737540000003</v>
          </cell>
          <cell r="BH110">
            <v>0.67033503049999998</v>
          </cell>
          <cell r="BI110">
            <v>0.65306457139999996</v>
          </cell>
        </row>
        <row r="112">
          <cell r="F112">
            <v>3.476542051</v>
          </cell>
          <cell r="G112">
            <v>5.6319535050000002</v>
          </cell>
          <cell r="H112">
            <v>7.7514221729999999</v>
          </cell>
          <cell r="I112">
            <v>9.8057799540000001</v>
          </cell>
          <cell r="J112">
            <v>11.77651236</v>
          </cell>
          <cell r="K112">
            <v>13.65742822</v>
          </cell>
          <cell r="L112">
            <v>15.428717130000001</v>
          </cell>
          <cell r="M112">
            <v>17.12457509</v>
          </cell>
          <cell r="N112">
            <v>18.76198042</v>
          </cell>
          <cell r="O112">
            <v>20.35555587</v>
          </cell>
          <cell r="P112">
            <v>21.958352649999998</v>
          </cell>
          <cell r="Q112">
            <v>23.50102145</v>
          </cell>
          <cell r="R112">
            <v>25.024821320000001</v>
          </cell>
          <cell r="S112">
            <v>26.53961589</v>
          </cell>
          <cell r="T112">
            <v>28.050857730000001</v>
          </cell>
          <cell r="U112">
            <v>29.561947709999998</v>
          </cell>
          <cell r="V112">
            <v>31.07479966</v>
          </cell>
          <cell r="W112">
            <v>32.589933440000003</v>
          </cell>
          <cell r="X112">
            <v>34.10656479</v>
          </cell>
          <cell r="Y112">
            <v>35.622873439999999</v>
          </cell>
          <cell r="Z112">
            <v>37.10971773</v>
          </cell>
          <cell r="AA112">
            <v>38.617110619999998</v>
          </cell>
          <cell r="AB112">
            <v>40.119311539999998</v>
          </cell>
          <cell r="AC112">
            <v>41.611556989999997</v>
          </cell>
          <cell r="AD112">
            <v>43.090696489999999</v>
          </cell>
          <cell r="AE112">
            <v>44.481566809999997</v>
          </cell>
          <cell r="AF112">
            <v>45.892416140000002</v>
          </cell>
          <cell r="AG112">
            <v>47.29238969</v>
          </cell>
          <cell r="AH112">
            <v>48.679847940000002</v>
          </cell>
          <cell r="AI112">
            <v>50.054643009999999</v>
          </cell>
          <cell r="AJ112">
            <v>51.416714450000001</v>
          </cell>
          <cell r="AK112">
            <v>52.765708529999998</v>
          </cell>
          <cell r="AL112">
            <v>54.101059309999997</v>
          </cell>
          <cell r="AM112">
            <v>55.422234830000001</v>
          </cell>
          <cell r="AN112">
            <v>56.728955020000001</v>
          </cell>
          <cell r="AO112">
            <v>58.021319079999998</v>
          </cell>
          <cell r="AP112">
            <v>59.284354120000003</v>
          </cell>
          <cell r="AQ112">
            <v>60.534277279999998</v>
          </cell>
          <cell r="AR112">
            <v>61.773855339999997</v>
          </cell>
          <cell r="AS112">
            <v>63.005091579999998</v>
          </cell>
          <cell r="AT112">
            <v>64.229718230000003</v>
          </cell>
          <cell r="AU112">
            <v>65.449169280000007</v>
          </cell>
          <cell r="AV112">
            <v>66.664491389999995</v>
          </cell>
          <cell r="AW112">
            <v>67.876325429999994</v>
          </cell>
          <cell r="AX112">
            <v>69.084963400000007</v>
          </cell>
          <cell r="AY112">
            <v>70.290445579999997</v>
          </cell>
          <cell r="AZ112">
            <v>71.493909059999993</v>
          </cell>
          <cell r="BA112">
            <v>72.693940299999994</v>
          </cell>
          <cell r="BB112">
            <v>73.890240309999996</v>
          </cell>
          <cell r="BC112">
            <v>75.082593950000003</v>
          </cell>
          <cell r="BD112">
            <v>76.270833049999993</v>
          </cell>
          <cell r="BE112">
            <v>23.02165338</v>
          </cell>
          <cell r="BF112">
            <v>23.098603359999998</v>
          </cell>
          <cell r="BG112">
            <v>23.175166600000001</v>
          </cell>
          <cell r="BH112">
            <v>23.251348539999999</v>
          </cell>
          <cell r="BI112">
            <v>23.327155260000001</v>
          </cell>
        </row>
        <row r="113">
          <cell r="F113">
            <v>68.80476281</v>
          </cell>
          <cell r="G113">
            <v>77.344312630000005</v>
          </cell>
          <cell r="H113">
            <v>86.456518540000005</v>
          </cell>
          <cell r="I113">
            <v>95.506620490000003</v>
          </cell>
          <cell r="J113">
            <v>104.4904925</v>
          </cell>
          <cell r="K113">
            <v>113.4131521</v>
          </cell>
          <cell r="L113">
            <v>121.65946099999999</v>
          </cell>
          <cell r="M113">
            <v>129.85794279999999</v>
          </cell>
          <cell r="N113">
            <v>138.0160827</v>
          </cell>
          <cell r="O113">
            <v>146.1349353</v>
          </cell>
          <cell r="P113">
            <v>155.25018370000001</v>
          </cell>
          <cell r="Q113">
            <v>163.284547</v>
          </cell>
          <cell r="R113">
            <v>171.26500429999999</v>
          </cell>
          <cell r="S113">
            <v>179.1907162</v>
          </cell>
          <cell r="T113">
            <v>187.05869949999999</v>
          </cell>
          <cell r="U113">
            <v>194.86662949999999</v>
          </cell>
          <cell r="V113">
            <v>202.61330469999999</v>
          </cell>
          <cell r="W113">
            <v>210.29853489999999</v>
          </cell>
          <cell r="X113">
            <v>217.92295189999999</v>
          </cell>
          <cell r="Y113">
            <v>225.48785330000001</v>
          </cell>
          <cell r="Z113">
            <v>232.30786459999999</v>
          </cell>
          <cell r="AA113">
            <v>239.75730340000001</v>
          </cell>
          <cell r="AB113">
            <v>247.15545309999999</v>
          </cell>
          <cell r="AC113">
            <v>254.50286170000001</v>
          </cell>
          <cell r="AD113">
            <v>261.80166450000002</v>
          </cell>
          <cell r="AE113">
            <v>267.17838590000002</v>
          </cell>
          <cell r="AF113">
            <v>273.49995990000002</v>
          </cell>
          <cell r="AG113">
            <v>279.7796932</v>
          </cell>
          <cell r="AH113">
            <v>286.01694459999999</v>
          </cell>
          <cell r="AI113">
            <v>292.21252959999998</v>
          </cell>
          <cell r="AJ113">
            <v>298.36725630000001</v>
          </cell>
          <cell r="AK113">
            <v>304.48168070000003</v>
          </cell>
          <cell r="AL113">
            <v>310.55622169999998</v>
          </cell>
          <cell r="AM113">
            <v>316.59130520000002</v>
          </cell>
          <cell r="AN113">
            <v>322.58742030000002</v>
          </cell>
          <cell r="AO113">
            <v>328.54509769999999</v>
          </cell>
          <cell r="AP113">
            <v>334.06450640000003</v>
          </cell>
          <cell r="AQ113">
            <v>339.54502200000002</v>
          </cell>
          <cell r="AR113">
            <v>344.98775920000003</v>
          </cell>
          <cell r="AS113">
            <v>350.39278830000001</v>
          </cell>
          <cell r="AT113">
            <v>355.75989720000001</v>
          </cell>
          <cell r="AU113">
            <v>361.08875749999999</v>
          </cell>
          <cell r="AV113">
            <v>366.37899390000001</v>
          </cell>
          <cell r="AW113">
            <v>371.63025729999998</v>
          </cell>
          <cell r="AX113">
            <v>376.84229210000001</v>
          </cell>
          <cell r="AY113">
            <v>382.01498020000002</v>
          </cell>
          <cell r="AZ113">
            <v>387.18061920000002</v>
          </cell>
          <cell r="BA113">
            <v>392.30720359999998</v>
          </cell>
          <cell r="BB113">
            <v>397.39494539999998</v>
          </cell>
          <cell r="BC113">
            <v>402.44419329999999</v>
          </cell>
          <cell r="BD113">
            <v>407.4553507</v>
          </cell>
          <cell r="BE113">
            <v>505.70694400000002</v>
          </cell>
          <cell r="BF113">
            <v>512.00260160000005</v>
          </cell>
          <cell r="BG113">
            <v>518.24737849999997</v>
          </cell>
          <cell r="BH113">
            <v>524.44232790000001</v>
          </cell>
          <cell r="BI113">
            <v>530.58864100000005</v>
          </cell>
        </row>
        <row r="114">
          <cell r="F114">
            <v>408.28039699999999</v>
          </cell>
          <cell r="G114">
            <v>425.65319670000002</v>
          </cell>
          <cell r="H114">
            <v>444.71117409999999</v>
          </cell>
          <cell r="I114">
            <v>463.6601584</v>
          </cell>
          <cell r="J114">
            <v>482.50184400000001</v>
          </cell>
          <cell r="K114">
            <v>501.25235470000001</v>
          </cell>
          <cell r="L114">
            <v>518.17936269999996</v>
          </cell>
          <cell r="M114">
            <v>535.04021650000004</v>
          </cell>
          <cell r="N114">
            <v>551.84608409999998</v>
          </cell>
          <cell r="O114">
            <v>568.5970016</v>
          </cell>
          <cell r="P114">
            <v>588.20102559999998</v>
          </cell>
          <cell r="Q114">
            <v>604.82916939999996</v>
          </cell>
          <cell r="R114">
            <v>621.37431500000002</v>
          </cell>
          <cell r="S114">
            <v>637.83164290000002</v>
          </cell>
          <cell r="T114">
            <v>654.19414589999997</v>
          </cell>
          <cell r="U114">
            <v>670.45631979999996</v>
          </cell>
          <cell r="V114">
            <v>686.61482520000004</v>
          </cell>
          <cell r="W114">
            <v>702.66835990000004</v>
          </cell>
          <cell r="X114">
            <v>718.61737149999999</v>
          </cell>
          <cell r="Y114">
            <v>734.46372029999998</v>
          </cell>
          <cell r="Z114">
            <v>748.28112380000005</v>
          </cell>
          <cell r="AA114">
            <v>763.92530160000001</v>
          </cell>
          <cell r="AB114">
            <v>779.4792195</v>
          </cell>
          <cell r="AC114">
            <v>794.94456119999995</v>
          </cell>
          <cell r="AD114">
            <v>810.32523809999998</v>
          </cell>
          <cell r="AE114">
            <v>820.35930299999995</v>
          </cell>
          <cell r="AF114">
            <v>833.09291399999995</v>
          </cell>
          <cell r="AG114">
            <v>845.74538719999998</v>
          </cell>
          <cell r="AH114">
            <v>858.31600360000004</v>
          </cell>
          <cell r="AI114">
            <v>870.80603510000003</v>
          </cell>
          <cell r="AJ114">
            <v>883.21691929999997</v>
          </cell>
          <cell r="AK114">
            <v>895.5499724</v>
          </cell>
          <cell r="AL114">
            <v>907.80651150000006</v>
          </cell>
          <cell r="AM114">
            <v>919.98796749999997</v>
          </cell>
          <cell r="AN114">
            <v>932.09587220000003</v>
          </cell>
          <cell r="AO114">
            <v>944.13175460000002</v>
          </cell>
          <cell r="AP114">
            <v>954.97305719999997</v>
          </cell>
          <cell r="AQ114">
            <v>965.74084689999995</v>
          </cell>
          <cell r="AR114">
            <v>976.4366923</v>
          </cell>
          <cell r="AS114">
            <v>987.06068679999998</v>
          </cell>
          <cell r="AT114">
            <v>997.61250959999995</v>
          </cell>
          <cell r="AU114">
            <v>1008.091714</v>
          </cell>
          <cell r="AV114">
            <v>1018.497869</v>
          </cell>
          <cell r="AW114">
            <v>1028.830672</v>
          </cell>
          <cell r="AX114">
            <v>1039.0900329999999</v>
          </cell>
          <cell r="AY114">
            <v>1049.276108</v>
          </cell>
          <cell r="AZ114">
            <v>1059.4798820000001</v>
          </cell>
          <cell r="BA114">
            <v>1069.6116300000001</v>
          </cell>
          <cell r="BB114">
            <v>1079.6720230000001</v>
          </cell>
          <cell r="BC114">
            <v>1089.661897</v>
          </cell>
          <cell r="BD114">
            <v>1099.582148</v>
          </cell>
          <cell r="BE114">
            <v>1097.5222470000001</v>
          </cell>
          <cell r="BF114">
            <v>1106.9728580000001</v>
          </cell>
          <cell r="BG114">
            <v>1116.3591220000001</v>
          </cell>
          <cell r="BH114">
            <v>1125.682438</v>
          </cell>
          <cell r="BI114">
            <v>1134.9443100000001</v>
          </cell>
        </row>
        <row r="115">
          <cell r="F115">
            <v>954.38155940000001</v>
          </cell>
          <cell r="G115">
            <v>947.49142140000004</v>
          </cell>
          <cell r="H115">
            <v>940.60971529999995</v>
          </cell>
          <cell r="I115">
            <v>933.70978400000001</v>
          </cell>
          <cell r="J115">
            <v>926.78036770000006</v>
          </cell>
          <cell r="K115">
            <v>919.81350680000003</v>
          </cell>
          <cell r="L115">
            <v>912.80738580000002</v>
          </cell>
          <cell r="M115">
            <v>905.7675911</v>
          </cell>
          <cell r="N115">
            <v>898.70813769999995</v>
          </cell>
          <cell r="O115">
            <v>891.65031209999995</v>
          </cell>
          <cell r="P115">
            <v>884.61805719999995</v>
          </cell>
          <cell r="Q115">
            <v>877.63533649999999</v>
          </cell>
          <cell r="R115">
            <v>870.72072609999998</v>
          </cell>
          <cell r="S115">
            <v>863.88902199999995</v>
          </cell>
          <cell r="T115">
            <v>857.15424180000002</v>
          </cell>
          <cell r="U115">
            <v>850.52638930000001</v>
          </cell>
          <cell r="V115">
            <v>844.01105180000002</v>
          </cell>
          <cell r="W115">
            <v>837.60964279999996</v>
          </cell>
          <cell r="X115">
            <v>831.31979899999999</v>
          </cell>
          <cell r="Y115">
            <v>825.13614299999995</v>
          </cell>
          <cell r="Z115">
            <v>819.05115880000005</v>
          </cell>
          <cell r="AA115">
            <v>813.05575910000005</v>
          </cell>
          <cell r="AB115">
            <v>807.14138230000003</v>
          </cell>
          <cell r="AC115">
            <v>801.30001249999998</v>
          </cell>
          <cell r="AD115">
            <v>795.5222708</v>
          </cell>
          <cell r="AE115">
            <v>789.79943560000004</v>
          </cell>
          <cell r="AF115">
            <v>784.12327589999995</v>
          </cell>
          <cell r="AG115">
            <v>778.48953340000003</v>
          </cell>
          <cell r="AH115">
            <v>772.89784899999995</v>
          </cell>
          <cell r="AI115">
            <v>767.34628399999997</v>
          </cell>
          <cell r="AJ115">
            <v>761.83294980000005</v>
          </cell>
          <cell r="AK115">
            <v>756.356179</v>
          </cell>
          <cell r="AL115">
            <v>750.91443589999994</v>
          </cell>
          <cell r="AM115">
            <v>745.50638579999998</v>
          </cell>
          <cell r="AN115">
            <v>740.13106210000001</v>
          </cell>
          <cell r="AO115">
            <v>734.78805239999997</v>
          </cell>
          <cell r="AP115">
            <v>729.47764410000002</v>
          </cell>
          <cell r="AQ115">
            <v>724.20074090000003</v>
          </cell>
          <cell r="AR115">
            <v>718.95939550000003</v>
          </cell>
          <cell r="AS115">
            <v>713.75687619999997</v>
          </cell>
          <cell r="AT115">
            <v>708.59655380000004</v>
          </cell>
          <cell r="AU115">
            <v>703.48152689999995</v>
          </cell>
          <cell r="AV115">
            <v>698.41440850000004</v>
          </cell>
          <cell r="AW115">
            <v>693.39719239999999</v>
          </cell>
          <cell r="AX115">
            <v>688.43121159999998</v>
          </cell>
          <cell r="AY115">
            <v>683.51718960000005</v>
          </cell>
          <cell r="AZ115">
            <v>678.65535090000003</v>
          </cell>
          <cell r="BA115">
            <v>673.8455682</v>
          </cell>
          <cell r="BB115">
            <v>669.0874546</v>
          </cell>
          <cell r="BC115">
            <v>664.38044360000004</v>
          </cell>
          <cell r="BD115">
            <v>659.72391679999998</v>
          </cell>
          <cell r="BE115">
            <v>484.04968780000002</v>
          </cell>
          <cell r="BF115">
            <v>477.39374570000001</v>
          </cell>
          <cell r="BG115">
            <v>470.83057000000002</v>
          </cell>
          <cell r="BH115">
            <v>464.35802790000002</v>
          </cell>
          <cell r="BI115">
            <v>457.97382290000002</v>
          </cell>
        </row>
        <row r="116">
          <cell r="F116">
            <v>878.79999729999997</v>
          </cell>
          <cell r="G116">
            <v>867.92661069999997</v>
          </cell>
          <cell r="H116">
            <v>857.30847940000001</v>
          </cell>
          <cell r="I116">
            <v>846.9510252</v>
          </cell>
          <cell r="J116">
            <v>836.88450309999996</v>
          </cell>
          <cell r="K116">
            <v>827.10295729999996</v>
          </cell>
          <cell r="L116">
            <v>817.57704820000004</v>
          </cell>
          <cell r="M116">
            <v>808.26862029999995</v>
          </cell>
          <cell r="N116">
            <v>799.13304010000002</v>
          </cell>
          <cell r="O116">
            <v>790.13752339999996</v>
          </cell>
          <cell r="P116">
            <v>781.25703129999999</v>
          </cell>
          <cell r="Q116">
            <v>772.47499400000004</v>
          </cell>
          <cell r="R116">
            <v>763.79140280000001</v>
          </cell>
          <cell r="S116">
            <v>755.18899269999997</v>
          </cell>
          <cell r="T116">
            <v>746.65915749999999</v>
          </cell>
          <cell r="U116">
            <v>738.1967224</v>
          </cell>
          <cell r="V116">
            <v>729.79880079999998</v>
          </cell>
          <cell r="W116">
            <v>721.46476610000002</v>
          </cell>
          <cell r="X116">
            <v>713.19629669999995</v>
          </cell>
          <cell r="Y116">
            <v>704.99690239999995</v>
          </cell>
          <cell r="Z116">
            <v>696.87165619999996</v>
          </cell>
          <cell r="AA116">
            <v>688.82518210000001</v>
          </cell>
          <cell r="AB116">
            <v>680.85579480000001</v>
          </cell>
          <cell r="AC116">
            <v>672.97331459999998</v>
          </cell>
          <cell r="AD116">
            <v>665.18380769999999</v>
          </cell>
          <cell r="AE116">
            <v>657.49261509999997</v>
          </cell>
          <cell r="AF116">
            <v>649.90130429999999</v>
          </cell>
          <cell r="AG116">
            <v>642.3933217</v>
          </cell>
          <cell r="AH116">
            <v>634.97193049999998</v>
          </cell>
          <cell r="AI116">
            <v>627.63729760000001</v>
          </cell>
          <cell r="AJ116">
            <v>620.38936779999995</v>
          </cell>
          <cell r="AK116">
            <v>613.22854559999996</v>
          </cell>
          <cell r="AL116">
            <v>606.15546670000003</v>
          </cell>
          <cell r="AM116">
            <v>599.1704489</v>
          </cell>
          <cell r="AN116">
            <v>592.27308249999999</v>
          </cell>
          <cell r="AO116">
            <v>585.46205110000005</v>
          </cell>
          <cell r="AP116">
            <v>578.7353018</v>
          </cell>
          <cell r="AQ116">
            <v>572.08963449999999</v>
          </cell>
          <cell r="AR116">
            <v>565.51825280000003</v>
          </cell>
          <cell r="AS116">
            <v>559.01631529999997</v>
          </cell>
          <cell r="AT116">
            <v>552.5797943</v>
          </cell>
          <cell r="AU116">
            <v>546.20541979999996</v>
          </cell>
          <cell r="AV116">
            <v>539.890761</v>
          </cell>
          <cell r="AW116">
            <v>533.63418920000004</v>
          </cell>
          <cell r="AX116">
            <v>527.4347199</v>
          </cell>
          <cell r="AY116">
            <v>521.29180050000002</v>
          </cell>
          <cell r="AZ116">
            <v>515.20509919999995</v>
          </cell>
          <cell r="BA116">
            <v>509.17439389999998</v>
          </cell>
          <cell r="BB116">
            <v>503.19966909999999</v>
          </cell>
          <cell r="BC116">
            <v>497.28070129999998</v>
          </cell>
          <cell r="BD116">
            <v>491.41716079999998</v>
          </cell>
          <cell r="BE116">
            <v>627.43126419999999</v>
          </cell>
          <cell r="BF116">
            <v>623.80247299999996</v>
          </cell>
          <cell r="BG116">
            <v>620.1914491</v>
          </cell>
          <cell r="BH116">
            <v>616.59806479999997</v>
          </cell>
          <cell r="BI116">
            <v>613.02212169999996</v>
          </cell>
        </row>
        <row r="117">
          <cell r="F117">
            <v>139.85209269999999</v>
          </cell>
          <cell r="G117">
            <v>137.95469990000001</v>
          </cell>
          <cell r="H117">
            <v>136.090194</v>
          </cell>
          <cell r="I117">
            <v>134.2599659</v>
          </cell>
          <cell r="J117">
            <v>132.46626599999999</v>
          </cell>
          <cell r="K117">
            <v>130.70855739999999</v>
          </cell>
          <cell r="L117">
            <v>128.98414840000001</v>
          </cell>
          <cell r="M117">
            <v>127.2892895</v>
          </cell>
          <cell r="N117">
            <v>125.61957390000001</v>
          </cell>
          <cell r="O117">
            <v>123.9713143</v>
          </cell>
          <cell r="P117">
            <v>122.34151300000001</v>
          </cell>
          <cell r="Q117">
            <v>120.7279444</v>
          </cell>
          <cell r="R117">
            <v>119.1298493</v>
          </cell>
          <cell r="S117">
            <v>117.54580850000001</v>
          </cell>
          <cell r="T117">
            <v>115.9752065</v>
          </cell>
          <cell r="U117">
            <v>114.41786829999999</v>
          </cell>
          <cell r="V117">
            <v>112.873925</v>
          </cell>
          <cell r="W117">
            <v>111.3437519</v>
          </cell>
          <cell r="X117">
            <v>109.8279165</v>
          </cell>
          <cell r="Y117">
            <v>108.3271187</v>
          </cell>
          <cell r="Z117">
            <v>106.8421519</v>
          </cell>
          <cell r="AA117">
            <v>105.3737979</v>
          </cell>
          <cell r="AB117">
            <v>103.92236509999999</v>
          </cell>
          <cell r="AC117">
            <v>102.4887401</v>
          </cell>
          <cell r="AD117">
            <v>101.0735119</v>
          </cell>
          <cell r="AE117">
            <v>99.677167119999993</v>
          </cell>
          <cell r="AF117">
            <v>98.300036090000006</v>
          </cell>
          <cell r="AG117">
            <v>96.941279019999996</v>
          </cell>
          <cell r="AH117">
            <v>95.601091179999997</v>
          </cell>
          <cell r="AI117">
            <v>94.279412699999995</v>
          </cell>
          <cell r="AJ117">
            <v>92.976109100000002</v>
          </cell>
          <cell r="AK117">
            <v>91.691029279999995</v>
          </cell>
          <cell r="AL117">
            <v>90.424004170000003</v>
          </cell>
          <cell r="AM117">
            <v>89.174825380000001</v>
          </cell>
          <cell r="AN117">
            <v>87.943226300000006</v>
          </cell>
          <cell r="AO117">
            <v>86.728874689999998</v>
          </cell>
          <cell r="AP117">
            <v>85.53138903</v>
          </cell>
          <cell r="AQ117">
            <v>84.350344860000007</v>
          </cell>
          <cell r="AR117">
            <v>83.185118540000005</v>
          </cell>
          <cell r="AS117">
            <v>82.03519129</v>
          </cell>
          <cell r="AT117">
            <v>80.900091649999993</v>
          </cell>
          <cell r="AU117">
            <v>79.779398630000003</v>
          </cell>
          <cell r="AV117">
            <v>78.672752579999994</v>
          </cell>
          <cell r="AW117">
            <v>77.579857250000003</v>
          </cell>
          <cell r="AX117">
            <v>76.500472119999998</v>
          </cell>
          <cell r="AY117">
            <v>75.434399319999997</v>
          </cell>
          <cell r="AZ117">
            <v>74.38146888</v>
          </cell>
          <cell r="BA117">
            <v>73.341527360000001</v>
          </cell>
          <cell r="BB117">
            <v>72.314441439999996</v>
          </cell>
          <cell r="BC117">
            <v>71.30007406</v>
          </cell>
          <cell r="BD117">
            <v>70.298287830000007</v>
          </cell>
          <cell r="BE117">
            <v>71.569973329999996</v>
          </cell>
          <cell r="BF117">
            <v>70.642954649999993</v>
          </cell>
          <cell r="BG117">
            <v>69.727825420000002</v>
          </cell>
          <cell r="BH117">
            <v>68.824426950000003</v>
          </cell>
          <cell r="BI117">
            <v>67.932590059999995</v>
          </cell>
        </row>
        <row r="118">
          <cell r="F118">
            <v>3.874567114</v>
          </cell>
          <cell r="G118">
            <v>3.7241786700000001</v>
          </cell>
          <cell r="H118">
            <v>3.5806033149999998</v>
          </cell>
          <cell r="I118">
            <v>3.4436508790000002</v>
          </cell>
          <cell r="J118">
            <v>3.3132280110000001</v>
          </cell>
          <cell r="K118">
            <v>3.1890435749999999</v>
          </cell>
          <cell r="L118">
            <v>3.070666546</v>
          </cell>
          <cell r="M118">
            <v>2.9576135360000002</v>
          </cell>
          <cell r="N118">
            <v>2.849378545</v>
          </cell>
          <cell r="O118">
            <v>2.745533226</v>
          </cell>
          <cell r="P118">
            <v>2.6457183240000002</v>
          </cell>
          <cell r="Q118">
            <v>2.5496446050000001</v>
          </cell>
          <cell r="R118">
            <v>2.4571336050000001</v>
          </cell>
          <cell r="S118">
            <v>2.367970342</v>
          </cell>
          <cell r="T118">
            <v>2.281999248</v>
          </cell>
          <cell r="U118">
            <v>2.1990968460000002</v>
          </cell>
          <cell r="V118">
            <v>2.1191610590000001</v>
          </cell>
          <cell r="W118">
            <v>2.042105829</v>
          </cell>
          <cell r="X118">
            <v>1.967856922</v>
          </cell>
          <cell r="Y118">
            <v>1.896347902</v>
          </cell>
          <cell r="Z118">
            <v>1.827517718</v>
          </cell>
          <cell r="AA118">
            <v>1.761304966</v>
          </cell>
          <cell r="AB118">
            <v>1.6976248860000001</v>
          </cell>
          <cell r="AC118">
            <v>1.6364238959999999</v>
          </cell>
          <cell r="AD118">
            <v>1.5776350699999999</v>
          </cell>
          <cell r="AE118">
            <v>1.521188843</v>
          </cell>
          <cell r="AF118">
            <v>1.46701072</v>
          </cell>
          <cell r="AG118">
            <v>1.4149761190000001</v>
          </cell>
          <cell r="AH118">
            <v>1.3650119679999999</v>
          </cell>
          <cell r="AI118">
            <v>1.3170373179999999</v>
          </cell>
          <cell r="AJ118">
            <v>1.2709717970000001</v>
          </cell>
          <cell r="AK118">
            <v>1.226738119</v>
          </cell>
          <cell r="AL118">
            <v>1.184261923</v>
          </cell>
          <cell r="AM118">
            <v>1.143470827</v>
          </cell>
          <cell r="AN118">
            <v>1.104293639</v>
          </cell>
          <cell r="AO118">
            <v>1.0666600580000001</v>
          </cell>
          <cell r="AP118">
            <v>1.0305012680000001</v>
          </cell>
          <cell r="AQ118">
            <v>0.99575006210000006</v>
          </cell>
          <cell r="AR118">
            <v>0.96233518279999997</v>
          </cell>
          <cell r="AS118">
            <v>0.93019223210000002</v>
          </cell>
          <cell r="AT118">
            <v>0.89926126679999996</v>
          </cell>
          <cell r="AU118">
            <v>0.86948663589999997</v>
          </cell>
          <cell r="AV118">
            <v>0.84081707400000005</v>
          </cell>
          <cell r="AW118">
            <v>0.81320549490000005</v>
          </cell>
          <cell r="AX118">
            <v>0.78660849089999996</v>
          </cell>
          <cell r="AY118">
            <v>0.76098570389999998</v>
          </cell>
          <cell r="AZ118">
            <v>0.73629919830000001</v>
          </cell>
          <cell r="BA118">
            <v>0.71251298819999997</v>
          </cell>
          <cell r="BB118">
            <v>0.68959303279999995</v>
          </cell>
          <cell r="BC118">
            <v>0.66750645610000003</v>
          </cell>
          <cell r="BD118">
            <v>0.6462215872</v>
          </cell>
          <cell r="BE118">
            <v>0.67613615360000001</v>
          </cell>
          <cell r="BF118">
            <v>0.65614706970000003</v>
          </cell>
          <cell r="BG118">
            <v>0.6368516139</v>
          </cell>
          <cell r="BH118">
            <v>0.61822360580000002</v>
          </cell>
          <cell r="BI118">
            <v>0.6002375418</v>
          </cell>
        </row>
        <row r="205">
          <cell r="E205" t="str">
            <v>YG_toe_2</v>
          </cell>
          <cell r="F205">
            <v>145.290085</v>
          </cell>
          <cell r="G205">
            <v>145.6469745</v>
          </cell>
          <cell r="H205">
            <v>146.09338289999999</v>
          </cell>
          <cell r="I205">
            <v>146.70634430000001</v>
          </cell>
          <cell r="J205">
            <v>147.53885009999999</v>
          </cell>
          <cell r="K205">
            <v>148.58420520000001</v>
          </cell>
          <cell r="L205">
            <v>149.72060010000001</v>
          </cell>
          <cell r="M205">
            <v>150.957506</v>
          </cell>
          <cell r="N205">
            <v>152.26359729999999</v>
          </cell>
          <cell r="O205">
            <v>153.6091261</v>
          </cell>
          <cell r="P205">
            <v>155.10973730000001</v>
          </cell>
          <cell r="Q205">
            <v>156.50117760000001</v>
          </cell>
          <cell r="R205">
            <v>157.85441420000001</v>
          </cell>
          <cell r="S205">
            <v>159.1747326</v>
          </cell>
          <cell r="T205">
            <v>160.46340950000001</v>
          </cell>
          <cell r="U205">
            <v>161.7221893</v>
          </cell>
          <cell r="V205">
            <v>162.94112939999999</v>
          </cell>
          <cell r="W205">
            <v>164.13449069999999</v>
          </cell>
          <cell r="X205">
            <v>165.30962769999999</v>
          </cell>
          <cell r="Y205">
            <v>166.47385360000001</v>
          </cell>
          <cell r="Z205">
            <v>167.53607500000001</v>
          </cell>
          <cell r="AA205">
            <v>168.6674821</v>
          </cell>
          <cell r="AB205">
            <v>169.82278840000001</v>
          </cell>
          <cell r="AC205">
            <v>170.9999172</v>
          </cell>
          <cell r="AD205">
            <v>172.20089060000001</v>
          </cell>
          <cell r="AE205">
            <v>173.15349990000001</v>
          </cell>
          <cell r="AF205">
            <v>174.1951511</v>
          </cell>
          <cell r="AG205">
            <v>175.26530170000001</v>
          </cell>
          <cell r="AH205">
            <v>176.36206329999999</v>
          </cell>
          <cell r="AI205">
            <v>177.48703810000001</v>
          </cell>
          <cell r="AJ205">
            <v>178.64229409999999</v>
          </cell>
          <cell r="AK205">
            <v>179.83201690000001</v>
          </cell>
          <cell r="AL205">
            <v>181.05512300000001</v>
          </cell>
          <cell r="AM205">
            <v>182.3111754</v>
          </cell>
          <cell r="AN205">
            <v>183.59914420000001</v>
          </cell>
          <cell r="AO205">
            <v>184.91755409999999</v>
          </cell>
          <cell r="AP205">
            <v>186.22443920000001</v>
          </cell>
          <cell r="AQ205">
            <v>187.54478599999999</v>
          </cell>
          <cell r="AR205">
            <v>188.88305639999999</v>
          </cell>
          <cell r="AS205">
            <v>190.23997370000001</v>
          </cell>
          <cell r="AT205">
            <v>191.61533399999999</v>
          </cell>
          <cell r="AU205">
            <v>193.01225149999999</v>
          </cell>
          <cell r="AV205">
            <v>194.4282106</v>
          </cell>
          <cell r="AW205">
            <v>195.862559</v>
          </cell>
          <cell r="AX205">
            <v>197.31470200000001</v>
          </cell>
          <cell r="AY205">
            <v>198.78405430000001</v>
          </cell>
          <cell r="AZ205">
            <v>200.28672040000001</v>
          </cell>
          <cell r="BA205">
            <v>201.81146889999999</v>
          </cell>
          <cell r="BB205">
            <v>202.44768210000001</v>
          </cell>
          <cell r="BC205">
            <v>204.11189239999999</v>
          </cell>
          <cell r="BD205">
            <v>204.30317239999999</v>
          </cell>
          <cell r="BE205">
            <v>260.51870730000002</v>
          </cell>
          <cell r="BF205">
            <v>264.01853419999998</v>
          </cell>
          <cell r="BG205">
            <v>267.57925560000001</v>
          </cell>
          <cell r="BH205">
            <v>271.20175319999998</v>
          </cell>
          <cell r="BI205">
            <v>274.88702260000002</v>
          </cell>
        </row>
        <row r="206">
          <cell r="E206" t="str">
            <v>YG_toe_ccoa_2</v>
          </cell>
          <cell r="F206">
            <v>2.3095297179999998</v>
          </cell>
          <cell r="G206">
            <v>2.3146025649999999</v>
          </cell>
          <cell r="H206">
            <v>2.332251393</v>
          </cell>
          <cell r="I206">
            <v>2.3540535610000002</v>
          </cell>
          <cell r="J206">
            <v>2.3783382309999999</v>
          </cell>
          <cell r="K206">
            <v>2.4044750669999999</v>
          </cell>
          <cell r="L206">
            <v>2.43056648</v>
          </cell>
          <cell r="M206">
            <v>2.4573944679999999</v>
          </cell>
          <cell r="N206">
            <v>2.4850207709999999</v>
          </cell>
          <cell r="O206">
            <v>2.5133998200000001</v>
          </cell>
          <cell r="P206">
            <v>2.5449258060000002</v>
          </cell>
          <cell r="Q206">
            <v>2.5750168630000001</v>
          </cell>
          <cell r="R206">
            <v>2.6052549090000001</v>
          </cell>
          <cell r="S206">
            <v>2.6359074310000001</v>
          </cell>
          <cell r="T206">
            <v>2.6669759480000002</v>
          </cell>
          <cell r="U206">
            <v>2.6984196109999998</v>
          </cell>
          <cell r="V206">
            <v>2.729808942</v>
          </cell>
          <cell r="W206">
            <v>2.761463064</v>
          </cell>
          <cell r="X206">
            <v>2.7934316950000002</v>
          </cell>
          <cell r="Y206">
            <v>2.8257302960000001</v>
          </cell>
          <cell r="Z206">
            <v>2.856629082</v>
          </cell>
          <cell r="AA206">
            <v>2.8891313470000002</v>
          </cell>
          <cell r="AB206">
            <v>2.922331883</v>
          </cell>
          <cell r="AC206">
            <v>2.9560793639999998</v>
          </cell>
          <cell r="AD206">
            <v>2.9903756459999999</v>
          </cell>
          <cell r="AE206">
            <v>3.0202842649999999</v>
          </cell>
          <cell r="AF206">
            <v>3.0520411439999999</v>
          </cell>
          <cell r="AG206">
            <v>3.0844617859999999</v>
          </cell>
          <cell r="AH206">
            <v>3.1173626680000002</v>
          </cell>
          <cell r="AI206">
            <v>3.1507569640000002</v>
          </cell>
          <cell r="AJ206">
            <v>3.1846812340000001</v>
          </cell>
          <cell r="AK206">
            <v>3.2192492810000002</v>
          </cell>
          <cell r="AL206">
            <v>3.2543932189999998</v>
          </cell>
          <cell r="AM206">
            <v>3.2900984279999999</v>
          </cell>
          <cell r="AN206">
            <v>3.3263533590000001</v>
          </cell>
          <cell r="AO206">
            <v>3.3631437059999998</v>
          </cell>
          <cell r="AP206">
            <v>3.4000789619999998</v>
          </cell>
          <cell r="AQ206">
            <v>3.4372507030000001</v>
          </cell>
          <cell r="AR206">
            <v>3.4747253819999999</v>
          </cell>
          <cell r="AS206">
            <v>3.5125419299999998</v>
          </cell>
          <cell r="AT206">
            <v>3.550726687</v>
          </cell>
          <cell r="AU206">
            <v>3.589424728</v>
          </cell>
          <cell r="AV206">
            <v>3.6285386129999999</v>
          </cell>
          <cell r="AW206">
            <v>3.6680577009999999</v>
          </cell>
          <cell r="AX206">
            <v>3.707982302</v>
          </cell>
          <cell r="AY206">
            <v>3.7483123209999998</v>
          </cell>
          <cell r="AZ206">
            <v>3.7895818490000002</v>
          </cell>
          <cell r="BA206">
            <v>3.8313545160000002</v>
          </cell>
          <cell r="BB206">
            <v>3.9178507570000001</v>
          </cell>
          <cell r="BC206">
            <v>4.1422248589999997</v>
          </cell>
          <cell r="BD206">
            <v>4.1695365190000002</v>
          </cell>
          <cell r="BE206">
            <v>5.3030612970000002</v>
          </cell>
          <cell r="BF206">
            <v>5.3926175350000003</v>
          </cell>
          <cell r="BG206">
            <v>5.4835762130000001</v>
          </cell>
          <cell r="BH206">
            <v>5.5759606100000001</v>
          </cell>
          <cell r="BI206">
            <v>5.6697948240000002</v>
          </cell>
        </row>
        <row r="209">
          <cell r="E209" t="str">
            <v>YG_toe_ccoi_2</v>
          </cell>
          <cell r="F209">
            <v>1.071679711</v>
          </cell>
          <cell r="G209">
            <v>1.072533671</v>
          </cell>
          <cell r="H209">
            <v>1.075589052</v>
          </cell>
          <cell r="I209">
            <v>1.0799697159999999</v>
          </cell>
          <cell r="J209">
            <v>1.085896714</v>
          </cell>
          <cell r="K209">
            <v>1.0933448029999999</v>
          </cell>
          <cell r="L209">
            <v>1.1015396099999999</v>
          </cell>
          <cell r="M209">
            <v>1.1105657849999999</v>
          </cell>
          <cell r="N209">
            <v>1.1202901380000001</v>
          </cell>
          <cell r="O209">
            <v>1.1305650380000001</v>
          </cell>
          <cell r="P209">
            <v>1.142197817</v>
          </cell>
          <cell r="Q209">
            <v>1.1534879469999999</v>
          </cell>
          <cell r="R209">
            <v>1.164839881</v>
          </cell>
          <cell r="S209">
            <v>1.176316615</v>
          </cell>
          <cell r="T209">
            <v>1.1879013860000001</v>
          </cell>
          <cell r="U209">
            <v>1.199565276</v>
          </cell>
          <cell r="V209">
            <v>1.211178836</v>
          </cell>
          <cell r="W209">
            <v>1.2228062740000001</v>
          </cell>
          <cell r="X209">
            <v>1.234455836</v>
          </cell>
          <cell r="Y209">
            <v>1.2461306889999999</v>
          </cell>
          <cell r="Z209">
            <v>1.257177481</v>
          </cell>
          <cell r="AA209">
            <v>1.2686792929999999</v>
          </cell>
          <cell r="AB209">
            <v>1.2803657639999999</v>
          </cell>
          <cell r="AC209">
            <v>1.2921796249999999</v>
          </cell>
          <cell r="AD209">
            <v>1.3041192450000001</v>
          </cell>
          <cell r="AE209">
            <v>1.3143311289999999</v>
          </cell>
          <cell r="AF209">
            <v>1.3250090299999999</v>
          </cell>
          <cell r="AG209">
            <v>1.335859632</v>
          </cell>
          <cell r="AH209">
            <v>1.3468367459999999</v>
          </cell>
          <cell r="AI209">
            <v>1.357952738</v>
          </cell>
          <cell r="AJ209">
            <v>1.369228742</v>
          </cell>
          <cell r="AK209">
            <v>1.3807050160000001</v>
          </cell>
          <cell r="AL209">
            <v>1.3923773500000001</v>
          </cell>
          <cell r="AM209">
            <v>1.404250534</v>
          </cell>
          <cell r="AN209">
            <v>1.4163282989999999</v>
          </cell>
          <cell r="AO209">
            <v>1.4286122720000001</v>
          </cell>
          <cell r="AP209">
            <v>1.4408626710000001</v>
          </cell>
          <cell r="AQ209">
            <v>1.4531954</v>
          </cell>
          <cell r="AR209">
            <v>1.4656587999999999</v>
          </cell>
          <cell r="AS209">
            <v>1.478274619</v>
          </cell>
          <cell r="AT209">
            <v>1.4910551270000001</v>
          </cell>
          <cell r="AU209">
            <v>1.5040387399999999</v>
          </cell>
          <cell r="AV209">
            <v>1.517208044</v>
          </cell>
          <cell r="AW209">
            <v>1.530562564</v>
          </cell>
          <cell r="AX209">
            <v>1.544103944</v>
          </cell>
          <cell r="AY209">
            <v>1.5578336690000001</v>
          </cell>
          <cell r="AZ209">
            <v>1.57189215</v>
          </cell>
          <cell r="BA209">
            <v>1.5861812420000001</v>
          </cell>
          <cell r="BB209">
            <v>1.6232116780000001</v>
          </cell>
          <cell r="BC209">
            <v>1.719242538</v>
          </cell>
          <cell r="BD209">
            <v>1.7302990330000001</v>
          </cell>
          <cell r="BE209">
            <v>2.0573651060000002</v>
          </cell>
          <cell r="BF209">
            <v>2.086709532</v>
          </cell>
          <cell r="BG209">
            <v>2.1165431620000001</v>
          </cell>
          <cell r="BH209">
            <v>2.146877581</v>
          </cell>
          <cell r="BI209">
            <v>2.1777251980000001</v>
          </cell>
        </row>
        <row r="212">
          <cell r="E212" t="str">
            <v>YG_toe_cfut_2</v>
          </cell>
          <cell r="F212">
            <v>41.471946869999996</v>
          </cell>
          <cell r="G212">
            <v>41.546906569999997</v>
          </cell>
          <cell r="H212">
            <v>41.639059340000003</v>
          </cell>
          <cell r="I212">
            <v>41.788951689999998</v>
          </cell>
          <cell r="J212">
            <v>42.011492599999997</v>
          </cell>
          <cell r="K212">
            <v>42.302539199999998</v>
          </cell>
          <cell r="L212">
            <v>42.630398530000001</v>
          </cell>
          <cell r="M212">
            <v>42.999053080000003</v>
          </cell>
          <cell r="N212">
            <v>43.401639709999998</v>
          </cell>
          <cell r="O212">
            <v>43.831956759999997</v>
          </cell>
          <cell r="P212">
            <v>44.320197030000003</v>
          </cell>
          <cell r="Q212">
            <v>44.799066709999998</v>
          </cell>
          <cell r="R212">
            <v>45.288357259999998</v>
          </cell>
          <cell r="S212">
            <v>45.786795830000003</v>
          </cell>
          <cell r="T212">
            <v>46.29204549</v>
          </cell>
          <cell r="U212">
            <v>46.801875930000001</v>
          </cell>
          <cell r="V212">
            <v>47.311001779999998</v>
          </cell>
          <cell r="W212">
            <v>47.82111811</v>
          </cell>
          <cell r="X212">
            <v>48.331580770000002</v>
          </cell>
          <cell r="Y212">
            <v>48.842075180000002</v>
          </cell>
          <cell r="Z212">
            <v>49.327284650000003</v>
          </cell>
          <cell r="AA212">
            <v>49.830334209999997</v>
          </cell>
          <cell r="AB212">
            <v>50.337083370000002</v>
          </cell>
          <cell r="AC212">
            <v>50.846990349999999</v>
          </cell>
          <cell r="AD212">
            <v>51.360522940000003</v>
          </cell>
          <cell r="AE212">
            <v>51.806529589999997</v>
          </cell>
          <cell r="AF212">
            <v>52.274177379999998</v>
          </cell>
          <cell r="AG212">
            <v>52.744083799999999</v>
          </cell>
          <cell r="AH212">
            <v>53.216636719999997</v>
          </cell>
          <cell r="AI212">
            <v>53.693103780000001</v>
          </cell>
          <cell r="AJ212">
            <v>54.174753289999998</v>
          </cell>
          <cell r="AK212">
            <v>54.663347860000002</v>
          </cell>
          <cell r="AL212">
            <v>55.15906116</v>
          </cell>
          <cell r="AM212">
            <v>55.662439290000002</v>
          </cell>
          <cell r="AN212">
            <v>56.173879579999998</v>
          </cell>
          <cell r="AO212">
            <v>56.693656470000001</v>
          </cell>
          <cell r="AP212">
            <v>57.211368589999999</v>
          </cell>
          <cell r="AQ212">
            <v>57.733145710000002</v>
          </cell>
          <cell r="AR212">
            <v>58.260454209999999</v>
          </cell>
          <cell r="AS212">
            <v>58.794059330000003</v>
          </cell>
          <cell r="AT212">
            <v>59.334497110000001</v>
          </cell>
          <cell r="AU212">
            <v>59.883157709999999</v>
          </cell>
          <cell r="AV212">
            <v>60.439551710000003</v>
          </cell>
          <cell r="AW212">
            <v>61.003906460000003</v>
          </cell>
          <cell r="AX212">
            <v>61.576415580000003</v>
          </cell>
          <cell r="AY212">
            <v>62.157239019999999</v>
          </cell>
          <cell r="AZ212">
            <v>62.751201229999999</v>
          </cell>
          <cell r="BA212">
            <v>63.354701460000001</v>
          </cell>
          <cell r="BB212">
            <v>63.425690770000003</v>
          </cell>
          <cell r="BC212">
            <v>63.596810769999998</v>
          </cell>
          <cell r="BD212">
            <v>63.616042819999997</v>
          </cell>
          <cell r="BE212">
            <v>79.759657880000006</v>
          </cell>
          <cell r="BF212">
            <v>80.877687420000001</v>
          </cell>
          <cell r="BG212">
            <v>82.013431510000004</v>
          </cell>
          <cell r="BH212">
            <v>83.167382599999996</v>
          </cell>
          <cell r="BI212">
            <v>84.340058659999997</v>
          </cell>
        </row>
        <row r="215">
          <cell r="E215" t="str">
            <v>YG_toe_cfuh_2</v>
          </cell>
          <cell r="F215">
            <v>7.8318248080000004</v>
          </cell>
          <cell r="G215">
            <v>7.8610222319999998</v>
          </cell>
          <cell r="H215">
            <v>7.8797643309999996</v>
          </cell>
          <cell r="I215">
            <v>7.8973982730000003</v>
          </cell>
          <cell r="J215">
            <v>7.9210258270000002</v>
          </cell>
          <cell r="K215">
            <v>7.953585414</v>
          </cell>
          <cell r="L215">
            <v>7.9912665460000003</v>
          </cell>
          <cell r="M215">
            <v>8.034973312</v>
          </cell>
          <cell r="N215">
            <v>8.0836219820000004</v>
          </cell>
          <cell r="O215">
            <v>8.13597766</v>
          </cell>
          <cell r="P215">
            <v>8.1976747270000008</v>
          </cell>
          <cell r="Q215">
            <v>8.2566267500000006</v>
          </cell>
          <cell r="R215">
            <v>8.3152929689999997</v>
          </cell>
          <cell r="S215">
            <v>8.3739564580000003</v>
          </cell>
          <cell r="T215">
            <v>8.4325391710000002</v>
          </cell>
          <cell r="U215">
            <v>8.4909238949999999</v>
          </cell>
          <cell r="V215">
            <v>8.5484950620000006</v>
          </cell>
          <cell r="W215">
            <v>8.6056451230000004</v>
          </cell>
          <cell r="X215">
            <v>8.6625101910000009</v>
          </cell>
          <cell r="Y215">
            <v>8.7192188050000006</v>
          </cell>
          <cell r="Z215">
            <v>8.7712006700000007</v>
          </cell>
          <cell r="AA215">
            <v>8.8261451609999995</v>
          </cell>
          <cell r="AB215">
            <v>8.8823370399999995</v>
          </cell>
          <cell r="AC215">
            <v>8.9395021539999995</v>
          </cell>
          <cell r="AD215">
            <v>8.9976616499999995</v>
          </cell>
          <cell r="AE215">
            <v>9.0436667049999997</v>
          </cell>
          <cell r="AF215">
            <v>9.0926202059999994</v>
          </cell>
          <cell r="AG215">
            <v>9.1427424439999996</v>
          </cell>
          <cell r="AH215">
            <v>9.1939157369999993</v>
          </cell>
          <cell r="AI215">
            <v>9.2462616139999998</v>
          </cell>
          <cell r="AJ215">
            <v>9.2999260750000001</v>
          </cell>
          <cell r="AK215">
            <v>9.3551317189999992</v>
          </cell>
          <cell r="AL215">
            <v>9.4118719409999994</v>
          </cell>
          <cell r="AM215">
            <v>9.4701656990000007</v>
          </cell>
          <cell r="AN215">
            <v>9.5300136250000005</v>
          </cell>
          <cell r="AO215">
            <v>9.5913958729999997</v>
          </cell>
          <cell r="AP215">
            <v>9.6521726690000005</v>
          </cell>
          <cell r="AQ215">
            <v>9.7133768489999994</v>
          </cell>
          <cell r="AR215">
            <v>9.7753589390000002</v>
          </cell>
          <cell r="AS215">
            <v>9.8382767540000007</v>
          </cell>
          <cell r="AT215">
            <v>9.9022075740000002</v>
          </cell>
          <cell r="AU215">
            <v>9.9673260399999997</v>
          </cell>
          <cell r="AV215">
            <v>10.03353838</v>
          </cell>
          <cell r="AW215">
            <v>10.10081475</v>
          </cell>
          <cell r="AX215">
            <v>10.16913022</v>
          </cell>
          <cell r="AY215">
            <v>10.23845736</v>
          </cell>
          <cell r="AZ215">
            <v>10.309482689999999</v>
          </cell>
          <cell r="BA215">
            <v>10.381700029999999</v>
          </cell>
          <cell r="BB215">
            <v>10.43503915</v>
          </cell>
          <cell r="BC215">
            <v>10.56362889</v>
          </cell>
          <cell r="BD215">
            <v>10.578076899999999</v>
          </cell>
          <cell r="BE215">
            <v>13.19740314</v>
          </cell>
          <cell r="BF215">
            <v>13.36274448</v>
          </cell>
          <cell r="BG215">
            <v>13.530779470000001</v>
          </cell>
          <cell r="BH215">
            <v>13.7015577</v>
          </cell>
          <cell r="BI215">
            <v>13.87513983</v>
          </cell>
        </row>
        <row r="217">
          <cell r="E217" t="str">
            <v>YG_toe_cgas_2</v>
          </cell>
          <cell r="F217">
            <v>6.3802528169999997</v>
          </cell>
          <cell r="G217">
            <v>6.4523940030000002</v>
          </cell>
          <cell r="H217">
            <v>6.4628832220000003</v>
          </cell>
          <cell r="I217">
            <v>6.4453239849999999</v>
          </cell>
          <cell r="J217">
            <v>6.4160163570000002</v>
          </cell>
          <cell r="K217">
            <v>6.3832056240000004</v>
          </cell>
          <cell r="L217">
            <v>6.3466277560000002</v>
          </cell>
          <cell r="M217">
            <v>6.3125526079999998</v>
          </cell>
          <cell r="N217">
            <v>6.2809000260000003</v>
          </cell>
          <cell r="O217">
            <v>6.2517585479999997</v>
          </cell>
          <cell r="P217">
            <v>6.2321795399999997</v>
          </cell>
          <cell r="Q217">
            <v>6.2056368170000002</v>
          </cell>
          <cell r="R217">
            <v>6.1821972120000002</v>
          </cell>
          <cell r="S217">
            <v>6.1617730069999999</v>
          </cell>
          <cell r="T217">
            <v>6.1444211710000003</v>
          </cell>
          <cell r="U217">
            <v>6.130097804</v>
          </cell>
          <cell r="V217">
            <v>6.1170163229999996</v>
          </cell>
          <cell r="W217">
            <v>6.1065641829999997</v>
          </cell>
          <cell r="X217">
            <v>6.0985182480000004</v>
          </cell>
          <cell r="Y217">
            <v>6.0926093740000002</v>
          </cell>
          <cell r="Z217">
            <v>6.0838008669999999</v>
          </cell>
          <cell r="AA217">
            <v>6.0822259000000001</v>
          </cell>
          <cell r="AB217">
            <v>6.0816428220000001</v>
          </cell>
          <cell r="AC217">
            <v>6.0819628689999998</v>
          </cell>
          <cell r="AD217">
            <v>6.0829594900000004</v>
          </cell>
          <cell r="AE217">
            <v>6.0711338609999999</v>
          </cell>
          <cell r="AF217">
            <v>6.0700172009999998</v>
          </cell>
          <cell r="AG217">
            <v>6.0693830259999997</v>
          </cell>
          <cell r="AH217">
            <v>6.0691741710000002</v>
          </cell>
          <cell r="AI217">
            <v>6.0691009940000002</v>
          </cell>
          <cell r="AJ217">
            <v>6.068927221</v>
          </cell>
          <cell r="AK217">
            <v>6.0688960859999996</v>
          </cell>
          <cell r="AL217">
            <v>6.0685525450000002</v>
          </cell>
          <cell r="AM217">
            <v>6.0678697760000002</v>
          </cell>
          <cell r="AN217">
            <v>6.066874189</v>
          </cell>
          <cell r="AO217">
            <v>6.0656261359999997</v>
          </cell>
          <cell r="AP217">
            <v>6.0646632169999997</v>
          </cell>
          <cell r="AQ217">
            <v>6.0643115160000001</v>
          </cell>
          <cell r="AR217">
            <v>6.0642888670000001</v>
          </cell>
          <cell r="AS217">
            <v>6.0645260150000002</v>
          </cell>
          <cell r="AT217">
            <v>6.0650007959999996</v>
          </cell>
          <cell r="AU217">
            <v>6.0662748310000003</v>
          </cell>
          <cell r="AV217">
            <v>6.0678179459999999</v>
          </cell>
          <cell r="AW217">
            <v>6.069638587</v>
          </cell>
          <cell r="AX217">
            <v>6.0717738810000004</v>
          </cell>
          <cell r="AY217">
            <v>6.074277446</v>
          </cell>
          <cell r="AZ217">
            <v>6.0793874590000003</v>
          </cell>
          <cell r="BA217">
            <v>6.0849924450000001</v>
          </cell>
          <cell r="BB217">
            <v>6.2634292670000002</v>
          </cell>
          <cell r="BC217">
            <v>6.6917135490000001</v>
          </cell>
          <cell r="BD217">
            <v>6.7395232649999999</v>
          </cell>
          <cell r="BE217">
            <v>6.2656216210000002</v>
          </cell>
          <cell r="BF217">
            <v>6.2765990770000002</v>
          </cell>
          <cell r="BG217">
            <v>6.2882836400000004</v>
          </cell>
          <cell r="BH217">
            <v>6.3006207659999998</v>
          </cell>
          <cell r="BI217">
            <v>6.3135823980000003</v>
          </cell>
        </row>
        <row r="223">
          <cell r="E223" t="str">
            <v>YG_toe_cele_2</v>
          </cell>
          <cell r="F223">
            <v>56.066005060000002</v>
          </cell>
          <cell r="G223">
            <v>56.146273350000001</v>
          </cell>
          <cell r="H223">
            <v>56.305412259999997</v>
          </cell>
          <cell r="I223">
            <v>56.557224419999997</v>
          </cell>
          <cell r="J223">
            <v>56.919792649999998</v>
          </cell>
          <cell r="K223">
            <v>57.38506701</v>
          </cell>
          <cell r="L223">
            <v>57.89848636</v>
          </cell>
          <cell r="M223">
            <v>58.450981499999997</v>
          </cell>
          <cell r="N223">
            <v>59.022289139999998</v>
          </cell>
          <cell r="O223">
            <v>59.593908229999997</v>
          </cell>
          <cell r="P223">
            <v>60.204109840000001</v>
          </cell>
          <cell r="Q223">
            <v>60.754738019999998</v>
          </cell>
          <cell r="R223">
            <v>61.26437928</v>
          </cell>
          <cell r="S223">
            <v>61.735757999999997</v>
          </cell>
          <cell r="T223">
            <v>62.171088570000002</v>
          </cell>
          <cell r="U223">
            <v>62.573567160000003</v>
          </cell>
          <cell r="V223">
            <v>62.943614709999999</v>
          </cell>
          <cell r="W223">
            <v>63.288329070000003</v>
          </cell>
          <cell r="X223">
            <v>63.614083389999998</v>
          </cell>
          <cell r="Y223">
            <v>63.92719108</v>
          </cell>
          <cell r="Z223">
            <v>64.196827619999993</v>
          </cell>
          <cell r="AA223">
            <v>64.487257979999995</v>
          </cell>
          <cell r="AB223">
            <v>64.787693579999996</v>
          </cell>
          <cell r="AC223">
            <v>65.098663079999994</v>
          </cell>
          <cell r="AD223">
            <v>65.422061439999993</v>
          </cell>
          <cell r="AE223">
            <v>65.657683669999997</v>
          </cell>
          <cell r="AF223">
            <v>65.923574950000003</v>
          </cell>
          <cell r="AG223">
            <v>66.205707509999996</v>
          </cell>
          <cell r="AH223">
            <v>66.503462870000007</v>
          </cell>
          <cell r="AI223">
            <v>66.817447779999995</v>
          </cell>
          <cell r="AJ223">
            <v>67.148417100000003</v>
          </cell>
          <cell r="AK223">
            <v>67.497427119999998</v>
          </cell>
          <cell r="AL223">
            <v>67.864189859999996</v>
          </cell>
          <cell r="AM223">
            <v>68.247966520000006</v>
          </cell>
          <cell r="AN223">
            <v>68.64759119</v>
          </cell>
          <cell r="AO223">
            <v>69.061615209999999</v>
          </cell>
          <cell r="AP223">
            <v>69.470611770000005</v>
          </cell>
          <cell r="AQ223">
            <v>69.885638950000001</v>
          </cell>
          <cell r="AR223">
            <v>70.308246870000005</v>
          </cell>
          <cell r="AS223">
            <v>70.737973310000001</v>
          </cell>
          <cell r="AT223">
            <v>71.173980279999995</v>
          </cell>
          <cell r="AU223">
            <v>71.616259330000005</v>
          </cell>
          <cell r="AV223">
            <v>72.064145940000003</v>
          </cell>
          <cell r="AW223">
            <v>72.517003860000003</v>
          </cell>
          <cell r="AX223">
            <v>72.974195739999999</v>
          </cell>
          <cell r="AY223">
            <v>73.435094230000004</v>
          </cell>
          <cell r="AZ223">
            <v>73.903329830000004</v>
          </cell>
          <cell r="BA223">
            <v>74.377208839999994</v>
          </cell>
          <cell r="BB223">
            <v>74.378094219999994</v>
          </cell>
          <cell r="BC223">
            <v>74.453309189999999</v>
          </cell>
          <cell r="BD223">
            <v>74.466972269999999</v>
          </cell>
          <cell r="BE223">
            <v>100.3150411</v>
          </cell>
          <cell r="BF223">
            <v>101.6970796</v>
          </cell>
          <cell r="BG223">
            <v>103.1047011</v>
          </cell>
          <cell r="BH223">
            <v>104.53813890000001</v>
          </cell>
          <cell r="BI223">
            <v>105.99762610000001</v>
          </cell>
        </row>
        <row r="233">
          <cell r="E233" t="str">
            <v>YG_toe_chea_2</v>
          </cell>
          <cell r="F233">
            <v>5.6487306000000004</v>
          </cell>
          <cell r="G233">
            <v>5.6892571380000003</v>
          </cell>
          <cell r="H233">
            <v>5.744579753</v>
          </cell>
          <cell r="I233">
            <v>5.8092038280000002</v>
          </cell>
          <cell r="J233">
            <v>5.8808679140000004</v>
          </cell>
          <cell r="K233">
            <v>5.9577792260000004</v>
          </cell>
          <cell r="L233">
            <v>6.0329556740000001</v>
          </cell>
          <cell r="M233">
            <v>6.1081579990000003</v>
          </cell>
          <cell r="N233">
            <v>6.1836828590000001</v>
          </cell>
          <cell r="O233">
            <v>6.2592787999999997</v>
          </cell>
          <cell r="P233">
            <v>6.3432505109999999</v>
          </cell>
          <cell r="Q233">
            <v>6.4209593949999997</v>
          </cell>
          <cell r="R233">
            <v>6.4953077950000004</v>
          </cell>
          <cell r="S233">
            <v>6.5673847050000003</v>
          </cell>
          <cell r="T233">
            <v>6.6376228260000003</v>
          </cell>
          <cell r="U233">
            <v>6.7062511259999997</v>
          </cell>
          <cell r="V233">
            <v>6.7729841290000001</v>
          </cell>
          <cell r="W233">
            <v>6.8383008409999997</v>
          </cell>
          <cell r="X233">
            <v>6.9025463289999998</v>
          </cell>
          <cell r="Y233">
            <v>6.9660188740000004</v>
          </cell>
          <cell r="Z233">
            <v>7.0231120020000004</v>
          </cell>
          <cell r="AA233">
            <v>7.0833983710000004</v>
          </cell>
          <cell r="AB233">
            <v>7.1450651020000002</v>
          </cell>
          <cell r="AC233">
            <v>7.2075079329999996</v>
          </cell>
          <cell r="AD233">
            <v>7.2705719650000002</v>
          </cell>
          <cell r="AE233">
            <v>7.3181194500000002</v>
          </cell>
          <cell r="AF233">
            <v>7.3683725390000001</v>
          </cell>
          <cell r="AG233">
            <v>7.4200425350000003</v>
          </cell>
          <cell r="AH233">
            <v>7.4726977349999997</v>
          </cell>
          <cell r="AI233">
            <v>7.5262126050000004</v>
          </cell>
          <cell r="AJ233">
            <v>7.5805364620000004</v>
          </cell>
          <cell r="AK233">
            <v>7.635790267</v>
          </cell>
          <cell r="AL233">
            <v>7.6919288549999996</v>
          </cell>
          <cell r="AM233">
            <v>7.7489223799999998</v>
          </cell>
          <cell r="AN233">
            <v>7.8067379490000004</v>
          </cell>
          <cell r="AO233">
            <v>7.8653323559999997</v>
          </cell>
          <cell r="AP233">
            <v>7.9222078549999999</v>
          </cell>
          <cell r="AQ233">
            <v>7.9787602360000003</v>
          </cell>
          <cell r="AR233">
            <v>8.0354844249999999</v>
          </cell>
          <cell r="AS233">
            <v>8.0925553749999999</v>
          </cell>
          <cell r="AT233">
            <v>8.1500264700000002</v>
          </cell>
          <cell r="AU233">
            <v>8.208060261</v>
          </cell>
          <cell r="AV233">
            <v>8.266573932</v>
          </cell>
          <cell r="AW233">
            <v>8.3255255909999999</v>
          </cell>
          <cell r="AX233">
            <v>8.3848932069999993</v>
          </cell>
          <cell r="AY233">
            <v>8.4446614909999997</v>
          </cell>
          <cell r="AZ233">
            <v>8.5056152300000001</v>
          </cell>
          <cell r="BA233">
            <v>8.5673103029999993</v>
          </cell>
          <cell r="BB233">
            <v>8.6045241220000008</v>
          </cell>
          <cell r="BC233">
            <v>8.687941597</v>
          </cell>
          <cell r="BD233">
            <v>8.6909484330000009</v>
          </cell>
          <cell r="BE233">
            <v>9.5287003880000007</v>
          </cell>
          <cell r="BF233">
            <v>9.6281772360000009</v>
          </cell>
          <cell r="BG233">
            <v>9.7291266630000006</v>
          </cell>
          <cell r="BH233">
            <v>9.831553778</v>
          </cell>
          <cell r="BI233">
            <v>9.9354808410000004</v>
          </cell>
        </row>
        <row r="235">
          <cell r="E235" t="str">
            <v>YG_toe_cbio_2</v>
          </cell>
          <cell r="F235">
            <v>11.13883641</v>
          </cell>
          <cell r="G235">
            <v>11.114214909999999</v>
          </cell>
          <cell r="H235">
            <v>11.08061154</v>
          </cell>
          <cell r="I235">
            <v>11.058236340000001</v>
          </cell>
          <cell r="J235">
            <v>11.05170345</v>
          </cell>
          <cell r="K235">
            <v>11.06071528</v>
          </cell>
          <cell r="L235">
            <v>11.07711873</v>
          </cell>
          <cell r="M235">
            <v>11.100141860000001</v>
          </cell>
          <cell r="N235">
            <v>11.127647270000001</v>
          </cell>
          <cell r="O235">
            <v>11.157415739999999</v>
          </cell>
          <cell r="P235">
            <v>11.195882750000001</v>
          </cell>
          <cell r="Q235">
            <v>11.227630530000001</v>
          </cell>
          <cell r="R235">
            <v>11.25453201</v>
          </cell>
          <cell r="S235">
            <v>11.27769114</v>
          </cell>
          <cell r="T235">
            <v>11.297767220000001</v>
          </cell>
          <cell r="U235">
            <v>11.315269410000001</v>
          </cell>
          <cell r="V235">
            <v>11.33008201</v>
          </cell>
          <cell r="W235">
            <v>11.342823470000001</v>
          </cell>
          <cell r="X235">
            <v>11.354214839999999</v>
          </cell>
          <cell r="Y235">
            <v>11.364884719999999</v>
          </cell>
          <cell r="Z235">
            <v>11.36944518</v>
          </cell>
          <cell r="AA235">
            <v>11.37745696</v>
          </cell>
          <cell r="AB235">
            <v>11.387570869999999</v>
          </cell>
          <cell r="AC235">
            <v>11.39929508</v>
          </cell>
          <cell r="AD235">
            <v>11.412530329999999</v>
          </cell>
          <cell r="AE235">
            <v>11.41103483</v>
          </cell>
          <cell r="AF235">
            <v>11.412518070000001</v>
          </cell>
          <cell r="AG235">
            <v>11.41633064</v>
          </cell>
          <cell r="AH235">
            <v>11.422106879999999</v>
          </cell>
          <cell r="AI235">
            <v>11.429719260000001</v>
          </cell>
          <cell r="AJ235">
            <v>11.43914197</v>
          </cell>
          <cell r="AK235">
            <v>11.45048933</v>
          </cell>
          <cell r="AL235">
            <v>11.46375278</v>
          </cell>
          <cell r="AM235">
            <v>11.47884002</v>
          </cell>
          <cell r="AN235">
            <v>11.495638570000001</v>
          </cell>
          <cell r="AO235">
            <v>11.51402337</v>
          </cell>
          <cell r="AP235">
            <v>11.53121076</v>
          </cell>
          <cell r="AQ235">
            <v>11.54908504</v>
          </cell>
          <cell r="AR235">
            <v>11.56796299</v>
          </cell>
          <cell r="AS235">
            <v>11.58781366</v>
          </cell>
          <cell r="AT235">
            <v>11.608547379999999</v>
          </cell>
          <cell r="AU235">
            <v>11.6302143</v>
          </cell>
          <cell r="AV235">
            <v>11.65278707</v>
          </cell>
          <cell r="AW235">
            <v>11.67615606</v>
          </cell>
          <cell r="AX235">
            <v>11.700227630000001</v>
          </cell>
          <cell r="AY235">
            <v>11.72492504</v>
          </cell>
          <cell r="AZ235">
            <v>11.750871399999999</v>
          </cell>
          <cell r="BA235">
            <v>11.778001700000001</v>
          </cell>
          <cell r="BB235">
            <v>11.90850882</v>
          </cell>
          <cell r="BC235">
            <v>12.25985899</v>
          </cell>
          <cell r="BD235">
            <v>12.302321109999999</v>
          </cell>
          <cell r="BE235">
            <v>14.15840839</v>
          </cell>
          <cell r="BF235">
            <v>14.268085299999999</v>
          </cell>
          <cell r="BG235">
            <v>14.38012975</v>
          </cell>
          <cell r="BH235">
            <v>14.49452866</v>
          </cell>
          <cell r="BI235">
            <v>14.61129745</v>
          </cell>
        </row>
        <row r="238">
          <cell r="E238" t="str">
            <v>YG_toe_cote_2</v>
          </cell>
          <cell r="F238">
            <v>13.371278999999999</v>
          </cell>
          <cell r="G238">
            <v>13.44977005</v>
          </cell>
          <cell r="H238">
            <v>13.57323197</v>
          </cell>
          <cell r="I238">
            <v>13.71598247</v>
          </cell>
          <cell r="J238">
            <v>13.873716399999999</v>
          </cell>
          <cell r="K238">
            <v>14.043493610000001</v>
          </cell>
          <cell r="L238">
            <v>14.21164046</v>
          </cell>
          <cell r="M238">
            <v>14.383685440000001</v>
          </cell>
          <cell r="N238">
            <v>14.558505390000001</v>
          </cell>
          <cell r="O238">
            <v>14.734865510000001</v>
          </cell>
          <cell r="P238">
            <v>14.9293193</v>
          </cell>
          <cell r="Q238">
            <v>15.10801457</v>
          </cell>
          <cell r="R238">
            <v>15.284252909999999</v>
          </cell>
          <cell r="S238">
            <v>15.459149419999999</v>
          </cell>
          <cell r="T238">
            <v>15.63304767</v>
          </cell>
          <cell r="U238">
            <v>15.80621908</v>
          </cell>
          <cell r="V238">
            <v>15.976947600000001</v>
          </cell>
          <cell r="W238">
            <v>16.147440580000001</v>
          </cell>
          <cell r="X238">
            <v>16.318286400000002</v>
          </cell>
          <cell r="Y238">
            <v>16.489994580000001</v>
          </cell>
          <cell r="Z238">
            <v>16.650597489999999</v>
          </cell>
          <cell r="AA238">
            <v>16.822852860000001</v>
          </cell>
          <cell r="AB238">
            <v>16.99869795</v>
          </cell>
          <cell r="AC238">
            <v>17.177736790000001</v>
          </cell>
          <cell r="AD238">
            <v>17.36008786</v>
          </cell>
          <cell r="AE238">
            <v>17.510716429999999</v>
          </cell>
          <cell r="AF238">
            <v>17.676820559999999</v>
          </cell>
          <cell r="AG238">
            <v>17.84669036</v>
          </cell>
          <cell r="AH238">
            <v>18.01986973</v>
          </cell>
          <cell r="AI238">
            <v>18.196482379999999</v>
          </cell>
          <cell r="AJ238">
            <v>18.376681999999999</v>
          </cell>
          <cell r="AK238">
            <v>18.56098021</v>
          </cell>
          <cell r="AL238">
            <v>18.748995300000001</v>
          </cell>
          <cell r="AM238">
            <v>18.940622749999999</v>
          </cell>
          <cell r="AN238">
            <v>19.135727410000001</v>
          </cell>
          <cell r="AO238">
            <v>19.334148720000002</v>
          </cell>
          <cell r="AP238">
            <v>19.531262730000002</v>
          </cell>
          <cell r="AQ238">
            <v>19.73002159</v>
          </cell>
          <cell r="AR238">
            <v>19.930875929999999</v>
          </cell>
          <cell r="AS238">
            <v>20.13395276</v>
          </cell>
          <cell r="AT238">
            <v>20.339292570000001</v>
          </cell>
          <cell r="AU238">
            <v>20.547495560000002</v>
          </cell>
          <cell r="AV238">
            <v>20.758048980000002</v>
          </cell>
          <cell r="AW238">
            <v>20.970893459999999</v>
          </cell>
          <cell r="AX238">
            <v>21.18597952</v>
          </cell>
          <cell r="AY238">
            <v>21.403253710000001</v>
          </cell>
          <cell r="AZ238">
            <v>21.625358590000001</v>
          </cell>
          <cell r="BA238">
            <v>21.850018420000001</v>
          </cell>
          <cell r="BB238">
            <v>21.891333339999999</v>
          </cell>
          <cell r="BC238">
            <v>21.99716201</v>
          </cell>
          <cell r="BD238">
            <v>22.009452069999998</v>
          </cell>
          <cell r="BE238">
            <v>29.933448439999999</v>
          </cell>
          <cell r="BF238">
            <v>30.42883411</v>
          </cell>
          <cell r="BG238">
            <v>30.932684080000001</v>
          </cell>
          <cell r="BH238">
            <v>31.445132619999999</v>
          </cell>
          <cell r="BI238">
            <v>31.966317310000001</v>
          </cell>
        </row>
        <row r="241">
          <cell r="E241" t="str">
            <v>YG_toe_0</v>
          </cell>
          <cell r="F241">
            <v>148.74892980000001</v>
          </cell>
          <cell r="G241">
            <v>149.94233850000001</v>
          </cell>
          <cell r="H241">
            <v>151.03805059999999</v>
          </cell>
          <cell r="I241">
            <v>152.20338699999999</v>
          </cell>
          <cell r="J241">
            <v>153.49483190000001</v>
          </cell>
          <cell r="K241">
            <v>154.9109746</v>
          </cell>
          <cell r="L241">
            <v>156.34489980000001</v>
          </cell>
          <cell r="M241">
            <v>157.82856380000001</v>
          </cell>
          <cell r="N241">
            <v>159.35195970000001</v>
          </cell>
          <cell r="O241">
            <v>160.90290590000001</v>
          </cell>
          <cell r="P241">
            <v>162.61942719999999</v>
          </cell>
          <cell r="Q241">
            <v>164.24618219999999</v>
          </cell>
          <cell r="R241">
            <v>165.85713179999999</v>
          </cell>
          <cell r="S241">
            <v>167.4607824</v>
          </cell>
          <cell r="T241">
            <v>169.06014089999999</v>
          </cell>
          <cell r="U241">
            <v>170.65733320000001</v>
          </cell>
          <cell r="V241">
            <v>172.25495860000001</v>
          </cell>
          <cell r="W241">
            <v>173.85622620000001</v>
          </cell>
          <cell r="X241">
            <v>175.46489059999999</v>
          </cell>
          <cell r="Y241">
            <v>177.0849691</v>
          </cell>
          <cell r="Z241">
            <v>178.61403490000001</v>
          </cell>
          <cell r="AA241">
            <v>180.23451779999999</v>
          </cell>
          <cell r="AB241">
            <v>181.89250000000001</v>
          </cell>
          <cell r="AC241">
            <v>183.58325780000001</v>
          </cell>
          <cell r="AD241">
            <v>185.30666199999999</v>
          </cell>
          <cell r="AE241">
            <v>186.761256</v>
          </cell>
          <cell r="AF241">
            <v>188.31291809999999</v>
          </cell>
          <cell r="AG241">
            <v>189.8937751</v>
          </cell>
          <cell r="AH241">
            <v>191.50142969999999</v>
          </cell>
          <cell r="AI241">
            <v>193.1374093</v>
          </cell>
          <cell r="AJ241">
            <v>194.80393330000001</v>
          </cell>
          <cell r="AK241">
            <v>196.5027493</v>
          </cell>
          <cell r="AL241">
            <v>198.23482619999999</v>
          </cell>
          <cell r="AM241">
            <v>200.00033049999999</v>
          </cell>
          <cell r="AN241">
            <v>201.7987479</v>
          </cell>
          <cell r="AO241">
            <v>203.6290601</v>
          </cell>
          <cell r="AP241">
            <v>205.41903730000001</v>
          </cell>
          <cell r="AQ241">
            <v>207.2152279</v>
          </cell>
          <cell r="AR241">
            <v>209.02538290000001</v>
          </cell>
          <cell r="AS241">
            <v>210.85248540000001</v>
          </cell>
          <cell r="AT241">
            <v>212.69806489999999</v>
          </cell>
          <cell r="AU241">
            <v>214.5632043</v>
          </cell>
          <cell r="AV241">
            <v>216.4487891</v>
          </cell>
          <cell r="AW241">
            <v>218.35553400000001</v>
          </cell>
          <cell r="AX241">
            <v>220.2839673</v>
          </cell>
          <cell r="AY241">
            <v>222.23442779999999</v>
          </cell>
          <cell r="AZ241">
            <v>224.2133369</v>
          </cell>
          <cell r="BA241">
            <v>226.21645670000001</v>
          </cell>
          <cell r="BB241">
            <v>228.24293990000001</v>
          </cell>
          <cell r="BC241">
            <v>230.29231669999999</v>
          </cell>
          <cell r="BD241">
            <v>232.36425170000001</v>
          </cell>
          <cell r="BE241">
            <v>263.32302049999998</v>
          </cell>
          <cell r="BF241">
            <v>266.90438410000002</v>
          </cell>
          <cell r="BG241">
            <v>270.54608409999997</v>
          </cell>
          <cell r="BH241">
            <v>274.249459</v>
          </cell>
          <cell r="BI241">
            <v>278.01577370000001</v>
          </cell>
        </row>
        <row r="242">
          <cell r="E242" t="str">
            <v>YG_toe_ccoa_0</v>
          </cell>
          <cell r="F242">
            <v>2.395371543</v>
          </cell>
          <cell r="G242">
            <v>2.4207087280000001</v>
          </cell>
          <cell r="H242">
            <v>2.4474934840000002</v>
          </cell>
          <cell r="I242">
            <v>2.4767854690000002</v>
          </cell>
          <cell r="J242">
            <v>2.5086482989999999</v>
          </cell>
          <cell r="K242">
            <v>2.5427623540000002</v>
          </cell>
          <cell r="L242">
            <v>2.577230396</v>
          </cell>
          <cell r="M242">
            <v>2.6127481889999999</v>
          </cell>
          <cell r="N242">
            <v>2.6492820610000001</v>
          </cell>
          <cell r="O242">
            <v>2.6866931109999999</v>
          </cell>
          <cell r="P242">
            <v>2.7275018790000001</v>
          </cell>
          <cell r="Q242">
            <v>2.7671437609999998</v>
          </cell>
          <cell r="R242">
            <v>2.8069669400000001</v>
          </cell>
          <cell r="S242">
            <v>2.847219827</v>
          </cell>
          <cell r="T242">
            <v>2.8879360250000001</v>
          </cell>
          <cell r="U242">
            <v>2.9291220930000001</v>
          </cell>
          <cell r="V242">
            <v>2.9707914660000001</v>
          </cell>
          <cell r="W242">
            <v>3.0129664549999999</v>
          </cell>
          <cell r="X242">
            <v>3.0556748649999999</v>
          </cell>
          <cell r="Y242">
            <v>3.098946771</v>
          </cell>
          <cell r="Z242">
            <v>3.1408639190000001</v>
          </cell>
          <cell r="AA242">
            <v>3.184747443</v>
          </cell>
          <cell r="AB242">
            <v>3.2295852310000002</v>
          </cell>
          <cell r="AC242">
            <v>3.2751892969999998</v>
          </cell>
          <cell r="AD242">
            <v>3.3215375960000002</v>
          </cell>
          <cell r="AE242">
            <v>3.3630223450000001</v>
          </cell>
          <cell r="AF242">
            <v>3.4064591580000001</v>
          </cell>
          <cell r="AG242">
            <v>3.4506606209999999</v>
          </cell>
          <cell r="AH242">
            <v>3.4954227769999999</v>
          </cell>
          <cell r="AI242">
            <v>3.540743628</v>
          </cell>
          <cell r="AJ242">
            <v>3.5866496309999998</v>
          </cell>
          <cell r="AK242">
            <v>3.6331588450000001</v>
          </cell>
          <cell r="AL242">
            <v>3.6802758359999999</v>
          </cell>
          <cell r="AM242">
            <v>3.727994303</v>
          </cell>
          <cell r="AN242">
            <v>3.7763011290000001</v>
          </cell>
          <cell r="AO242">
            <v>3.8251799850000001</v>
          </cell>
          <cell r="AP242">
            <v>3.8732602549999999</v>
          </cell>
          <cell r="AQ242">
            <v>3.9214419540000001</v>
          </cell>
          <cell r="AR242">
            <v>3.9699184459999999</v>
          </cell>
          <cell r="AS242">
            <v>4.0187423569999998</v>
          </cell>
          <cell r="AT242">
            <v>4.0679408449999999</v>
          </cell>
          <cell r="AU242">
            <v>4.1175355649999998</v>
          </cell>
          <cell r="AV242">
            <v>4.1675442809999996</v>
          </cell>
          <cell r="AW242">
            <v>4.2179802999999998</v>
          </cell>
          <cell r="AX242">
            <v>4.2688527030000003</v>
          </cell>
          <cell r="AY242">
            <v>4.3201673859999996</v>
          </cell>
          <cell r="AZ242">
            <v>4.3720504790000003</v>
          </cell>
          <cell r="BA242">
            <v>4.4244227519999999</v>
          </cell>
          <cell r="BB242">
            <v>4.4772696160000001</v>
          </cell>
          <cell r="BC242">
            <v>4.5305906179999997</v>
          </cell>
          <cell r="BD242">
            <v>4.5843894150000004</v>
          </cell>
          <cell r="BE242">
            <v>5.2808698180000002</v>
          </cell>
          <cell r="BF242">
            <v>5.3692964270000001</v>
          </cell>
          <cell r="BG242">
            <v>5.4590872729999997</v>
          </cell>
          <cell r="BH242">
            <v>5.5502613419999998</v>
          </cell>
          <cell r="BI242">
            <v>5.6428395079999998</v>
          </cell>
        </row>
        <row r="245">
          <cell r="E245" t="str">
            <v>YG_toe_ccoi_0</v>
          </cell>
          <cell r="F245">
            <v>1.0973689950000001</v>
          </cell>
          <cell r="G245">
            <v>1.105632288</v>
          </cell>
          <cell r="H245">
            <v>1.112776277</v>
          </cell>
          <cell r="I245">
            <v>1.1207409319999999</v>
          </cell>
          <cell r="J245">
            <v>1.1301213510000001</v>
          </cell>
          <cell r="K245">
            <v>1.1408843930000001</v>
          </cell>
          <cell r="L245">
            <v>1.152224549</v>
          </cell>
          <cell r="M245">
            <v>1.1642373189999999</v>
          </cell>
          <cell r="N245">
            <v>1.1768117680000001</v>
          </cell>
          <cell r="O245">
            <v>1.189820696</v>
          </cell>
          <cell r="P245">
            <v>1.2041565940000001</v>
          </cell>
          <cell r="Q245">
            <v>1.2181323740000001</v>
          </cell>
          <cell r="R245">
            <v>1.2321294169999999</v>
          </cell>
          <cell r="S245">
            <v>1.2462240689999999</v>
          </cell>
          <cell r="T245">
            <v>1.2604219219999999</v>
          </cell>
          <cell r="U245">
            <v>1.2747180890000001</v>
          </cell>
          <cell r="V245">
            <v>1.28911061</v>
          </cell>
          <cell r="W245">
            <v>1.3036022869999999</v>
          </cell>
          <cell r="X245">
            <v>1.318199941</v>
          </cell>
          <cell r="Y245">
            <v>1.332913266</v>
          </cell>
          <cell r="Z245">
            <v>1.347028543</v>
          </cell>
          <cell r="AA245">
            <v>1.361737317</v>
          </cell>
          <cell r="AB245">
            <v>1.376730437</v>
          </cell>
          <cell r="AC245">
            <v>1.3919388239999999</v>
          </cell>
          <cell r="AD245">
            <v>1.4073531990000001</v>
          </cell>
          <cell r="AE245">
            <v>1.4209015540000001</v>
          </cell>
          <cell r="AF245">
            <v>1.434985943</v>
          </cell>
          <cell r="AG245">
            <v>1.4492886089999999</v>
          </cell>
          <cell r="AH245">
            <v>1.463753254</v>
          </cell>
          <cell r="AI245">
            <v>1.478386502</v>
          </cell>
          <cell r="AJ245">
            <v>1.4932055399999999</v>
          </cell>
          <cell r="AK245">
            <v>1.5082254230000001</v>
          </cell>
          <cell r="AL245">
            <v>1.523456602</v>
          </cell>
          <cell r="AM245">
            <v>1.5389052329999999</v>
          </cell>
          <cell r="AN245">
            <v>1.554574189</v>
          </cell>
          <cell r="AO245">
            <v>1.5704640999999999</v>
          </cell>
          <cell r="AP245">
            <v>1.5860806750000001</v>
          </cell>
          <cell r="AQ245">
            <v>1.6017307199999999</v>
          </cell>
          <cell r="AR245">
            <v>1.6174987839999999</v>
          </cell>
          <cell r="AS245">
            <v>1.633414717</v>
          </cell>
          <cell r="AT245">
            <v>1.6494946420000001</v>
          </cell>
          <cell r="AU245">
            <v>1.665750259</v>
          </cell>
          <cell r="AV245">
            <v>1.6821907810000001</v>
          </cell>
          <cell r="AW245">
            <v>1.6988233690000001</v>
          </cell>
          <cell r="AX245">
            <v>1.715653412</v>
          </cell>
          <cell r="AY245">
            <v>1.732684906</v>
          </cell>
          <cell r="AZ245">
            <v>1.74996489</v>
          </cell>
          <cell r="BA245">
            <v>1.767468094</v>
          </cell>
          <cell r="BB245">
            <v>1.785189197</v>
          </cell>
          <cell r="BC245">
            <v>1.803127838</v>
          </cell>
          <cell r="BD245">
            <v>1.8212851240000001</v>
          </cell>
          <cell r="BE245">
            <v>2.0594486289999998</v>
          </cell>
          <cell r="BF245">
            <v>2.0887388640000002</v>
          </cell>
          <cell r="BG245">
            <v>2.118508641</v>
          </cell>
          <cell r="BH245">
            <v>2.1487698270000002</v>
          </cell>
          <cell r="BI245">
            <v>2.1795345500000001</v>
          </cell>
        </row>
        <row r="248">
          <cell r="E248" t="str">
            <v>YG_toe_cfut_0</v>
          </cell>
          <cell r="F248">
            <v>42.403488119999999</v>
          </cell>
          <cell r="G248">
            <v>42.669148710000002</v>
          </cell>
          <cell r="H248">
            <v>42.912055109999997</v>
          </cell>
          <cell r="I248">
            <v>43.204482069999997</v>
          </cell>
          <cell r="J248">
            <v>43.564178560000002</v>
          </cell>
          <cell r="K248">
            <v>43.985935380000001</v>
          </cell>
          <cell r="L248">
            <v>44.436861039999997</v>
          </cell>
          <cell r="M248">
            <v>44.920664819999999</v>
          </cell>
          <cell r="N248">
            <v>45.430412349999997</v>
          </cell>
          <cell r="O248">
            <v>45.960119769999999</v>
          </cell>
          <cell r="P248">
            <v>46.542964679999997</v>
          </cell>
          <cell r="Q248">
            <v>47.11168378</v>
          </cell>
          <cell r="R248">
            <v>47.685982039999999</v>
          </cell>
          <cell r="S248">
            <v>48.265814419999998</v>
          </cell>
          <cell r="T248">
            <v>48.850261830000001</v>
          </cell>
          <cell r="U248">
            <v>49.438525319999997</v>
          </cell>
          <cell r="V248">
            <v>50.030115260000002</v>
          </cell>
          <cell r="W248">
            <v>50.624834069999999</v>
          </cell>
          <cell r="X248">
            <v>51.222719529999999</v>
          </cell>
          <cell r="Y248">
            <v>51.823989410000003</v>
          </cell>
          <cell r="Z248">
            <v>52.40131161</v>
          </cell>
          <cell r="AA248">
            <v>53.002050089999997</v>
          </cell>
          <cell r="AB248">
            <v>53.610210549999998</v>
          </cell>
          <cell r="AC248">
            <v>54.224996949999998</v>
          </cell>
          <cell r="AD248">
            <v>54.84659722</v>
          </cell>
          <cell r="AE248">
            <v>55.39599552</v>
          </cell>
          <cell r="AF248">
            <v>55.970700819999998</v>
          </cell>
          <cell r="AG248">
            <v>56.549222970000002</v>
          </cell>
          <cell r="AH248">
            <v>57.131602309999998</v>
          </cell>
          <cell r="AI248">
            <v>57.71885606</v>
          </cell>
          <cell r="AJ248">
            <v>58.312053730000002</v>
          </cell>
          <cell r="AK248">
            <v>58.91207283</v>
          </cell>
          <cell r="AL248">
            <v>59.51956431</v>
          </cell>
          <cell r="AM248">
            <v>60.134981369999998</v>
          </cell>
          <cell r="AN248">
            <v>60.758622789999997</v>
          </cell>
          <cell r="AO248">
            <v>61.39067395</v>
          </cell>
          <cell r="AP248">
            <v>62.012302320000003</v>
          </cell>
          <cell r="AQ248">
            <v>62.636714640000001</v>
          </cell>
          <cell r="AR248">
            <v>63.265687939999999</v>
          </cell>
          <cell r="AS248">
            <v>63.900102830000002</v>
          </cell>
          <cell r="AT248">
            <v>64.540601300000006</v>
          </cell>
          <cell r="AU248">
            <v>65.187723230000003</v>
          </cell>
          <cell r="AV248">
            <v>65.841923649999998</v>
          </cell>
          <cell r="AW248">
            <v>66.503574529999995</v>
          </cell>
          <cell r="AX248">
            <v>67.172972889999997</v>
          </cell>
          <cell r="AY248">
            <v>67.850355379999996</v>
          </cell>
          <cell r="AZ248">
            <v>68.537608539999994</v>
          </cell>
          <cell r="BA248">
            <v>69.233710340000002</v>
          </cell>
          <cell r="BB248">
            <v>69.938658759999996</v>
          </cell>
          <cell r="BC248">
            <v>70.652526359999996</v>
          </cell>
          <cell r="BD248">
            <v>71.375409910000002</v>
          </cell>
          <cell r="BE248">
            <v>79.660940400000001</v>
          </cell>
          <cell r="BF248">
            <v>80.770912499999994</v>
          </cell>
          <cell r="BG248">
            <v>81.898136870000002</v>
          </cell>
          <cell r="BH248">
            <v>83.043075369999997</v>
          </cell>
          <cell r="BI248">
            <v>84.206216670000003</v>
          </cell>
        </row>
        <row r="251">
          <cell r="E251" t="str">
            <v>YG_toe_cfuh_0</v>
          </cell>
          <cell r="F251">
            <v>7.9428275380000004</v>
          </cell>
          <cell r="G251">
            <v>7.9996118630000002</v>
          </cell>
          <cell r="H251">
            <v>8.0467340830000005</v>
          </cell>
          <cell r="I251">
            <v>8.0938726600000006</v>
          </cell>
          <cell r="J251">
            <v>8.1449902949999995</v>
          </cell>
          <cell r="K251">
            <v>8.2011767809999991</v>
          </cell>
          <cell r="L251">
            <v>8.2581899589999992</v>
          </cell>
          <cell r="M251">
            <v>8.3177253360000005</v>
          </cell>
          <cell r="N251">
            <v>8.3797368339999991</v>
          </cell>
          <cell r="O251">
            <v>8.4438185479999994</v>
          </cell>
          <cell r="P251">
            <v>8.5165149630000005</v>
          </cell>
          <cell r="Q251">
            <v>8.5863368960000006</v>
          </cell>
          <cell r="R251">
            <v>8.6558333600000008</v>
          </cell>
          <cell r="S251">
            <v>8.7254850459999993</v>
          </cell>
          <cell r="T251">
            <v>8.7953992230000004</v>
          </cell>
          <cell r="U251">
            <v>8.8656107710000001</v>
          </cell>
          <cell r="V251">
            <v>8.9361635279999998</v>
          </cell>
          <cell r="W251">
            <v>9.0071267850000005</v>
          </cell>
          <cell r="X251">
            <v>9.0785939219999996</v>
          </cell>
          <cell r="Y251">
            <v>9.150675992</v>
          </cell>
          <cell r="Z251">
            <v>9.2185118829999997</v>
          </cell>
          <cell r="AA251">
            <v>9.2901540469999997</v>
          </cell>
          <cell r="AB251">
            <v>9.3636804149999993</v>
          </cell>
          <cell r="AC251">
            <v>9.4387253449999999</v>
          </cell>
          <cell r="AD251">
            <v>9.5152259909999994</v>
          </cell>
          <cell r="AE251">
            <v>9.5790927099999994</v>
          </cell>
          <cell r="AF251">
            <v>9.6461348600000001</v>
          </cell>
          <cell r="AG251">
            <v>9.7144479500000003</v>
          </cell>
          <cell r="AH251">
            <v>9.7838680759999992</v>
          </cell>
          <cell r="AI251">
            <v>9.8544749110000005</v>
          </cell>
          <cell r="AJ251">
            <v>9.9263812910000002</v>
          </cell>
          <cell r="AK251">
            <v>9.9996765780000008</v>
          </cell>
          <cell r="AL251">
            <v>10.074415979999999</v>
          </cell>
          <cell r="AM251">
            <v>10.15062294</v>
          </cell>
          <cell r="AN251">
            <v>10.228295109999999</v>
          </cell>
          <cell r="AO251">
            <v>10.307410839999999</v>
          </cell>
          <cell r="AP251">
            <v>10.384659299999999</v>
          </cell>
          <cell r="AQ251">
            <v>10.461915729999999</v>
          </cell>
          <cell r="AR251">
            <v>10.5397008</v>
          </cell>
          <cell r="AS251">
            <v>10.618230609999999</v>
          </cell>
          <cell r="AT251">
            <v>10.69762038</v>
          </cell>
          <cell r="AU251">
            <v>10.777944310000001</v>
          </cell>
          <cell r="AV251">
            <v>10.85925407</v>
          </cell>
          <cell r="AW251">
            <v>10.941585679999999</v>
          </cell>
          <cell r="AX251">
            <v>11.02496331</v>
          </cell>
          <cell r="AY251">
            <v>11.109402210000001</v>
          </cell>
          <cell r="AZ251">
            <v>11.19519755</v>
          </cell>
          <cell r="BA251">
            <v>11.28218562</v>
          </cell>
          <cell r="BB251">
            <v>11.37032052</v>
          </cell>
          <cell r="BC251">
            <v>11.459582230000001</v>
          </cell>
          <cell r="BD251">
            <v>11.54996045</v>
          </cell>
          <cell r="BE251">
            <v>13.2800452</v>
          </cell>
          <cell r="BF251">
            <v>13.446028159999999</v>
          </cell>
          <cell r="BG251">
            <v>13.61463571</v>
          </cell>
          <cell r="BH251">
            <v>13.785939519999999</v>
          </cell>
          <cell r="BI251">
            <v>13.96000641</v>
          </cell>
        </row>
        <row r="253">
          <cell r="E253" t="str">
            <v>YG_toe_cgas_0</v>
          </cell>
          <cell r="F253">
            <v>6.6066240619999999</v>
          </cell>
          <cell r="G253">
            <v>6.6497906179999999</v>
          </cell>
          <cell r="H253">
            <v>6.6775935769999997</v>
          </cell>
          <cell r="I253">
            <v>6.6957295559999999</v>
          </cell>
          <cell r="J253">
            <v>6.709400027</v>
          </cell>
          <cell r="K253">
            <v>6.7211324709999998</v>
          </cell>
          <cell r="L253">
            <v>6.7277097259999996</v>
          </cell>
          <cell r="M253">
            <v>6.7350898490000004</v>
          </cell>
          <cell r="N253">
            <v>6.7436973589999996</v>
          </cell>
          <cell r="O253">
            <v>6.7539387570000002</v>
          </cell>
          <cell r="P253">
            <v>6.773917387</v>
          </cell>
          <cell r="Q253">
            <v>6.7871475639999996</v>
          </cell>
          <cell r="R253">
            <v>6.8030282440000001</v>
          </cell>
          <cell r="S253">
            <v>6.8214217069999998</v>
          </cell>
          <cell r="T253">
            <v>6.842358924</v>
          </cell>
          <cell r="U253">
            <v>6.865788083</v>
          </cell>
          <cell r="V253">
            <v>6.8915708479999997</v>
          </cell>
          <cell r="W253">
            <v>6.9195135580000002</v>
          </cell>
          <cell r="X253">
            <v>6.9493966199999999</v>
          </cell>
          <cell r="Y253">
            <v>6.9809968339999999</v>
          </cell>
          <cell r="Z253">
            <v>7.0084610679999999</v>
          </cell>
          <cell r="AA253">
            <v>7.0437102759999997</v>
          </cell>
          <cell r="AB253">
            <v>7.0797877969999998</v>
          </cell>
          <cell r="AC253">
            <v>7.1167266939999996</v>
          </cell>
          <cell r="AD253">
            <v>7.1543995139999996</v>
          </cell>
          <cell r="AE253">
            <v>7.1765486049999998</v>
          </cell>
          <cell r="AF253">
            <v>7.2102342029999997</v>
          </cell>
          <cell r="AG253">
            <v>7.2446332599999996</v>
          </cell>
          <cell r="AH253">
            <v>7.279849134</v>
          </cell>
          <cell r="AI253">
            <v>7.3156793139999996</v>
          </cell>
          <cell r="AJ253">
            <v>7.3519446339999996</v>
          </cell>
          <cell r="AK253">
            <v>7.3885409080000004</v>
          </cell>
          <cell r="AL253">
            <v>7.4254354459999998</v>
          </cell>
          <cell r="AM253">
            <v>7.4626513900000004</v>
          </cell>
          <cell r="AN253">
            <v>7.5002503789999997</v>
          </cell>
          <cell r="AO253">
            <v>7.5383171689999999</v>
          </cell>
          <cell r="AP253">
            <v>7.5731069709999996</v>
          </cell>
          <cell r="AQ253">
            <v>7.6091260119999999</v>
          </cell>
          <cell r="AR253">
            <v>7.6462266720000001</v>
          </cell>
          <cell r="AS253">
            <v>7.6843937870000003</v>
          </cell>
          <cell r="AT253">
            <v>7.7235994120000004</v>
          </cell>
          <cell r="AU253">
            <v>7.7638069639999996</v>
          </cell>
          <cell r="AV253">
            <v>7.8049871570000002</v>
          </cell>
          <cell r="AW253">
            <v>7.8471268539999999</v>
          </cell>
          <cell r="AX253">
            <v>7.890231064</v>
          </cell>
          <cell r="AY253">
            <v>7.9343206720000001</v>
          </cell>
          <cell r="AZ253">
            <v>7.9797694229999996</v>
          </cell>
          <cell r="BA253">
            <v>8.0262223279999994</v>
          </cell>
          <cell r="BB253">
            <v>8.0737451070000006</v>
          </cell>
          <cell r="BC253">
            <v>8.1223890829999998</v>
          </cell>
          <cell r="BD253">
            <v>8.1722029660000004</v>
          </cell>
          <cell r="BE253">
            <v>6.5550224909999999</v>
          </cell>
          <cell r="BF253">
            <v>6.5727831459999999</v>
          </cell>
          <cell r="BG253">
            <v>6.5912239770000003</v>
          </cell>
          <cell r="BH253">
            <v>6.6103602400000003</v>
          </cell>
          <cell r="BI253">
            <v>6.6301887920000002</v>
          </cell>
        </row>
        <row r="259">
          <cell r="E259" t="str">
            <v>YG_toe_cele_0</v>
          </cell>
          <cell r="F259">
            <v>57.52513398</v>
          </cell>
          <cell r="G259">
            <v>58.026870580000001</v>
          </cell>
          <cell r="H259">
            <v>58.486178850000002</v>
          </cell>
          <cell r="I259">
            <v>58.9630145</v>
          </cell>
          <cell r="J259">
            <v>59.479189699999999</v>
          </cell>
          <cell r="K259">
            <v>60.034979149999998</v>
          </cell>
          <cell r="L259">
            <v>60.59031719</v>
          </cell>
          <cell r="M259">
            <v>61.153783060000002</v>
          </cell>
          <cell r="N259">
            <v>61.721291350000001</v>
          </cell>
          <cell r="O259">
            <v>62.287715460000001</v>
          </cell>
          <cell r="P259">
            <v>62.904116449999997</v>
          </cell>
          <cell r="Q259">
            <v>63.479134190000003</v>
          </cell>
          <cell r="R259">
            <v>64.035156229999998</v>
          </cell>
          <cell r="S259">
            <v>64.57675141</v>
          </cell>
          <cell r="T259">
            <v>65.106347060000004</v>
          </cell>
          <cell r="U259">
            <v>65.626112809999995</v>
          </cell>
          <cell r="V259">
            <v>66.138553860000002</v>
          </cell>
          <cell r="W259">
            <v>66.646551639999998</v>
          </cell>
          <cell r="X259">
            <v>67.153212679999996</v>
          </cell>
          <cell r="Y259">
            <v>67.661674680000004</v>
          </cell>
          <cell r="Z259">
            <v>68.13554062</v>
          </cell>
          <cell r="AA259">
            <v>68.640898759999999</v>
          </cell>
          <cell r="AB259">
            <v>69.162901180000006</v>
          </cell>
          <cell r="AC259">
            <v>69.700169750000001</v>
          </cell>
          <cell r="AD259">
            <v>70.253087600000001</v>
          </cell>
          <cell r="AE259">
            <v>70.711036969999995</v>
          </cell>
          <cell r="AF259">
            <v>71.200924869999994</v>
          </cell>
          <cell r="AG259">
            <v>71.705514179999994</v>
          </cell>
          <cell r="AH259">
            <v>72.223991949999998</v>
          </cell>
          <cell r="AI259">
            <v>72.757099929999995</v>
          </cell>
          <cell r="AJ259">
            <v>73.305869290000004</v>
          </cell>
          <cell r="AK259">
            <v>73.871049850000006</v>
          </cell>
          <cell r="AL259">
            <v>74.452905130000005</v>
          </cell>
          <cell r="AM259">
            <v>75.05118899</v>
          </cell>
          <cell r="AN259">
            <v>75.665216430000001</v>
          </cell>
          <cell r="AO259">
            <v>76.29397736</v>
          </cell>
          <cell r="AP259">
            <v>76.910367699999995</v>
          </cell>
          <cell r="AQ259">
            <v>77.528716360000004</v>
          </cell>
          <cell r="AR259">
            <v>78.151977169999995</v>
          </cell>
          <cell r="AS259">
            <v>78.781086990000006</v>
          </cell>
          <cell r="AT259">
            <v>79.416411409999995</v>
          </cell>
          <cell r="AU259">
            <v>80.058207150000001</v>
          </cell>
          <cell r="AV259">
            <v>80.706716479999997</v>
          </cell>
          <cell r="AW259">
            <v>81.36214622</v>
          </cell>
          <cell r="AX259">
            <v>82.024628059999998</v>
          </cell>
          <cell r="AY259">
            <v>82.694193659999996</v>
          </cell>
          <cell r="AZ259">
            <v>83.373044419999999</v>
          </cell>
          <cell r="BA259">
            <v>84.059636319999996</v>
          </cell>
          <cell r="BB259">
            <v>84.753374820000005</v>
          </cell>
          <cell r="BC259">
            <v>85.453810540000006</v>
          </cell>
          <cell r="BD259">
            <v>86.160542430000007</v>
          </cell>
          <cell r="BE259">
            <v>102.0538025</v>
          </cell>
          <cell r="BF259">
            <v>103.4970831</v>
          </cell>
          <cell r="BG259">
            <v>104.966171</v>
          </cell>
          <cell r="BH259">
            <v>106.46154749999999</v>
          </cell>
          <cell r="BI259">
            <v>107.9836487</v>
          </cell>
        </row>
        <row r="269">
          <cell r="E269" t="str">
            <v>YG_toe_chea_0</v>
          </cell>
          <cell r="F269">
            <v>5.7127863840000002</v>
          </cell>
          <cell r="G269">
            <v>5.7826146539999996</v>
          </cell>
          <cell r="H269">
            <v>5.8597780200000003</v>
          </cell>
          <cell r="I269">
            <v>5.9415133149999999</v>
          </cell>
          <cell r="J269">
            <v>6.0263957850000001</v>
          </cell>
          <cell r="K269">
            <v>6.1135366500000003</v>
          </cell>
          <cell r="L269">
            <v>6.1969807289999999</v>
          </cell>
          <cell r="M269">
            <v>6.2792769679999996</v>
          </cell>
          <cell r="N269">
            <v>6.3612857380000003</v>
          </cell>
          <cell r="O269">
            <v>6.4432110140000001</v>
          </cell>
          <cell r="P269">
            <v>6.5340224500000001</v>
          </cell>
          <cell r="Q269">
            <v>6.6194243259999999</v>
          </cell>
          <cell r="R269">
            <v>6.7024086509999998</v>
          </cell>
          <cell r="S269">
            <v>6.7841563799999998</v>
          </cell>
          <cell r="T269">
            <v>6.865155991</v>
          </cell>
          <cell r="U269">
            <v>6.9456409020000001</v>
          </cell>
          <cell r="V269">
            <v>7.0257619589999996</v>
          </cell>
          <cell r="W269">
            <v>7.1056519409999996</v>
          </cell>
          <cell r="X269">
            <v>7.1854450339999998</v>
          </cell>
          <cell r="Y269">
            <v>7.265278414</v>
          </cell>
          <cell r="Z269">
            <v>7.3391178359999998</v>
          </cell>
          <cell r="AA269">
            <v>7.4168446570000004</v>
          </cell>
          <cell r="AB269">
            <v>7.496435527</v>
          </cell>
          <cell r="AC269">
            <v>7.577161018</v>
          </cell>
          <cell r="AD269">
            <v>7.6587749350000003</v>
          </cell>
          <cell r="AE269">
            <v>7.7240850339999998</v>
          </cell>
          <cell r="AF269">
            <v>7.7920938199999998</v>
          </cell>
          <cell r="AG269">
            <v>7.8614818560000002</v>
          </cell>
          <cell r="AH269">
            <v>7.9318125129999997</v>
          </cell>
          <cell r="AI269">
            <v>8.0029574889999999</v>
          </cell>
          <cell r="AJ269">
            <v>8.0748997340000006</v>
          </cell>
          <cell r="AK269">
            <v>8.1476550089999993</v>
          </cell>
          <cell r="AL269">
            <v>8.2212377310000004</v>
          </cell>
          <cell r="AM269">
            <v>8.295647185</v>
          </cell>
          <cell r="AN269">
            <v>8.3708642569999991</v>
          </cell>
          <cell r="AO269">
            <v>8.4468535360000008</v>
          </cell>
          <cell r="AP269">
            <v>8.5197628739999995</v>
          </cell>
          <cell r="AQ269">
            <v>8.5917352450000006</v>
          </cell>
          <cell r="AR269">
            <v>8.6635826649999998</v>
          </cell>
          <cell r="AS269">
            <v>8.7356178740000008</v>
          </cell>
          <cell r="AT269">
            <v>8.8079638189999994</v>
          </cell>
          <cell r="AU269">
            <v>8.8806735379999999</v>
          </cell>
          <cell r="AV269">
            <v>8.9537756500000008</v>
          </cell>
          <cell r="AW269">
            <v>9.0272898420000001</v>
          </cell>
          <cell r="AX269">
            <v>9.1012308809999993</v>
          </cell>
          <cell r="AY269">
            <v>9.1756090149999991</v>
          </cell>
          <cell r="AZ269">
            <v>9.2507493969999999</v>
          </cell>
          <cell r="BA269">
            <v>9.3264683430000002</v>
          </cell>
          <cell r="BB269">
            <v>9.4026916719999996</v>
          </cell>
          <cell r="BC269">
            <v>9.4793847089999996</v>
          </cell>
          <cell r="BD269">
            <v>9.5565278940000002</v>
          </cell>
          <cell r="BE269">
            <v>9.8041921369999994</v>
          </cell>
          <cell r="BF269">
            <v>9.9115410859999997</v>
          </cell>
          <cell r="BG269">
            <v>10.020335210000001</v>
          </cell>
          <cell r="BH269">
            <v>10.130629770000001</v>
          </cell>
          <cell r="BI269">
            <v>10.24246739</v>
          </cell>
        </row>
        <row r="271">
          <cell r="E271" t="str">
            <v>YG_toe_cbio_0</v>
          </cell>
          <cell r="F271">
            <v>11.18348773</v>
          </cell>
          <cell r="G271">
            <v>11.236682829999999</v>
          </cell>
          <cell r="H271">
            <v>11.264780569999999</v>
          </cell>
          <cell r="I271">
            <v>11.287824799999999</v>
          </cell>
          <cell r="J271">
            <v>11.31374877</v>
          </cell>
          <cell r="K271">
            <v>11.34479601</v>
          </cell>
          <cell r="L271">
            <v>11.37552696</v>
          </cell>
          <cell r="M271">
            <v>11.407827709999999</v>
          </cell>
          <cell r="N271">
            <v>11.44181903</v>
          </cell>
          <cell r="O271">
            <v>11.477067099999999</v>
          </cell>
          <cell r="P271">
            <v>11.52203319</v>
          </cell>
          <cell r="Q271">
            <v>11.562376049999999</v>
          </cell>
          <cell r="R271">
            <v>11.60061119</v>
          </cell>
          <cell r="S271">
            <v>11.637737189999999</v>
          </cell>
          <cell r="T271">
            <v>11.67420471</v>
          </cell>
          <cell r="U271">
            <v>11.71026561</v>
          </cell>
          <cell r="V271">
            <v>11.74612593</v>
          </cell>
          <cell r="W271">
            <v>11.781937920000001</v>
          </cell>
          <cell r="X271">
            <v>11.817918260000001</v>
          </cell>
          <cell r="Y271">
            <v>11.854320660000001</v>
          </cell>
          <cell r="Z271">
            <v>11.88525037</v>
          </cell>
          <cell r="AA271">
            <v>11.92043022</v>
          </cell>
          <cell r="AB271">
            <v>11.958222660000001</v>
          </cell>
          <cell r="AC271">
            <v>11.998009100000001</v>
          </cell>
          <cell r="AD271">
            <v>12.03959678</v>
          </cell>
          <cell r="AE271">
            <v>12.065783529999999</v>
          </cell>
          <cell r="AF271">
            <v>12.09499351</v>
          </cell>
          <cell r="AG271">
            <v>12.12631929</v>
          </cell>
          <cell r="AH271">
            <v>12.15943364</v>
          </cell>
          <cell r="AI271">
            <v>12.19424996</v>
          </cell>
          <cell r="AJ271">
            <v>12.23076861</v>
          </cell>
          <cell r="AK271">
            <v>12.26898124</v>
          </cell>
          <cell r="AL271">
            <v>12.308875090000001</v>
          </cell>
          <cell r="AM271">
            <v>12.35041455</v>
          </cell>
          <cell r="AN271">
            <v>12.39353794</v>
          </cell>
          <cell r="AO271">
            <v>12.43816172</v>
          </cell>
          <cell r="AP271">
            <v>12.480339369999999</v>
          </cell>
          <cell r="AQ271">
            <v>12.522093630000001</v>
          </cell>
          <cell r="AR271">
            <v>12.564195440000001</v>
          </cell>
          <cell r="AS271">
            <v>12.606951029999999</v>
          </cell>
          <cell r="AT271">
            <v>12.65047946</v>
          </cell>
          <cell r="AU271">
            <v>12.694829629999999</v>
          </cell>
          <cell r="AV271">
            <v>12.74002449</v>
          </cell>
          <cell r="AW271">
            <v>12.78607555</v>
          </cell>
          <cell r="AX271">
            <v>12.83298671</v>
          </cell>
          <cell r="AY271">
            <v>12.88075493</v>
          </cell>
          <cell r="AZ271">
            <v>12.92969639</v>
          </cell>
          <cell r="BA271">
            <v>12.97961546</v>
          </cell>
          <cell r="BB271">
            <v>13.03042132</v>
          </cell>
          <cell r="BC271">
            <v>13.08206111</v>
          </cell>
          <cell r="BD271">
            <v>13.13449887</v>
          </cell>
          <cell r="BE271">
            <v>14.610772430000001</v>
          </cell>
          <cell r="BF271">
            <v>14.73188167</v>
          </cell>
          <cell r="BG271">
            <v>14.855241469999999</v>
          </cell>
          <cell r="BH271">
            <v>14.98092958</v>
          </cell>
          <cell r="BI271">
            <v>15.109000999999999</v>
          </cell>
        </row>
        <row r="274">
          <cell r="E274" t="str">
            <v>YG_toe_cote_0</v>
          </cell>
          <cell r="F274">
            <v>13.88184143</v>
          </cell>
          <cell r="G274">
            <v>14.05127822</v>
          </cell>
          <cell r="H274">
            <v>14.230660609999999</v>
          </cell>
          <cell r="I274">
            <v>14.41942368</v>
          </cell>
          <cell r="J274">
            <v>14.61815906</v>
          </cell>
          <cell r="K274">
            <v>14.82577143</v>
          </cell>
          <cell r="L274">
            <v>15.029859200000001</v>
          </cell>
          <cell r="M274">
            <v>15.23721052</v>
          </cell>
          <cell r="N274">
            <v>15.44762323</v>
          </cell>
          <cell r="O274">
            <v>15.66052146</v>
          </cell>
          <cell r="P274">
            <v>15.894199589999999</v>
          </cell>
          <cell r="Q274">
            <v>16.114803240000001</v>
          </cell>
          <cell r="R274">
            <v>16.335015680000001</v>
          </cell>
          <cell r="S274">
            <v>16.555972369999999</v>
          </cell>
          <cell r="T274">
            <v>16.778055210000002</v>
          </cell>
          <cell r="U274">
            <v>17.001549560000001</v>
          </cell>
          <cell r="V274">
            <v>17.226765180000001</v>
          </cell>
          <cell r="W274">
            <v>17.45404156</v>
          </cell>
          <cell r="X274">
            <v>17.68372973</v>
          </cell>
          <cell r="Y274">
            <v>17.916173109999999</v>
          </cell>
          <cell r="Z274">
            <v>18.137949020000001</v>
          </cell>
          <cell r="AA274">
            <v>18.373944999999999</v>
          </cell>
          <cell r="AB274">
            <v>18.614946199999999</v>
          </cell>
          <cell r="AC274">
            <v>18.86034081</v>
          </cell>
          <cell r="AD274">
            <v>19.110089169999998</v>
          </cell>
          <cell r="AE274">
            <v>19.324789750000001</v>
          </cell>
          <cell r="AF274">
            <v>19.55639094</v>
          </cell>
          <cell r="AG274">
            <v>19.792206360000002</v>
          </cell>
          <cell r="AH274">
            <v>20.031696090000001</v>
          </cell>
          <cell r="AI274">
            <v>20.274961520000002</v>
          </cell>
          <cell r="AJ274">
            <v>20.522160880000001</v>
          </cell>
          <cell r="AK274">
            <v>20.773388610000001</v>
          </cell>
          <cell r="AL274">
            <v>21.028660049999999</v>
          </cell>
          <cell r="AM274">
            <v>21.287924520000001</v>
          </cell>
          <cell r="AN274">
            <v>21.551085709999999</v>
          </cell>
          <cell r="AO274">
            <v>21.818021460000001</v>
          </cell>
          <cell r="AP274">
            <v>22.079157850000001</v>
          </cell>
          <cell r="AQ274">
            <v>22.341753619999999</v>
          </cell>
          <cell r="AR274">
            <v>22.606594990000001</v>
          </cell>
          <cell r="AS274">
            <v>22.873945169999999</v>
          </cell>
          <cell r="AT274">
            <v>23.143953669999998</v>
          </cell>
          <cell r="AU274">
            <v>23.416733690000001</v>
          </cell>
          <cell r="AV274">
            <v>23.69237253</v>
          </cell>
          <cell r="AW274">
            <v>23.970931669999999</v>
          </cell>
          <cell r="AX274">
            <v>24.252448279999999</v>
          </cell>
          <cell r="AY274">
            <v>24.536939650000001</v>
          </cell>
          <cell r="AZ274">
            <v>24.825255819999999</v>
          </cell>
          <cell r="BA274">
            <v>25.116727470000001</v>
          </cell>
          <cell r="BB274">
            <v>25.411268840000002</v>
          </cell>
          <cell r="BC274">
            <v>25.708844249999999</v>
          </cell>
          <cell r="BD274">
            <v>26.009434679999998</v>
          </cell>
          <cell r="BE274">
            <v>30.017926889999998</v>
          </cell>
          <cell r="BF274">
            <v>30.51611922</v>
          </cell>
          <cell r="BG274">
            <v>31.022743940000002</v>
          </cell>
          <cell r="BH274">
            <v>31.53794589</v>
          </cell>
          <cell r="BI274">
            <v>32.061870679999998</v>
          </cell>
        </row>
        <row r="281">
          <cell r="F281">
            <v>159.91139200000001</v>
          </cell>
          <cell r="G281">
            <v>160.0795641</v>
          </cell>
          <cell r="H281">
            <v>160.32095179999999</v>
          </cell>
          <cell r="I281">
            <v>160.76130079999999</v>
          </cell>
          <cell r="J281">
            <v>161.4766789</v>
          </cell>
          <cell r="K281">
            <v>162.46994309999999</v>
          </cell>
          <cell r="L281">
            <v>163.6243561</v>
          </cell>
          <cell r="M281">
            <v>164.9287563</v>
          </cell>
          <cell r="N281">
            <v>166.34709659999999</v>
          </cell>
          <cell r="O281">
            <v>167.8427489</v>
          </cell>
          <cell r="P281">
            <v>169.51837209999999</v>
          </cell>
          <cell r="Q281">
            <v>171.13573360000001</v>
          </cell>
          <cell r="R281">
            <v>172.7258492</v>
          </cell>
          <cell r="S281">
            <v>174.29226550000001</v>
          </cell>
          <cell r="T281">
            <v>175.83234160000001</v>
          </cell>
          <cell r="U281">
            <v>177.34409959999999</v>
          </cell>
          <cell r="V281">
            <v>178.81817760000001</v>
          </cell>
          <cell r="W281">
            <v>180.2626339</v>
          </cell>
          <cell r="X281">
            <v>181.68371060000001</v>
          </cell>
          <cell r="Y281">
            <v>183.08785499999999</v>
          </cell>
          <cell r="Z281">
            <v>184.38718499999999</v>
          </cell>
          <cell r="AA281">
            <v>185.73297109999999</v>
          </cell>
          <cell r="AB281">
            <v>187.10160070000001</v>
          </cell>
          <cell r="AC281">
            <v>188.489531</v>
          </cell>
          <cell r="AD281">
            <v>189.89929520000001</v>
          </cell>
          <cell r="AE281">
            <v>191.0695307</v>
          </cell>
          <cell r="AF281">
            <v>192.28516550000001</v>
          </cell>
          <cell r="AG281">
            <v>193.52578249999999</v>
          </cell>
          <cell r="AH281">
            <v>194.7894378</v>
          </cell>
          <cell r="AI281">
            <v>196.0796502</v>
          </cell>
          <cell r="AJ281">
            <v>197.40054689999999</v>
          </cell>
          <cell r="AK281">
            <v>198.757238</v>
          </cell>
          <cell r="AL281">
            <v>200.1509642</v>
          </cell>
          <cell r="AM281">
            <v>201.58235110000001</v>
          </cell>
          <cell r="AN281">
            <v>203.05124720000001</v>
          </cell>
          <cell r="AO281">
            <v>204.55681200000001</v>
          </cell>
          <cell r="AP281">
            <v>206.05214889999999</v>
          </cell>
          <cell r="AQ281">
            <v>207.55922269999999</v>
          </cell>
          <cell r="AR281">
            <v>209.0848489</v>
          </cell>
          <cell r="AS281">
            <v>210.6313528</v>
          </cell>
          <cell r="AT281">
            <v>212.19965289999999</v>
          </cell>
          <cell r="AU281">
            <v>213.7923649</v>
          </cell>
          <cell r="AV281">
            <v>215.4086819</v>
          </cell>
          <cell r="AW281">
            <v>217.04816159999999</v>
          </cell>
          <cell r="AX281">
            <v>218.7104301</v>
          </cell>
          <cell r="AY281">
            <v>220.39503759999999</v>
          </cell>
          <cell r="AZ281">
            <v>222.11358010000001</v>
          </cell>
          <cell r="BA281">
            <v>223.85993869999999</v>
          </cell>
          <cell r="BB281">
            <v>224.28220110000001</v>
          </cell>
          <cell r="BC281">
            <v>225.42625939999999</v>
          </cell>
          <cell r="BD281">
            <v>225.55949089999999</v>
          </cell>
          <cell r="BE281">
            <v>283.96565909999998</v>
          </cell>
          <cell r="BF281">
            <v>287.72227379999998</v>
          </cell>
          <cell r="BG281">
            <v>291.5392842</v>
          </cell>
          <cell r="BH281">
            <v>295.41791599999999</v>
          </cell>
          <cell r="BI281">
            <v>299.35954529999998</v>
          </cell>
        </row>
        <row r="282">
          <cell r="E282" t="str">
            <v>CF_toe_ccoa_2</v>
          </cell>
          <cell r="F282">
            <v>5.3126239499999999</v>
          </cell>
          <cell r="G282">
            <v>5.3337106260000002</v>
          </cell>
          <cell r="H282">
            <v>5.3852787500000003</v>
          </cell>
          <cell r="I282">
            <v>5.4475748240000001</v>
          </cell>
          <cell r="J282">
            <v>5.5155935789999999</v>
          </cell>
          <cell r="K282">
            <v>5.5872606119999997</v>
          </cell>
          <cell r="L282">
            <v>5.6575566410000002</v>
          </cell>
          <cell r="M282">
            <v>5.7279938560000003</v>
          </cell>
          <cell r="N282">
            <v>5.7986496289999998</v>
          </cell>
          <cell r="O282">
            <v>5.869377954</v>
          </cell>
          <cell r="P282">
            <v>5.9462333750000003</v>
          </cell>
          <cell r="Q282">
            <v>6.0183140100000001</v>
          </cell>
          <cell r="R282">
            <v>6.0889966930000003</v>
          </cell>
          <cell r="S282">
            <v>6.1591036490000004</v>
          </cell>
          <cell r="T282">
            <v>6.2288901939999999</v>
          </cell>
          <cell r="U282">
            <v>6.2985109640000001</v>
          </cell>
          <cell r="V282">
            <v>6.3674383079999997</v>
          </cell>
          <cell r="W282">
            <v>6.4364043290000001</v>
          </cell>
          <cell r="X282">
            <v>6.5057081300000004</v>
          </cell>
          <cell r="Y282">
            <v>6.5755761140000004</v>
          </cell>
          <cell r="Z282">
            <v>6.6418431760000001</v>
          </cell>
          <cell r="AA282">
            <v>6.7119412299999999</v>
          </cell>
          <cell r="AB282">
            <v>6.7840295499999996</v>
          </cell>
          <cell r="AC282">
            <v>6.8577970700000002</v>
          </cell>
          <cell r="AD282">
            <v>6.9332652450000003</v>
          </cell>
          <cell r="AE282">
            <v>6.99816079</v>
          </cell>
          <cell r="AF282">
            <v>7.0672601330000004</v>
          </cell>
          <cell r="AG282">
            <v>7.1383526689999997</v>
          </cell>
          <cell r="AH282">
            <v>7.2110810079999998</v>
          </cell>
          <cell r="AI282">
            <v>7.2854674069999996</v>
          </cell>
          <cell r="AJ282">
            <v>7.3615653090000004</v>
          </cell>
          <cell r="AK282">
            <v>7.4395289370000004</v>
          </cell>
          <cell r="AL282">
            <v>7.5192090020000002</v>
          </cell>
          <cell r="AM282">
            <v>7.6005132289999997</v>
          </cell>
          <cell r="AN282">
            <v>7.6833438650000003</v>
          </cell>
          <cell r="AO282">
            <v>7.7675952439999998</v>
          </cell>
          <cell r="AP282">
            <v>7.8515308629999998</v>
          </cell>
          <cell r="AQ282">
            <v>7.9358797169999997</v>
          </cell>
          <cell r="AR282">
            <v>8.0208890119999996</v>
          </cell>
          <cell r="AS282">
            <v>8.1066520910000008</v>
          </cell>
          <cell r="AT282">
            <v>8.1932087169999992</v>
          </cell>
          <cell r="AU282">
            <v>8.2807663720000004</v>
          </cell>
          <cell r="AV282">
            <v>8.3691690510000001</v>
          </cell>
          <cell r="AW282">
            <v>8.4583721310000008</v>
          </cell>
          <cell r="AX282">
            <v>8.5483435970000006</v>
          </cell>
          <cell r="AY282">
            <v>8.6390490759999992</v>
          </cell>
          <cell r="AZ282">
            <v>8.731351708</v>
          </cell>
          <cell r="BA282">
            <v>8.824563693</v>
          </cell>
          <cell r="BB282">
            <v>8.8638543940000005</v>
          </cell>
          <cell r="BC282">
            <v>8.9755413999999991</v>
          </cell>
          <cell r="BD282">
            <v>8.9903111800000008</v>
          </cell>
          <cell r="BE282">
            <v>12.585566829999999</v>
          </cell>
          <cell r="BF282">
            <v>12.805525859999999</v>
          </cell>
          <cell r="BG282">
            <v>13.02890981</v>
          </cell>
          <cell r="BH282">
            <v>13.25575914</v>
          </cell>
          <cell r="BI282">
            <v>13.48611507</v>
          </cell>
        </row>
        <row r="285">
          <cell r="E285" t="str">
            <v>CF_toe_ccoi_2</v>
          </cell>
          <cell r="F285">
            <v>8.2745481499999995E-2</v>
          </cell>
          <cell r="G285">
            <v>8.2839969900000004E-2</v>
          </cell>
          <cell r="H285">
            <v>8.3246597399999997E-2</v>
          </cell>
          <cell r="I285">
            <v>8.3875879400000006E-2</v>
          </cell>
          <cell r="J285">
            <v>8.4733335100000001E-2</v>
          </cell>
          <cell r="K285">
            <v>8.5811738400000004E-2</v>
          </cell>
          <cell r="L285">
            <v>8.7034348499999997E-2</v>
          </cell>
          <cell r="M285">
            <v>8.8392424400000003E-2</v>
          </cell>
          <cell r="N285">
            <v>8.9859925399999999E-2</v>
          </cell>
          <cell r="O285">
            <v>9.1407288000000003E-2</v>
          </cell>
          <cell r="P285">
            <v>9.3097557499999997E-2</v>
          </cell>
          <cell r="Q285">
            <v>9.4771829500000002E-2</v>
          </cell>
          <cell r="R285">
            <v>9.6439284299999997E-2</v>
          </cell>
          <cell r="S285">
            <v>9.8095054900000006E-2</v>
          </cell>
          <cell r="T285">
            <v>9.9732288200000005E-2</v>
          </cell>
          <cell r="U285">
            <v>0.1013463949</v>
          </cell>
          <cell r="V285">
            <v>0.1029328265</v>
          </cell>
          <cell r="W285">
            <v>0.1044946053</v>
          </cell>
          <cell r="X285">
            <v>0.10603587289999999</v>
          </cell>
          <cell r="Y285">
            <v>0.10756196699999999</v>
          </cell>
          <cell r="Z285">
            <v>0.10901203249999999</v>
          </cell>
          <cell r="AA285">
            <v>0.1104899764</v>
          </cell>
          <cell r="AB285">
            <v>0.1119839073</v>
          </cell>
          <cell r="AC285">
            <v>0.113494122</v>
          </cell>
          <cell r="AD285">
            <v>0.11502479910000001</v>
          </cell>
          <cell r="AE285">
            <v>0.1163894015</v>
          </cell>
          <cell r="AF285">
            <v>0.1177794219</v>
          </cell>
          <cell r="AG285">
            <v>0.11918540380000001</v>
          </cell>
          <cell r="AH285">
            <v>0.12060821150000001</v>
          </cell>
          <cell r="AI285">
            <v>0.12205257529999999</v>
          </cell>
          <cell r="AJ285">
            <v>0.1235238795</v>
          </cell>
          <cell r="AK285">
            <v>0.12502705450000001</v>
          </cell>
          <cell r="AL285">
            <v>0.12656586459999999</v>
          </cell>
          <cell r="AM285">
            <v>0.12814282420000001</v>
          </cell>
          <cell r="AN285">
            <v>0.12975936090000001</v>
          </cell>
          <cell r="AO285">
            <v>0.1314159238</v>
          </cell>
          <cell r="AP285">
            <v>0.1330667801</v>
          </cell>
          <cell r="AQ285">
            <v>0.134731934</v>
          </cell>
          <cell r="AR285">
            <v>0.13641763009999999</v>
          </cell>
          <cell r="AS285">
            <v>0.1381262194</v>
          </cell>
          <cell r="AT285">
            <v>0.13985883230000001</v>
          </cell>
          <cell r="AU285">
            <v>0.14161594159999999</v>
          </cell>
          <cell r="AV285">
            <v>0.1433984314</v>
          </cell>
          <cell r="AW285">
            <v>0.14520669050000001</v>
          </cell>
          <cell r="AX285">
            <v>0.1470409556</v>
          </cell>
          <cell r="AY285">
            <v>0.14890125339999999</v>
          </cell>
          <cell r="AZ285">
            <v>0.15078994079999999</v>
          </cell>
          <cell r="BA285">
            <v>0.1527066419</v>
          </cell>
          <cell r="BB285">
            <v>0.18497847570000001</v>
          </cell>
          <cell r="BC285">
            <v>0.26960800639999999</v>
          </cell>
          <cell r="BD285">
            <v>0.27939733179999998</v>
          </cell>
          <cell r="BE285">
            <v>0.19860557870000001</v>
          </cell>
          <cell r="BF285">
            <v>0.20196968779999999</v>
          </cell>
          <cell r="BG285">
            <v>0.20537931740000001</v>
          </cell>
          <cell r="BH285">
            <v>0.2088358948</v>
          </cell>
          <cell r="BI285">
            <v>0.21234085599999999</v>
          </cell>
        </row>
        <row r="288">
          <cell r="E288" t="str">
            <v>CF_toe_cfut_2</v>
          </cell>
          <cell r="F288">
            <v>46.8593093</v>
          </cell>
          <cell r="G288">
            <v>46.825592649999997</v>
          </cell>
          <cell r="H288">
            <v>46.800147750000001</v>
          </cell>
          <cell r="I288">
            <v>46.858457199999997</v>
          </cell>
          <cell r="J288">
            <v>47.02176085</v>
          </cell>
          <cell r="K288">
            <v>47.283445950000001</v>
          </cell>
          <cell r="L288">
            <v>47.611015449999996</v>
          </cell>
          <cell r="M288">
            <v>47.996569260000001</v>
          </cell>
          <cell r="N288">
            <v>48.429980360000002</v>
          </cell>
          <cell r="O288">
            <v>48.902166649999998</v>
          </cell>
          <cell r="P288">
            <v>49.434740249999997</v>
          </cell>
          <cell r="Q288">
            <v>49.977545210000002</v>
          </cell>
          <cell r="R288">
            <v>50.533678289999997</v>
          </cell>
          <cell r="S288">
            <v>51.10074066</v>
          </cell>
          <cell r="T288">
            <v>51.675013300000003</v>
          </cell>
          <cell r="U288">
            <v>52.253006550000002</v>
          </cell>
          <cell r="V288">
            <v>52.830242329999997</v>
          </cell>
          <cell r="W288">
            <v>53.40559743</v>
          </cell>
          <cell r="X288">
            <v>53.977965529999999</v>
          </cell>
          <cell r="Y288">
            <v>54.546782139999998</v>
          </cell>
          <cell r="Z288">
            <v>55.091061379999999</v>
          </cell>
          <cell r="AA288">
            <v>55.641423660000001</v>
          </cell>
          <cell r="AB288">
            <v>56.193335810000001</v>
          </cell>
          <cell r="AC288">
            <v>56.746230679999996</v>
          </cell>
          <cell r="AD288">
            <v>57.300872599999998</v>
          </cell>
          <cell r="AE288">
            <v>57.799103770000002</v>
          </cell>
          <cell r="AF288">
            <v>58.299431689999999</v>
          </cell>
          <cell r="AG288">
            <v>58.79929637</v>
          </cell>
          <cell r="AH288">
            <v>59.29968161</v>
          </cell>
          <cell r="AI288">
            <v>59.80265765</v>
          </cell>
          <cell r="AJ288">
            <v>60.310225000000003</v>
          </cell>
          <cell r="AK288">
            <v>60.824305029999998</v>
          </cell>
          <cell r="AL288">
            <v>61.345994750000003</v>
          </cell>
          <cell r="AM288">
            <v>61.876162909999998</v>
          </cell>
          <cell r="AN288">
            <v>62.41543824</v>
          </cell>
          <cell r="AO288">
            <v>62.96425035</v>
          </cell>
          <cell r="AP288">
            <v>63.511528630000001</v>
          </cell>
          <cell r="AQ288">
            <v>64.062050819999996</v>
          </cell>
          <cell r="AR288">
            <v>64.617894480000004</v>
          </cell>
          <cell r="AS288">
            <v>65.180204649999993</v>
          </cell>
          <cell r="AT288">
            <v>65.74979021</v>
          </cell>
          <cell r="AU288">
            <v>66.327623819999999</v>
          </cell>
          <cell r="AV288">
            <v>66.914033889999999</v>
          </cell>
          <cell r="AW288">
            <v>67.50934024</v>
          </cell>
          <cell r="AX288">
            <v>68.113801269999996</v>
          </cell>
          <cell r="AY288">
            <v>68.72761835</v>
          </cell>
          <cell r="AZ288">
            <v>69.353242530000003</v>
          </cell>
          <cell r="BA288">
            <v>69.989875010000006</v>
          </cell>
          <cell r="BB288">
            <v>70.035440789999996</v>
          </cell>
          <cell r="BC288">
            <v>70.145664359999998</v>
          </cell>
          <cell r="BD288">
            <v>70.158091580000004</v>
          </cell>
          <cell r="BE288">
            <v>85.552448339999998</v>
          </cell>
          <cell r="BF288">
            <v>86.679266389999995</v>
          </cell>
          <cell r="BG288">
            <v>87.82308707</v>
          </cell>
          <cell r="BH288">
            <v>88.984520930000002</v>
          </cell>
          <cell r="BI288">
            <v>90.16421339</v>
          </cell>
        </row>
        <row r="291">
          <cell r="E291" t="str">
            <v>CF_toe_cfuh_2</v>
          </cell>
          <cell r="F291">
            <v>14.681389899999999</v>
          </cell>
          <cell r="G291">
            <v>14.724690539999999</v>
          </cell>
          <cell r="H291">
            <v>14.73665808</v>
          </cell>
          <cell r="I291">
            <v>14.74309244</v>
          </cell>
          <cell r="J291">
            <v>14.76102399</v>
          </cell>
          <cell r="K291">
            <v>14.797524060000001</v>
          </cell>
          <cell r="L291">
            <v>14.84648415</v>
          </cell>
          <cell r="M291">
            <v>14.908360650000001</v>
          </cell>
          <cell r="N291">
            <v>14.980627370000001</v>
          </cell>
          <cell r="O291">
            <v>15.060519360000001</v>
          </cell>
          <cell r="P291">
            <v>15.1571689</v>
          </cell>
          <cell r="Q291">
            <v>15.25035342</v>
          </cell>
          <cell r="R291">
            <v>15.34274654</v>
          </cell>
          <cell r="S291">
            <v>15.43484875</v>
          </cell>
          <cell r="T291">
            <v>15.52652</v>
          </cell>
          <cell r="U291">
            <v>15.61754826</v>
          </cell>
          <cell r="V291">
            <v>15.707040790000001</v>
          </cell>
          <cell r="W291">
            <v>15.79548146</v>
          </cell>
          <cell r="X291">
            <v>15.88313546</v>
          </cell>
          <cell r="Y291">
            <v>15.97025315</v>
          </cell>
          <cell r="Z291">
            <v>16.049073249999999</v>
          </cell>
          <cell r="AA291">
            <v>16.132188500000002</v>
          </cell>
          <cell r="AB291">
            <v>16.2175057</v>
          </cell>
          <cell r="AC291">
            <v>16.304479610000001</v>
          </cell>
          <cell r="AD291">
            <v>16.393129259999998</v>
          </cell>
          <cell r="AE291">
            <v>16.461130140000002</v>
          </cell>
          <cell r="AF291">
            <v>16.532532539999998</v>
          </cell>
          <cell r="AG291">
            <v>16.605935039999999</v>
          </cell>
          <cell r="AH291">
            <v>16.68113774</v>
          </cell>
          <cell r="AI291">
            <v>16.758361969999999</v>
          </cell>
          <cell r="AJ291">
            <v>16.837890770000001</v>
          </cell>
          <cell r="AK291">
            <v>16.92010097</v>
          </cell>
          <cell r="AL291">
            <v>17.005068949999998</v>
          </cell>
          <cell r="AM291">
            <v>17.092856390000001</v>
          </cell>
          <cell r="AN291">
            <v>17.18348473</v>
          </cell>
          <cell r="AO291">
            <v>17.276929899999999</v>
          </cell>
          <cell r="AP291">
            <v>17.36919365</v>
          </cell>
          <cell r="AQ291">
            <v>17.462065160000002</v>
          </cell>
          <cell r="AR291">
            <v>17.556253860000002</v>
          </cell>
          <cell r="AS291">
            <v>17.65207882</v>
          </cell>
          <cell r="AT291">
            <v>17.749687170000001</v>
          </cell>
          <cell r="AU291">
            <v>17.84930434</v>
          </cell>
          <cell r="AV291">
            <v>17.95083408</v>
          </cell>
          <cell r="AW291">
            <v>18.05421316</v>
          </cell>
          <cell r="AX291">
            <v>18.159387670000001</v>
          </cell>
          <cell r="AY291">
            <v>18.266299440000001</v>
          </cell>
          <cell r="AZ291">
            <v>18.37584558</v>
          </cell>
          <cell r="BA291">
            <v>18.487442300000001</v>
          </cell>
          <cell r="BB291">
            <v>18.536352180000002</v>
          </cell>
          <cell r="BC291">
            <v>18.65440452</v>
          </cell>
          <cell r="BD291">
            <v>18.667685240000001</v>
          </cell>
          <cell r="BE291">
            <v>23.280117629999999</v>
          </cell>
          <cell r="BF291">
            <v>23.549838619999999</v>
          </cell>
          <cell r="BG291">
            <v>23.823821410000001</v>
          </cell>
          <cell r="BH291">
            <v>24.102147460000001</v>
          </cell>
          <cell r="BI291">
            <v>24.384922530000001</v>
          </cell>
        </row>
        <row r="293">
          <cell r="E293" t="str">
            <v>CF_toe_cgas_2</v>
          </cell>
          <cell r="F293">
            <v>33.921568090000001</v>
          </cell>
          <cell r="G293">
            <v>34.01828759</v>
          </cell>
          <cell r="H293">
            <v>34.103619360000003</v>
          </cell>
          <cell r="I293">
            <v>34.203973670000003</v>
          </cell>
          <cell r="J293">
            <v>34.347720649999999</v>
          </cell>
          <cell r="K293">
            <v>34.546678489999998</v>
          </cell>
          <cell r="L293">
            <v>34.781278180000001</v>
          </cell>
          <cell r="M293">
            <v>35.053107410000003</v>
          </cell>
          <cell r="N293">
            <v>35.355179589999999</v>
          </cell>
          <cell r="O293">
            <v>35.679392270000001</v>
          </cell>
          <cell r="P293">
            <v>36.050859209999999</v>
          </cell>
          <cell r="Q293">
            <v>36.411758990000003</v>
          </cell>
          <cell r="R293">
            <v>36.769346929999998</v>
          </cell>
          <cell r="S293">
            <v>37.124298570000001</v>
          </cell>
          <cell r="T293">
            <v>37.475791020000003</v>
          </cell>
          <cell r="U293">
            <v>37.8231027</v>
          </cell>
          <cell r="V293">
            <v>38.164082700000002</v>
          </cell>
          <cell r="W293">
            <v>38.500323620000003</v>
          </cell>
          <cell r="X293">
            <v>38.832960139999997</v>
          </cell>
          <cell r="Y293">
            <v>39.16317008</v>
          </cell>
          <cell r="Z293">
            <v>39.469047789999998</v>
          </cell>
          <cell r="AA293">
            <v>39.787476859999998</v>
          </cell>
          <cell r="AB293">
            <v>40.112158129999997</v>
          </cell>
          <cell r="AC293">
            <v>40.441866599999997</v>
          </cell>
          <cell r="AD293">
            <v>40.776966710000004</v>
          </cell>
          <cell r="AE293">
            <v>41.053002429999999</v>
          </cell>
          <cell r="AF293">
            <v>41.34043132</v>
          </cell>
          <cell r="AG293">
            <v>41.633844359999998</v>
          </cell>
          <cell r="AH293">
            <v>41.932500660000002</v>
          </cell>
          <cell r="AI293">
            <v>42.237029720000002</v>
          </cell>
          <cell r="AJ293">
            <v>42.548360539999997</v>
          </cell>
          <cell r="AK293">
            <v>42.867685569999999</v>
          </cell>
          <cell r="AL293">
            <v>43.195463680000003</v>
          </cell>
          <cell r="AM293">
            <v>43.53207192</v>
          </cell>
          <cell r="AN293">
            <v>43.877723619999998</v>
          </cell>
          <cell r="AO293">
            <v>44.232457590000003</v>
          </cell>
          <cell r="AP293">
            <v>44.583806619999997</v>
          </cell>
          <cell r="AQ293">
            <v>44.937655849999999</v>
          </cell>
          <cell r="AR293">
            <v>45.296027129999999</v>
          </cell>
          <cell r="AS293">
            <v>45.659781860000002</v>
          </cell>
          <cell r="AT293">
            <v>46.029338619999997</v>
          </cell>
          <cell r="AU293">
            <v>46.405285280000001</v>
          </cell>
          <cell r="AV293">
            <v>46.787514590000001</v>
          </cell>
          <cell r="AW293">
            <v>47.176016930000003</v>
          </cell>
          <cell r="AX293">
            <v>47.57080655</v>
          </cell>
          <cell r="AY293">
            <v>47.971871649999997</v>
          </cell>
          <cell r="AZ293">
            <v>48.381534500000001</v>
          </cell>
          <cell r="BA293">
            <v>48.798363109999997</v>
          </cell>
          <cell r="BB293">
            <v>48.889329889999999</v>
          </cell>
          <cell r="BC293">
            <v>49.108369699999997</v>
          </cell>
          <cell r="BD293">
            <v>49.132891270000002</v>
          </cell>
          <cell r="BE293">
            <v>60.448364050000002</v>
          </cell>
          <cell r="BF293">
            <v>61.25071707</v>
          </cell>
          <cell r="BG293">
            <v>62.065198590000001</v>
          </cell>
          <cell r="BH293">
            <v>62.89208069</v>
          </cell>
          <cell r="BI293">
            <v>63.731686179999997</v>
          </cell>
        </row>
        <row r="299">
          <cell r="E299" t="str">
            <v>CF_toe_cele_2</v>
          </cell>
          <cell r="F299">
            <v>37.382102500000002</v>
          </cell>
          <cell r="G299">
            <v>37.39584061</v>
          </cell>
          <cell r="H299">
            <v>37.43303092</v>
          </cell>
          <cell r="I299">
            <v>37.531172920000003</v>
          </cell>
          <cell r="J299">
            <v>37.70968998</v>
          </cell>
          <cell r="K299">
            <v>37.966134779999997</v>
          </cell>
          <cell r="L299">
            <v>38.267567870000001</v>
          </cell>
          <cell r="M299">
            <v>38.604008280000002</v>
          </cell>
          <cell r="N299">
            <v>38.961167209999999</v>
          </cell>
          <cell r="O299">
            <v>39.3253378</v>
          </cell>
          <cell r="P299">
            <v>39.716408989999998</v>
          </cell>
          <cell r="Q299">
            <v>40.078115650000001</v>
          </cell>
          <cell r="R299">
            <v>40.414301790000003</v>
          </cell>
          <cell r="S299">
            <v>40.726015429999997</v>
          </cell>
          <cell r="T299">
            <v>41.013849100000002</v>
          </cell>
          <cell r="U299">
            <v>41.279227720000002</v>
          </cell>
          <cell r="V299">
            <v>41.52244941</v>
          </cell>
          <cell r="W299">
            <v>41.747293910000003</v>
          </cell>
          <cell r="X299">
            <v>41.957955669999997</v>
          </cell>
          <cell r="Y299">
            <v>42.158611270000002</v>
          </cell>
          <cell r="Z299">
            <v>42.3314697</v>
          </cell>
          <cell r="AA299">
            <v>42.512632629999999</v>
          </cell>
          <cell r="AB299">
            <v>42.699520710000002</v>
          </cell>
          <cell r="AC299">
            <v>42.892432290000002</v>
          </cell>
          <cell r="AD299">
            <v>43.092778899999999</v>
          </cell>
          <cell r="AE299">
            <v>43.241473259999999</v>
          </cell>
          <cell r="AF299">
            <v>43.4018716</v>
          </cell>
          <cell r="AG299">
            <v>43.572012690000001</v>
          </cell>
          <cell r="AH299">
            <v>43.751442189999999</v>
          </cell>
          <cell r="AI299">
            <v>43.940795119999997</v>
          </cell>
          <cell r="AJ299">
            <v>44.140850319999998</v>
          </cell>
          <cell r="AK299">
            <v>44.352479670000001</v>
          </cell>
          <cell r="AL299">
            <v>44.575833549999999</v>
          </cell>
          <cell r="AM299">
            <v>44.810584749999997</v>
          </cell>
          <cell r="AN299">
            <v>45.056102080000002</v>
          </cell>
          <cell r="AO299">
            <v>45.311526610000001</v>
          </cell>
          <cell r="AP299">
            <v>45.564897860000002</v>
          </cell>
          <cell r="AQ299">
            <v>45.822003299999999</v>
          </cell>
          <cell r="AR299">
            <v>46.083879670000002</v>
          </cell>
          <cell r="AS299">
            <v>46.350299219999997</v>
          </cell>
          <cell r="AT299">
            <v>46.620783060000001</v>
          </cell>
          <cell r="AU299">
            <v>46.895266679999999</v>
          </cell>
          <cell r="AV299">
            <v>47.173493039999997</v>
          </cell>
          <cell r="AW299">
            <v>47.455035889999998</v>
          </cell>
          <cell r="AX299">
            <v>47.739489579999997</v>
          </cell>
          <cell r="AY299">
            <v>48.026445819999999</v>
          </cell>
          <cell r="AZ299">
            <v>48.317769560000002</v>
          </cell>
          <cell r="BA299">
            <v>48.61297742</v>
          </cell>
          <cell r="BB299">
            <v>48.610161099999999</v>
          </cell>
          <cell r="BC299">
            <v>48.668990960000002</v>
          </cell>
          <cell r="BD299">
            <v>48.680274330000003</v>
          </cell>
          <cell r="BE299">
            <v>64.359417219999997</v>
          </cell>
          <cell r="BF299">
            <v>65.209907079999994</v>
          </cell>
          <cell r="BG299">
            <v>66.075298020000005</v>
          </cell>
          <cell r="BH299">
            <v>66.955731420000006</v>
          </cell>
          <cell r="BI299">
            <v>67.851352849999998</v>
          </cell>
        </row>
        <row r="309">
          <cell r="E309" t="str">
            <v>CF_toe_chea_2</v>
          </cell>
          <cell r="F309">
            <v>5.0836003129999998</v>
          </cell>
          <cell r="G309">
            <v>5.1200610470000001</v>
          </cell>
          <cell r="H309">
            <v>5.1698663109999998</v>
          </cell>
          <cell r="I309">
            <v>5.2280476489999996</v>
          </cell>
          <cell r="J309">
            <v>5.2925640129999998</v>
          </cell>
          <cell r="K309">
            <v>5.3618000940000003</v>
          </cell>
          <cell r="L309">
            <v>5.4294696230000001</v>
          </cell>
          <cell r="M309">
            <v>5.4971599959999997</v>
          </cell>
          <cell r="N309">
            <v>5.5651391480000001</v>
          </cell>
          <cell r="O309">
            <v>5.6331814199999997</v>
          </cell>
          <cell r="P309">
            <v>5.7087644739999996</v>
          </cell>
          <cell r="Q309">
            <v>5.7787064170000004</v>
          </cell>
          <cell r="R309">
            <v>5.8456237250000003</v>
          </cell>
          <cell r="S309">
            <v>5.9104969330000001</v>
          </cell>
          <cell r="T309">
            <v>5.973715458</v>
          </cell>
          <cell r="U309">
            <v>6.0354852980000002</v>
          </cell>
          <cell r="V309">
            <v>6.0955478220000003</v>
          </cell>
          <cell r="W309">
            <v>6.1543355120000003</v>
          </cell>
          <cell r="X309">
            <v>6.2121589669999997</v>
          </cell>
          <cell r="Y309">
            <v>6.2692865219999998</v>
          </cell>
          <cell r="Z309">
            <v>6.3206704030000003</v>
          </cell>
          <cell r="AA309">
            <v>6.3749297560000002</v>
          </cell>
          <cell r="AB309">
            <v>6.4304308990000001</v>
          </cell>
          <cell r="AC309">
            <v>6.4866298049999997</v>
          </cell>
          <cell r="AD309">
            <v>6.5433870440000002</v>
          </cell>
          <cell r="AE309">
            <v>6.586173864</v>
          </cell>
          <cell r="AF309">
            <v>6.6313989119999999</v>
          </cell>
          <cell r="AG309">
            <v>6.6778987089999999</v>
          </cell>
          <cell r="AH309">
            <v>6.7252843709999999</v>
          </cell>
          <cell r="AI309">
            <v>6.7734429189999998</v>
          </cell>
          <cell r="AJ309">
            <v>6.8223287399999997</v>
          </cell>
          <cell r="AK309">
            <v>6.8720511660000003</v>
          </cell>
          <cell r="AL309">
            <v>6.9225691630000004</v>
          </cell>
          <cell r="AM309">
            <v>6.9738558519999998</v>
          </cell>
          <cell r="AN309">
            <v>7.0258816619999997</v>
          </cell>
          <cell r="AO309">
            <v>7.0786077479999996</v>
          </cell>
          <cell r="AP309">
            <v>7.1297894509999997</v>
          </cell>
          <cell r="AQ309">
            <v>7.1806802970000003</v>
          </cell>
          <cell r="AR309">
            <v>7.2317253060000004</v>
          </cell>
          <cell r="AS309">
            <v>7.2830819099999999</v>
          </cell>
          <cell r="AT309">
            <v>7.3347981960000004</v>
          </cell>
          <cell r="AU309">
            <v>7.3870211890000004</v>
          </cell>
          <cell r="AV309">
            <v>7.4396757640000004</v>
          </cell>
          <cell r="AW309">
            <v>7.4927241779999996</v>
          </cell>
          <cell r="AX309">
            <v>7.5461466340000003</v>
          </cell>
          <cell r="AY309">
            <v>7.5999294070000003</v>
          </cell>
          <cell r="AZ309">
            <v>7.6547813140000001</v>
          </cell>
          <cell r="BA309">
            <v>7.7103004009999996</v>
          </cell>
          <cell r="BB309">
            <v>7.7421272419999996</v>
          </cell>
          <cell r="BC309">
            <v>7.8130978630000003</v>
          </cell>
          <cell r="BD309">
            <v>7.8153234749999996</v>
          </cell>
          <cell r="BE309">
            <v>8.5768502299999998</v>
          </cell>
          <cell r="BF309">
            <v>8.666396185</v>
          </cell>
          <cell r="BG309">
            <v>8.7572674819999996</v>
          </cell>
          <cell r="BH309">
            <v>8.8494687390000006</v>
          </cell>
          <cell r="BI309">
            <v>8.9430200129999999</v>
          </cell>
        </row>
        <row r="311">
          <cell r="E311" t="str">
            <v>CF_toe_cbio_2</v>
          </cell>
          <cell r="F311">
            <v>8.159423061</v>
          </cell>
          <cell r="G311">
            <v>8.1121245949999992</v>
          </cell>
          <cell r="H311">
            <v>8.0546536890000002</v>
          </cell>
          <cell r="I311">
            <v>8.0034239879999998</v>
          </cell>
          <cell r="J311">
            <v>7.962811125</v>
          </cell>
          <cell r="K311">
            <v>7.9334261699999997</v>
          </cell>
          <cell r="L311">
            <v>7.9105554070000004</v>
          </cell>
          <cell r="M311">
            <v>7.8936101089999999</v>
          </cell>
          <cell r="N311">
            <v>7.8809709000000003</v>
          </cell>
          <cell r="O311">
            <v>7.8709590279999997</v>
          </cell>
          <cell r="P311">
            <v>7.8667784469999997</v>
          </cell>
          <cell r="Q311">
            <v>7.8588129359999996</v>
          </cell>
          <cell r="R311">
            <v>7.8482495060000002</v>
          </cell>
          <cell r="S311">
            <v>7.8357735489999998</v>
          </cell>
          <cell r="T311">
            <v>7.821757743</v>
          </cell>
          <cell r="U311">
            <v>7.8064812430000003</v>
          </cell>
          <cell r="V311">
            <v>7.7894358979999998</v>
          </cell>
          <cell r="W311">
            <v>7.771257511</v>
          </cell>
          <cell r="X311">
            <v>7.75242086</v>
          </cell>
          <cell r="Y311">
            <v>7.7332881029999996</v>
          </cell>
          <cell r="Z311">
            <v>7.710761229</v>
          </cell>
          <cell r="AA311">
            <v>7.6902860149999999</v>
          </cell>
          <cell r="AB311">
            <v>7.6710777099999996</v>
          </cell>
          <cell r="AC311">
            <v>7.6528196289999997</v>
          </cell>
          <cell r="AD311">
            <v>7.6354479489999996</v>
          </cell>
          <cell r="AE311">
            <v>7.6097368699999999</v>
          </cell>
          <cell r="AF311">
            <v>7.5859169050000004</v>
          </cell>
          <cell r="AG311">
            <v>7.5634978119999996</v>
          </cell>
          <cell r="AH311">
            <v>7.5421970890000001</v>
          </cell>
          <cell r="AI311">
            <v>7.5219380329999996</v>
          </cell>
          <cell r="AJ311">
            <v>7.5027177399999996</v>
          </cell>
          <cell r="AK311">
            <v>7.4847171460000004</v>
          </cell>
          <cell r="AL311">
            <v>7.4678605229999997</v>
          </cell>
          <cell r="AM311">
            <v>7.4520808389999997</v>
          </cell>
          <cell r="AN311">
            <v>7.4373123620000001</v>
          </cell>
          <cell r="AO311">
            <v>7.423485415</v>
          </cell>
          <cell r="AP311">
            <v>7.4099994210000002</v>
          </cell>
          <cell r="AQ311">
            <v>7.3971938149999996</v>
          </cell>
          <cell r="AR311">
            <v>7.3850644379999997</v>
          </cell>
          <cell r="AS311">
            <v>7.3735275690000002</v>
          </cell>
          <cell r="AT311">
            <v>7.3625100620000001</v>
          </cell>
          <cell r="AU311">
            <v>7.3521915069999997</v>
          </cell>
          <cell r="AV311">
            <v>7.3424436289999999</v>
          </cell>
          <cell r="AW311">
            <v>7.333177311</v>
          </cell>
          <cell r="AX311">
            <v>7.3243315879999997</v>
          </cell>
          <cell r="AY311">
            <v>7.315860335</v>
          </cell>
          <cell r="AZ311">
            <v>7.3086394720000003</v>
          </cell>
          <cell r="BA311">
            <v>7.3022429640000004</v>
          </cell>
          <cell r="BB311">
            <v>7.4179078020000002</v>
          </cell>
          <cell r="BC311">
            <v>7.73294938</v>
          </cell>
          <cell r="BD311">
            <v>7.7712603229999999</v>
          </cell>
          <cell r="BE311">
            <v>9.1587507319999997</v>
          </cell>
          <cell r="BF311">
            <v>9.2090429220000001</v>
          </cell>
          <cell r="BG311">
            <v>9.2606713220000003</v>
          </cell>
          <cell r="BH311">
            <v>9.3136211660000008</v>
          </cell>
          <cell r="BI311">
            <v>9.3679002540000003</v>
          </cell>
        </row>
        <row r="314">
          <cell r="E314" t="str">
            <v>CF_toe_cote_2</v>
          </cell>
          <cell r="F314">
            <v>8.4286294230000003</v>
          </cell>
          <cell r="G314">
            <v>8.4664164419999999</v>
          </cell>
          <cell r="H314">
            <v>8.5544503249999995</v>
          </cell>
          <cell r="I314">
            <v>8.6616821999999996</v>
          </cell>
          <cell r="J314">
            <v>8.7807814180000001</v>
          </cell>
          <cell r="K314">
            <v>8.9078612029999995</v>
          </cell>
          <cell r="L314">
            <v>9.0333944749999997</v>
          </cell>
          <cell r="M314">
            <v>9.1595543520000007</v>
          </cell>
          <cell r="N314">
            <v>9.285522491</v>
          </cell>
          <cell r="O314">
            <v>9.4104071349999998</v>
          </cell>
          <cell r="P314">
            <v>9.5443208750000004</v>
          </cell>
          <cell r="Q314">
            <v>9.6673551109999991</v>
          </cell>
          <cell r="R314">
            <v>9.786466441</v>
          </cell>
          <cell r="S314">
            <v>9.9028928740000008</v>
          </cell>
          <cell r="T314">
            <v>10.017072519999999</v>
          </cell>
          <cell r="U314">
            <v>10.12939044</v>
          </cell>
          <cell r="V314">
            <v>10.239007490000001</v>
          </cell>
          <cell r="W314">
            <v>10.34744551</v>
          </cell>
          <cell r="X314">
            <v>10.45536995</v>
          </cell>
          <cell r="Y314">
            <v>10.56332563</v>
          </cell>
          <cell r="Z314">
            <v>10.66424602</v>
          </cell>
          <cell r="AA314">
            <v>10.7716025</v>
          </cell>
          <cell r="AB314">
            <v>10.881558289999999</v>
          </cell>
          <cell r="AC314">
            <v>10.993781220000001</v>
          </cell>
          <cell r="AD314">
            <v>11.108422729999999</v>
          </cell>
          <cell r="AE314">
            <v>11.20436016</v>
          </cell>
          <cell r="AF314">
            <v>11.30854295</v>
          </cell>
          <cell r="AG314">
            <v>11.41575941</v>
          </cell>
          <cell r="AH314">
            <v>11.525504890000001</v>
          </cell>
          <cell r="AI314">
            <v>11.63790485</v>
          </cell>
          <cell r="AJ314">
            <v>11.753084599999999</v>
          </cell>
          <cell r="AK314">
            <v>11.87134251</v>
          </cell>
          <cell r="AL314">
            <v>11.992398700000001</v>
          </cell>
          <cell r="AM314">
            <v>12.116082370000001</v>
          </cell>
          <cell r="AN314">
            <v>12.242201290000001</v>
          </cell>
          <cell r="AO314">
            <v>12.370543270000001</v>
          </cell>
          <cell r="AP314">
            <v>12.498335669999999</v>
          </cell>
          <cell r="AQ314">
            <v>12.626961809999999</v>
          </cell>
          <cell r="AR314">
            <v>12.75669736</v>
          </cell>
          <cell r="AS314">
            <v>12.88760051</v>
          </cell>
          <cell r="AT314">
            <v>13.01967803</v>
          </cell>
          <cell r="AU314">
            <v>13.153289790000001</v>
          </cell>
          <cell r="AV314">
            <v>13.288119439999999</v>
          </cell>
          <cell r="AW314">
            <v>13.42407506</v>
          </cell>
          <cell r="AX314">
            <v>13.56108225</v>
          </cell>
          <cell r="AY314">
            <v>13.699062270000001</v>
          </cell>
          <cell r="AZ314">
            <v>13.83962549</v>
          </cell>
          <cell r="BA314">
            <v>13.98146715</v>
          </cell>
          <cell r="BB314">
            <v>14.002049189999999</v>
          </cell>
          <cell r="BC314">
            <v>14.05763322</v>
          </cell>
          <cell r="BD314">
            <v>14.06425615</v>
          </cell>
          <cell r="BE314">
            <v>19.805538519999999</v>
          </cell>
          <cell r="BF314">
            <v>20.149609949999999</v>
          </cell>
          <cell r="BG314">
            <v>20.49965121</v>
          </cell>
          <cell r="BH314">
            <v>20.855750520000001</v>
          </cell>
          <cell r="BI314">
            <v>21.21799416</v>
          </cell>
        </row>
        <row r="317">
          <cell r="E317" t="str">
            <v>CF_toe_0</v>
          </cell>
          <cell r="F317">
            <v>162.31701000000001</v>
          </cell>
          <cell r="G317">
            <v>163.41058849999999</v>
          </cell>
          <cell r="H317">
            <v>164.374787</v>
          </cell>
          <cell r="I317">
            <v>165.44412500000001</v>
          </cell>
          <cell r="J317">
            <v>166.68592860000001</v>
          </cell>
          <cell r="K317">
            <v>168.0986465</v>
          </cell>
          <cell r="L317">
            <v>169.57577989999999</v>
          </cell>
          <cell r="M317">
            <v>171.12820830000001</v>
          </cell>
          <cell r="N317">
            <v>172.74325880000001</v>
          </cell>
          <cell r="O317">
            <v>174.4042479</v>
          </cell>
          <cell r="P317">
            <v>176.2362378</v>
          </cell>
          <cell r="Q317">
            <v>178.01502009999999</v>
          </cell>
          <cell r="R317">
            <v>179.77789240000001</v>
          </cell>
          <cell r="S317">
            <v>181.53396799999999</v>
          </cell>
          <cell r="T317">
            <v>183.2847725</v>
          </cell>
          <cell r="U317">
            <v>185.0309092</v>
          </cell>
          <cell r="V317">
            <v>186.77383520000001</v>
          </cell>
          <cell r="W317">
            <v>188.5160434</v>
          </cell>
          <cell r="X317">
            <v>190.2609563</v>
          </cell>
          <cell r="Y317">
            <v>192.01257509999999</v>
          </cell>
          <cell r="Z317">
            <v>193.67524789999999</v>
          </cell>
          <cell r="AA317">
            <v>195.4053103</v>
          </cell>
          <cell r="AB317">
            <v>197.1739604</v>
          </cell>
          <cell r="AC317">
            <v>198.9745666</v>
          </cell>
          <cell r="AD317">
            <v>200.80702020000001</v>
          </cell>
          <cell r="AE317">
            <v>202.3899686</v>
          </cell>
          <cell r="AF317">
            <v>204.02151230000001</v>
          </cell>
          <cell r="AG317">
            <v>205.67794570000001</v>
          </cell>
          <cell r="AH317">
            <v>207.3560947</v>
          </cell>
          <cell r="AI317">
            <v>209.058696</v>
          </cell>
          <cell r="AJ317">
            <v>210.7894149</v>
          </cell>
          <cell r="AK317">
            <v>212.55128199999999</v>
          </cell>
          <cell r="AL317">
            <v>214.3462968</v>
          </cell>
          <cell r="AM317">
            <v>216.1753947</v>
          </cell>
          <cell r="AN317">
            <v>218.03859059999999</v>
          </cell>
          <cell r="AO317">
            <v>219.93518739999999</v>
          </cell>
          <cell r="AP317">
            <v>221.79833970000001</v>
          </cell>
          <cell r="AQ317">
            <v>223.6604681</v>
          </cell>
          <cell r="AR317">
            <v>225.5322237</v>
          </cell>
          <cell r="AS317">
            <v>227.41777809999999</v>
          </cell>
          <cell r="AT317">
            <v>229.319413</v>
          </cell>
          <cell r="AU317">
            <v>231.23880500000001</v>
          </cell>
          <cell r="AV317">
            <v>233.1773365</v>
          </cell>
          <cell r="AW317">
            <v>235.13613570000001</v>
          </cell>
          <cell r="AX317">
            <v>237.11606760000001</v>
          </cell>
          <cell r="AY317">
            <v>239.117739</v>
          </cell>
          <cell r="AZ317">
            <v>241.14727400000001</v>
          </cell>
          <cell r="BA317">
            <v>243.2018937</v>
          </cell>
          <cell r="BB317">
            <v>245.2806224</v>
          </cell>
          <cell r="BC317">
            <v>247.38298829999999</v>
          </cell>
          <cell r="BD317">
            <v>249.5086805</v>
          </cell>
          <cell r="BE317">
            <v>285.81156920000001</v>
          </cell>
          <cell r="BF317">
            <v>289.59841449999999</v>
          </cell>
          <cell r="BG317">
            <v>293.44403879999999</v>
          </cell>
          <cell r="BH317">
            <v>297.34999809999999</v>
          </cell>
          <cell r="BI317">
            <v>301.31780850000001</v>
          </cell>
        </row>
        <row r="318">
          <cell r="E318" t="str">
            <v>CF_toe_ccoa_0</v>
          </cell>
          <cell r="F318">
            <v>5.4832466399999999</v>
          </cell>
          <cell r="G318">
            <v>5.5485428140000002</v>
          </cell>
          <cell r="H318">
            <v>5.6193811069999997</v>
          </cell>
          <cell r="I318">
            <v>5.6947455800000002</v>
          </cell>
          <cell r="J318">
            <v>5.7738198919999997</v>
          </cell>
          <cell r="K318">
            <v>5.8559711999999999</v>
          </cell>
          <cell r="L318">
            <v>5.9369110450000004</v>
          </cell>
          <cell r="M318">
            <v>6.018573774</v>
          </cell>
          <cell r="N318">
            <v>6.1012478159999999</v>
          </cell>
          <cell r="O318">
            <v>6.184867036</v>
          </cell>
          <cell r="P318">
            <v>6.2758586059999999</v>
          </cell>
          <cell r="Q318">
            <v>6.3633860010000003</v>
          </cell>
          <cell r="R318">
            <v>6.4504549210000004</v>
          </cell>
          <cell r="S318">
            <v>6.5378074719999999</v>
          </cell>
          <cell r="T318">
            <v>6.6256878060000002</v>
          </cell>
          <cell r="U318">
            <v>6.7142558020000003</v>
          </cell>
          <cell r="V318">
            <v>6.8036708450000001</v>
          </cell>
          <cell r="W318">
            <v>6.8940991189999998</v>
          </cell>
          <cell r="X318">
            <v>6.9857053609999999</v>
          </cell>
          <cell r="Y318">
            <v>7.0786440910000001</v>
          </cell>
          <cell r="Z318">
            <v>7.1683091579999996</v>
          </cell>
          <cell r="AA318">
            <v>7.2626308570000004</v>
          </cell>
          <cell r="AB318">
            <v>7.3594854639999996</v>
          </cell>
          <cell r="AC318">
            <v>7.4584287959999997</v>
          </cell>
          <cell r="AD318">
            <v>7.5593814640000003</v>
          </cell>
          <cell r="AE318">
            <v>7.6487628430000001</v>
          </cell>
          <cell r="AF318">
            <v>7.7424405250000001</v>
          </cell>
          <cell r="AG318">
            <v>7.8381017489999998</v>
          </cell>
          <cell r="AH318">
            <v>7.9353373310000004</v>
          </cell>
          <cell r="AI318">
            <v>8.0341425910000002</v>
          </cell>
          <cell r="AJ318">
            <v>8.1345596259999997</v>
          </cell>
          <cell r="AK318">
            <v>8.2365981179999999</v>
          </cell>
          <cell r="AL318">
            <v>8.3402257790000007</v>
          </cell>
          <cell r="AM318">
            <v>8.4453774470000003</v>
          </cell>
          <cell r="AN318">
            <v>8.5519680999999999</v>
          </cell>
          <cell r="AO318">
            <v>8.6599046840000007</v>
          </cell>
          <cell r="AP318">
            <v>8.7658695800000004</v>
          </cell>
          <cell r="AQ318">
            <v>8.8718261199999997</v>
          </cell>
          <cell r="AR318">
            <v>8.9782527049999992</v>
          </cell>
          <cell r="AS318">
            <v>9.0852971189999998</v>
          </cell>
          <cell r="AT318">
            <v>9.1930334370000004</v>
          </cell>
          <cell r="AU318">
            <v>9.3015127979999992</v>
          </cell>
          <cell r="AV318">
            <v>9.4107704529999996</v>
          </cell>
          <cell r="AW318">
            <v>9.5208262749999992</v>
          </cell>
          <cell r="AX318">
            <v>9.6316865329999999</v>
          </cell>
          <cell r="AY318">
            <v>9.7433474770000004</v>
          </cell>
          <cell r="AZ318">
            <v>9.8560872320000001</v>
          </cell>
          <cell r="BA318">
            <v>9.9697114300000003</v>
          </cell>
          <cell r="BB318">
            <v>10.084161740000001</v>
          </cell>
          <cell r="BC318">
            <v>10.199414040000001</v>
          </cell>
          <cell r="BD318">
            <v>10.315456620000001</v>
          </cell>
          <cell r="BE318">
            <v>12.5681329</v>
          </cell>
          <cell r="BF318">
            <v>12.78677233</v>
          </cell>
          <cell r="BG318">
            <v>13.00876092</v>
          </cell>
          <cell r="BH318">
            <v>13.23413545</v>
          </cell>
          <cell r="BI318">
            <v>13.462935549999999</v>
          </cell>
        </row>
        <row r="321">
          <cell r="E321" t="str">
            <v>CF_toe_ccoi_0</v>
          </cell>
          <cell r="F321">
            <v>8.4900638400000006E-2</v>
          </cell>
          <cell r="G321">
            <v>8.5914406700000001E-2</v>
          </cell>
          <cell r="H321">
            <v>8.70004687E-2</v>
          </cell>
          <cell r="I321">
            <v>8.8190531899999994E-2</v>
          </cell>
          <cell r="J321">
            <v>8.9495643E-2</v>
          </cell>
          <cell r="K321">
            <v>9.0912641599999997E-2</v>
          </cell>
          <cell r="L321">
            <v>9.2376275199999996E-2</v>
          </cell>
          <cell r="M321">
            <v>9.3896822800000002E-2</v>
          </cell>
          <cell r="N321">
            <v>9.5468410399999995E-2</v>
          </cell>
          <cell r="O321">
            <v>9.7080585900000002E-2</v>
          </cell>
          <cell r="P321">
            <v>9.8818513799999994E-2</v>
          </cell>
          <cell r="Q321">
            <v>0.1005336597</v>
          </cell>
          <cell r="R321">
            <v>0.1022460207</v>
          </cell>
          <cell r="S321">
            <v>0.10395891559999999</v>
          </cell>
          <cell r="T321">
            <v>0.10567103999999999</v>
          </cell>
          <cell r="U321">
            <v>0.107381026</v>
          </cell>
          <cell r="V321">
            <v>0.1090887742</v>
          </cell>
          <cell r="W321">
            <v>0.11079562060000001</v>
          </cell>
          <cell r="X321">
            <v>0.11250409879999999</v>
          </cell>
          <cell r="Y321">
            <v>0.1142175829</v>
          </cell>
          <cell r="Z321">
            <v>0.1158688942</v>
          </cell>
          <cell r="AA321">
            <v>0.11756541299999999</v>
          </cell>
          <cell r="AB321">
            <v>0.1192909322</v>
          </cell>
          <cell r="AC321">
            <v>0.1210428558</v>
          </cell>
          <cell r="AD321">
            <v>0.12282289320000001</v>
          </cell>
          <cell r="AE321">
            <v>0.124429319</v>
          </cell>
          <cell r="AF321">
            <v>0.1260643437</v>
          </cell>
          <cell r="AG321">
            <v>0.12771438409999999</v>
          </cell>
          <cell r="AH321">
            <v>0.1293782154</v>
          </cell>
          <cell r="AI321">
            <v>0.13105916449999999</v>
          </cell>
          <cell r="AJ321">
            <v>0.1327616479</v>
          </cell>
          <cell r="AK321">
            <v>0.13448978950000001</v>
          </cell>
          <cell r="AL321">
            <v>0.13624685010000001</v>
          </cell>
          <cell r="AM321">
            <v>0.1380350256</v>
          </cell>
          <cell r="AN321">
            <v>0.1398554544</v>
          </cell>
          <cell r="AO321">
            <v>0.1417083482</v>
          </cell>
          <cell r="AP321">
            <v>0.14354426219999999</v>
          </cell>
          <cell r="AQ321">
            <v>0.14538380009999999</v>
          </cell>
          <cell r="AR321">
            <v>0.14723361730000001</v>
          </cell>
          <cell r="AS321">
            <v>0.1490960513</v>
          </cell>
          <cell r="AT321">
            <v>0.15097241880000001</v>
          </cell>
          <cell r="AU321">
            <v>0.15286397060000001</v>
          </cell>
          <cell r="AV321">
            <v>0.15477206639999999</v>
          </cell>
          <cell r="AW321">
            <v>0.15669810649999999</v>
          </cell>
          <cell r="AX321">
            <v>0.15864341509999999</v>
          </cell>
          <cell r="AY321">
            <v>0.16060914800000001</v>
          </cell>
          <cell r="AZ321">
            <v>0.16260063999999999</v>
          </cell>
          <cell r="BA321">
            <v>0.1646166583</v>
          </cell>
          <cell r="BB321">
            <v>0.1666570235</v>
          </cell>
          <cell r="BC321">
            <v>0.16872180010000001</v>
          </cell>
          <cell r="BD321">
            <v>0.17081107270000001</v>
          </cell>
          <cell r="BE321">
            <v>0.1973296433</v>
          </cell>
          <cell r="BF321">
            <v>0.2006222366</v>
          </cell>
          <cell r="BG321">
            <v>0.2039584817</v>
          </cell>
          <cell r="BH321">
            <v>0.20733960309999999</v>
          </cell>
          <cell r="BI321">
            <v>0.21076692059999999</v>
          </cell>
        </row>
        <row r="324">
          <cell r="E324" t="str">
            <v>CF_toe_cfut_0</v>
          </cell>
          <cell r="F324">
            <v>47.395460210000003</v>
          </cell>
          <cell r="G324">
            <v>47.568293529999998</v>
          </cell>
          <cell r="H324">
            <v>47.699264409999998</v>
          </cell>
          <cell r="I324">
            <v>47.902494259999997</v>
          </cell>
          <cell r="J324">
            <v>48.2014815</v>
          </cell>
          <cell r="K324">
            <v>48.587912009999997</v>
          </cell>
          <cell r="L324">
            <v>49.027945809999999</v>
          </cell>
          <cell r="M324">
            <v>49.513114160000001</v>
          </cell>
          <cell r="N324">
            <v>50.033142650000002</v>
          </cell>
          <cell r="O324">
            <v>50.579219049999999</v>
          </cell>
          <cell r="P324">
            <v>51.174882199999999</v>
          </cell>
          <cell r="Q324">
            <v>51.77129815</v>
          </cell>
          <cell r="R324">
            <v>52.372615330000002</v>
          </cell>
          <cell r="S324">
            <v>52.978299560000004</v>
          </cell>
          <cell r="T324">
            <v>53.586782370000002</v>
          </cell>
          <cell r="U324">
            <v>54.196746400000002</v>
          </cell>
          <cell r="V324">
            <v>54.807361219999997</v>
          </cell>
          <cell r="W324">
            <v>55.418246949999997</v>
          </cell>
          <cell r="X324">
            <v>56.029387919999998</v>
          </cell>
          <cell r="Y324">
            <v>56.641049160000001</v>
          </cell>
          <cell r="Z324">
            <v>57.231721329999999</v>
          </cell>
          <cell r="AA324">
            <v>57.833635870000002</v>
          </cell>
          <cell r="AB324">
            <v>58.441698330000001</v>
          </cell>
          <cell r="AC324">
            <v>59.05495664</v>
          </cell>
          <cell r="AD324">
            <v>59.673721950000001</v>
          </cell>
          <cell r="AE324">
            <v>60.235985169999999</v>
          </cell>
          <cell r="AF324">
            <v>60.802567850000003</v>
          </cell>
          <cell r="AG324">
            <v>61.369981770000003</v>
          </cell>
          <cell r="AH324">
            <v>61.938644789999998</v>
          </cell>
          <cell r="AI324">
            <v>62.510187270000003</v>
          </cell>
          <cell r="AJ324">
            <v>63.086249760000001</v>
          </cell>
          <cell r="AK324">
            <v>63.668160469999997</v>
          </cell>
          <cell r="AL324">
            <v>64.25689457</v>
          </cell>
          <cell r="AM324">
            <v>64.853119579999998</v>
          </cell>
          <cell r="AN324">
            <v>65.457260469999994</v>
          </cell>
          <cell r="AO324">
            <v>66.069560999999993</v>
          </cell>
          <cell r="AP324">
            <v>66.675451929999994</v>
          </cell>
          <cell r="AQ324">
            <v>67.281286170000001</v>
          </cell>
          <cell r="AR324">
            <v>67.889473969999997</v>
          </cell>
          <cell r="AS324">
            <v>68.501263890000004</v>
          </cell>
          <cell r="AT324">
            <v>69.117582900000002</v>
          </cell>
          <cell r="AU324">
            <v>69.739208829999995</v>
          </cell>
          <cell r="AV324">
            <v>70.366789780000005</v>
          </cell>
          <cell r="AW324">
            <v>71.000846319999994</v>
          </cell>
          <cell r="AX324">
            <v>71.641783939999996</v>
          </cell>
          <cell r="AY324">
            <v>72.28991517</v>
          </cell>
          <cell r="AZ324">
            <v>72.946781459999997</v>
          </cell>
          <cell r="BA324">
            <v>73.612020259999994</v>
          </cell>
          <cell r="BB324">
            <v>74.285595779999994</v>
          </cell>
          <cell r="BC324">
            <v>74.967564960000004</v>
          </cell>
          <cell r="BD324">
            <v>75.658015840000004</v>
          </cell>
          <cell r="BE324">
            <v>85.312169370000007</v>
          </cell>
          <cell r="BF324">
            <v>86.423256069999994</v>
          </cell>
          <cell r="BG324">
            <v>87.550619229999995</v>
          </cell>
          <cell r="BH324">
            <v>88.694809750000005</v>
          </cell>
          <cell r="BI324">
            <v>89.856421949999998</v>
          </cell>
        </row>
        <row r="327">
          <cell r="E327" t="str">
            <v>CF_toe_cfuh_0</v>
          </cell>
          <cell r="F327">
            <v>14.833978780000001</v>
          </cell>
          <cell r="G327">
            <v>14.92327669</v>
          </cell>
          <cell r="H327">
            <v>14.98835764</v>
          </cell>
          <cell r="I327">
            <v>15.051827960000001</v>
          </cell>
          <cell r="J327">
            <v>15.122687089999999</v>
          </cell>
          <cell r="K327">
            <v>15.2035559</v>
          </cell>
          <cell r="L327">
            <v>15.28727965</v>
          </cell>
          <cell r="M327">
            <v>15.376092659999999</v>
          </cell>
          <cell r="N327">
            <v>15.469839070000001</v>
          </cell>
          <cell r="O327">
            <v>15.56764673</v>
          </cell>
          <cell r="P327">
            <v>15.68044252</v>
          </cell>
          <cell r="Q327">
            <v>15.78934838</v>
          </cell>
          <cell r="R327">
            <v>15.89738704</v>
          </cell>
          <cell r="S327">
            <v>16.005458229999999</v>
          </cell>
          <cell r="T327">
            <v>16.11376306</v>
          </cell>
          <cell r="U327">
            <v>16.222350410000001</v>
          </cell>
          <cell r="V327">
            <v>16.331281600000001</v>
          </cell>
          <cell r="W327">
            <v>16.44066986</v>
          </cell>
          <cell r="X327">
            <v>16.55068108</v>
          </cell>
          <cell r="Y327">
            <v>16.661521560000001</v>
          </cell>
          <cell r="Z327">
            <v>16.765038700000002</v>
          </cell>
          <cell r="AA327">
            <v>16.87420251</v>
          </cell>
          <cell r="AB327">
            <v>16.986677499999999</v>
          </cell>
          <cell r="AC327">
            <v>17.101749170000001</v>
          </cell>
          <cell r="AD327">
            <v>17.219278989999999</v>
          </cell>
          <cell r="AE327">
            <v>17.315689420000002</v>
          </cell>
          <cell r="AF327">
            <v>17.415699709999998</v>
          </cell>
          <cell r="AG327">
            <v>17.51779432</v>
          </cell>
          <cell r="AH327">
            <v>17.621670550000001</v>
          </cell>
          <cell r="AI327">
            <v>17.727452769999999</v>
          </cell>
          <cell r="AJ327">
            <v>17.835344729999999</v>
          </cell>
          <cell r="AK327">
            <v>17.945521280000001</v>
          </cell>
          <cell r="AL327">
            <v>18.05809979</v>
          </cell>
          <cell r="AM327">
            <v>18.173137659999998</v>
          </cell>
          <cell r="AN327">
            <v>18.290639259999999</v>
          </cell>
          <cell r="AO327">
            <v>18.410566750000001</v>
          </cell>
          <cell r="AP327">
            <v>18.527435279999999</v>
          </cell>
          <cell r="AQ327">
            <v>18.643908150000001</v>
          </cell>
          <cell r="AR327">
            <v>18.760993089999999</v>
          </cell>
          <cell r="AS327">
            <v>18.879105790000001</v>
          </cell>
          <cell r="AT327">
            <v>18.998456050000001</v>
          </cell>
          <cell r="AU327">
            <v>19.119173589999999</v>
          </cell>
          <cell r="AV327">
            <v>19.24134961</v>
          </cell>
          <cell r="AW327">
            <v>19.36505103</v>
          </cell>
          <cell r="AX327">
            <v>19.49032626</v>
          </cell>
          <cell r="AY327">
            <v>19.617208640000001</v>
          </cell>
          <cell r="AZ327">
            <v>19.746187949999999</v>
          </cell>
          <cell r="BA327">
            <v>19.87703905</v>
          </cell>
          <cell r="BB327">
            <v>20.00967537</v>
          </cell>
          <cell r="BC327">
            <v>20.144059240000001</v>
          </cell>
          <cell r="BD327">
            <v>20.280171790000001</v>
          </cell>
          <cell r="BE327">
            <v>23.453218750000001</v>
          </cell>
          <cell r="BF327">
            <v>23.723576749999999</v>
          </cell>
          <cell r="BG327">
            <v>23.998018949999999</v>
          </cell>
          <cell r="BH327">
            <v>24.276674310000001</v>
          </cell>
          <cell r="BI327">
            <v>24.559660640000001</v>
          </cell>
        </row>
        <row r="329">
          <cell r="E329" t="str">
            <v>CF_toe_cgas_0</v>
          </cell>
          <cell r="F329">
            <v>34.452673830000002</v>
          </cell>
          <cell r="G329">
            <v>34.73509919</v>
          </cell>
          <cell r="H329">
            <v>34.992509099999999</v>
          </cell>
          <cell r="I329">
            <v>35.259800310000003</v>
          </cell>
          <cell r="J329">
            <v>35.551225160000001</v>
          </cell>
          <cell r="K329">
            <v>35.870444810000002</v>
          </cell>
          <cell r="L329">
            <v>36.196357450000001</v>
          </cell>
          <cell r="M329">
            <v>36.535698969999999</v>
          </cell>
          <cell r="N329">
            <v>36.888251969999999</v>
          </cell>
          <cell r="O329">
            <v>37.251715519999998</v>
          </cell>
          <cell r="P329">
            <v>37.657501340000003</v>
          </cell>
          <cell r="Q329">
            <v>38.05132837</v>
          </cell>
          <cell r="R329">
            <v>38.442572869999999</v>
          </cell>
          <cell r="S329">
            <v>38.833681400000003</v>
          </cell>
          <cell r="T329">
            <v>39.225057620000001</v>
          </cell>
          <cell r="U329">
            <v>39.616692010000001</v>
          </cell>
          <cell r="V329">
            <v>40.008678639999999</v>
          </cell>
          <cell r="W329">
            <v>40.401343079999997</v>
          </cell>
          <cell r="X329">
            <v>40.795230349999997</v>
          </cell>
          <cell r="Y329">
            <v>41.191045500000001</v>
          </cell>
          <cell r="Z329">
            <v>41.565155070000003</v>
          </cell>
          <cell r="AA329">
            <v>41.955786420000003</v>
          </cell>
          <cell r="AB329">
            <v>42.355554320000003</v>
          </cell>
          <cell r="AC329">
            <v>42.762567900000001</v>
          </cell>
          <cell r="AD329">
            <v>43.176634329999999</v>
          </cell>
          <cell r="AE329">
            <v>43.528791980000001</v>
          </cell>
          <cell r="AF329">
            <v>43.892693899999998</v>
          </cell>
          <cell r="AG329">
            <v>44.262315649999998</v>
          </cell>
          <cell r="AH329">
            <v>44.636586489999999</v>
          </cell>
          <cell r="AI329">
            <v>45.015886829999999</v>
          </cell>
          <cell r="AJ329">
            <v>45.400969240000002</v>
          </cell>
          <cell r="AK329">
            <v>45.792583100000002</v>
          </cell>
          <cell r="AL329">
            <v>46.191328400000003</v>
          </cell>
          <cell r="AM329">
            <v>46.597604609999998</v>
          </cell>
          <cell r="AN329">
            <v>47.011609110000002</v>
          </cell>
          <cell r="AO329">
            <v>47.433362870000003</v>
          </cell>
          <cell r="AP329">
            <v>47.846661079999997</v>
          </cell>
          <cell r="AQ329">
            <v>48.259741679999998</v>
          </cell>
          <cell r="AR329">
            <v>48.67533779</v>
          </cell>
          <cell r="AS329">
            <v>49.094479849999999</v>
          </cell>
          <cell r="AT329">
            <v>49.517668159999999</v>
          </cell>
          <cell r="AU329">
            <v>49.945246410000003</v>
          </cell>
          <cell r="AV329">
            <v>50.37751256</v>
          </cell>
          <cell r="AW329">
            <v>50.814739789999997</v>
          </cell>
          <cell r="AX329">
            <v>51.257170139999999</v>
          </cell>
          <cell r="AY329">
            <v>51.705005210000003</v>
          </cell>
          <cell r="AZ329">
            <v>52.159809269999997</v>
          </cell>
          <cell r="BA329">
            <v>52.620954609999998</v>
          </cell>
          <cell r="BB329">
            <v>53.088263699999999</v>
          </cell>
          <cell r="BC329">
            <v>53.561681299999996</v>
          </cell>
          <cell r="BD329">
            <v>54.041185820000003</v>
          </cell>
          <cell r="BE329">
            <v>60.695917489999999</v>
          </cell>
          <cell r="BF329">
            <v>61.493967240000003</v>
          </cell>
          <cell r="BG329">
            <v>62.303657729999998</v>
          </cell>
          <cell r="BH329">
            <v>63.125339080000003</v>
          </cell>
          <cell r="BI329">
            <v>63.959341160000001</v>
          </cell>
        </row>
        <row r="335">
          <cell r="E335" t="str">
            <v>CF_toe_cele_0</v>
          </cell>
          <cell r="F335">
            <v>37.988338089999999</v>
          </cell>
          <cell r="G335">
            <v>38.278872870000001</v>
          </cell>
          <cell r="H335">
            <v>38.53299054</v>
          </cell>
          <cell r="I335">
            <v>38.800651350000003</v>
          </cell>
          <cell r="J335">
            <v>39.098465359999999</v>
          </cell>
          <cell r="K335">
            <v>39.427428310000003</v>
          </cell>
          <cell r="L335">
            <v>39.763673560000001</v>
          </cell>
          <cell r="M335">
            <v>40.108876610000003</v>
          </cell>
          <cell r="N335">
            <v>40.460036930000001</v>
          </cell>
          <cell r="O335">
            <v>40.813153589999999</v>
          </cell>
          <cell r="P335">
            <v>41.196955029999998</v>
          </cell>
          <cell r="Q335">
            <v>41.561191719999997</v>
          </cell>
          <cell r="R335">
            <v>41.913127379999999</v>
          </cell>
          <cell r="S335">
            <v>42.255598749999997</v>
          </cell>
          <cell r="T335">
            <v>42.58983353</v>
          </cell>
          <cell r="U335">
            <v>42.916925079999999</v>
          </cell>
          <cell r="V335">
            <v>43.23827481</v>
          </cell>
          <cell r="W335">
            <v>43.555623070000003</v>
          </cell>
          <cell r="X335">
            <v>43.870939329999999</v>
          </cell>
          <cell r="Y335">
            <v>44.186279130000003</v>
          </cell>
          <cell r="Z335">
            <v>44.480726529999998</v>
          </cell>
          <cell r="AA335">
            <v>44.790308709999998</v>
          </cell>
          <cell r="AB335">
            <v>45.110285560000001</v>
          </cell>
          <cell r="AC335">
            <v>45.43962655</v>
          </cell>
          <cell r="AD335">
            <v>45.778665760000003</v>
          </cell>
          <cell r="AE335">
            <v>46.063303939999997</v>
          </cell>
          <cell r="AF335">
            <v>46.35971309</v>
          </cell>
          <cell r="AG335">
            <v>46.664602119999998</v>
          </cell>
          <cell r="AH335">
            <v>46.977362829999997</v>
          </cell>
          <cell r="AI335">
            <v>47.298655019999998</v>
          </cell>
          <cell r="AJ335">
            <v>47.62938363</v>
          </cell>
          <cell r="AK335">
            <v>47.970268539999999</v>
          </cell>
          <cell r="AL335">
            <v>48.321686339999999</v>
          </cell>
          <cell r="AM335">
            <v>48.683642399999997</v>
          </cell>
          <cell r="AN335">
            <v>49.055811939999998</v>
          </cell>
          <cell r="AO335">
            <v>49.437614629999999</v>
          </cell>
          <cell r="AP335">
            <v>49.813331839999996</v>
          </cell>
          <cell r="AQ335">
            <v>50.189346090000001</v>
          </cell>
          <cell r="AR335">
            <v>50.56783463</v>
          </cell>
          <cell r="AS335">
            <v>50.949485080000002</v>
          </cell>
          <cell r="AT335">
            <v>51.334581139999997</v>
          </cell>
          <cell r="AU335">
            <v>51.723337379999997</v>
          </cell>
          <cell r="AV335">
            <v>52.115966239999999</v>
          </cell>
          <cell r="AW335">
            <v>52.5126615</v>
          </cell>
          <cell r="AX335">
            <v>52.913567290000003</v>
          </cell>
          <cell r="AY335">
            <v>53.318757069999997</v>
          </cell>
          <cell r="AZ335">
            <v>53.729536889999999</v>
          </cell>
          <cell r="BA335">
            <v>54.145199499999997</v>
          </cell>
          <cell r="BB335">
            <v>54.56535753</v>
          </cell>
          <cell r="BC335">
            <v>54.989723150000003</v>
          </cell>
          <cell r="BD335">
            <v>55.418035150000001</v>
          </cell>
          <cell r="BE335">
            <v>65.412551059999998</v>
          </cell>
          <cell r="BF335">
            <v>66.296898889999994</v>
          </cell>
          <cell r="BG335">
            <v>67.196138849999997</v>
          </cell>
          <cell r="BH335">
            <v>68.110568479999998</v>
          </cell>
          <cell r="BI335">
            <v>69.040456840000004</v>
          </cell>
        </row>
        <row r="345">
          <cell r="E345" t="str">
            <v>CF_toe_chea_0</v>
          </cell>
          <cell r="F345">
            <v>5.1414528099999997</v>
          </cell>
          <cell r="G345">
            <v>5.2043182989999996</v>
          </cell>
          <cell r="H345">
            <v>5.2737989870000002</v>
          </cell>
          <cell r="I345">
            <v>5.3473986560000002</v>
          </cell>
          <cell r="J345">
            <v>5.4238312989999997</v>
          </cell>
          <cell r="K345">
            <v>5.5022957889999997</v>
          </cell>
          <cell r="L345">
            <v>5.5774301829999997</v>
          </cell>
          <cell r="M345">
            <v>5.651530685</v>
          </cell>
          <cell r="N345">
            <v>5.7253720880000003</v>
          </cell>
          <cell r="O345">
            <v>5.7991382109999998</v>
          </cell>
          <cell r="P345">
            <v>5.8809054590000001</v>
          </cell>
          <cell r="Q345">
            <v>5.9578009300000003</v>
          </cell>
          <cell r="R345">
            <v>6.0325204980000002</v>
          </cell>
          <cell r="S345">
            <v>6.1061273299999996</v>
          </cell>
          <cell r="T345">
            <v>6.1790610519999998</v>
          </cell>
          <cell r="U345">
            <v>6.2515317079999999</v>
          </cell>
          <cell r="V345">
            <v>6.3236750209999997</v>
          </cell>
          <cell r="W345">
            <v>6.3956104500000004</v>
          </cell>
          <cell r="X345">
            <v>6.4674587189999997</v>
          </cell>
          <cell r="Y345">
            <v>6.5393432469999997</v>
          </cell>
          <cell r="Z345">
            <v>6.6058307559999996</v>
          </cell>
          <cell r="AA345">
            <v>6.6758191030000003</v>
          </cell>
          <cell r="AB345">
            <v>6.7474851759999996</v>
          </cell>
          <cell r="AC345">
            <v>6.8201722790000003</v>
          </cell>
          <cell r="AD345">
            <v>6.8936588240000001</v>
          </cell>
          <cell r="AE345">
            <v>6.9524650890000004</v>
          </cell>
          <cell r="AF345">
            <v>7.0137031060000004</v>
          </cell>
          <cell r="AG345">
            <v>7.0761825439999999</v>
          </cell>
          <cell r="AH345">
            <v>7.139510145</v>
          </cell>
          <cell r="AI345">
            <v>7.2035704200000001</v>
          </cell>
          <cell r="AJ345">
            <v>7.2683480349999998</v>
          </cell>
          <cell r="AK345">
            <v>7.3338571870000004</v>
          </cell>
          <cell r="AL345">
            <v>7.4001108660000003</v>
          </cell>
          <cell r="AM345">
            <v>7.4671084499999996</v>
          </cell>
          <cell r="AN345">
            <v>7.5348327529999999</v>
          </cell>
          <cell r="AO345">
            <v>7.6032519289999998</v>
          </cell>
          <cell r="AP345">
            <v>7.6688975900000003</v>
          </cell>
          <cell r="AQ345">
            <v>7.7336998030000004</v>
          </cell>
          <cell r="AR345">
            <v>7.7983894979999997</v>
          </cell>
          <cell r="AS345">
            <v>7.8632481419999998</v>
          </cell>
          <cell r="AT345">
            <v>7.92838639</v>
          </cell>
          <cell r="AU345">
            <v>7.993851984</v>
          </cell>
          <cell r="AV345">
            <v>8.0596706900000008</v>
          </cell>
          <cell r="AW345">
            <v>8.1258602349999993</v>
          </cell>
          <cell r="AX345">
            <v>8.1924339239999995</v>
          </cell>
          <cell r="AY345">
            <v>8.2594009889999995</v>
          </cell>
          <cell r="AZ345">
            <v>8.3270542059999997</v>
          </cell>
          <cell r="BA345">
            <v>8.3952281590000002</v>
          </cell>
          <cell r="BB345">
            <v>8.4638560910000002</v>
          </cell>
          <cell r="BC345">
            <v>8.5329068110000001</v>
          </cell>
          <cell r="BD345">
            <v>8.6023627319999996</v>
          </cell>
          <cell r="BE345">
            <v>8.8248155520000005</v>
          </cell>
          <cell r="BF345">
            <v>8.9214467200000005</v>
          </cell>
          <cell r="BG345">
            <v>9.0193785480000006</v>
          </cell>
          <cell r="BH345">
            <v>9.1186607859999995</v>
          </cell>
          <cell r="BI345">
            <v>9.2193318049999995</v>
          </cell>
        </row>
        <row r="347">
          <cell r="E347" t="str">
            <v>CF_toe_cbio_0</v>
          </cell>
          <cell r="F347">
            <v>8.2064640709999992</v>
          </cell>
          <cell r="G347">
            <v>8.2268577149999995</v>
          </cell>
          <cell r="H347">
            <v>8.2219480150000006</v>
          </cell>
          <cell r="I347">
            <v>8.2107800340000008</v>
          </cell>
          <cell r="J347">
            <v>8.2009817429999998</v>
          </cell>
          <cell r="K347">
            <v>8.1949895230000003</v>
          </cell>
          <cell r="L347">
            <v>8.1898958440000005</v>
          </cell>
          <cell r="M347">
            <v>8.1868104150000001</v>
          </cell>
          <cell r="N347">
            <v>8.1856616229999997</v>
          </cell>
          <cell r="O347">
            <v>8.1860240569999991</v>
          </cell>
          <cell r="P347">
            <v>8.1927363660000001</v>
          </cell>
          <cell r="Q347">
            <v>8.1972244389999993</v>
          </cell>
          <cell r="R347">
            <v>8.2009032860000008</v>
          </cell>
          <cell r="S347">
            <v>8.2042996529999996</v>
          </cell>
          <cell r="T347">
            <v>8.2076091800000004</v>
          </cell>
          <cell r="U347">
            <v>8.2109270510000005</v>
          </cell>
          <cell r="V347">
            <v>8.2143324660000001</v>
          </cell>
          <cell r="W347">
            <v>8.217853474</v>
          </cell>
          <cell r="X347">
            <v>8.2215838320000003</v>
          </cell>
          <cell r="Y347">
            <v>8.2256576419999998</v>
          </cell>
          <cell r="Z347">
            <v>8.2266361159999999</v>
          </cell>
          <cell r="AA347">
            <v>8.2301393279999999</v>
          </cell>
          <cell r="AB347">
            <v>8.2352697349999993</v>
          </cell>
          <cell r="AC347">
            <v>8.2416520769999995</v>
          </cell>
          <cell r="AD347">
            <v>8.2491821069999993</v>
          </cell>
          <cell r="AE347">
            <v>8.247858248</v>
          </cell>
          <cell r="AF347">
            <v>8.2482810319999995</v>
          </cell>
          <cell r="AG347">
            <v>8.2500259010000008</v>
          </cell>
          <cell r="AH347">
            <v>8.2528671370000009</v>
          </cell>
          <cell r="AI347">
            <v>8.2567592649999995</v>
          </cell>
          <cell r="AJ347">
            <v>8.261704903</v>
          </cell>
          <cell r="AK347">
            <v>8.2676900139999994</v>
          </cell>
          <cell r="AL347">
            <v>8.2747048910000007</v>
          </cell>
          <cell r="AM347">
            <v>8.2827306810000003</v>
          </cell>
          <cell r="AN347">
            <v>8.2917355449999999</v>
          </cell>
          <cell r="AO347">
            <v>8.3016757240000008</v>
          </cell>
          <cell r="AP347">
            <v>8.3102775229999999</v>
          </cell>
          <cell r="AQ347">
            <v>8.3186961539999995</v>
          </cell>
          <cell r="AR347">
            <v>8.3273832900000002</v>
          </cell>
          <cell r="AS347">
            <v>8.336513257</v>
          </cell>
          <cell r="AT347">
            <v>8.3461536009999993</v>
          </cell>
          <cell r="AU347">
            <v>8.3563312970000005</v>
          </cell>
          <cell r="AV347">
            <v>8.367057784</v>
          </cell>
          <cell r="AW347">
            <v>8.3783377889999997</v>
          </cell>
          <cell r="AX347">
            <v>8.3901720019999999</v>
          </cell>
          <cell r="AY347">
            <v>8.4025578200000002</v>
          </cell>
          <cell r="AZ347">
            <v>8.4156759829999999</v>
          </cell>
          <cell r="BA347">
            <v>8.4294172540000005</v>
          </cell>
          <cell r="BB347">
            <v>8.4437302780000003</v>
          </cell>
          <cell r="BC347">
            <v>8.4585866460000005</v>
          </cell>
          <cell r="BD347">
            <v>8.4739678309999995</v>
          </cell>
          <cell r="BE347">
            <v>9.484807537</v>
          </cell>
          <cell r="BF347">
            <v>9.5424931760000007</v>
          </cell>
          <cell r="BG347">
            <v>9.6013940170000005</v>
          </cell>
          <cell r="BH347">
            <v>9.6615604289999997</v>
          </cell>
          <cell r="BI347">
            <v>9.7230260650000009</v>
          </cell>
        </row>
        <row r="350">
          <cell r="E350" t="str">
            <v>CF_toe_cote_0</v>
          </cell>
          <cell r="F350">
            <v>8.730494964</v>
          </cell>
          <cell r="G350">
            <v>8.8394129709999998</v>
          </cell>
          <cell r="H350">
            <v>8.9595367449999994</v>
          </cell>
          <cell r="I350">
            <v>9.0882362820000004</v>
          </cell>
          <cell r="J350">
            <v>9.2239409509999994</v>
          </cell>
          <cell r="K350">
            <v>9.3651363360000008</v>
          </cell>
          <cell r="L350">
            <v>9.5039101319999997</v>
          </cell>
          <cell r="M350">
            <v>9.6436142030000003</v>
          </cell>
          <cell r="N350">
            <v>9.7842382200000007</v>
          </cell>
          <cell r="O350">
            <v>9.9254030909999997</v>
          </cell>
          <cell r="P350">
            <v>10.07813775</v>
          </cell>
          <cell r="Q350">
            <v>10.22290849</v>
          </cell>
          <cell r="R350">
            <v>10.366065069999999</v>
          </cell>
          <cell r="S350">
            <v>10.508736649999999</v>
          </cell>
          <cell r="T350">
            <v>10.65130684</v>
          </cell>
          <cell r="U350">
            <v>10.7940997</v>
          </cell>
          <cell r="V350">
            <v>10.937471840000001</v>
          </cell>
          <cell r="W350">
            <v>11.08180173</v>
          </cell>
          <cell r="X350">
            <v>11.227465560000001</v>
          </cell>
          <cell r="Y350">
            <v>11.37481717</v>
          </cell>
          <cell r="Z350">
            <v>11.515961320000001</v>
          </cell>
          <cell r="AA350">
            <v>11.665222099999999</v>
          </cell>
          <cell r="AB350">
            <v>11.81821341</v>
          </cell>
          <cell r="AC350">
            <v>11.974370309999999</v>
          </cell>
          <cell r="AD350">
            <v>12.13367386</v>
          </cell>
          <cell r="AE350">
            <v>12.272682639999999</v>
          </cell>
          <cell r="AF350">
            <v>12.42034872</v>
          </cell>
          <cell r="AG350">
            <v>12.57122725</v>
          </cell>
          <cell r="AH350">
            <v>12.72473718</v>
          </cell>
          <cell r="AI350">
            <v>12.880982680000001</v>
          </cell>
          <cell r="AJ350">
            <v>13.040093300000001</v>
          </cell>
          <cell r="AK350">
            <v>13.20211353</v>
          </cell>
          <cell r="AL350">
            <v>13.366999290000001</v>
          </cell>
          <cell r="AM350">
            <v>13.53463889</v>
          </cell>
          <cell r="AN350">
            <v>13.70487793</v>
          </cell>
          <cell r="AO350">
            <v>13.8775415</v>
          </cell>
          <cell r="AP350">
            <v>14.04687062</v>
          </cell>
          <cell r="AQ350">
            <v>14.21658015</v>
          </cell>
          <cell r="AR350">
            <v>14.387325110000001</v>
          </cell>
          <cell r="AS350">
            <v>14.55928887</v>
          </cell>
          <cell r="AT350">
            <v>14.732578869999999</v>
          </cell>
          <cell r="AU350">
            <v>14.90727878</v>
          </cell>
          <cell r="AV350">
            <v>15.083447290000001</v>
          </cell>
          <cell r="AW350">
            <v>15.26111465</v>
          </cell>
          <cell r="AX350">
            <v>15.4402841</v>
          </cell>
          <cell r="AY350">
            <v>15.62093745</v>
          </cell>
          <cell r="AZ350">
            <v>15.803540330000001</v>
          </cell>
          <cell r="BA350">
            <v>15.98770678</v>
          </cell>
          <cell r="BB350">
            <v>16.17332493</v>
          </cell>
          <cell r="BC350">
            <v>16.360330359999999</v>
          </cell>
          <cell r="BD350">
            <v>16.548673669999999</v>
          </cell>
          <cell r="BE350">
            <v>19.86262687</v>
          </cell>
          <cell r="BF350">
            <v>20.209381090000001</v>
          </cell>
          <cell r="BG350">
            <v>20.562112070000001</v>
          </cell>
          <cell r="BH350">
            <v>20.92091023</v>
          </cell>
          <cell r="BI350">
            <v>21.285867530000001</v>
          </cell>
        </row>
        <row r="353">
          <cell r="F353">
            <v>64.301440170000006</v>
          </cell>
          <cell r="G353">
            <v>64.227304559999993</v>
          </cell>
          <cell r="H353">
            <v>63.820862990000002</v>
          </cell>
          <cell r="I353">
            <v>63.358257729999998</v>
          </cell>
          <cell r="J353">
            <v>62.946980420000003</v>
          </cell>
          <cell r="K353">
            <v>62.622310910000003</v>
          </cell>
          <cell r="L353">
            <v>62.369722279999998</v>
          </cell>
          <cell r="M353">
            <v>62.186632269999997</v>
          </cell>
          <cell r="N353">
            <v>62.06258347</v>
          </cell>
          <cell r="O353">
            <v>61.987047750000002</v>
          </cell>
          <cell r="P353">
            <v>61.978960389999997</v>
          </cell>
          <cell r="Q353">
            <v>61.984500670000003</v>
          </cell>
          <cell r="R353">
            <v>62.006944820000001</v>
          </cell>
          <cell r="S353">
            <v>62.045609810000002</v>
          </cell>
          <cell r="T353">
            <v>62.097860490000002</v>
          </cell>
          <cell r="U353">
            <v>62.16057137</v>
          </cell>
          <cell r="V353">
            <v>62.22720881</v>
          </cell>
          <cell r="W353">
            <v>62.297110230000001</v>
          </cell>
          <cell r="X353">
            <v>62.368933779999999</v>
          </cell>
          <cell r="Y353">
            <v>62.441298410000002</v>
          </cell>
          <cell r="Z353">
            <v>62.494288220000001</v>
          </cell>
          <cell r="AA353">
            <v>62.555176330000002</v>
          </cell>
          <cell r="AB353">
            <v>62.618819909999999</v>
          </cell>
          <cell r="AC353">
            <v>62.682597180000002</v>
          </cell>
          <cell r="AD353">
            <v>62.74558021</v>
          </cell>
          <cell r="AE353">
            <v>62.756465300000002</v>
          </cell>
          <cell r="AF353">
            <v>62.769005110000002</v>
          </cell>
          <cell r="AG353">
            <v>62.781473820000002</v>
          </cell>
          <cell r="AH353">
            <v>62.792820460000002</v>
          </cell>
          <cell r="AI353">
            <v>62.803041919999998</v>
          </cell>
          <cell r="AJ353">
            <v>62.812554159999998</v>
          </cell>
          <cell r="AK353">
            <v>62.822765990000001</v>
          </cell>
          <cell r="AL353">
            <v>62.833868150000001</v>
          </cell>
          <cell r="AM353">
            <v>62.846304549999999</v>
          </cell>
          <cell r="AN353">
            <v>62.860606079999997</v>
          </cell>
          <cell r="AO353">
            <v>62.877302049999997</v>
          </cell>
          <cell r="AP353">
            <v>62.893009399999997</v>
          </cell>
          <cell r="AQ353">
            <v>62.909134600000002</v>
          </cell>
          <cell r="AR353">
            <v>62.926745189999998</v>
          </cell>
          <cell r="AS353">
            <v>62.946549259999998</v>
          </cell>
          <cell r="AT353">
            <v>62.969059340000001</v>
          </cell>
          <cell r="AU353">
            <v>62.995751550000001</v>
          </cell>
          <cell r="AV353">
            <v>63.026311909999997</v>
          </cell>
          <cell r="AW353">
            <v>63.060746819999999</v>
          </cell>
          <cell r="AX353">
            <v>63.099198639999997</v>
          </cell>
          <cell r="AY353">
            <v>63.141851930000001</v>
          </cell>
          <cell r="AZ353">
            <v>63.193298929999997</v>
          </cell>
          <cell r="BA353">
            <v>63.251170569999999</v>
          </cell>
          <cell r="BB353">
            <v>63.218519120000003</v>
          </cell>
          <cell r="BC353">
            <v>63.215735860000002</v>
          </cell>
          <cell r="BD353">
            <v>63.215936220000003</v>
          </cell>
          <cell r="BE353">
            <v>64.419719540000003</v>
          </cell>
          <cell r="BF353">
            <v>64.521376770000003</v>
          </cell>
          <cell r="BG353">
            <v>64.626029189999997</v>
          </cell>
          <cell r="BH353">
            <v>64.733579050000003</v>
          </cell>
          <cell r="BI353">
            <v>64.844110799999996</v>
          </cell>
        </row>
        <row r="354">
          <cell r="F354">
            <v>42.52087745</v>
          </cell>
          <cell r="G354">
            <v>42.746999270000003</v>
          </cell>
          <cell r="H354">
            <v>42.526766330000001</v>
          </cell>
          <cell r="I354">
            <v>42.169627869999999</v>
          </cell>
          <cell r="J354">
            <v>41.805713600000004</v>
          </cell>
          <cell r="K354">
            <v>41.483559469999996</v>
          </cell>
          <cell r="L354">
            <v>41.198876009999999</v>
          </cell>
          <cell r="M354">
            <v>40.953489090000005</v>
          </cell>
          <cell r="N354">
            <v>40.739778600000001</v>
          </cell>
          <cell r="O354">
            <v>40.549642409999997</v>
          </cell>
          <cell r="P354">
            <v>40.399989700000006</v>
          </cell>
          <cell r="Q354">
            <v>40.244430159999993</v>
          </cell>
          <cell r="R354">
            <v>40.08911458</v>
          </cell>
          <cell r="S354">
            <v>39.936036139999999</v>
          </cell>
          <cell r="T354">
            <v>39.785671740000005</v>
          </cell>
          <cell r="U354">
            <v>39.637819229999998</v>
          </cell>
          <cell r="V354">
            <v>39.488734399999998</v>
          </cell>
          <cell r="W354">
            <v>39.340106899999995</v>
          </cell>
          <cell r="X354">
            <v>39.19249473</v>
          </cell>
          <cell r="Y354">
            <v>39.046035609999997</v>
          </cell>
          <cell r="Z354">
            <v>38.885143590000006</v>
          </cell>
          <cell r="AA354">
            <v>38.734290799999997</v>
          </cell>
          <cell r="AB354">
            <v>38.58874488</v>
          </cell>
          <cell r="AC354">
            <v>38.446263469999998</v>
          </cell>
          <cell r="AD354">
            <v>38.30583214</v>
          </cell>
          <cell r="AE354">
            <v>38.124976090000004</v>
          </cell>
          <cell r="AF354">
            <v>37.95128596</v>
          </cell>
          <cell r="AG354">
            <v>37.782106399999996</v>
          </cell>
          <cell r="AH354">
            <v>37.61600163</v>
          </cell>
          <cell r="AI354">
            <v>37.452085650000001</v>
          </cell>
          <cell r="AJ354">
            <v>37.289970490000002</v>
          </cell>
          <cell r="AK354">
            <v>37.130307880000004</v>
          </cell>
          <cell r="AL354">
            <v>36.972615149999996</v>
          </cell>
          <cell r="AM354">
            <v>36.816728550000001</v>
          </cell>
          <cell r="AN354">
            <v>36.66260673</v>
          </cell>
          <cell r="AO354">
            <v>36.510248539999999</v>
          </cell>
          <cell r="AP354">
            <v>36.357572829999995</v>
          </cell>
          <cell r="AQ354">
            <v>36.205259770000005</v>
          </cell>
          <cell r="AR354">
            <v>36.05386566</v>
          </cell>
          <cell r="AS354">
            <v>35.903696029999999</v>
          </cell>
          <cell r="AT354">
            <v>35.754869290000002</v>
          </cell>
          <cell r="AU354">
            <v>35.608459539999998</v>
          </cell>
          <cell r="AV354">
            <v>35.463826920000002</v>
          </cell>
          <cell r="AW354">
            <v>35.320720630000004</v>
          </cell>
          <cell r="AX354">
            <v>35.179049560000003</v>
          </cell>
          <cell r="AY354">
            <v>35.038787899999996</v>
          </cell>
          <cell r="AZ354">
            <v>34.904023760000001</v>
          </cell>
          <cell r="BA354">
            <v>34.772204469999998</v>
          </cell>
          <cell r="BB354">
            <v>34.670697099999998</v>
          </cell>
          <cell r="BC354">
            <v>34.598581420000002</v>
          </cell>
          <cell r="BD354">
            <v>34.530509090000002</v>
          </cell>
          <cell r="BE354">
            <v>34.849368820000002</v>
          </cell>
          <cell r="BF354">
            <v>34.745864249999997</v>
          </cell>
          <cell r="BG354">
            <v>34.643640210000001</v>
          </cell>
          <cell r="BH354">
            <v>34.542457280000001</v>
          </cell>
          <cell r="BI354">
            <v>34.442238750000001</v>
          </cell>
        </row>
        <row r="362">
          <cell r="F362">
            <v>21.78056273</v>
          </cell>
          <cell r="G362">
            <v>21.48030528</v>
          </cell>
          <cell r="H362">
            <v>21.294096660000001</v>
          </cell>
          <cell r="I362">
            <v>21.188629859999999</v>
          </cell>
          <cell r="J362">
            <v>21.141266820000002</v>
          </cell>
          <cell r="K362">
            <v>21.13875144</v>
          </cell>
          <cell r="L362">
            <v>21.170846269999998</v>
          </cell>
          <cell r="M362">
            <v>21.233143179999999</v>
          </cell>
          <cell r="N362">
            <v>21.322804870000002</v>
          </cell>
          <cell r="O362">
            <v>21.437405340000002</v>
          </cell>
          <cell r="P362">
            <v>21.578970690000002</v>
          </cell>
          <cell r="Q362">
            <v>21.740070510000002</v>
          </cell>
          <cell r="R362">
            <v>21.91783023</v>
          </cell>
          <cell r="S362">
            <v>22.109573659999999</v>
          </cell>
          <cell r="T362">
            <v>22.312188750000001</v>
          </cell>
          <cell r="U362">
            <v>22.522752140000001</v>
          </cell>
          <cell r="V362">
            <v>22.738474409999998</v>
          </cell>
          <cell r="W362">
            <v>22.957003329999999</v>
          </cell>
          <cell r="X362">
            <v>23.176439049999999</v>
          </cell>
          <cell r="Y362">
            <v>23.39526279</v>
          </cell>
          <cell r="Z362">
            <v>23.609144629999999</v>
          </cell>
          <cell r="AA362">
            <v>23.820885539999999</v>
          </cell>
          <cell r="AB362">
            <v>24.030075030000003</v>
          </cell>
          <cell r="AC362">
            <v>24.23633371</v>
          </cell>
          <cell r="AD362">
            <v>24.43974807</v>
          </cell>
          <cell r="AE362">
            <v>24.631489210000002</v>
          </cell>
          <cell r="AF362">
            <v>24.817719149999999</v>
          </cell>
          <cell r="AG362">
            <v>24.999367420000002</v>
          </cell>
          <cell r="AH362">
            <v>25.176818829999998</v>
          </cell>
          <cell r="AI362">
            <v>25.350956270000001</v>
          </cell>
          <cell r="AJ362">
            <v>25.522583659999999</v>
          </cell>
          <cell r="AK362">
            <v>25.69245811</v>
          </cell>
          <cell r="AL362">
            <v>25.861253000000001</v>
          </cell>
          <cell r="AM362">
            <v>26.029576010000003</v>
          </cell>
          <cell r="AN362">
            <v>26.197999339999999</v>
          </cell>
          <cell r="AO362">
            <v>26.367053510000002</v>
          </cell>
          <cell r="AP362">
            <v>26.535436570000002</v>
          </cell>
          <cell r="AQ362">
            <v>26.703874819999999</v>
          </cell>
          <cell r="AR362">
            <v>26.872879530000002</v>
          </cell>
          <cell r="AS362">
            <v>27.042853239999999</v>
          </cell>
          <cell r="AT362">
            <v>27.214190049999999</v>
          </cell>
          <cell r="AU362">
            <v>27.387292010000003</v>
          </cell>
          <cell r="AV362">
            <v>27.562484989999998</v>
          </cell>
          <cell r="AW362">
            <v>27.740026190000002</v>
          </cell>
          <cell r="AX362">
            <v>27.920149079999998</v>
          </cell>
          <cell r="AY362">
            <v>28.103064030000002</v>
          </cell>
          <cell r="AZ362">
            <v>28.289275170000003</v>
          </cell>
          <cell r="BA362">
            <v>28.478966100000001</v>
          </cell>
          <cell r="BB362">
            <v>28.547822010000001</v>
          </cell>
          <cell r="BC362">
            <v>28.617154429999999</v>
          </cell>
          <cell r="BD362">
            <v>28.685427129999997</v>
          </cell>
          <cell r="BE362">
            <v>29.57035072</v>
          </cell>
          <cell r="BF362">
            <v>29.775512519999999</v>
          </cell>
          <cell r="BG362">
            <v>29.98238898</v>
          </cell>
          <cell r="BH362">
            <v>30.191121769999999</v>
          </cell>
          <cell r="BI362">
            <v>30.401872050000001</v>
          </cell>
        </row>
        <row r="366">
          <cell r="F366">
            <v>25.854329620000001</v>
          </cell>
          <cell r="G366">
            <v>25.993885250000002</v>
          </cell>
          <cell r="H366">
            <v>26.220517170000001</v>
          </cell>
          <cell r="I366">
            <v>26.489499890000001</v>
          </cell>
          <cell r="J366">
            <v>26.79030298</v>
          </cell>
          <cell r="K366">
            <v>27.116521639999998</v>
          </cell>
          <cell r="L366">
            <v>27.44623284</v>
          </cell>
          <cell r="M366">
            <v>27.784235370000001</v>
          </cell>
          <cell r="N366">
            <v>28.129326859999999</v>
          </cell>
          <cell r="O366">
            <v>28.479488310000001</v>
          </cell>
          <cell r="P366">
            <v>28.859838570000001</v>
          </cell>
          <cell r="Q366">
            <v>29.223006059999999</v>
          </cell>
          <cell r="R366">
            <v>29.581003079999999</v>
          </cell>
          <cell r="S366">
            <v>29.93574795</v>
          </cell>
          <cell r="T366">
            <v>30.28718679</v>
          </cell>
          <cell r="U366">
            <v>30.635129160000002</v>
          </cell>
          <cell r="V366">
            <v>30.977238610000001</v>
          </cell>
          <cell r="W366">
            <v>31.315607610000001</v>
          </cell>
          <cell r="X366">
            <v>31.65120254</v>
          </cell>
          <cell r="Y366">
            <v>31.984963969999999</v>
          </cell>
          <cell r="Z366">
            <v>32.298703889999999</v>
          </cell>
          <cell r="AA366">
            <v>32.624514359999999</v>
          </cell>
          <cell r="AB366">
            <v>32.95526632</v>
          </cell>
          <cell r="AC366">
            <v>33.290155089999999</v>
          </cell>
          <cell r="AD366">
            <v>33.629647769999998</v>
          </cell>
          <cell r="AE366">
            <v>33.920130319999998</v>
          </cell>
          <cell r="AF366">
            <v>34.224523660000003</v>
          </cell>
          <cell r="AG366">
            <v>34.534676750000003</v>
          </cell>
          <cell r="AH366">
            <v>34.849979699999999</v>
          </cell>
          <cell r="AI366">
            <v>35.171191589999999</v>
          </cell>
          <cell r="AJ366">
            <v>35.499014819999999</v>
          </cell>
          <cell r="AK366">
            <v>35.834361399999999</v>
          </cell>
          <cell r="AL366">
            <v>36.176996330000001</v>
          </cell>
          <cell r="AM366">
            <v>36.526767470000003</v>
          </cell>
          <cell r="AN366">
            <v>36.88344025</v>
          </cell>
          <cell r="AO366">
            <v>37.246713040000003</v>
          </cell>
          <cell r="AP366">
            <v>37.608156229999999</v>
          </cell>
          <cell r="AQ366">
            <v>37.971782930000003</v>
          </cell>
          <cell r="AR366">
            <v>38.338822950000001</v>
          </cell>
          <cell r="AS366">
            <v>38.709747360000001</v>
          </cell>
          <cell r="AT366">
            <v>39.084808549999998</v>
          </cell>
          <cell r="AU366">
            <v>39.46485698</v>
          </cell>
          <cell r="AV366">
            <v>39.849462629999998</v>
          </cell>
          <cell r="AW366">
            <v>40.238499969999999</v>
          </cell>
          <cell r="AX366">
            <v>40.631852670000001</v>
          </cell>
          <cell r="AY366">
            <v>41.029384559999997</v>
          </cell>
          <cell r="AZ366">
            <v>41.434435389999997</v>
          </cell>
          <cell r="BA366">
            <v>41.844622919999999</v>
          </cell>
          <cell r="BB366">
            <v>41.94838541</v>
          </cell>
          <cell r="BC366">
            <v>42.217156799999998</v>
          </cell>
          <cell r="BD366">
            <v>42.248232940000001</v>
          </cell>
          <cell r="BE366">
            <v>55.400333269999997</v>
          </cell>
          <cell r="BF366">
            <v>56.275190469999998</v>
          </cell>
          <cell r="BG366">
            <v>57.165000159999998</v>
          </cell>
          <cell r="BH366">
            <v>58.070065749999998</v>
          </cell>
          <cell r="BI366">
            <v>58.990694609999998</v>
          </cell>
        </row>
        <row r="378">
          <cell r="F378">
            <v>4.8286383280000003</v>
          </cell>
          <cell r="G378">
            <v>4.8499440509999996</v>
          </cell>
          <cell r="H378">
            <v>4.8852977600000003</v>
          </cell>
          <cell r="I378">
            <v>4.9285978359999998</v>
          </cell>
          <cell r="J378">
            <v>4.9754183530000002</v>
          </cell>
          <cell r="K378">
            <v>5.021881681</v>
          </cell>
          <cell r="L378">
            <v>5.0615246860000003</v>
          </cell>
          <cell r="M378">
            <v>5.0938267789999996</v>
          </cell>
          <cell r="N378">
            <v>5.1193142509999996</v>
          </cell>
          <cell r="O378">
            <v>5.1391186649999998</v>
          </cell>
          <cell r="P378">
            <v>5.1606134499999996</v>
          </cell>
          <cell r="Q378">
            <v>5.1774326850000003</v>
          </cell>
          <cell r="R378">
            <v>5.191377954</v>
          </cell>
          <cell r="S378">
            <v>5.2045019080000001</v>
          </cell>
          <cell r="T378">
            <v>5.2182668239999996</v>
          </cell>
          <cell r="U378">
            <v>5.2335742930000002</v>
          </cell>
          <cell r="V378">
            <v>5.2511717559999997</v>
          </cell>
          <cell r="W378">
            <v>5.2707466270000003</v>
          </cell>
          <cell r="X378">
            <v>5.2920621990000001</v>
          </cell>
          <cell r="Y378">
            <v>5.3147648600000004</v>
          </cell>
          <cell r="Z378">
            <v>5.334578832</v>
          </cell>
          <cell r="AA378">
            <v>5.3565288080000002</v>
          </cell>
          <cell r="AB378">
            <v>5.3799087080000003</v>
          </cell>
          <cell r="AC378">
            <v>5.4039036549999997</v>
          </cell>
          <cell r="AD378">
            <v>5.4279383040000004</v>
          </cell>
          <cell r="AE378">
            <v>5.4410915400000004</v>
          </cell>
          <cell r="AF378">
            <v>5.4529573090000003</v>
          </cell>
          <cell r="AG378">
            <v>5.4648480499999996</v>
          </cell>
          <cell r="AH378">
            <v>5.4770931139999997</v>
          </cell>
          <cell r="AI378">
            <v>5.4898437910000002</v>
          </cell>
          <cell r="AJ378">
            <v>5.5031480290000001</v>
          </cell>
          <cell r="AK378">
            <v>5.516874456</v>
          </cell>
          <cell r="AL378">
            <v>5.5310802780000001</v>
          </cell>
          <cell r="AM378">
            <v>5.5457072299999997</v>
          </cell>
          <cell r="AN378">
            <v>5.5606924229999999</v>
          </cell>
          <cell r="AO378">
            <v>5.5759918859999997</v>
          </cell>
          <cell r="AP378">
            <v>5.5883354750000001</v>
          </cell>
          <cell r="AQ378">
            <v>5.5998067230000004</v>
          </cell>
          <cell r="AR378">
            <v>5.6113066409999997</v>
          </cell>
          <cell r="AS378">
            <v>5.6232858639999996</v>
          </cell>
          <cell r="AT378">
            <v>5.6359451270000003</v>
          </cell>
          <cell r="AU378">
            <v>5.649155318</v>
          </cell>
          <cell r="AV378">
            <v>5.663047036</v>
          </cell>
          <cell r="AW378">
            <v>5.6775227360000002</v>
          </cell>
          <cell r="AX378">
            <v>5.6924306659999999</v>
          </cell>
          <cell r="AY378">
            <v>5.7076112380000001</v>
          </cell>
          <cell r="AZ378">
            <v>5.7225018629999997</v>
          </cell>
          <cell r="BA378">
            <v>5.7375929680000004</v>
          </cell>
          <cell r="BB378">
            <v>5.7629035320000002</v>
          </cell>
          <cell r="BC378">
            <v>5.8259262109999996</v>
          </cell>
          <cell r="BD378">
            <v>5.8332822750000002</v>
          </cell>
          <cell r="BE378">
            <v>10.89254086</v>
          </cell>
          <cell r="BF378">
            <v>11.071818240000001</v>
          </cell>
          <cell r="BG378">
            <v>11.25394421</v>
          </cell>
          <cell r="BH378">
            <v>11.439009499999999</v>
          </cell>
          <cell r="BI378">
            <v>11.62710313</v>
          </cell>
        </row>
        <row r="390">
          <cell r="F390">
            <v>42.781181500000002</v>
          </cell>
          <cell r="G390">
            <v>42.82130239</v>
          </cell>
          <cell r="H390">
            <v>43.095316779999997</v>
          </cell>
          <cell r="I390">
            <v>43.498108360000003</v>
          </cell>
          <cell r="J390">
            <v>44.007504160000003</v>
          </cell>
          <cell r="K390">
            <v>44.605083999999998</v>
          </cell>
          <cell r="L390">
            <v>45.24027426</v>
          </cell>
          <cell r="M390">
            <v>45.908616989999999</v>
          </cell>
          <cell r="N390">
            <v>46.59678804</v>
          </cell>
          <cell r="O390">
            <v>47.29120073</v>
          </cell>
          <cell r="P390">
            <v>48.02987134</v>
          </cell>
          <cell r="Q390">
            <v>48.722258490000002</v>
          </cell>
          <cell r="R390">
            <v>49.384159519999997</v>
          </cell>
          <cell r="S390">
            <v>50.018179289999999</v>
          </cell>
          <cell r="T390">
            <v>50.624987439999998</v>
          </cell>
          <cell r="U390">
            <v>51.206107979999999</v>
          </cell>
          <cell r="V390">
            <v>51.759165600000003</v>
          </cell>
          <cell r="W390">
            <v>52.29179122</v>
          </cell>
          <cell r="X390">
            <v>52.809246969999997</v>
          </cell>
          <cell r="Y390">
            <v>53.316596279999999</v>
          </cell>
          <cell r="Z390">
            <v>53.783779699999997</v>
          </cell>
          <cell r="AA390">
            <v>54.269925610000001</v>
          </cell>
          <cell r="AB390">
            <v>54.766451709999998</v>
          </cell>
          <cell r="AC390">
            <v>55.273297300000003</v>
          </cell>
          <cell r="AD390">
            <v>55.792410070000003</v>
          </cell>
          <cell r="AE390">
            <v>56.228048950000002</v>
          </cell>
          <cell r="AF390">
            <v>56.689491959999998</v>
          </cell>
          <cell r="AG390">
            <v>57.165826860000003</v>
          </cell>
          <cell r="AH390">
            <v>57.655773009999997</v>
          </cell>
          <cell r="AI390">
            <v>58.160370499999999</v>
          </cell>
          <cell r="AJ390">
            <v>58.680868529999998</v>
          </cell>
          <cell r="AK390">
            <v>59.219137539999998</v>
          </cell>
          <cell r="AL390">
            <v>59.774740749999999</v>
          </cell>
          <cell r="AM390">
            <v>60.347288349999999</v>
          </cell>
          <cell r="AN390">
            <v>60.936027119999999</v>
          </cell>
          <cell r="AO390">
            <v>61.539880349999997</v>
          </cell>
          <cell r="AP390">
            <v>62.144001000000003</v>
          </cell>
          <cell r="AQ390">
            <v>62.753040679999998</v>
          </cell>
          <cell r="AR390">
            <v>63.368717910000001</v>
          </cell>
          <cell r="AS390">
            <v>63.991321380000002</v>
          </cell>
          <cell r="AT390">
            <v>64.620671889999997</v>
          </cell>
          <cell r="AU390">
            <v>65.257836850000004</v>
          </cell>
          <cell r="AV390">
            <v>65.90160951</v>
          </cell>
          <cell r="AW390">
            <v>66.551546540000004</v>
          </cell>
          <cell r="AX390">
            <v>67.207294239999996</v>
          </cell>
          <cell r="AY390">
            <v>67.868471020000001</v>
          </cell>
          <cell r="AZ390">
            <v>68.541038510000007</v>
          </cell>
          <cell r="BA390">
            <v>69.220583750000003</v>
          </cell>
          <cell r="BB390">
            <v>69.512650870000002</v>
          </cell>
          <cell r="BC390">
            <v>70.245615959999995</v>
          </cell>
          <cell r="BD390">
            <v>70.331016790000007</v>
          </cell>
          <cell r="BE390">
            <v>101.8741746</v>
          </cell>
          <cell r="BF390">
            <v>103.62538499999999</v>
          </cell>
          <cell r="BG390">
            <v>105.40327739999999</v>
          </cell>
          <cell r="BH390">
            <v>107.20839049999999</v>
          </cell>
          <cell r="BI390">
            <v>109.0412402</v>
          </cell>
        </row>
        <row r="402">
          <cell r="F402">
            <v>22.14580239</v>
          </cell>
          <cell r="G402">
            <v>22.187127820000001</v>
          </cell>
          <cell r="H402">
            <v>22.298957089999998</v>
          </cell>
          <cell r="I402">
            <v>22.486836950000001</v>
          </cell>
          <cell r="J402">
            <v>22.756473020000001</v>
          </cell>
          <cell r="K402">
            <v>23.104144860000002</v>
          </cell>
          <cell r="L402">
            <v>23.50660207</v>
          </cell>
          <cell r="M402">
            <v>23.955444929999999</v>
          </cell>
          <cell r="N402">
            <v>24.439084009999998</v>
          </cell>
          <cell r="O402">
            <v>24.94589345</v>
          </cell>
          <cell r="P402">
            <v>25.48908832</v>
          </cell>
          <cell r="Q402">
            <v>26.028535680000001</v>
          </cell>
          <cell r="R402">
            <v>26.562363820000002</v>
          </cell>
          <cell r="S402">
            <v>27.088226519999999</v>
          </cell>
          <cell r="T402">
            <v>27.604040090000002</v>
          </cell>
          <cell r="U402">
            <v>28.108716770000001</v>
          </cell>
          <cell r="V402">
            <v>28.603392790000001</v>
          </cell>
          <cell r="W402">
            <v>29.0873782</v>
          </cell>
          <cell r="X402">
            <v>29.56226509</v>
          </cell>
          <cell r="Y402">
            <v>30.030231480000001</v>
          </cell>
          <cell r="Z402">
            <v>30.475834339999999</v>
          </cell>
          <cell r="AA402">
            <v>30.926826009999999</v>
          </cell>
          <cell r="AB402">
            <v>31.381154049999999</v>
          </cell>
          <cell r="AC402">
            <v>31.839577800000001</v>
          </cell>
          <cell r="AD402">
            <v>32.303718869999997</v>
          </cell>
          <cell r="AE402">
            <v>32.723794560000002</v>
          </cell>
          <cell r="AF402">
            <v>33.149187439999999</v>
          </cell>
          <cell r="AG402">
            <v>33.578956990000002</v>
          </cell>
          <cell r="AH402">
            <v>34.013771480000003</v>
          </cell>
          <cell r="AI402">
            <v>34.455202440000001</v>
          </cell>
          <cell r="AJ402">
            <v>34.904961370000002</v>
          </cell>
          <cell r="AK402">
            <v>35.364098669999997</v>
          </cell>
          <cell r="AL402">
            <v>35.834278679999997</v>
          </cell>
          <cell r="AM402">
            <v>36.316283480000003</v>
          </cell>
          <cell r="AN402">
            <v>36.810481340000003</v>
          </cell>
          <cell r="AO402">
            <v>37.316924720000003</v>
          </cell>
          <cell r="AP402">
            <v>37.81864684</v>
          </cell>
          <cell r="AQ402">
            <v>38.32545777</v>
          </cell>
          <cell r="AR402">
            <v>38.83925619</v>
          </cell>
          <cell r="AS402">
            <v>39.360448980000001</v>
          </cell>
          <cell r="AT402">
            <v>39.889167970000003</v>
          </cell>
          <cell r="AU402">
            <v>40.424764230000001</v>
          </cell>
          <cell r="AV402">
            <v>40.968250820000002</v>
          </cell>
          <cell r="AW402">
            <v>41.519845519999997</v>
          </cell>
          <cell r="AX402">
            <v>42.079653890000003</v>
          </cell>
          <cell r="AY402">
            <v>42.647718859999998</v>
          </cell>
          <cell r="AZ402">
            <v>43.222305419999998</v>
          </cell>
          <cell r="BA402">
            <v>43.805968489999998</v>
          </cell>
          <cell r="BB402">
            <v>43.839742139999998</v>
          </cell>
          <cell r="BC402">
            <v>43.921824579999999</v>
          </cell>
          <cell r="BD402">
            <v>43.931022659999996</v>
          </cell>
          <cell r="BE402">
            <v>51.378890849999998</v>
          </cell>
          <cell r="BF402">
            <v>52.228503259999997</v>
          </cell>
          <cell r="BG402">
            <v>53.091033299999999</v>
          </cell>
          <cell r="BH402">
            <v>53.966871159999997</v>
          </cell>
          <cell r="BI402">
            <v>54.856396529999998</v>
          </cell>
        </row>
        <row r="414">
          <cell r="F414">
            <v>64.301440170000006</v>
          </cell>
          <cell r="G414">
            <v>64.244024929999995</v>
          </cell>
          <cell r="H414">
            <v>63.982248079999998</v>
          </cell>
          <cell r="I414">
            <v>63.72514254</v>
          </cell>
          <cell r="J414">
            <v>63.53697923</v>
          </cell>
          <cell r="K414">
            <v>63.426275009999998</v>
          </cell>
          <cell r="L414">
            <v>63.365622969999997</v>
          </cell>
          <cell r="M414">
            <v>63.350087309999999</v>
          </cell>
          <cell r="N414">
            <v>63.371333589999999</v>
          </cell>
          <cell r="O414">
            <v>63.421355740000003</v>
          </cell>
          <cell r="P414">
            <v>63.522829950000002</v>
          </cell>
          <cell r="Q414">
            <v>63.626901910000001</v>
          </cell>
          <cell r="R414">
            <v>63.737479450000002</v>
          </cell>
          <cell r="S414">
            <v>63.855223940000002</v>
          </cell>
          <cell r="T414">
            <v>63.979252729999999</v>
          </cell>
          <cell r="U414">
            <v>64.108204509999993</v>
          </cell>
          <cell r="V414">
            <v>64.240684529999996</v>
          </cell>
          <cell r="W414">
            <v>64.375384780000005</v>
          </cell>
          <cell r="X414">
            <v>64.511268920000006</v>
          </cell>
          <cell r="Y414">
            <v>64.647573420000001</v>
          </cell>
          <cell r="Z414">
            <v>64.764230429999998</v>
          </cell>
          <cell r="AA414">
            <v>64.890013049999993</v>
          </cell>
          <cell r="AB414">
            <v>65.019803429999996</v>
          </cell>
          <cell r="AC414">
            <v>65.151152490000001</v>
          </cell>
          <cell r="AD414">
            <v>65.283161359999994</v>
          </cell>
          <cell r="AE414">
            <v>65.361966609999996</v>
          </cell>
          <cell r="AF414">
            <v>65.442220669999998</v>
          </cell>
          <cell r="AG414">
            <v>65.522678790000001</v>
          </cell>
          <cell r="AH414">
            <v>65.60263861</v>
          </cell>
          <cell r="AI414">
            <v>65.682140590000003</v>
          </cell>
          <cell r="AJ414">
            <v>65.761544090000001</v>
          </cell>
          <cell r="AK414">
            <v>65.841314069999996</v>
          </cell>
          <cell r="AL414">
            <v>65.921969439999998</v>
          </cell>
          <cell r="AM414">
            <v>66.004030689999993</v>
          </cell>
          <cell r="AN414">
            <v>66.087991020000004</v>
          </cell>
          <cell r="AO414">
            <v>66.17429842</v>
          </cell>
          <cell r="AP414">
            <v>66.251785139999996</v>
          </cell>
          <cell r="AQ414">
            <v>66.326376199999999</v>
          </cell>
          <cell r="AR414">
            <v>66.400971200000001</v>
          </cell>
          <cell r="AS414">
            <v>66.476971899999995</v>
          </cell>
          <cell r="AT414">
            <v>66.555108160000003</v>
          </cell>
          <cell r="AU414">
            <v>66.63580288</v>
          </cell>
          <cell r="AV414">
            <v>66.719333079999998</v>
          </cell>
          <cell r="AW414">
            <v>66.805902720000006</v>
          </cell>
          <cell r="AX414">
            <v>66.895677340000006</v>
          </cell>
          <cell r="AY414">
            <v>66.988801039999998</v>
          </cell>
          <cell r="AZ414">
            <v>67.086344080000003</v>
          </cell>
          <cell r="BA414">
            <v>67.187976689999999</v>
          </cell>
          <cell r="BB414">
            <v>67.293597660000003</v>
          </cell>
          <cell r="BC414">
            <v>67.403212069999995</v>
          </cell>
          <cell r="BD414">
            <v>67.516865170000003</v>
          </cell>
          <cell r="BE414">
            <v>66.181774820000001</v>
          </cell>
          <cell r="BF414">
            <v>66.315964530000002</v>
          </cell>
          <cell r="BG414">
            <v>66.452371409999998</v>
          </cell>
          <cell r="BH414">
            <v>66.591310300000004</v>
          </cell>
          <cell r="BI414">
            <v>66.732995119999998</v>
          </cell>
        </row>
        <row r="415">
          <cell r="F415">
            <v>42.52087745</v>
          </cell>
          <cell r="G415">
            <v>42.741442670000005</v>
          </cell>
          <cell r="H415">
            <v>42.619858819999997</v>
          </cell>
          <cell r="I415">
            <v>42.408092909999993</v>
          </cell>
          <cell r="J415">
            <v>42.199546869999999</v>
          </cell>
          <cell r="K415">
            <v>42.0212073</v>
          </cell>
          <cell r="L415">
            <v>41.860143060000006</v>
          </cell>
          <cell r="M415">
            <v>41.719149189999996</v>
          </cell>
          <cell r="N415">
            <v>41.595166229999997</v>
          </cell>
          <cell r="O415">
            <v>41.484166009999996</v>
          </cell>
          <cell r="P415">
            <v>41.407398239999999</v>
          </cell>
          <cell r="Q415">
            <v>41.323406030000001</v>
          </cell>
          <cell r="R415">
            <v>41.238344770000005</v>
          </cell>
          <cell r="S415">
            <v>41.154541039999998</v>
          </cell>
          <cell r="T415">
            <v>41.072918990000005</v>
          </cell>
          <cell r="U415">
            <v>40.993617499999999</v>
          </cell>
          <cell r="V415">
            <v>40.916489630000001</v>
          </cell>
          <cell r="W415">
            <v>40.841254429999999</v>
          </cell>
          <cell r="X415">
            <v>40.7676984</v>
          </cell>
          <cell r="Y415">
            <v>40.695687</v>
          </cell>
          <cell r="Z415">
            <v>40.608828350000003</v>
          </cell>
          <cell r="AA415">
            <v>40.532602840000003</v>
          </cell>
          <cell r="AB415">
            <v>40.461972029999998</v>
          </cell>
          <cell r="AC415">
            <v>40.394661939999999</v>
          </cell>
          <cell r="AD415">
            <v>40.329599159999994</v>
          </cell>
          <cell r="AE415">
            <v>40.221807990000002</v>
          </cell>
          <cell r="AF415">
            <v>40.119932929999997</v>
          </cell>
          <cell r="AG415">
            <v>40.021919750000002</v>
          </cell>
          <cell r="AH415">
            <v>39.92675964</v>
          </cell>
          <cell r="AI415">
            <v>39.8337243</v>
          </cell>
          <cell r="AJ415">
            <v>39.742493159999995</v>
          </cell>
          <cell r="AK415">
            <v>39.65293527</v>
          </cell>
          <cell r="AL415">
            <v>39.565038139999999</v>
          </cell>
          <cell r="AM415">
            <v>39.478839479999998</v>
          </cell>
          <cell r="AN415">
            <v>39.39439024</v>
          </cell>
          <cell r="AO415">
            <v>39.311735380000002</v>
          </cell>
          <cell r="AP415">
            <v>39.221398880000002</v>
          </cell>
          <cell r="AQ415">
            <v>39.128761529999998</v>
          </cell>
          <cell r="AR415">
            <v>39.036210529999998</v>
          </cell>
          <cell r="AS415">
            <v>38.944781590000005</v>
          </cell>
          <cell r="AT415">
            <v>38.854841690000001</v>
          </cell>
          <cell r="AU415">
            <v>38.766489990000004</v>
          </cell>
          <cell r="AV415">
            <v>38.679731409999995</v>
          </cell>
          <cell r="AW415">
            <v>38.594546350000002</v>
          </cell>
          <cell r="AX415">
            <v>38.510914979999995</v>
          </cell>
          <cell r="AY415">
            <v>38.428823000000001</v>
          </cell>
          <cell r="AZ415">
            <v>38.349025329999996</v>
          </cell>
          <cell r="BA415">
            <v>38.271083750000003</v>
          </cell>
          <cell r="BB415">
            <v>38.194797810000004</v>
          </cell>
          <cell r="BC415">
            <v>38.120072719999996</v>
          </cell>
          <cell r="BD415">
            <v>38.046864079999999</v>
          </cell>
          <cell r="BE415">
            <v>36.670255640000001</v>
          </cell>
          <cell r="BF415">
            <v>36.60359107</v>
          </cell>
          <cell r="BG415">
            <v>36.537648270000005</v>
          </cell>
          <cell r="BH415">
            <v>36.472608630000003</v>
          </cell>
          <cell r="BI415">
            <v>36.408537789999997</v>
          </cell>
        </row>
        <row r="423">
          <cell r="F423">
            <v>21.78056273</v>
          </cell>
          <cell r="G423">
            <v>21.502582269999998</v>
          </cell>
          <cell r="H423">
            <v>21.36238926</v>
          </cell>
          <cell r="I423">
            <v>21.31704963</v>
          </cell>
          <cell r="J423">
            <v>21.337432360000001</v>
          </cell>
          <cell r="K423">
            <v>21.405067710000001</v>
          </cell>
          <cell r="L423">
            <v>21.505479910000002</v>
          </cell>
          <cell r="M423">
            <v>21.63093812</v>
          </cell>
          <cell r="N423">
            <v>21.776167359999999</v>
          </cell>
          <cell r="O423">
            <v>21.93718973</v>
          </cell>
          <cell r="P423">
            <v>22.115431709999999</v>
          </cell>
          <cell r="Q423">
            <v>22.30349588</v>
          </cell>
          <cell r="R423">
            <v>22.499134680000001</v>
          </cell>
          <cell r="S423">
            <v>22.700682899999997</v>
          </cell>
          <cell r="T423">
            <v>22.906333750000002</v>
          </cell>
          <cell r="U423">
            <v>23.114587010000001</v>
          </cell>
          <cell r="V423">
            <v>23.324194909999999</v>
          </cell>
          <cell r="W423">
            <v>23.534130350000002</v>
          </cell>
          <cell r="X423">
            <v>23.74357053</v>
          </cell>
          <cell r="Y423">
            <v>23.951886420000001</v>
          </cell>
          <cell r="Z423">
            <v>24.155402079999998</v>
          </cell>
          <cell r="AA423">
            <v>24.357410210000001</v>
          </cell>
          <cell r="AB423">
            <v>24.557831399999998</v>
          </cell>
          <cell r="AC423">
            <v>24.756490550000002</v>
          </cell>
          <cell r="AD423">
            <v>24.9535622</v>
          </cell>
          <cell r="AE423">
            <v>25.140158629999998</v>
          </cell>
          <cell r="AF423">
            <v>25.322287739999997</v>
          </cell>
          <cell r="AG423">
            <v>25.500759039999998</v>
          </cell>
          <cell r="AH423">
            <v>25.675878969999999</v>
          </cell>
          <cell r="AI423">
            <v>25.848416289999999</v>
          </cell>
          <cell r="AJ423">
            <v>26.019050929999999</v>
          </cell>
          <cell r="AK423">
            <v>26.188378800000002</v>
          </cell>
          <cell r="AL423">
            <v>26.356931299999999</v>
          </cell>
          <cell r="AM423">
            <v>26.525191209999999</v>
          </cell>
          <cell r="AN423">
            <v>26.69360077</v>
          </cell>
          <cell r="AO423">
            <v>26.862563039999998</v>
          </cell>
          <cell r="AP423">
            <v>27.03038626</v>
          </cell>
          <cell r="AQ423">
            <v>27.197614680000001</v>
          </cell>
          <cell r="AR423">
            <v>27.364760670000003</v>
          </cell>
          <cell r="AS423">
            <v>27.532190309999997</v>
          </cell>
          <cell r="AT423">
            <v>27.700266460000002</v>
          </cell>
          <cell r="AU423">
            <v>27.86931289</v>
          </cell>
          <cell r="AV423">
            <v>28.039601670000003</v>
          </cell>
          <cell r="AW423">
            <v>28.211356370000001</v>
          </cell>
          <cell r="AX423">
            <v>28.38476236</v>
          </cell>
          <cell r="AY423">
            <v>28.559978040000001</v>
          </cell>
          <cell r="AZ423">
            <v>28.73731875</v>
          </cell>
          <cell r="BA423">
            <v>28.916892949999998</v>
          </cell>
          <cell r="BB423">
            <v>29.098799850000002</v>
          </cell>
          <cell r="BC423">
            <v>29.283139350000003</v>
          </cell>
          <cell r="BD423">
            <v>29.470001100000001</v>
          </cell>
          <cell r="BE423">
            <v>29.511519180000001</v>
          </cell>
          <cell r="BF423">
            <v>29.712373460000002</v>
          </cell>
          <cell r="BG423">
            <v>29.91472314</v>
          </cell>
          <cell r="BH423">
            <v>30.11870167</v>
          </cell>
          <cell r="BI423">
            <v>30.324457339999999</v>
          </cell>
        </row>
        <row r="427">
          <cell r="F427">
            <v>26.381568130000002</v>
          </cell>
          <cell r="G427">
            <v>26.68599863</v>
          </cell>
          <cell r="H427">
            <v>27.005254430000001</v>
          </cell>
          <cell r="I427">
            <v>27.342508769999998</v>
          </cell>
          <cell r="J427">
            <v>27.69783048</v>
          </cell>
          <cell r="K427">
            <v>28.069380949999999</v>
          </cell>
          <cell r="L427">
            <v>28.438404500000001</v>
          </cell>
          <cell r="M427">
            <v>28.81189401</v>
          </cell>
          <cell r="N427">
            <v>29.190163170000002</v>
          </cell>
          <cell r="O427">
            <v>29.572256840000001</v>
          </cell>
          <cell r="P427">
            <v>29.985233239999999</v>
          </cell>
          <cell r="Q427">
            <v>30.383105659999998</v>
          </cell>
          <cell r="R427">
            <v>30.77741756</v>
          </cell>
          <cell r="S427">
            <v>31.170575370000002</v>
          </cell>
          <cell r="T427">
            <v>31.563202839999999</v>
          </cell>
          <cell r="U427">
            <v>31.95576677</v>
          </cell>
          <cell r="V427">
            <v>32.348848750000002</v>
          </cell>
          <cell r="W427">
            <v>32.743136620000001</v>
          </cell>
          <cell r="X427">
            <v>33.13937481</v>
          </cell>
          <cell r="Y427">
            <v>33.538321349999997</v>
          </cell>
          <cell r="Z427">
            <v>33.920399430000003</v>
          </cell>
          <cell r="AA427">
            <v>34.318988900000001</v>
          </cell>
          <cell r="AB427">
            <v>34.725974229999998</v>
          </cell>
          <cell r="AC427">
            <v>35.139980880000003</v>
          </cell>
          <cell r="AD427">
            <v>35.560986149999998</v>
          </cell>
          <cell r="AE427">
            <v>35.931192199999998</v>
          </cell>
          <cell r="AF427">
            <v>36.316391469999999</v>
          </cell>
          <cell r="AG427">
            <v>36.70804167</v>
          </cell>
          <cell r="AH427">
            <v>37.105340929999997</v>
          </cell>
          <cell r="AI427">
            <v>37.508948830000001</v>
          </cell>
          <cell r="AJ427">
            <v>37.919521549999999</v>
          </cell>
          <cell r="AK427">
            <v>38.33744592</v>
          </cell>
          <cell r="AL427">
            <v>38.76285292</v>
          </cell>
          <cell r="AM427">
            <v>39.195687049999997</v>
          </cell>
          <cell r="AN427">
            <v>39.635774210000001</v>
          </cell>
          <cell r="AO427">
            <v>40.082874699999998</v>
          </cell>
          <cell r="AP427">
            <v>40.52301259</v>
          </cell>
          <cell r="AQ427">
            <v>40.964104349999999</v>
          </cell>
          <cell r="AR427">
            <v>41.408246830000003</v>
          </cell>
          <cell r="AS427">
            <v>41.856278029999999</v>
          </cell>
          <cell r="AT427">
            <v>42.308730789999998</v>
          </cell>
          <cell r="AU427">
            <v>42.765994679999999</v>
          </cell>
          <cell r="AV427">
            <v>43.228337340000003</v>
          </cell>
          <cell r="AW427">
            <v>43.695917260000002</v>
          </cell>
          <cell r="AX427">
            <v>44.168805319999997</v>
          </cell>
          <cell r="AY427">
            <v>44.647010760000001</v>
          </cell>
          <cell r="AZ427">
            <v>45.131724159999997</v>
          </cell>
          <cell r="BA427">
            <v>45.622170390000001</v>
          </cell>
          <cell r="BB427">
            <v>46.118091270000001</v>
          </cell>
          <cell r="BC427">
            <v>46.619347040000001</v>
          </cell>
          <cell r="BD427">
            <v>47.12583652</v>
          </cell>
          <cell r="BE427">
            <v>55.493589890000003</v>
          </cell>
          <cell r="BF427">
            <v>56.373474880000003</v>
          </cell>
          <cell r="BG427">
            <v>57.26841727</v>
          </cell>
          <cell r="BH427">
            <v>58.178734579999997</v>
          </cell>
          <cell r="BI427">
            <v>59.104750869999997</v>
          </cell>
        </row>
        <row r="439">
          <cell r="F439">
            <v>4.8973122399999998</v>
          </cell>
          <cell r="G439">
            <v>4.9281095319999997</v>
          </cell>
          <cell r="H439">
            <v>4.9509513500000004</v>
          </cell>
          <cell r="I439">
            <v>4.9732135179999997</v>
          </cell>
          <cell r="J439">
            <v>4.9973595020000001</v>
          </cell>
          <cell r="K439">
            <v>5.0237681810000003</v>
          </cell>
          <cell r="L439">
            <v>5.0484399870000001</v>
          </cell>
          <cell r="M439">
            <v>5.0719991999999996</v>
          </cell>
          <cell r="N439">
            <v>5.094817215</v>
          </cell>
          <cell r="O439">
            <v>5.1170023819999999</v>
          </cell>
          <cell r="P439">
            <v>5.1444144959999996</v>
          </cell>
          <cell r="Q439">
            <v>5.1687906339999996</v>
          </cell>
          <cell r="R439">
            <v>5.1907684659999997</v>
          </cell>
          <cell r="S439">
            <v>5.2112123800000001</v>
          </cell>
          <cell r="T439">
            <v>5.2307545549999999</v>
          </cell>
          <cell r="U439">
            <v>5.2498568529999998</v>
          </cell>
          <cell r="V439">
            <v>5.2688540079999999</v>
          </cell>
          <cell r="W439">
            <v>5.287972559</v>
          </cell>
          <cell r="X439">
            <v>5.3073476470000003</v>
          </cell>
          <cell r="Y439">
            <v>5.3270404490000001</v>
          </cell>
          <cell r="Z439">
            <v>5.3431859130000001</v>
          </cell>
          <cell r="AA439">
            <v>5.3612951219999996</v>
          </cell>
          <cell r="AB439">
            <v>5.3809168940000003</v>
          </cell>
          <cell r="AC439">
            <v>5.4015005409999999</v>
          </cell>
          <cell r="AD439">
            <v>5.4226621850000001</v>
          </cell>
          <cell r="AE439">
            <v>5.4335635189999998</v>
          </cell>
          <cell r="AF439">
            <v>5.4442094130000003</v>
          </cell>
          <cell r="AG439">
            <v>5.4555028070000002</v>
          </cell>
          <cell r="AH439">
            <v>5.4676431780000003</v>
          </cell>
          <cell r="AI439">
            <v>5.4806712190000004</v>
          </cell>
          <cell r="AJ439">
            <v>5.494514852</v>
          </cell>
          <cell r="AK439">
            <v>5.5090213439999998</v>
          </cell>
          <cell r="AL439">
            <v>5.5239993549999999</v>
          </cell>
          <cell r="AM439">
            <v>5.539257439</v>
          </cell>
          <cell r="AN439">
            <v>5.5546324970000001</v>
          </cell>
          <cell r="AO439">
            <v>5.5700062060000004</v>
          </cell>
          <cell r="AP439">
            <v>5.5830511930000002</v>
          </cell>
          <cell r="AQ439">
            <v>5.5947255870000001</v>
          </cell>
          <cell r="AR439">
            <v>5.6057731750000004</v>
          </cell>
          <cell r="AS439">
            <v>5.616674304</v>
          </cell>
          <cell r="AT439">
            <v>5.6277256309999997</v>
          </cell>
          <cell r="AU439">
            <v>5.6390897239999997</v>
          </cell>
          <cell r="AV439">
            <v>5.6508285850000002</v>
          </cell>
          <cell r="AW439">
            <v>5.662932305</v>
          </cell>
          <cell r="AX439">
            <v>5.6753453770000002</v>
          </cell>
          <cell r="AY439">
            <v>5.6879898400000002</v>
          </cell>
          <cell r="AZ439">
            <v>5.700966126</v>
          </cell>
          <cell r="BA439">
            <v>5.7141227189999997</v>
          </cell>
          <cell r="BB439">
            <v>5.7273464939999998</v>
          </cell>
          <cell r="BC439">
            <v>5.740567918</v>
          </cell>
          <cell r="BD439">
            <v>5.753753133</v>
          </cell>
          <cell r="BE439">
            <v>10.78471672</v>
          </cell>
          <cell r="BF439">
            <v>10.958941790000001</v>
          </cell>
          <cell r="BG439">
            <v>11.13593225</v>
          </cell>
          <cell r="BH439">
            <v>11.315761910000001</v>
          </cell>
          <cell r="BI439">
            <v>11.498509670000001</v>
          </cell>
        </row>
        <row r="451">
          <cell r="F451">
            <v>44.238908969999997</v>
          </cell>
          <cell r="G451">
            <v>44.767453349999997</v>
          </cell>
          <cell r="H451">
            <v>45.336812770000002</v>
          </cell>
          <cell r="I451">
            <v>45.954189169999999</v>
          </cell>
          <cell r="J451">
            <v>46.618659559999998</v>
          </cell>
          <cell r="K451">
            <v>47.324354649999997</v>
          </cell>
          <cell r="L451">
            <v>48.033243470000002</v>
          </cell>
          <cell r="M451">
            <v>48.753295790000003</v>
          </cell>
          <cell r="N451">
            <v>49.482383540000001</v>
          </cell>
          <cell r="O451">
            <v>50.216274089999999</v>
          </cell>
          <cell r="P451">
            <v>51.003479740000003</v>
          </cell>
          <cell r="Q451">
            <v>51.759807080000002</v>
          </cell>
          <cell r="R451">
            <v>52.502519370000002</v>
          </cell>
          <cell r="S451">
            <v>53.236262979999999</v>
          </cell>
          <cell r="T451">
            <v>53.962632890000002</v>
          </cell>
          <cell r="U451">
            <v>54.682976889999999</v>
          </cell>
          <cell r="V451">
            <v>55.399087520000002</v>
          </cell>
          <cell r="W451">
            <v>56.113244250000001</v>
          </cell>
          <cell r="X451">
            <v>56.828053410000003</v>
          </cell>
          <cell r="Y451">
            <v>57.546245069999998</v>
          </cell>
          <cell r="Z451">
            <v>58.232619309999997</v>
          </cell>
          <cell r="AA451">
            <v>58.948437990000002</v>
          </cell>
          <cell r="AB451">
            <v>59.681962929999997</v>
          </cell>
          <cell r="AC451">
            <v>60.43116732</v>
          </cell>
          <cell r="AD451">
            <v>61.196484179999999</v>
          </cell>
          <cell r="AE451">
            <v>61.871037020000003</v>
          </cell>
          <cell r="AF451">
            <v>62.571427989999997</v>
          </cell>
          <cell r="AG451">
            <v>63.2857062</v>
          </cell>
          <cell r="AH451">
            <v>64.011899400000004</v>
          </cell>
          <cell r="AI451">
            <v>64.750733460000006</v>
          </cell>
          <cell r="AJ451">
            <v>65.503412929999996</v>
          </cell>
          <cell r="AK451">
            <v>66.270900249999997</v>
          </cell>
          <cell r="AL451">
            <v>67.05367382</v>
          </cell>
          <cell r="AM451">
            <v>67.851688569999993</v>
          </cell>
          <cell r="AN451">
            <v>68.664438230000002</v>
          </cell>
          <cell r="AO451">
            <v>69.491065050000003</v>
          </cell>
          <cell r="AP451">
            <v>70.305150830000002</v>
          </cell>
          <cell r="AQ451">
            <v>71.119240270000006</v>
          </cell>
          <cell r="AR451">
            <v>71.936587990000007</v>
          </cell>
          <cell r="AS451">
            <v>72.758021200000002</v>
          </cell>
          <cell r="AT451">
            <v>73.583846679999994</v>
          </cell>
          <cell r="AU451">
            <v>74.414337689999996</v>
          </cell>
          <cell r="AV451">
            <v>75.249807669999996</v>
          </cell>
          <cell r="AW451">
            <v>76.090570499999998</v>
          </cell>
          <cell r="AX451">
            <v>76.936887940000005</v>
          </cell>
          <cell r="AY451">
            <v>77.788936890000002</v>
          </cell>
          <cell r="AZ451">
            <v>78.649045169999994</v>
          </cell>
          <cell r="BA451">
            <v>79.515992130000001</v>
          </cell>
          <cell r="BB451">
            <v>80.389334700000006</v>
          </cell>
          <cell r="BC451">
            <v>81.268824480000006</v>
          </cell>
          <cell r="BD451">
            <v>82.154271050000006</v>
          </cell>
          <cell r="BE451">
            <v>101.9694488</v>
          </cell>
          <cell r="BF451">
            <v>103.7202384</v>
          </cell>
          <cell r="BG451">
            <v>105.4971243</v>
          </cell>
          <cell r="BH451">
            <v>107.30059749999999</v>
          </cell>
          <cell r="BI451">
            <v>109.13117939999999</v>
          </cell>
        </row>
        <row r="463">
          <cell r="F463">
            <v>22.497780519999999</v>
          </cell>
          <cell r="G463">
            <v>22.785002039999998</v>
          </cell>
          <cell r="H463">
            <v>23.099520389999999</v>
          </cell>
          <cell r="I463">
            <v>23.449070979999998</v>
          </cell>
          <cell r="J463">
            <v>23.83509986</v>
          </cell>
          <cell r="K463">
            <v>24.25486772</v>
          </cell>
          <cell r="L463">
            <v>24.69006903</v>
          </cell>
          <cell r="M463">
            <v>25.14093197</v>
          </cell>
          <cell r="N463">
            <v>25.60456125</v>
          </cell>
          <cell r="O463">
            <v>26.077358820000001</v>
          </cell>
          <cell r="P463">
            <v>26.580280349999999</v>
          </cell>
          <cell r="Q463">
            <v>27.07641486</v>
          </cell>
          <cell r="R463">
            <v>27.569707569999998</v>
          </cell>
          <cell r="S463">
            <v>28.06069329</v>
          </cell>
          <cell r="T463">
            <v>28.548929480000002</v>
          </cell>
          <cell r="U463">
            <v>29.03410418</v>
          </cell>
          <cell r="V463">
            <v>29.516360410000001</v>
          </cell>
          <cell r="W463">
            <v>29.996305159999999</v>
          </cell>
          <cell r="X463">
            <v>30.474911469999999</v>
          </cell>
          <cell r="Y463">
            <v>30.953394800000002</v>
          </cell>
          <cell r="Z463">
            <v>31.414812789999999</v>
          </cell>
          <cell r="AA463">
            <v>31.886575260000001</v>
          </cell>
          <cell r="AB463">
            <v>32.36530295</v>
          </cell>
          <cell r="AC463">
            <v>32.850765340000002</v>
          </cell>
          <cell r="AD463">
            <v>33.3437263</v>
          </cell>
          <cell r="AE463">
            <v>33.792209280000002</v>
          </cell>
          <cell r="AF463">
            <v>34.247262720000002</v>
          </cell>
          <cell r="AG463">
            <v>34.706016220000002</v>
          </cell>
          <cell r="AH463">
            <v>35.168572560000001</v>
          </cell>
          <cell r="AI463">
            <v>35.636201909999997</v>
          </cell>
          <cell r="AJ463">
            <v>36.110421459999998</v>
          </cell>
          <cell r="AK463">
            <v>36.592600439999998</v>
          </cell>
          <cell r="AL463">
            <v>37.08380124</v>
          </cell>
          <cell r="AM463">
            <v>37.584730989999997</v>
          </cell>
          <cell r="AN463">
            <v>38.095754620000001</v>
          </cell>
          <cell r="AO463">
            <v>38.616943050000003</v>
          </cell>
          <cell r="AP463">
            <v>39.135339940000001</v>
          </cell>
          <cell r="AQ463">
            <v>39.656021699999997</v>
          </cell>
          <cell r="AR463">
            <v>40.1806445</v>
          </cell>
          <cell r="AS463">
            <v>40.709832609999999</v>
          </cell>
          <cell r="AT463">
            <v>41.24400172</v>
          </cell>
          <cell r="AU463">
            <v>41.783580059999998</v>
          </cell>
          <cell r="AV463">
            <v>42.32902979</v>
          </cell>
          <cell r="AW463">
            <v>42.880812910000003</v>
          </cell>
          <cell r="AX463">
            <v>43.439351639999998</v>
          </cell>
          <cell r="AY463">
            <v>44.005000469999999</v>
          </cell>
          <cell r="AZ463">
            <v>44.579194430000001</v>
          </cell>
          <cell r="BA463">
            <v>45.16163177</v>
          </cell>
          <cell r="BB463">
            <v>45.752252310000003</v>
          </cell>
          <cell r="BC463">
            <v>46.351036790000002</v>
          </cell>
          <cell r="BD463">
            <v>46.957954639999997</v>
          </cell>
          <cell r="BE463">
            <v>51.382038950000002</v>
          </cell>
          <cell r="BF463">
            <v>52.22979488</v>
          </cell>
          <cell r="BG463">
            <v>53.09019361</v>
          </cell>
          <cell r="BH463">
            <v>53.963593869999997</v>
          </cell>
          <cell r="BI463">
            <v>54.850373390000001</v>
          </cell>
        </row>
        <row r="1365">
          <cell r="E1365" t="str">
            <v>100*(GDP_2/GDP_0-1)</v>
          </cell>
          <cell r="F1365">
            <v>-1.6067303558553236</v>
          </cell>
          <cell r="G1365">
            <v>-1.902483018882839</v>
          </cell>
          <cell r="H1365">
            <v>-2.1558306156040485</v>
          </cell>
          <cell r="I1365">
            <v>-2.3668989777662186</v>
          </cell>
          <cell r="J1365">
            <v>-2.5588951664954895</v>
          </cell>
          <cell r="K1365">
            <v>-2.7478737325347891</v>
          </cell>
          <cell r="L1365">
            <v>-2.9421662747726174</v>
          </cell>
          <cell r="M1365">
            <v>-3.1379616627873141</v>
          </cell>
          <cell r="N1365">
            <v>-3.3293756589845125</v>
          </cell>
          <cell r="O1365">
            <v>-3.5098636089915258</v>
          </cell>
          <cell r="P1365">
            <v>-3.6735097518259985</v>
          </cell>
          <cell r="Q1365">
            <v>-3.8264912830596853</v>
          </cell>
          <cell r="R1365">
            <v>-3.9612572174839378</v>
          </cell>
          <cell r="S1365">
            <v>-4.0793034961981061</v>
          </cell>
          <cell r="T1365">
            <v>-4.183714968296071</v>
          </cell>
          <cell r="U1365">
            <v>-4.2784482869998808</v>
          </cell>
          <cell r="V1365">
            <v>-4.3743854390281722</v>
          </cell>
          <cell r="W1365">
            <v>-4.4694790147092434</v>
          </cell>
          <cell r="X1365">
            <v>-4.5663898822306699</v>
          </cell>
          <cell r="Y1365">
            <v>-4.6667731204004141</v>
          </cell>
          <cell r="Z1365">
            <v>-4.771896225973304</v>
          </cell>
          <cell r="AA1365">
            <v>-4.8807912908404028</v>
          </cell>
          <cell r="AB1365">
            <v>-4.9937305248788588</v>
          </cell>
          <cell r="AC1365">
            <v>-5.1101204976063963</v>
          </cell>
          <cell r="AD1365">
            <v>-5.2291601435226598</v>
          </cell>
          <cell r="AE1365">
            <v>-5.3508425988491481</v>
          </cell>
          <cell r="AF1365">
            <v>-5.4698862233867445</v>
          </cell>
          <cell r="AG1365">
            <v>-5.5880643877905145</v>
          </cell>
          <cell r="AH1365">
            <v>-5.7048290050325967</v>
          </cell>
          <cell r="AI1365">
            <v>-5.8198241319642356</v>
          </cell>
          <cell r="AJ1365">
            <v>-5.9327881740333659</v>
          </cell>
          <cell r="AK1365">
            <v>-6.0422472064345367</v>
          </cell>
          <cell r="AL1365">
            <v>-6.149066506308321</v>
          </cell>
          <cell r="AM1365">
            <v>-6.2532118620604376</v>
          </cell>
          <cell r="AN1365">
            <v>-6.3547143506894059</v>
          </cell>
          <cell r="AO1365">
            <v>-6.4536349186979152</v>
          </cell>
          <cell r="AP1365">
            <v>-6.5394863043749085</v>
          </cell>
          <cell r="AQ1365">
            <v>-6.6204159253455241</v>
          </cell>
          <cell r="AR1365">
            <v>-6.6969952377598618</v>
          </cell>
          <cell r="AS1365">
            <v>-6.7700400308956858</v>
          </cell>
          <cell r="AT1365">
            <v>-6.8403135701467281</v>
          </cell>
          <cell r="AU1365">
            <v>-6.9068240731531727</v>
          </cell>
          <cell r="AV1365">
            <v>-6.9713071107987297</v>
          </cell>
          <cell r="AW1365">
            <v>-7.0342346761380847</v>
          </cell>
          <cell r="AX1365">
            <v>-7.096009163470784</v>
          </cell>
          <cell r="AY1365">
            <v>-7.1569443855093233</v>
          </cell>
          <cell r="AZ1365">
            <v>-7.2120205807341131</v>
          </cell>
          <cell r="BA1365">
            <v>-7.2653276586598476</v>
          </cell>
          <cell r="BB1365">
            <v>-7.8141825640598572</v>
          </cell>
          <cell r="BC1365">
            <v>-8.5505203810644979</v>
          </cell>
          <cell r="BD1365">
            <v>-9.3436617288755741</v>
          </cell>
          <cell r="BE1365">
            <v>-0.17309504926293906</v>
          </cell>
          <cell r="BF1365">
            <v>-0.17504737969170625</v>
          </cell>
          <cell r="BG1365">
            <v>-0.17671713472687811</v>
          </cell>
          <cell r="BH1365">
            <v>-0.17817411467598854</v>
          </cell>
          <cell r="BI1365">
            <v>-0.17947550510799548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-2.0185282324067244</v>
          </cell>
          <cell r="G1366">
            <v>-2.3124539959079371</v>
          </cell>
          <cell r="H1366">
            <v>-2.5643404424622318</v>
          </cell>
          <cell r="I1366">
            <v>-2.7684327490958172</v>
          </cell>
          <cell r="J1366">
            <v>-2.9538419969539986</v>
          </cell>
          <cell r="K1366">
            <v>-3.1413055203020512</v>
          </cell>
          <cell r="L1366">
            <v>-3.3417396111298014</v>
          </cell>
          <cell r="M1366">
            <v>-3.5514048617491634</v>
          </cell>
          <cell r="N1366">
            <v>-3.7635138280640246</v>
          </cell>
          <cell r="O1366">
            <v>-3.9700932356226182</v>
          </cell>
          <cell r="P1366">
            <v>-4.1639701547823371</v>
          </cell>
          <cell r="Q1366">
            <v>-4.3510404676169401</v>
          </cell>
          <cell r="R1366">
            <v>-4.5213945554181461</v>
          </cell>
          <cell r="S1366">
            <v>-4.6757470451406764</v>
          </cell>
          <cell r="T1366">
            <v>-4.8166742177361161</v>
          </cell>
          <cell r="U1366">
            <v>-4.9478586280080066</v>
          </cell>
          <cell r="V1366">
            <v>-5.0817508809005263</v>
          </cell>
          <cell r="W1366">
            <v>-5.2146167209634946</v>
          </cell>
          <cell r="X1366">
            <v>-5.3491510972718643</v>
          </cell>
          <cell r="Y1366">
            <v>-5.4869792560557684</v>
          </cell>
          <cell r="Z1366">
            <v>-5.6290596325680902</v>
          </cell>
          <cell r="AA1366">
            <v>-5.7749698325131771</v>
          </cell>
          <cell r="AB1366">
            <v>-5.9244620397690184</v>
          </cell>
          <cell r="AC1366">
            <v>-6.0768841174547061</v>
          </cell>
          <cell r="AD1366">
            <v>-6.231357293876572</v>
          </cell>
          <cell r="AE1366">
            <v>-6.3869663582979186</v>
          </cell>
          <cell r="AF1366">
            <v>-6.5394516295275595</v>
          </cell>
          <cell r="AG1366">
            <v>-6.690278264734129</v>
          </cell>
          <cell r="AH1366">
            <v>-6.8388616296649829</v>
          </cell>
          <cell r="AI1366">
            <v>-6.9848323264043444</v>
          </cell>
          <cell r="AJ1366">
            <v>-7.1279402849155904</v>
          </cell>
          <cell r="AK1366">
            <v>-7.2664288223141416</v>
          </cell>
          <cell r="AL1366">
            <v>-7.4014944626251804</v>
          </cell>
          <cell r="AM1366">
            <v>-7.5331503164076885</v>
          </cell>
          <cell r="AN1366">
            <v>-7.6614915826388907</v>
          </cell>
          <cell r="AO1366">
            <v>-7.7866466309074678</v>
          </cell>
          <cell r="AP1366">
            <v>-7.8953532785280949</v>
          </cell>
          <cell r="AQ1366">
            <v>-7.9985368547715758</v>
          </cell>
          <cell r="AR1366">
            <v>-8.0967424521962368</v>
          </cell>
          <cell r="AS1366">
            <v>-8.1908845704127486</v>
          </cell>
          <cell r="AT1366">
            <v>-8.2818372173258048</v>
          </cell>
          <cell r="AU1366">
            <v>-8.368313395226302</v>
          </cell>
          <cell r="AV1366">
            <v>-8.4524855840895636</v>
          </cell>
          <cell r="AW1366">
            <v>-8.5348936788492757</v>
          </cell>
          <cell r="AX1366">
            <v>-8.6160078557593778</v>
          </cell>
          <cell r="AY1366">
            <v>-8.6961961847667801</v>
          </cell>
          <cell r="AZ1366">
            <v>-8.7692221528212766</v>
          </cell>
          <cell r="BA1366">
            <v>-8.8402716886527557</v>
          </cell>
          <cell r="BB1366">
            <v>-9.9802132146582512</v>
          </cell>
          <cell r="BC1366">
            <v>-11.045969750613294</v>
          </cell>
          <cell r="BD1366">
            <v>-12.052518107159738</v>
          </cell>
          <cell r="BE1366">
            <v>-0.23572931163051702</v>
          </cell>
          <cell r="BF1366">
            <v>-0.23913277799035848</v>
          </cell>
          <cell r="BG1366">
            <v>-0.24217281316902817</v>
          </cell>
          <cell r="BH1366">
            <v>-0.24492995704027409</v>
          </cell>
          <cell r="BI1366">
            <v>-0.24747210843392153</v>
          </cell>
        </row>
        <row r="1367">
          <cell r="E1367" t="str">
            <v>100*((CH_2-CH_0)/GDP_0)</v>
          </cell>
          <cell r="F1367">
            <v>-0.22865022750476488</v>
          </cell>
          <cell r="G1367">
            <v>-0.56532103615386065</v>
          </cell>
          <cell r="H1367">
            <v>-0.89467593571698389</v>
          </cell>
          <cell r="I1367">
            <v>-1.2029682420186654</v>
          </cell>
          <cell r="J1367">
            <v>-1.4903520259974274</v>
          </cell>
          <cell r="K1367">
            <v>-1.7563557432359549</v>
          </cell>
          <cell r="L1367">
            <v>-1.9987923965879415</v>
          </cell>
          <cell r="M1367">
            <v>-2.2107726689349296</v>
          </cell>
          <cell r="N1367">
            <v>-2.3865683887135622</v>
          </cell>
          <cell r="O1367">
            <v>-2.5223894982665227</v>
          </cell>
          <cell r="P1367">
            <v>-2.6159192828216127</v>
          </cell>
          <cell r="Q1367">
            <v>-2.6745563786150619</v>
          </cell>
          <cell r="R1367">
            <v>-2.6997875458519802</v>
          </cell>
          <cell r="S1367">
            <v>-2.6975045714891932</v>
          </cell>
          <cell r="T1367">
            <v>-2.6746219093811887</v>
          </cell>
          <cell r="U1367">
            <v>-2.638236301623178</v>
          </cell>
          <cell r="V1367">
            <v>-2.5969061428103504</v>
          </cell>
          <cell r="W1367">
            <v>-2.5554002748119373</v>
          </cell>
          <cell r="X1367">
            <v>-2.5176938509247626</v>
          </cell>
          <cell r="Y1367">
            <v>-2.4864418162195969</v>
          </cell>
          <cell r="Z1367">
            <v>-2.464090487480842</v>
          </cell>
          <cell r="AA1367">
            <v>-2.4490068906321349</v>
          </cell>
          <cell r="AB1367">
            <v>-2.4425003936813146</v>
          </cell>
          <cell r="AC1367">
            <v>-2.4441291519028545</v>
          </cell>
          <cell r="AD1367">
            <v>-2.4531493973614662</v>
          </cell>
          <cell r="AE1367">
            <v>-2.4709651688430534</v>
          </cell>
          <cell r="AF1367">
            <v>-2.4908107341052514</v>
          </cell>
          <cell r="AG1367">
            <v>-2.5139540157852194</v>
          </cell>
          <cell r="AH1367">
            <v>-2.5397644421668981</v>
          </cell>
          <cell r="AI1367">
            <v>-2.5677364265709599</v>
          </cell>
          <cell r="AJ1367">
            <v>-2.5974106789083349</v>
          </cell>
          <cell r="AK1367">
            <v>-2.6279187291667094</v>
          </cell>
          <cell r="AL1367">
            <v>-2.6590882399618696</v>
          </cell>
          <cell r="AM1367">
            <v>-2.6906721994977882</v>
          </cell>
          <cell r="AN1367">
            <v>-2.7224728239552816</v>
          </cell>
          <cell r="AO1367">
            <v>-2.7543235862370103</v>
          </cell>
          <cell r="AP1367">
            <v>-2.7826561965768142</v>
          </cell>
          <cell r="AQ1367">
            <v>-2.8082932924431447</v>
          </cell>
          <cell r="AR1367">
            <v>-2.8318235221312484</v>
          </cell>
          <cell r="AS1367">
            <v>-2.8538866208917648</v>
          </cell>
          <cell r="AT1367">
            <v>-2.8750322759276128</v>
          </cell>
          <cell r="AU1367">
            <v>-2.8950577987482533</v>
          </cell>
          <cell r="AV1367">
            <v>-2.9145454844105712</v>
          </cell>
          <cell r="AW1367">
            <v>-2.9338104515648693</v>
          </cell>
          <cell r="AX1367">
            <v>-2.9531030401527554</v>
          </cell>
          <cell r="AY1367">
            <v>-2.9726150482023681</v>
          </cell>
          <cell r="AZ1367">
            <v>-2.9903944901770609</v>
          </cell>
          <cell r="BA1367">
            <v>-3.0076084670299159</v>
          </cell>
          <cell r="BB1367">
            <v>-3.4639076848637491</v>
          </cell>
          <cell r="BC1367">
            <v>-4.0743808944875068</v>
          </cell>
          <cell r="BD1367">
            <v>-4.732733609705166</v>
          </cell>
          <cell r="BE1367">
            <v>2.4627260846567238E-2</v>
          </cell>
          <cell r="BF1367">
            <v>2.6598171712759654E-2</v>
          </cell>
          <cell r="BG1367">
            <v>2.8484324639781216E-2</v>
          </cell>
          <cell r="BH1367">
            <v>3.0234981441569546E-2</v>
          </cell>
          <cell r="BI1367">
            <v>3.1819722090826522E-2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-2.5968107634626074E-4</v>
          </cell>
          <cell r="G1368">
            <v>-2.5837884155434164E-2</v>
          </cell>
          <cell r="H1368">
            <v>-6.5894864722789312E-2</v>
          </cell>
          <cell r="I1368">
            <v>-0.10296652425204897</v>
          </cell>
          <cell r="J1368">
            <v>-0.13149391880112415</v>
          </cell>
          <cell r="K1368">
            <v>-0.15029326941273186</v>
          </cell>
          <cell r="L1368">
            <v>-0.16017754947607554</v>
          </cell>
          <cell r="M1368">
            <v>-0.16249780791135635</v>
          </cell>
          <cell r="N1368">
            <v>-0.15885154725587955</v>
          </cell>
          <cell r="O1368">
            <v>-0.15082810510551389</v>
          </cell>
          <cell r="P1368">
            <v>-0.13990095609095612</v>
          </cell>
          <cell r="Q1368">
            <v>-0.1276200472871607</v>
          </cell>
          <cell r="R1368">
            <v>-0.11498184375198688</v>
          </cell>
          <cell r="S1368">
            <v>-0.10282548091257887</v>
          </cell>
          <cell r="T1368">
            <v>-9.1786589283603698E-2</v>
          </cell>
          <cell r="U1368">
            <v>-8.2259606284784875E-2</v>
          </cell>
          <cell r="V1368">
            <v>-7.4545606178293672E-2</v>
          </cell>
          <cell r="W1368">
            <v>-6.8603470327828972E-2</v>
          </cell>
          <cell r="X1368">
            <v>-6.4220938468147817E-2</v>
          </cell>
          <cell r="Y1368">
            <v>-6.1169864701632652E-2</v>
          </cell>
          <cell r="Z1368">
            <v>-5.9215807981299454E-2</v>
          </cell>
          <cell r="AA1368">
            <v>-5.8056593543687605E-2</v>
          </cell>
          <cell r="AB1368">
            <v>-5.7513307583110164E-2</v>
          </cell>
          <cell r="AC1368">
            <v>-5.7410920776524016E-2</v>
          </cell>
          <cell r="AD1368">
            <v>-5.7595956961284292E-2</v>
          </cell>
          <cell r="AE1368">
            <v>-5.7996219504455229E-2</v>
          </cell>
          <cell r="AF1368">
            <v>-5.8331411594478882E-2</v>
          </cell>
          <cell r="AG1368">
            <v>-5.8612414388080382E-2</v>
          </cell>
          <cell r="AH1368">
            <v>-5.8859937242467991E-2</v>
          </cell>
          <cell r="AI1368">
            <v>-5.905663416971383E-2</v>
          </cell>
          <cell r="AJ1368">
            <v>-5.9186161939550945E-2</v>
          </cell>
          <cell r="AK1368">
            <v>-5.9210350725384747E-2</v>
          </cell>
          <cell r="AL1368">
            <v>-5.9124125156704614E-2</v>
          </cell>
          <cell r="AM1368">
            <v>-5.8934896050953894E-2</v>
          </cell>
          <cell r="AN1368">
            <v>-5.8639098109820938E-2</v>
          </cell>
          <cell r="AO1368">
            <v>-5.8233714879561478E-2</v>
          </cell>
          <cell r="AP1368">
            <v>-5.7540227607165463E-2</v>
          </cell>
          <cell r="AQ1368">
            <v>-5.6600048901768091E-2</v>
          </cell>
          <cell r="AR1368">
            <v>-5.5563878274751982E-2</v>
          </cell>
          <cell r="AS1368">
            <v>-5.4470501725756466E-2</v>
          </cell>
          <cell r="AT1368">
            <v>-5.3338521426471615E-2</v>
          </cell>
          <cell r="AU1368">
            <v>-5.2142479250427295E-2</v>
          </cell>
          <cell r="AV1368">
            <v>-5.0887063690775836E-2</v>
          </cell>
          <cell r="AW1368">
            <v>-4.9587968119249495E-2</v>
          </cell>
          <cell r="AX1368">
            <v>-4.8243770900085817E-2</v>
          </cell>
          <cell r="AY1368">
            <v>-4.685276630768035E-2</v>
          </cell>
          <cell r="AZ1368">
            <v>-4.5326050662120594E-2</v>
          </cell>
          <cell r="BA1368">
            <v>-4.3699618451538975E-2</v>
          </cell>
          <cell r="BB1368">
            <v>-0.16554008590513336</v>
          </cell>
          <cell r="BC1368">
            <v>-0.22160565411345018</v>
          </cell>
          <cell r="BD1368">
            <v>-0.25015777676765266</v>
          </cell>
          <cell r="BE1368">
            <v>6.2562576488679683E-3</v>
          </cell>
          <cell r="BF1368">
            <v>6.4977563843595931E-3</v>
          </cell>
          <cell r="BG1368">
            <v>6.7405093711651069E-3</v>
          </cell>
          <cell r="BH1368">
            <v>6.9831096687923509E-3</v>
          </cell>
          <cell r="BI1368">
            <v>7.2267607524996134E-3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</row>
        <row r="1370">
          <cell r="E1370" t="str">
            <v>100*((I_2-I_0)/GDP_0)</v>
          </cell>
          <cell r="F1370">
            <v>-0.21438918413539168</v>
          </cell>
          <cell r="G1370">
            <v>-0.33320621412426371</v>
          </cell>
          <cell r="H1370">
            <v>-0.3969262066320649</v>
          </cell>
          <cell r="I1370">
            <v>-0.43933265590599158</v>
          </cell>
          <cell r="J1370">
            <v>-0.48002468926697645</v>
          </cell>
          <cell r="K1370">
            <v>-0.5293808316661428</v>
          </cell>
          <cell r="L1370">
            <v>-0.59188169262972801</v>
          </cell>
          <cell r="M1370">
            <v>-0.66681177249908841</v>
          </cell>
          <cell r="N1370">
            <v>-0.75126117377509405</v>
          </cell>
          <cell r="O1370">
            <v>-0.84130317008747191</v>
          </cell>
          <cell r="P1370">
            <v>-0.93253917796288277</v>
          </cell>
          <cell r="Q1370">
            <v>-1.0239403059804131</v>
          </cell>
          <cell r="R1370">
            <v>-1.1119851618819068</v>
          </cell>
          <cell r="S1370">
            <v>-1.195030154926366</v>
          </cell>
          <cell r="T1370">
            <v>-1.2723615948502485</v>
          </cell>
          <cell r="U1370">
            <v>-1.343959692526872</v>
          </cell>
          <cell r="V1370">
            <v>-1.4113152614651867</v>
          </cell>
          <cell r="W1370">
            <v>-1.4746343689938617</v>
          </cell>
          <cell r="X1370">
            <v>-1.5344242437775817</v>
          </cell>
          <cell r="Y1370">
            <v>-1.5912268011205564</v>
          </cell>
          <cell r="Z1370">
            <v>-1.6460385406796538</v>
          </cell>
          <cell r="AA1370">
            <v>-1.6979610200583459</v>
          </cell>
          <cell r="AB1370">
            <v>-1.7479759734778031</v>
          </cell>
          <cell r="AC1370">
            <v>-1.7961927870115382</v>
          </cell>
          <cell r="AD1370">
            <v>-1.842674053671066</v>
          </cell>
          <cell r="AE1370">
            <v>-1.8890327560554456</v>
          </cell>
          <cell r="AF1370">
            <v>-1.9318382531669553</v>
          </cell>
          <cell r="AG1370">
            <v>-1.9724674915266032</v>
          </cell>
          <cell r="AH1370">
            <v>-2.0108938920126866</v>
          </cell>
          <cell r="AI1370">
            <v>-2.0471198161281725</v>
          </cell>
          <cell r="AJ1370">
            <v>-2.0811638496348728</v>
          </cell>
          <cell r="AK1370">
            <v>-2.1128407901325459</v>
          </cell>
          <cell r="AL1370">
            <v>-2.1422541293343156</v>
          </cell>
          <cell r="AM1370">
            <v>-2.1694709206298812</v>
          </cell>
          <cell r="AN1370">
            <v>-2.1945521590753714</v>
          </cell>
          <cell r="AO1370">
            <v>-2.2175601195224526</v>
          </cell>
          <cell r="AP1370">
            <v>-2.2371582829687595</v>
          </cell>
          <cell r="AQ1370">
            <v>-2.2535055779504982</v>
          </cell>
          <cell r="AR1370">
            <v>-2.2670167330591724</v>
          </cell>
          <cell r="AS1370">
            <v>-2.2780114455939766</v>
          </cell>
          <cell r="AT1370">
            <v>-2.2867714711268783</v>
          </cell>
          <cell r="AU1370">
            <v>-2.2932731561786821</v>
          </cell>
          <cell r="AV1370">
            <v>-2.2978283834194713</v>
          </cell>
          <cell r="AW1370">
            <v>-2.3006736796311529</v>
          </cell>
          <cell r="AX1370">
            <v>-2.3020080003303174</v>
          </cell>
          <cell r="AY1370">
            <v>-2.3020013095706173</v>
          </cell>
          <cell r="AZ1370">
            <v>-2.2998702817862924</v>
          </cell>
          <cell r="BA1370">
            <v>-2.2960687188745132</v>
          </cell>
          <cell r="BB1370">
            <v>-2.4758539895929408</v>
          </cell>
          <cell r="BC1370">
            <v>-2.6896053336652104</v>
          </cell>
          <cell r="BD1370">
            <v>-2.9134177166302933</v>
          </cell>
          <cell r="BE1370">
            <v>-4.521236430945175E-3</v>
          </cell>
          <cell r="BF1370">
            <v>7.2949558812879342E-4</v>
          </cell>
          <cell r="BG1370">
            <v>6.3874356486643144E-3</v>
          </cell>
          <cell r="BH1370">
            <v>1.2419202628000638E-2</v>
          </cell>
          <cell r="BI1370">
            <v>1.8789179124359609E-2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</row>
        <row r="1372">
          <cell r="E1372" t="str">
            <v>100*((X_2-X_0)/GDP_0)-100*((M_2-M_0)/GDP_0)</v>
          </cell>
          <cell r="F1372">
            <v>-1.1636909578457058</v>
          </cell>
          <cell r="G1372">
            <v>-1.0039557865570834</v>
          </cell>
          <cell r="H1372">
            <v>-0.8642285042534319</v>
          </cell>
          <cell r="I1372">
            <v>-0.72459805363879659</v>
          </cell>
          <cell r="J1372">
            <v>-0.58851838665808454</v>
          </cell>
          <cell r="K1372">
            <v>-0.46213717884236449</v>
          </cell>
          <cell r="L1372">
            <v>-0.35149216464736521</v>
          </cell>
          <cell r="M1372">
            <v>-0.26037724196107148</v>
          </cell>
          <cell r="N1372">
            <v>-0.19154612493083301</v>
          </cell>
          <cell r="O1372">
            <v>-0.14617088859397787</v>
          </cell>
          <cell r="P1372">
            <v>-0.12505127133726401</v>
          </cell>
          <cell r="Q1372">
            <v>-0.1279946062294719</v>
          </cell>
          <cell r="R1372">
            <v>-0.14948448679743609</v>
          </cell>
          <cell r="S1372">
            <v>-0.18676872831966862</v>
          </cell>
          <cell r="T1372">
            <v>-0.23673146406463341</v>
          </cell>
          <cell r="U1372">
            <v>-0.29625230017067761</v>
          </cell>
          <cell r="V1372">
            <v>-0.36616404557521509</v>
          </cell>
          <cell r="W1372">
            <v>-0.43944439223708898</v>
          </cell>
          <cell r="X1372">
            <v>-0.51427177350978548</v>
          </cell>
          <cell r="Y1372">
            <v>-0.58910451687858023</v>
          </cell>
          <cell r="Z1372">
            <v>-0.66176721485181433</v>
          </cell>
          <cell r="AA1372">
            <v>-0.73382333311046244</v>
          </cell>
          <cell r="AB1372">
            <v>-0.80325419084777527</v>
          </cell>
          <cell r="AC1372">
            <v>-0.86979854889311659</v>
          </cell>
          <cell r="AD1372">
            <v>-0.93333670859223306</v>
          </cell>
          <cell r="AE1372">
            <v>-0.99084467713184443</v>
          </cell>
          <cell r="AF1372">
            <v>-1.0472372172708875</v>
          </cell>
          <cell r="AG1372">
            <v>-1.1016429052857122</v>
          </cell>
          <cell r="AH1372">
            <v>-1.154170670853004</v>
          </cell>
          <cell r="AI1372">
            <v>-1.2049678801952433</v>
          </cell>
          <cell r="AJ1372">
            <v>-1.2542136514606552</v>
          </cell>
          <cell r="AK1372">
            <v>-1.3014876871352854</v>
          </cell>
          <cell r="AL1372">
            <v>-1.3477241137277174</v>
          </cell>
          <cell r="AM1372">
            <v>-1.3930687333111096</v>
          </cell>
          <cell r="AN1372">
            <v>-1.4376893619833937</v>
          </cell>
          <cell r="AO1372">
            <v>-1.4817512241461617</v>
          </cell>
          <cell r="AP1372">
            <v>-1.5196718303647958</v>
          </cell>
          <cell r="AQ1372">
            <v>-1.5586170248755482</v>
          </cell>
          <cell r="AR1372">
            <v>-1.5981549933746715</v>
          </cell>
          <cell r="AS1372">
            <v>-1.6381419724168049</v>
          </cell>
          <cell r="AT1372">
            <v>-1.6785098521001562</v>
          </cell>
          <cell r="AU1372">
            <v>-1.7184930947752837</v>
          </cell>
          <cell r="AV1372">
            <v>-1.7589332558419875</v>
          </cell>
          <cell r="AW1372">
            <v>-1.7997505271336536</v>
          </cell>
          <cell r="AX1372">
            <v>-1.8408980752243904</v>
          </cell>
          <cell r="AY1372">
            <v>-1.8823280451246873</v>
          </cell>
          <cell r="AZ1372">
            <v>-1.9217558406799617</v>
          </cell>
          <cell r="BA1372">
            <v>-1.9616504994351618</v>
          </cell>
          <cell r="BB1372">
            <v>-1.8744208728263851</v>
          </cell>
          <cell r="BC1372">
            <v>-1.7865341576483873</v>
          </cell>
          <cell r="BD1372">
            <v>-1.697510386157961</v>
          </cell>
          <cell r="BE1372">
            <v>-0.19320109391079338</v>
          </cell>
          <cell r="BF1372">
            <v>-0.20237502709255517</v>
          </cell>
          <cell r="BG1372">
            <v>-0.21158891458899307</v>
          </cell>
          <cell r="BH1372">
            <v>-0.22082829874555396</v>
          </cell>
          <cell r="BI1372">
            <v>-0.23008438738529277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-0.22559165446958893</v>
          </cell>
          <cell r="G1373">
            <v>-0.55787574712803656</v>
          </cell>
          <cell r="H1373">
            <v>-0.88322885772807269</v>
          </cell>
          <cell r="I1373">
            <v>-1.1873830582686888</v>
          </cell>
          <cell r="J1373">
            <v>-1.4701085348174776</v>
          </cell>
          <cell r="K1373">
            <v>-1.7309149978562726</v>
          </cell>
          <cell r="L1373">
            <v>-1.9678735240683889</v>
          </cell>
          <cell r="M1373">
            <v>-2.1745347745431314</v>
          </cell>
          <cell r="N1373">
            <v>-2.3455781160150031</v>
          </cell>
          <cell r="O1373">
            <v>-2.4775113167322123</v>
          </cell>
          <cell r="P1373">
            <v>-2.5681997630999187</v>
          </cell>
          <cell r="Q1373">
            <v>-2.6249667564990427</v>
          </cell>
          <cell r="R1373">
            <v>-2.6492706903800047</v>
          </cell>
          <cell r="S1373">
            <v>-2.6468567624796124</v>
          </cell>
          <cell r="T1373">
            <v>-2.6244527264185598</v>
          </cell>
          <cell r="U1373">
            <v>-2.5889576445305731</v>
          </cell>
          <cell r="V1373">
            <v>-2.5487070578211921</v>
          </cell>
          <cell r="W1373">
            <v>-2.5083293396292028</v>
          </cell>
          <cell r="X1373">
            <v>-2.4716863202176085</v>
          </cell>
          <cell r="Y1373">
            <v>-2.4413560522287603</v>
          </cell>
          <cell r="Z1373">
            <v>-2.4197219828308176</v>
          </cell>
          <cell r="AA1373">
            <v>-2.4051691062904932</v>
          </cell>
          <cell r="AB1373">
            <v>-2.3989788391319493</v>
          </cell>
          <cell r="AC1373">
            <v>-2.4007173666077208</v>
          </cell>
          <cell r="AD1373">
            <v>-2.4096564445249808</v>
          </cell>
          <cell r="AE1373">
            <v>-2.4271783435486949</v>
          </cell>
          <cell r="AF1373">
            <v>-2.4466418868193029</v>
          </cell>
          <cell r="AG1373">
            <v>-2.4692941997712192</v>
          </cell>
          <cell r="AH1373">
            <v>-2.4945189378000316</v>
          </cell>
          <cell r="AI1373">
            <v>-2.5218223681023284</v>
          </cell>
          <cell r="AJ1373">
            <v>-2.5507572439964847</v>
          </cell>
          <cell r="AK1373">
            <v>-2.5804766906331111</v>
          </cell>
          <cell r="AL1373">
            <v>-2.6108155517362981</v>
          </cell>
          <cell r="AM1373">
            <v>-2.6415352879964731</v>
          </cell>
          <cell r="AN1373">
            <v>-2.6724454337379826</v>
          </cell>
          <cell r="AO1373">
            <v>-2.7033861052400154</v>
          </cell>
          <cell r="AP1373">
            <v>-2.730871454475277</v>
          </cell>
          <cell r="AQ1373">
            <v>-2.755705422136987</v>
          </cell>
          <cell r="AR1373">
            <v>-2.7784613522806567</v>
          </cell>
          <cell r="AS1373">
            <v>-2.799763268730636</v>
          </cell>
          <cell r="AT1373">
            <v>-2.820149912041916</v>
          </cell>
          <cell r="AU1373">
            <v>-2.8394269327052388</v>
          </cell>
          <cell r="AV1373">
            <v>-2.8581688916372667</v>
          </cell>
          <cell r="AW1373">
            <v>-2.8766890920069144</v>
          </cell>
          <cell r="AX1373">
            <v>-2.8952374689208882</v>
          </cell>
          <cell r="AY1373">
            <v>-2.9140065319641177</v>
          </cell>
          <cell r="AZ1373">
            <v>-2.9310938342717114</v>
          </cell>
          <cell r="BA1373">
            <v>-2.9476439509225822</v>
          </cell>
          <cell r="BB1373">
            <v>-3.3961686429704243</v>
          </cell>
          <cell r="BC1373">
            <v>-3.9939932315416096</v>
          </cell>
          <cell r="BD1373">
            <v>-4.6380477494217631</v>
          </cell>
          <cell r="BE1373">
            <v>2.6026198978007193E-2</v>
          </cell>
          <cell r="BF1373">
            <v>2.8054577078108104E-2</v>
          </cell>
          <cell r="BG1373">
            <v>2.9998808361020476E-2</v>
          </cell>
          <cell r="BH1373">
            <v>3.1809355117782684E-2</v>
          </cell>
          <cell r="BI1373">
            <v>3.3456583928692905E-2</v>
          </cell>
        </row>
        <row r="1374">
          <cell r="E1374" t="str">
            <v>100*((I_2+CH_ccon_2-(I_0+CH_ccon_0))/GDP_0)</v>
          </cell>
          <cell r="F1374">
            <v>-0.21744775717056763</v>
          </cell>
          <cell r="G1374">
            <v>-0.34065150315009041</v>
          </cell>
          <cell r="H1374">
            <v>-0.4083732846209735</v>
          </cell>
          <cell r="I1374">
            <v>-0.45491783965596305</v>
          </cell>
          <cell r="J1374">
            <v>-0.50026818044693633</v>
          </cell>
          <cell r="K1374">
            <v>-0.55482157704582735</v>
          </cell>
          <cell r="L1374">
            <v>-0.6228005651492784</v>
          </cell>
          <cell r="M1374">
            <v>-0.70304966689088921</v>
          </cell>
          <cell r="N1374">
            <v>-0.79225144647365098</v>
          </cell>
          <cell r="O1374">
            <v>-0.88618135162178246</v>
          </cell>
          <cell r="P1374">
            <v>-0.98025869768457485</v>
          </cell>
          <cell r="Q1374">
            <v>-1.0735299280964321</v>
          </cell>
          <cell r="R1374">
            <v>-1.1625020173538825</v>
          </cell>
          <cell r="S1374">
            <v>-1.2456779639359508</v>
          </cell>
          <cell r="T1374">
            <v>-1.3225307778128816</v>
          </cell>
          <cell r="U1374">
            <v>-1.3932383496194773</v>
          </cell>
          <cell r="V1374">
            <v>-1.459514346454345</v>
          </cell>
          <cell r="W1374">
            <v>-1.5217053041765924</v>
          </cell>
          <cell r="X1374">
            <v>-1.58043177448474</v>
          </cell>
          <cell r="Y1374">
            <v>-1.6363125651113846</v>
          </cell>
          <cell r="Z1374">
            <v>-1.6904070453296782</v>
          </cell>
          <cell r="AA1374">
            <v>-1.7417988043999872</v>
          </cell>
          <cell r="AB1374">
            <v>-1.7914975280271723</v>
          </cell>
          <cell r="AC1374">
            <v>-1.8396045723066758</v>
          </cell>
          <cell r="AD1374">
            <v>-1.8861670065075549</v>
          </cell>
          <cell r="AE1374">
            <v>-1.9328195813498115</v>
          </cell>
          <cell r="AF1374">
            <v>-1.9760071004529076</v>
          </cell>
          <cell r="AG1374">
            <v>-2.0171273075406106</v>
          </cell>
          <cell r="AH1374">
            <v>-2.0561393963795567</v>
          </cell>
          <cell r="AI1374">
            <v>-2.0930338745968036</v>
          </cell>
          <cell r="AJ1374">
            <v>-2.127817284546726</v>
          </cell>
          <cell r="AK1374">
            <v>-2.1602828286661442</v>
          </cell>
          <cell r="AL1374">
            <v>-2.1905268175598871</v>
          </cell>
          <cell r="AM1374">
            <v>-2.2186078321311933</v>
          </cell>
          <cell r="AN1374">
            <v>-2.2445795492926668</v>
          </cell>
          <cell r="AO1374">
            <v>-2.268497600519447</v>
          </cell>
          <cell r="AP1374">
            <v>-2.2889430250702998</v>
          </cell>
          <cell r="AQ1374">
            <v>-2.3060934482566595</v>
          </cell>
          <cell r="AR1374">
            <v>-2.3203789029097708</v>
          </cell>
          <cell r="AS1374">
            <v>-2.3321347977551055</v>
          </cell>
          <cell r="AT1374">
            <v>-2.341653835012572</v>
          </cell>
          <cell r="AU1374">
            <v>-2.3489040222216997</v>
          </cell>
          <cell r="AV1374">
            <v>-2.3542049761927792</v>
          </cell>
          <cell r="AW1374">
            <v>-2.3577950391891043</v>
          </cell>
          <cell r="AX1374">
            <v>-2.3598735715621846</v>
          </cell>
          <cell r="AY1374">
            <v>-2.3606098258088708</v>
          </cell>
          <cell r="AZ1374">
            <v>-2.3591709376916392</v>
          </cell>
          <cell r="BA1374">
            <v>-2.3560332349818478</v>
          </cell>
          <cell r="BB1374">
            <v>-2.543593031486266</v>
          </cell>
          <cell r="BC1374">
            <v>-2.7699929966111045</v>
          </cell>
          <cell r="BD1374">
            <v>-3.0081035769136899</v>
          </cell>
          <cell r="BE1374">
            <v>-5.9201745623804168E-3</v>
          </cell>
          <cell r="BF1374">
            <v>-7.2690977721502409E-4</v>
          </cell>
          <cell r="BG1374">
            <v>4.8729519274250564E-3</v>
          </cell>
          <cell r="BH1374">
            <v>1.0844828951787504E-2</v>
          </cell>
          <cell r="BI1374">
            <v>1.7152317286497642E-2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-0.21464322081051018</v>
          </cell>
          <cell r="G1375">
            <v>-0.3346499630659463</v>
          </cell>
          <cell r="H1375">
            <v>-0.40045498758291959</v>
          </cell>
          <cell r="I1375">
            <v>-0.44464264966210443</v>
          </cell>
          <cell r="J1375">
            <v>-0.48602294220171938</v>
          </cell>
          <cell r="K1375">
            <v>-0.53465774770610031</v>
          </cell>
          <cell r="L1375">
            <v>-0.59505680467756705</v>
          </cell>
          <cell r="M1375">
            <v>-0.66678206023076525</v>
          </cell>
          <cell r="N1375">
            <v>-0.74728161653296798</v>
          </cell>
          <cell r="O1375">
            <v>-0.83298943287948501</v>
          </cell>
          <cell r="P1375">
            <v>-0.91983145747381567</v>
          </cell>
          <cell r="Q1375">
            <v>-1.0069601486556863</v>
          </cell>
          <cell r="R1375">
            <v>-1.0910546234080003</v>
          </cell>
          <cell r="S1375">
            <v>-1.1705714603743111</v>
          </cell>
          <cell r="T1375">
            <v>-1.2448369730477113</v>
          </cell>
          <cell r="U1375">
            <v>-1.3138274968948094</v>
          </cell>
          <cell r="V1375">
            <v>-1.378971099003452</v>
          </cell>
          <cell r="W1375">
            <v>-1.4404436174506166</v>
          </cell>
          <cell r="X1375">
            <v>-1.4987031989497284</v>
          </cell>
          <cell r="Y1375">
            <v>-1.5542427836245531</v>
          </cell>
          <cell r="Z1375">
            <v>-1.6080055557702497</v>
          </cell>
          <cell r="AA1375">
            <v>-1.6590755843754383</v>
          </cell>
          <cell r="AB1375">
            <v>-1.7083846926459829</v>
          </cell>
          <cell r="AC1375">
            <v>-1.756015371649597</v>
          </cell>
          <cell r="AD1375">
            <v>-1.8020066235578576</v>
          </cell>
          <cell r="AE1375">
            <v>-1.8479287981871786</v>
          </cell>
          <cell r="AF1375">
            <v>-1.8904000529531853</v>
          </cell>
          <cell r="AG1375">
            <v>-1.9307489282884889</v>
          </cell>
          <cell r="AH1375">
            <v>-1.9689371666662638</v>
          </cell>
          <cell r="AI1375">
            <v>-2.0049550672624439</v>
          </cell>
          <cell r="AJ1375">
            <v>-2.0388103259583215</v>
          </cell>
          <cell r="AK1375">
            <v>-2.0703161400840409</v>
          </cell>
          <cell r="AL1375">
            <v>-2.0995647521823408</v>
          </cell>
          <cell r="AM1375">
            <v>-2.1266162669492723</v>
          </cell>
          <cell r="AN1375">
            <v>-2.1515260244078935</v>
          </cell>
          <cell r="AO1375">
            <v>-2.1743519737940149</v>
          </cell>
          <cell r="AP1375">
            <v>-2.1938174344414083</v>
          </cell>
          <cell r="AQ1375">
            <v>-2.2100560933446958</v>
          </cell>
          <cell r="AR1375">
            <v>-2.2234708648754471</v>
          </cell>
          <cell r="AS1375">
            <v>-2.2343704779856917</v>
          </cell>
          <cell r="AT1375">
            <v>-2.2430278516499653</v>
          </cell>
          <cell r="AU1375">
            <v>-2.2494242743361155</v>
          </cell>
          <cell r="AV1375">
            <v>-2.253863087792785</v>
          </cell>
          <cell r="AW1375">
            <v>-2.2565782879511405</v>
          </cell>
          <cell r="AX1375">
            <v>-2.2577679745754491</v>
          </cell>
          <cell r="AY1375">
            <v>-2.2576028111688107</v>
          </cell>
          <cell r="AZ1375">
            <v>-2.2553393260725909</v>
          </cell>
          <cell r="BA1375">
            <v>-2.2514160626493376</v>
          </cell>
          <cell r="BB1375">
            <v>-2.4155079932993235</v>
          </cell>
          <cell r="BC1375">
            <v>-2.6082993115106348</v>
          </cell>
          <cell r="BD1375">
            <v>-2.8090482065551639</v>
          </cell>
          <cell r="BE1375">
            <v>-3.6374125724455979E-3</v>
          </cell>
          <cell r="BF1375">
            <v>1.4909450650637188E-3</v>
          </cell>
          <cell r="BG1375">
            <v>7.0179858722023399E-3</v>
          </cell>
          <cell r="BH1375">
            <v>1.2911954943280624E-2</v>
          </cell>
          <cell r="BI1375">
            <v>1.9138570094063296E-2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-3.0585730351769536E-3</v>
          </cell>
          <cell r="G1376">
            <v>-7.4452890258265084E-3</v>
          </cell>
          <cell r="H1376">
            <v>-1.1447077988909614E-2</v>
          </cell>
          <cell r="I1376">
            <v>-1.5585183749971735E-2</v>
          </cell>
          <cell r="J1376">
            <v>-2.0243491179959286E-2</v>
          </cell>
          <cell r="K1376">
            <v>-2.5440745379683459E-2</v>
          </cell>
          <cell r="L1376">
            <v>-3.0918872519552006E-2</v>
          </cell>
          <cell r="M1376">
            <v>-3.6237894391804935E-2</v>
          </cell>
          <cell r="N1376">
            <v>-4.0990272698557942E-2</v>
          </cell>
          <cell r="O1376">
            <v>-4.4878181534312167E-2</v>
          </cell>
          <cell r="P1376">
            <v>-4.7719519721690112E-2</v>
          </cell>
          <cell r="Q1376">
            <v>-4.9589622116018493E-2</v>
          </cell>
          <cell r="R1376">
            <v>-5.0516855471974695E-2</v>
          </cell>
          <cell r="S1376">
            <v>-5.0647809009583787E-2</v>
          </cell>
          <cell r="T1376">
            <v>-5.0169182962630426E-2</v>
          </cell>
          <cell r="U1376">
            <v>-4.9278657092604435E-2</v>
          </cell>
          <cell r="V1376">
            <v>-4.8199084989157905E-2</v>
          </cell>
          <cell r="W1376">
            <v>-4.7070935182732414E-2</v>
          </cell>
          <cell r="X1376">
            <v>-4.6007530707158836E-2</v>
          </cell>
          <cell r="Y1376">
            <v>-4.5085763990830065E-2</v>
          </cell>
          <cell r="Z1376">
            <v>-4.4368504650024329E-2</v>
          </cell>
          <cell r="AA1376">
            <v>-4.3837784341639353E-2</v>
          </cell>
          <cell r="AB1376">
            <v>-4.3521554549367882E-2</v>
          </cell>
          <cell r="AC1376">
            <v>-4.341178529513548E-2</v>
          </cell>
          <cell r="AD1376">
            <v>-4.3492952836488796E-2</v>
          </cell>
          <cell r="AE1376">
            <v>-4.3786825294363424E-2</v>
          </cell>
          <cell r="AF1376">
            <v>-4.4168847285948887E-2</v>
          </cell>
          <cell r="AG1376">
            <v>-4.4659816014005531E-2</v>
          </cell>
          <cell r="AH1376">
            <v>-4.5245504366868472E-2</v>
          </cell>
          <cell r="AI1376">
            <v>-4.5914058468630795E-2</v>
          </cell>
          <cell r="AJ1376">
            <v>-4.665343491185301E-2</v>
          </cell>
          <cell r="AK1376">
            <v>-4.7442038533599122E-2</v>
          </cell>
          <cell r="AL1376">
            <v>-4.8272688225571375E-2</v>
          </cell>
          <cell r="AM1376">
            <v>-4.9136911501313635E-2</v>
          </cell>
          <cell r="AN1376">
            <v>-5.0027390217296477E-2</v>
          </cell>
          <cell r="AO1376">
            <v>-5.093748099699464E-2</v>
          </cell>
          <cell r="AP1376">
            <v>-5.1784742101539494E-2</v>
          </cell>
          <cell r="AQ1376">
            <v>-5.2587870306158684E-2</v>
          </cell>
          <cell r="AR1376">
            <v>-5.3362169850596775E-2</v>
          </cell>
          <cell r="AS1376">
            <v>-5.412335216112861E-2</v>
          </cell>
          <cell r="AT1376">
            <v>-5.488236388569448E-2</v>
          </cell>
          <cell r="AU1376">
            <v>-5.5630866043018867E-2</v>
          </cell>
          <cell r="AV1376">
            <v>-5.6376592773305943E-2</v>
          </cell>
          <cell r="AW1376">
            <v>-5.7121359557953576E-2</v>
          </cell>
          <cell r="AX1376">
            <v>-5.7865571231866877E-2</v>
          </cell>
          <cell r="AY1376">
            <v>-5.8608516238251709E-2</v>
          </cell>
          <cell r="AZ1376">
            <v>-5.9300655905345952E-2</v>
          </cell>
          <cell r="BA1376">
            <v>-5.9964516107334886E-2</v>
          </cell>
          <cell r="BB1376">
            <v>-6.7739041893325511E-2</v>
          </cell>
          <cell r="BC1376">
            <v>-8.038766294589518E-2</v>
          </cell>
          <cell r="BD1376">
            <v>-9.468586028339708E-2</v>
          </cell>
          <cell r="BE1376">
            <v>-1.3989381314381863E-3</v>
          </cell>
          <cell r="BF1376">
            <v>-1.4564053653442521E-3</v>
          </cell>
          <cell r="BG1376">
            <v>-1.5144837212395438E-3</v>
          </cell>
          <cell r="BH1376">
            <v>-1.5743736762150961E-3</v>
          </cell>
          <cell r="BI1376">
            <v>-1.6368618378615565E-3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2.5403667511718586E-4</v>
          </cell>
          <cell r="G1377">
            <v>1.4437489416816241E-3</v>
          </cell>
          <cell r="H1377">
            <v>3.5287809508531545E-3</v>
          </cell>
          <cell r="I1377">
            <v>5.3099937561144079E-3</v>
          </cell>
          <cell r="J1377">
            <v>5.9982529347425958E-3</v>
          </cell>
          <cell r="K1377">
            <v>5.2769160399571934E-3</v>
          </cell>
          <cell r="L1377">
            <v>3.1751120478390234E-3</v>
          </cell>
          <cell r="M1377">
            <v>-2.9712268322462271E-5</v>
          </cell>
          <cell r="N1377">
            <v>-3.9795572421258323E-3</v>
          </cell>
          <cell r="O1377">
            <v>-8.3137372079863676E-3</v>
          </cell>
          <cell r="P1377">
            <v>-1.2707720489067313E-2</v>
          </cell>
          <cell r="Q1377">
            <v>-1.6980157324726314E-2</v>
          </cell>
          <cell r="R1377">
            <v>-2.0930538473905209E-2</v>
          </cell>
          <cell r="S1377">
            <v>-2.4458694552055224E-2</v>
          </cell>
          <cell r="T1377">
            <v>-2.7524621802537404E-2</v>
          </cell>
          <cell r="U1377">
            <v>-3.013219563206029E-2</v>
          </cell>
          <cell r="V1377">
            <v>-3.2344162461735534E-2</v>
          </cell>
          <cell r="W1377">
            <v>-3.4190751543246106E-2</v>
          </cell>
          <cell r="X1377">
            <v>-3.5721044827853141E-2</v>
          </cell>
          <cell r="Y1377">
            <v>-3.6984017496001657E-2</v>
          </cell>
          <cell r="Z1377">
            <v>-3.8032984909403406E-2</v>
          </cell>
          <cell r="AA1377">
            <v>-3.8885435682903945E-2</v>
          </cell>
          <cell r="AB1377">
            <v>-3.9591280831822326E-2</v>
          </cell>
          <cell r="AC1377">
            <v>-4.017741536194272E-2</v>
          </cell>
          <cell r="AD1377">
            <v>-4.0667430113208523E-2</v>
          </cell>
          <cell r="AE1377">
            <v>-4.1103957868267871E-2</v>
          </cell>
          <cell r="AF1377">
            <v>-4.1438200213770107E-2</v>
          </cell>
          <cell r="AG1377">
            <v>-4.1718563238116339E-2</v>
          </cell>
          <cell r="AH1377">
            <v>-4.1956725346421669E-2</v>
          </cell>
          <cell r="AI1377">
            <v>-4.2164748865728047E-2</v>
          </cell>
          <cell r="AJ1377">
            <v>-4.2353523676553137E-2</v>
          </cell>
          <cell r="AK1377">
            <v>-4.2524650048505863E-2</v>
          </cell>
          <cell r="AL1377">
            <v>-4.2689377151975828E-2</v>
          </cell>
          <cell r="AM1377">
            <v>-4.2854653680609096E-2</v>
          </cell>
          <cell r="AN1377">
            <v>-4.3026134667479898E-2</v>
          </cell>
          <cell r="AO1377">
            <v>-4.3208145728439756E-2</v>
          </cell>
          <cell r="AP1377">
            <v>-4.334084852735072E-2</v>
          </cell>
          <cell r="AQ1377">
            <v>-4.3449484605800524E-2</v>
          </cell>
          <cell r="AR1377">
            <v>-4.3545868183723808E-2</v>
          </cell>
          <cell r="AS1377">
            <v>-4.3640967608283843E-2</v>
          </cell>
          <cell r="AT1377">
            <v>-4.374361947691234E-2</v>
          </cell>
          <cell r="AU1377">
            <v>-4.3848881842567577E-2</v>
          </cell>
          <cell r="AV1377">
            <v>-4.3965295626686066E-2</v>
          </cell>
          <cell r="AW1377">
            <v>-4.4095391680010684E-2</v>
          </cell>
          <cell r="AX1377">
            <v>-4.424002575486842E-2</v>
          </cell>
          <cell r="AY1377">
            <v>-4.4398498401808525E-2</v>
          </cell>
          <cell r="AZ1377">
            <v>-4.4530955713701359E-2</v>
          </cell>
          <cell r="BA1377">
            <v>-4.4652656225174364E-2</v>
          </cell>
          <cell r="BB1377">
            <v>-6.0345996293615242E-2</v>
          </cell>
          <cell r="BC1377">
            <v>-8.1306022154576704E-2</v>
          </cell>
          <cell r="BD1377">
            <v>-0.10436951007512947</v>
          </cell>
          <cell r="BE1377">
            <v>-8.8382385850016597E-4</v>
          </cell>
          <cell r="BF1377">
            <v>-7.614494769360836E-4</v>
          </cell>
          <cell r="BG1377">
            <v>-6.3055022354030314E-4</v>
          </cell>
          <cell r="BH1377">
            <v>-4.9275231527942524E-4</v>
          </cell>
          <cell r="BI1377">
            <v>-3.4939096970396073E-4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-0.41822160391977725</v>
          </cell>
          <cell r="G1378">
            <v>-1.0341224316555153</v>
          </cell>
          <cell r="H1378">
            <v>-1.6370983833103869</v>
          </cell>
          <cell r="I1378">
            <v>-2.2019639633687471</v>
          </cell>
          <cell r="J1378">
            <v>-2.7289010271915992</v>
          </cell>
          <cell r="K1378">
            <v>-3.2165723306496363</v>
          </cell>
          <cell r="L1378">
            <v>-3.659664924049788</v>
          </cell>
          <cell r="M1378">
            <v>-4.046044957237827</v>
          </cell>
          <cell r="N1378">
            <v>-4.3648928454177334</v>
          </cell>
          <cell r="O1378">
            <v>-4.6091925668531486</v>
          </cell>
          <cell r="P1378">
            <v>-4.7762993419471105</v>
          </cell>
          <cell r="Q1378">
            <v>-4.8761465032116202</v>
          </cell>
          <cell r="R1378">
            <v>-4.914620564941707</v>
          </cell>
          <cell r="S1378">
            <v>-4.9029184942656396</v>
          </cell>
          <cell r="T1378">
            <v>-4.8540496340424566</v>
          </cell>
          <cell r="U1378">
            <v>-4.7812227123588897</v>
          </cell>
          <cell r="V1378">
            <v>-4.7001613014101551</v>
          </cell>
          <cell r="W1378">
            <v>-4.6196074640303841</v>
          </cell>
          <cell r="X1378">
            <v>-4.5467880401102274</v>
          </cell>
          <cell r="Y1378">
            <v>-4.4864859067829777</v>
          </cell>
          <cell r="Z1378">
            <v>-4.4422173965045664</v>
          </cell>
          <cell r="AA1378">
            <v>-4.4133182590219366</v>
          </cell>
          <cell r="AB1378">
            <v>-4.4004216436406285</v>
          </cell>
          <cell r="AC1378">
            <v>-4.4026947468660316</v>
          </cell>
          <cell r="AD1378">
            <v>-4.4187418071101607</v>
          </cell>
          <cell r="AE1378">
            <v>-4.4487512667687357</v>
          </cell>
          <cell r="AF1378">
            <v>-4.4857128266276742</v>
          </cell>
          <cell r="AG1378">
            <v>-4.5293297523181568</v>
          </cell>
          <cell r="AH1378">
            <v>-4.5783153658036202</v>
          </cell>
          <cell r="AI1378">
            <v>-4.6315998869213004</v>
          </cell>
          <cell r="AJ1378">
            <v>-4.6882345836512851</v>
          </cell>
          <cell r="AK1378">
            <v>-4.7465569803511132</v>
          </cell>
          <cell r="AL1378">
            <v>-4.8061727124671938</v>
          </cell>
          <cell r="AM1378">
            <v>-4.8665582078333163</v>
          </cell>
          <cell r="AN1378">
            <v>-4.9272821197945067</v>
          </cell>
          <cell r="AO1378">
            <v>-4.9879738072999054</v>
          </cell>
          <cell r="AP1378">
            <v>-5.0415592895415751</v>
          </cell>
          <cell r="AQ1378">
            <v>-5.0904185219029507</v>
          </cell>
          <cell r="AR1378">
            <v>-5.1354802296402209</v>
          </cell>
          <cell r="AS1378">
            <v>-5.1777974333659493</v>
          </cell>
          <cell r="AT1378">
            <v>-5.2182814143268752</v>
          </cell>
          <cell r="AU1378">
            <v>-5.2565027664875146</v>
          </cell>
          <cell r="AV1378">
            <v>-5.2934790788534141</v>
          </cell>
          <cell r="AW1378">
            <v>-5.3297598741461227</v>
          </cell>
          <cell r="AX1378">
            <v>-5.3657873879439544</v>
          </cell>
          <cell r="AY1378">
            <v>-5.4019029840864814</v>
          </cell>
          <cell r="AZ1378">
            <v>-5.434601775494718</v>
          </cell>
          <cell r="BA1378">
            <v>-5.4659185751945945</v>
          </cell>
          <cell r="BB1378">
            <v>-6.2948192028768108</v>
          </cell>
          <cell r="BC1378">
            <v>-7.4033296411414096</v>
          </cell>
          <cell r="BD1378">
            <v>-8.5980592297994818</v>
          </cell>
          <cell r="BE1378">
            <v>4.7232767887850358E-2</v>
          </cell>
          <cell r="BF1378">
            <v>5.1108035496394422E-2</v>
          </cell>
          <cell r="BG1378">
            <v>5.4834125176528303E-2</v>
          </cell>
          <cell r="BH1378">
            <v>5.8312033652341277E-2</v>
          </cell>
          <cell r="BI1378">
            <v>6.1481245551497921E-2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-9.196377564379965E-3</v>
          </cell>
          <cell r="G1379">
            <v>-0.86808527213463327</v>
          </cell>
          <cell r="H1379">
            <v>-2.0996768522708931</v>
          </cell>
          <cell r="I1379">
            <v>-3.1531682507012659</v>
          </cell>
          <cell r="J1379">
            <v>-3.9248873235147919</v>
          </cell>
          <cell r="K1379">
            <v>-4.4196632645120859</v>
          </cell>
          <cell r="L1379">
            <v>-4.6744792522272487</v>
          </cell>
          <cell r="M1379">
            <v>-4.7277185103245305</v>
          </cell>
          <cell r="N1379">
            <v>-4.6194807698705764</v>
          </cell>
          <cell r="O1379">
            <v>-4.3906737259858719</v>
          </cell>
          <cell r="P1379">
            <v>-4.0795235823432581</v>
          </cell>
          <cell r="Q1379">
            <v>-3.7297325060648867</v>
          </cell>
          <cell r="R1379">
            <v>-3.3706455288788018</v>
          </cell>
          <cell r="S1379">
            <v>-3.0249805833857946</v>
          </cell>
          <cell r="T1379">
            <v>-2.7110673561447585</v>
          </cell>
          <cell r="U1379">
            <v>-2.4404772611582581</v>
          </cell>
          <cell r="V1379">
            <v>-2.222348395769036</v>
          </cell>
          <cell r="W1379">
            <v>-2.05588877112447</v>
          </cell>
          <cell r="X1379">
            <v>-1.9352623239591304</v>
          </cell>
          <cell r="Y1379">
            <v>-1.8541247670984973</v>
          </cell>
          <cell r="Z1379">
            <v>-1.8061811276546158</v>
          </cell>
          <cell r="AA1379">
            <v>-1.7823463081854674</v>
          </cell>
          <cell r="AB1379">
            <v>-1.7770417027068053</v>
          </cell>
          <cell r="AC1379">
            <v>-1.7854497044052509</v>
          </cell>
          <cell r="AD1379">
            <v>-1.802989873827876</v>
          </cell>
          <cell r="AE1379">
            <v>-1.8284482609346231</v>
          </cell>
          <cell r="AF1379">
            <v>-1.8525943373442599</v>
          </cell>
          <cell r="AG1379">
            <v>-1.8745830099776151</v>
          </cell>
          <cell r="AH1379">
            <v>-1.8954221160306206</v>
          </cell>
          <cell r="AI1379">
            <v>-1.9144925625134257</v>
          </cell>
          <cell r="AJ1379">
            <v>-1.9312436978298209</v>
          </cell>
          <cell r="AK1379">
            <v>-1.9444070922518653</v>
          </cell>
          <cell r="AL1379">
            <v>-1.9537694519153215</v>
          </cell>
          <cell r="AM1379">
            <v>-1.9595178969601168</v>
          </cell>
          <cell r="AN1379">
            <v>-1.9614717157017014</v>
          </cell>
          <cell r="AO1379">
            <v>-1.9594651018621678</v>
          </cell>
          <cell r="AP1379">
            <v>-1.9476184895824478</v>
          </cell>
          <cell r="AQ1379">
            <v>-1.9271561279784577</v>
          </cell>
          <cell r="AR1379">
            <v>-1.9028595730199105</v>
          </cell>
          <cell r="AS1379">
            <v>-1.8759917607366949</v>
          </cell>
          <cell r="AT1379">
            <v>-1.8471717812035271</v>
          </cell>
          <cell r="AU1379">
            <v>-1.8155185704273102</v>
          </cell>
          <cell r="AV1379">
            <v>-1.7811958706395736</v>
          </cell>
          <cell r="AW1379">
            <v>-1.7447569110273453</v>
          </cell>
          <cell r="AX1379">
            <v>-1.7061543839902327</v>
          </cell>
          <cell r="AY1379">
            <v>-1.6653220868521612</v>
          </cell>
          <cell r="AZ1379">
            <v>-1.6190562879020431</v>
          </cell>
          <cell r="BA1379">
            <v>-1.5685894759113417</v>
          </cell>
          <cell r="BB1379">
            <v>-5.9706784296807651</v>
          </cell>
          <cell r="BC1379">
            <v>-8.0308682888715737</v>
          </cell>
          <cell r="BD1379">
            <v>-9.1081448107893763</v>
          </cell>
          <cell r="BE1379">
            <v>0.26267238400008441</v>
          </cell>
          <cell r="BF1379">
            <v>0.27538704170322337</v>
          </cell>
          <cell r="BG1379">
            <v>0.28836276144614814</v>
          </cell>
          <cell r="BH1379">
            <v>0.30153980159357552</v>
          </cell>
          <cell r="BI1379">
            <v>0.31496987515489128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0</v>
          </cell>
          <cell r="BF1380">
            <v>0</v>
          </cell>
          <cell r="BG1380">
            <v>0</v>
          </cell>
          <cell r="BH1380">
            <v>0</v>
          </cell>
          <cell r="BI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-0.99693041639857816</v>
          </cell>
          <cell r="G1381">
            <v>-1.5484409058912463</v>
          </cell>
          <cell r="H1381">
            <v>-1.8439639096227478</v>
          </cell>
          <cell r="I1381">
            <v>-2.040353468207412</v>
          </cell>
          <cell r="J1381">
            <v>-2.2289227785661558</v>
          </cell>
          <cell r="K1381">
            <v>-2.4579611280161617</v>
          </cell>
          <cell r="L1381">
            <v>-2.7475207699982684</v>
          </cell>
          <cell r="M1381">
            <v>-3.0950899564557544</v>
          </cell>
          <cell r="N1381">
            <v>-3.4869162805539089</v>
          </cell>
          <cell r="O1381">
            <v>-3.904514297829742</v>
          </cell>
          <cell r="P1381">
            <v>-4.3290719693387159</v>
          </cell>
          <cell r="Q1381">
            <v>-4.7509790971542625</v>
          </cell>
          <cell r="R1381">
            <v>-5.1564046294287458</v>
          </cell>
          <cell r="S1381">
            <v>-5.5372600666371508</v>
          </cell>
          <cell r="T1381">
            <v>-5.8899539286953573</v>
          </cell>
          <cell r="U1381">
            <v>-6.2142290320407305</v>
          </cell>
          <cell r="V1381">
            <v>-6.5168954757821478</v>
          </cell>
          <cell r="W1381">
            <v>-6.7988807913255904</v>
          </cell>
          <cell r="X1381">
            <v>-7.0625640427998686</v>
          </cell>
          <cell r="Y1381">
            <v>-7.3105326974617473</v>
          </cell>
          <cell r="Z1381">
            <v>-7.5453756636454035</v>
          </cell>
          <cell r="AA1381">
            <v>-7.7682142958540368</v>
          </cell>
          <cell r="AB1381">
            <v>-7.9804797873039952</v>
          </cell>
          <cell r="AC1381">
            <v>-8.1830952415493652</v>
          </cell>
          <cell r="AD1381">
            <v>-8.3766287005554219</v>
          </cell>
          <cell r="AE1381">
            <v>-8.5621517212865257</v>
          </cell>
          <cell r="AF1381">
            <v>-8.7367276044712057</v>
          </cell>
          <cell r="AG1381">
            <v>-8.9011294248964035</v>
          </cell>
          <cell r="AH1381">
            <v>-9.0556847307193493</v>
          </cell>
          <cell r="AI1381">
            <v>-9.2006845017692296</v>
          </cell>
          <cell r="AJ1381">
            <v>-9.3364226151336656</v>
          </cell>
          <cell r="AK1381">
            <v>-9.4622533803182201</v>
          </cell>
          <cell r="AL1381">
            <v>-9.5788158463361306</v>
          </cell>
          <cell r="AM1381">
            <v>-9.686570377753922</v>
          </cell>
          <cell r="AN1381">
            <v>-9.7859286640079155</v>
          </cell>
          <cell r="AO1381">
            <v>-9.8772798934343093</v>
          </cell>
          <cell r="AP1381">
            <v>-9.9531721871719441</v>
          </cell>
          <cell r="AQ1381">
            <v>-10.016576342925966</v>
          </cell>
          <cell r="AR1381">
            <v>-10.069140537985465</v>
          </cell>
          <cell r="AS1381">
            <v>-10.112211467710551</v>
          </cell>
          <cell r="AT1381">
            <v>-10.146987980215439</v>
          </cell>
          <cell r="AU1381">
            <v>-10.173308183831953</v>
          </cell>
          <cell r="AV1381">
            <v>-10.192492340729341</v>
          </cell>
          <cell r="AW1381">
            <v>-10.205523602058831</v>
          </cell>
          <cell r="AX1381">
            <v>-10.213219014886931</v>
          </cell>
          <cell r="AY1381">
            <v>-10.21626781212348</v>
          </cell>
          <cell r="AZ1381">
            <v>-10.211255231483785</v>
          </cell>
          <cell r="BA1381">
            <v>-10.199939716434303</v>
          </cell>
          <cell r="BB1381">
            <v>-11.00577285658807</v>
          </cell>
          <cell r="BC1381">
            <v>-11.964925891491095</v>
          </cell>
          <cell r="BD1381">
            <v>-12.971500924710666</v>
          </cell>
          <cell r="BE1381">
            <v>-1.8968324761670097E-2</v>
          </cell>
          <cell r="BF1381">
            <v>3.056175197979627E-3</v>
          </cell>
          <cell r="BG1381">
            <v>2.6725331404020558E-2</v>
          </cell>
          <cell r="BH1381">
            <v>5.1902589871888338E-2</v>
          </cell>
          <cell r="BI1381">
            <v>7.8444032673608E-2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-1.0891980807380075</v>
          </cell>
          <cell r="G1382">
            <v>-1.6972706626473322</v>
          </cell>
          <cell r="H1382">
            <v>-2.0306706302173794</v>
          </cell>
          <cell r="I1382">
            <v>-2.2543721559488028</v>
          </cell>
          <cell r="J1382">
            <v>-2.4640101119268842</v>
          </cell>
          <cell r="K1382">
            <v>-2.7106995033729042</v>
          </cell>
          <cell r="L1382">
            <v>-3.0164310860001486</v>
          </cell>
          <cell r="M1382">
            <v>-3.3799430389490182</v>
          </cell>
          <cell r="N1382">
            <v>-3.7880506967959526</v>
          </cell>
          <cell r="O1382">
            <v>-4.222404746716113</v>
          </cell>
          <cell r="P1382">
            <v>-4.6642263056305815</v>
          </cell>
          <cell r="Q1382">
            <v>-5.1037114503238108</v>
          </cell>
          <cell r="R1382">
            <v>-5.5268636384712693</v>
          </cell>
          <cell r="S1382">
            <v>-5.9253991625672136</v>
          </cell>
          <cell r="T1382">
            <v>-6.2956122035577984</v>
          </cell>
          <cell r="U1382">
            <v>-6.6372034696431932</v>
          </cell>
          <cell r="V1382">
            <v>-6.9572899377730035</v>
          </cell>
          <cell r="W1382">
            <v>-7.2567216348880077</v>
          </cell>
          <cell r="X1382">
            <v>-7.5378364318423596</v>
          </cell>
          <cell r="Y1382">
            <v>-7.8031994089793439</v>
          </cell>
          <cell r="Z1382">
            <v>-8.0552501225774407</v>
          </cell>
          <cell r="AA1382">
            <v>-8.2953283201987134</v>
          </cell>
          <cell r="AB1382">
            <v>-8.5246682753666203</v>
          </cell>
          <cell r="AC1382">
            <v>-8.7440866723035082</v>
          </cell>
          <cell r="AD1382">
            <v>-8.954064228756053</v>
          </cell>
          <cell r="AE1382">
            <v>-9.155210707528882</v>
          </cell>
          <cell r="AF1382">
            <v>-9.3450922268192507</v>
          </cell>
          <cell r="AG1382">
            <v>-9.5242598554862283</v>
          </cell>
          <cell r="AH1382">
            <v>-9.6929435930169223</v>
          </cell>
          <cell r="AI1382">
            <v>-9.8513714607853622</v>
          </cell>
          <cell r="AJ1382">
            <v>-9.9997959376635812</v>
          </cell>
          <cell r="AK1382">
            <v>-10.137496370238031</v>
          </cell>
          <cell r="AL1382">
            <v>-10.265115245032863</v>
          </cell>
          <cell r="AM1382">
            <v>-10.38312515917611</v>
          </cell>
          <cell r="AN1382">
            <v>-10.491954679532478</v>
          </cell>
          <cell r="AO1382">
            <v>-10.59201584443441</v>
          </cell>
          <cell r="AP1382">
            <v>-10.675367417230607</v>
          </cell>
          <cell r="AQ1382">
            <v>-10.745238413392633</v>
          </cell>
          <cell r="AR1382">
            <v>-10.80341329193557</v>
          </cell>
          <cell r="AS1382">
            <v>-10.851316641507546</v>
          </cell>
          <cell r="AT1382">
            <v>-10.890212563638613</v>
          </cell>
          <cell r="AU1382">
            <v>-10.919941303529123</v>
          </cell>
          <cell r="AV1382">
            <v>-10.941899720911541</v>
          </cell>
          <cell r="AW1382">
            <v>-10.957146303969466</v>
          </cell>
          <cell r="AX1382">
            <v>-10.966567133956662</v>
          </cell>
          <cell r="AY1382">
            <v>-10.970916862055525</v>
          </cell>
          <cell r="AZ1382">
            <v>-10.966653985817665</v>
          </cell>
          <cell r="BA1382">
            <v>-10.95561711980203</v>
          </cell>
          <cell r="BB1382">
            <v>-11.764086986761125</v>
          </cell>
          <cell r="BC1382">
            <v>-12.715190177857016</v>
          </cell>
          <cell r="BD1382">
            <v>-13.708318125989683</v>
          </cell>
          <cell r="BE1382">
            <v>-1.6590830803153711E-2</v>
          </cell>
          <cell r="BF1382">
            <v>6.790661820388344E-3</v>
          </cell>
          <cell r="BG1382">
            <v>3.1922676942941486E-2</v>
          </cell>
          <cell r="BH1382">
            <v>5.8664753424508831E-2</v>
          </cell>
          <cell r="BI1382">
            <v>8.686713636258947E-2</v>
          </cell>
        </row>
        <row r="1383">
          <cell r="E1383" t="str">
            <v>100*(X_2/X_0-1)</v>
          </cell>
          <cell r="F1383">
            <v>-6.0067474855242438</v>
          </cell>
          <cell r="G1383">
            <v>-6.1160409772598845</v>
          </cell>
          <cell r="H1383">
            <v>-6.128378998946971</v>
          </cell>
          <cell r="I1383">
            <v>-6.0857068070604425</v>
          </cell>
          <cell r="J1383">
            <v>-6.02621377292476</v>
          </cell>
          <cell r="K1383">
            <v>-5.9800297493728731</v>
          </cell>
          <cell r="L1383">
            <v>-5.9742920177424663</v>
          </cell>
          <cell r="M1383">
            <v>-6.0146658530012775</v>
          </cell>
          <cell r="N1383">
            <v>-6.1062459868291512</v>
          </cell>
          <cell r="O1383">
            <v>-6.2489317354731959</v>
          </cell>
          <cell r="P1383">
            <v>-6.4391911926800489</v>
          </cell>
          <cell r="Q1383">
            <v>-6.6946251895572466</v>
          </cell>
          <cell r="R1383">
            <v>-6.985059660580073</v>
          </cell>
          <cell r="S1383">
            <v>-7.3040114065188178</v>
          </cell>
          <cell r="T1383">
            <v>-7.6453728892715294</v>
          </cell>
          <cell r="U1383">
            <v>-8.0036191644054391</v>
          </cell>
          <cell r="V1383">
            <v>-8.3949942871995979</v>
          </cell>
          <cell r="W1383">
            <v>-8.7934307528291011</v>
          </cell>
          <cell r="X1383">
            <v>-9.1953047362911544</v>
          </cell>
          <cell r="Y1383">
            <v>-9.5975588585909257</v>
          </cell>
          <cell r="Z1383">
            <v>-9.9976305785179242</v>
          </cell>
          <cell r="AA1383">
            <v>-10.392522651883329</v>
          </cell>
          <cell r="AB1383">
            <v>-10.781569968984705</v>
          </cell>
          <cell r="AC1383">
            <v>-11.16358900543004</v>
          </cell>
          <cell r="AD1383">
            <v>-11.537751902135241</v>
          </cell>
          <cell r="AE1383">
            <v>-11.903483462740262</v>
          </cell>
          <cell r="AF1383">
            <v>-12.251251927453344</v>
          </cell>
          <cell r="AG1383">
            <v>-12.590263297269576</v>
          </cell>
          <cell r="AH1383">
            <v>-12.920666303968609</v>
          </cell>
          <cell r="AI1383">
            <v>-13.242785751337227</v>
          </cell>
          <cell r="AJ1383">
            <v>-13.557073276191801</v>
          </cell>
          <cell r="AK1383">
            <v>-13.860269130407765</v>
          </cell>
          <cell r="AL1383">
            <v>-14.156769103694023</v>
          </cell>
          <cell r="AM1383">
            <v>-14.447184568146209</v>
          </cell>
          <cell r="AN1383">
            <v>-14.732147957347831</v>
          </cell>
          <cell r="AO1383">
            <v>-15.012294916334989</v>
          </cell>
          <cell r="AP1383">
            <v>-15.257232376002317</v>
          </cell>
          <cell r="AQ1383">
            <v>-15.498283582022088</v>
          </cell>
          <cell r="AR1383">
            <v>-15.735940730533338</v>
          </cell>
          <cell r="AS1383">
            <v>-15.970762921586834</v>
          </cell>
          <cell r="AT1383">
            <v>-16.203317266375095</v>
          </cell>
          <cell r="AU1383">
            <v>-16.429481129581724</v>
          </cell>
          <cell r="AV1383">
            <v>-16.654274456806373</v>
          </cell>
          <cell r="AW1383">
            <v>-16.878047117076768</v>
          </cell>
          <cell r="AX1383">
            <v>-17.101068930683617</v>
          </cell>
          <cell r="AY1383">
            <v>-17.323524282786472</v>
          </cell>
          <cell r="AZ1383">
            <v>-17.530810967921482</v>
          </cell>
          <cell r="BA1383">
            <v>-17.737300828050618</v>
          </cell>
          <cell r="BB1383">
            <v>-18.646856285294554</v>
          </cell>
          <cell r="BC1383">
            <v>-19.543624603479792</v>
          </cell>
          <cell r="BD1383">
            <v>-20.426001997948507</v>
          </cell>
          <cell r="BE1383">
            <v>-0.54398262451842427</v>
          </cell>
          <cell r="BF1383">
            <v>-0.56541867023395254</v>
          </cell>
          <cell r="BG1383">
            <v>-0.5866946144340468</v>
          </cell>
          <cell r="BH1383">
            <v>-0.60781986002279575</v>
          </cell>
          <cell r="BI1383">
            <v>-0.62881021150971161</v>
          </cell>
        </row>
        <row r="1384">
          <cell r="E1384" t="str">
            <v>100*(M_2/M_0-1)</v>
          </cell>
          <cell r="F1384">
            <v>-1.8945850831842082</v>
          </cell>
          <cell r="G1384">
            <v>-2.5582647262573754</v>
          </cell>
          <cell r="H1384">
            <v>-3.0599019187922183</v>
          </cell>
          <cell r="I1384">
            <v>-3.5040813398675263</v>
          </cell>
          <cell r="J1384">
            <v>-3.9166489042702035</v>
          </cell>
          <cell r="K1384">
            <v>-4.3061799683617119</v>
          </cell>
          <cell r="L1384">
            <v>-4.6767326851708919</v>
          </cell>
          <cell r="M1384">
            <v>-5.0236458010429637</v>
          </cell>
          <cell r="N1384">
            <v>-5.3419054448421548</v>
          </cell>
          <cell r="O1384">
            <v>-5.626982487430265</v>
          </cell>
          <cell r="P1384">
            <v>-5.8756487431306903</v>
          </cell>
          <cell r="Q1384">
            <v>-6.0968537751083129</v>
          </cell>
          <cell r="R1384">
            <v>-6.2856791662106453</v>
          </cell>
          <cell r="S1384">
            <v>-6.4449180261199164</v>
          </cell>
          <cell r="T1384">
            <v>-6.5793801575551258</v>
          </cell>
          <cell r="U1384">
            <v>-6.6946056100238298</v>
          </cell>
          <cell r="V1384">
            <v>-6.803753009469049</v>
          </cell>
          <cell r="W1384">
            <v>-6.9058480396174797</v>
          </cell>
          <cell r="X1384">
            <v>-7.0040547292563593</v>
          </cell>
          <cell r="Y1384">
            <v>-7.1011282351559295</v>
          </cell>
          <cell r="Z1384">
            <v>-7.1992897281746853</v>
          </cell>
          <cell r="AA1384">
            <v>-7.2990915726631966</v>
          </cell>
          <cell r="AB1384">
            <v>-7.4014173985819554</v>
          </cell>
          <cell r="AC1384">
            <v>-7.5065054442709727</v>
          </cell>
          <cell r="AD1384">
            <v>-7.6141943414388074</v>
          </cell>
          <cell r="AE1384">
            <v>-7.724428814074324</v>
          </cell>
          <cell r="AF1384">
            <v>-7.8332318631932356</v>
          </cell>
          <cell r="AG1384">
            <v>-7.94220765462339</v>
          </cell>
          <cell r="AH1384">
            <v>-8.0511709335808987</v>
          </cell>
          <cell r="AI1384">
            <v>-8.1597185307049518</v>
          </cell>
          <cell r="AJ1384">
            <v>-8.267447798913242</v>
          </cell>
          <cell r="AK1384">
            <v>-8.3725554855710094</v>
          </cell>
          <cell r="AL1384">
            <v>-8.4757338281929773</v>
          </cell>
          <cell r="AM1384">
            <v>-8.5768143769652028</v>
          </cell>
          <cell r="AN1384">
            <v>-8.6755626076890913</v>
          </cell>
          <cell r="AO1384">
            <v>-8.7717532658562192</v>
          </cell>
          <cell r="AP1384">
            <v>-8.8534648431780827</v>
          </cell>
          <cell r="AQ1384">
            <v>-8.9293944709157849</v>
          </cell>
          <cell r="AR1384">
            <v>-9.0008969849133322</v>
          </cell>
          <cell r="AS1384">
            <v>-9.0686142083938552</v>
          </cell>
          <cell r="AT1384">
            <v>-9.1330177375052894</v>
          </cell>
          <cell r="AU1384">
            <v>-9.1927094533407754</v>
          </cell>
          <cell r="AV1384">
            <v>-9.2492895088269513</v>
          </cell>
          <cell r="AW1384">
            <v>-9.3032220972618873</v>
          </cell>
          <cell r="AX1384">
            <v>-9.3548103234803008</v>
          </cell>
          <cell r="AY1384">
            <v>-9.4042939147814479</v>
          </cell>
          <cell r="AZ1384">
            <v>-9.446239372224829</v>
          </cell>
          <cell r="BA1384">
            <v>-9.484968035083007</v>
          </cell>
          <cell r="BB1384">
            <v>-10.582033694270287</v>
          </cell>
          <cell r="BC1384">
            <v>-11.667023583314862</v>
          </cell>
          <cell r="BD1384">
            <v>-12.739933148395345</v>
          </cell>
          <cell r="BE1384">
            <v>0.12102451906113032</v>
          </cell>
          <cell r="BF1384">
            <v>0.1305828611516846</v>
          </cell>
          <cell r="BG1384">
            <v>0.14036785952271646</v>
          </cell>
          <cell r="BH1384">
            <v>0.15031976500954336</v>
          </cell>
          <cell r="BI1384">
            <v>0.1603921557421506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-0.41886784317627379</v>
          </cell>
          <cell r="G1385">
            <v>-1.0359212155053421</v>
          </cell>
          <cell r="H1385">
            <v>-1.6405611074321591</v>
          </cell>
          <cell r="I1385">
            <v>-2.2062824726838737</v>
          </cell>
          <cell r="J1385">
            <v>-2.7325750409327498</v>
          </cell>
          <cell r="K1385">
            <v>-3.2180580336161668</v>
          </cell>
          <cell r="L1385">
            <v>-3.6578424148107747</v>
          </cell>
          <cell r="M1385">
            <v>-4.0404201001482898</v>
          </cell>
          <cell r="N1385">
            <v>-4.3555655956245332</v>
          </cell>
          <cell r="O1385">
            <v>-4.5967039029159444</v>
          </cell>
          <cell r="P1385">
            <v>-4.7614387306147083</v>
          </cell>
          <cell r="Q1385">
            <v>-4.8597822304386806</v>
          </cell>
          <cell r="R1385">
            <v>-4.8975849013025101</v>
          </cell>
          <cell r="S1385">
            <v>-4.8859200859798335</v>
          </cell>
          <cell r="T1385">
            <v>-4.8376328331394491</v>
          </cell>
          <cell r="U1385">
            <v>-4.7657571107081793</v>
          </cell>
          <cell r="V1385">
            <v>-4.6858422782544817</v>
          </cell>
          <cell r="W1385">
            <v>-4.6065044492252465</v>
          </cell>
          <cell r="X1385">
            <v>-4.5348749922883957</v>
          </cell>
          <cell r="Y1385">
            <v>-4.4756728259455976</v>
          </cell>
          <cell r="Z1385">
            <v>-4.432379012993537</v>
          </cell>
          <cell r="AA1385">
            <v>-4.4043055488422471</v>
          </cell>
          <cell r="AB1385">
            <v>-4.3920800916361973</v>
          </cell>
          <cell r="AC1385">
            <v>-4.3948756642431253</v>
          </cell>
          <cell r="AD1385">
            <v>-4.4113061524737258</v>
          </cell>
          <cell r="AE1385">
            <v>-4.4415816410537268</v>
          </cell>
          <cell r="AF1385">
            <v>-4.47870287065032</v>
          </cell>
          <cell r="AG1385">
            <v>-4.522377772241704</v>
          </cell>
          <cell r="AH1385">
            <v>-4.5713294615122635</v>
          </cell>
          <cell r="AI1385">
            <v>-4.6244957042604229</v>
          </cell>
          <cell r="AJ1385">
            <v>-4.6809363266824615</v>
          </cell>
          <cell r="AK1385">
            <v>-4.7390020633333307</v>
          </cell>
          <cell r="AL1385">
            <v>-4.7983061298116914</v>
          </cell>
          <cell r="AM1385">
            <v>-4.8583328623060806</v>
          </cell>
          <cell r="AN1385">
            <v>-4.9186585177660831</v>
          </cell>
          <cell r="AO1385">
            <v>-4.9789200819200357</v>
          </cell>
          <cell r="AP1385">
            <v>-5.0320899819425113</v>
          </cell>
          <cell r="AQ1385">
            <v>-5.0805367512021586</v>
          </cell>
          <cell r="AR1385">
            <v>-5.1251788707312951</v>
          </cell>
          <cell r="AS1385">
            <v>-5.1670603267817361</v>
          </cell>
          <cell r="AT1385">
            <v>-5.2070892413408565</v>
          </cell>
          <cell r="AU1385">
            <v>-5.2448448079570049</v>
          </cell>
          <cell r="AV1385">
            <v>-5.2813478772025135</v>
          </cell>
          <cell r="AW1385">
            <v>-5.3171537297642573</v>
          </cell>
          <cell r="AX1385">
            <v>-5.3527109909488608</v>
          </cell>
          <cell r="AY1385">
            <v>-5.3883677993173063</v>
          </cell>
          <cell r="AZ1385">
            <v>-5.4206476057076962</v>
          </cell>
          <cell r="BA1385">
            <v>-5.451580429279157</v>
          </cell>
          <cell r="BB1385">
            <v>-6.281086619109888</v>
          </cell>
          <cell r="BC1385">
            <v>-7.3862519182207542</v>
          </cell>
          <cell r="BD1385">
            <v>-8.5762488153212413</v>
          </cell>
          <cell r="BE1385">
            <v>5.0694879674284543E-2</v>
          </cell>
          <cell r="BF1385">
            <v>5.4749036903967152E-2</v>
          </cell>
          <cell r="BG1385">
            <v>5.8653461274560392E-2</v>
          </cell>
          <cell r="BH1385">
            <v>6.230993204430213E-2</v>
          </cell>
          <cell r="BI1385">
            <v>6.5658514727173767E-2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-0.97425104814569119</v>
          </cell>
          <cell r="G1386">
            <v>-1.5253651633479026</v>
          </cell>
          <cell r="H1386">
            <v>-1.8280890350318324</v>
          </cell>
          <cell r="I1386">
            <v>-2.0358348295140272</v>
          </cell>
          <cell r="J1386">
            <v>-2.2382938677424913</v>
          </cell>
          <cell r="K1386">
            <v>-2.4820713926124616</v>
          </cell>
          <cell r="L1386">
            <v>-2.7852767369232256</v>
          </cell>
          <cell r="M1386">
            <v>-3.1435266756712599</v>
          </cell>
          <cell r="N1386">
            <v>-3.5417131533314272</v>
          </cell>
          <cell r="O1386">
            <v>-3.9606638540277683</v>
          </cell>
          <cell r="P1386">
            <v>-4.3815161321611118</v>
          </cell>
          <cell r="Q1386">
            <v>-4.795132628956833</v>
          </cell>
          <cell r="R1386">
            <v>-5.1884648540138523</v>
          </cell>
          <cell r="S1386">
            <v>-5.5544143025527015</v>
          </cell>
          <cell r="T1386">
            <v>-5.8904006613056055</v>
          </cell>
          <cell r="U1386">
            <v>-6.1971045558185667</v>
          </cell>
          <cell r="V1386">
            <v>-6.482113838925474</v>
          </cell>
          <cell r="W1386">
            <v>-6.7469837667737735</v>
          </cell>
          <cell r="X1386">
            <v>-6.9945381998467777</v>
          </cell>
          <cell r="Y1386">
            <v>-7.2276313554281995</v>
          </cell>
          <cell r="Z1386">
            <v>-7.4489974711730795</v>
          </cell>
          <cell r="AA1386">
            <v>-7.6597638645691575</v>
          </cell>
          <cell r="AB1386">
            <v>-7.8613638270101482</v>
          </cell>
          <cell r="AC1386">
            <v>-8.0546438075173477</v>
          </cell>
          <cell r="AD1386">
            <v>-8.2400763259244059</v>
          </cell>
          <cell r="AE1386">
            <v>-8.4186530104828563</v>
          </cell>
          <cell r="AF1386">
            <v>-8.587236390109565</v>
          </cell>
          <cell r="AG1386">
            <v>-8.7465597887096393</v>
          </cell>
          <cell r="AH1386">
            <v>-8.89685162510151</v>
          </cell>
          <cell r="AI1386">
            <v>-9.0383231811595692</v>
          </cell>
          <cell r="AJ1386">
            <v>-9.1711937819685119</v>
          </cell>
          <cell r="AK1386">
            <v>-9.2947429913895263</v>
          </cell>
          <cell r="AL1386">
            <v>-9.4095483743810391</v>
          </cell>
          <cell r="AM1386">
            <v>-9.5160099287410205</v>
          </cell>
          <cell r="AN1386">
            <v>-9.6144850634685923</v>
          </cell>
          <cell r="AO1386">
            <v>-9.705311999532185</v>
          </cell>
          <cell r="AP1386">
            <v>-9.7809453973271783</v>
          </cell>
          <cell r="AQ1386">
            <v>-9.844353839026299</v>
          </cell>
          <cell r="AR1386">
            <v>-9.8971820109887698</v>
          </cell>
          <cell r="AS1386">
            <v>-9.9407855543134254</v>
          </cell>
          <cell r="AT1386">
            <v>-9.9763599068656834</v>
          </cell>
          <cell r="AU1386">
            <v>-10.003715161483019</v>
          </cell>
          <cell r="AV1386">
            <v>-10.024156035188703</v>
          </cell>
          <cell r="AW1386">
            <v>-10.03864002454754</v>
          </cell>
          <cell r="AX1386">
            <v>-10.047959658627082</v>
          </cell>
          <cell r="AY1386">
            <v>-10.052779647872189</v>
          </cell>
          <cell r="AZ1386">
            <v>-10.04962090871504</v>
          </cell>
          <cell r="BA1386">
            <v>-10.040268898774906</v>
          </cell>
          <cell r="BB1386">
            <v>-10.844978558579177</v>
          </cell>
          <cell r="BC1386">
            <v>-11.817286812311156</v>
          </cell>
          <cell r="BD1386">
            <v>-12.841858737167012</v>
          </cell>
          <cell r="BE1386">
            <v>-2.4029598338692892E-2</v>
          </cell>
          <cell r="BF1386">
            <v>-2.9464789680022641E-3</v>
          </cell>
          <cell r="BG1386">
            <v>1.9727906363664616E-2</v>
          </cell>
          <cell r="BH1386">
            <v>4.3856441714518191E-2</v>
          </cell>
          <cell r="BI1386">
            <v>6.9296504480398369E-2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-0.37549267920713447</v>
          </cell>
          <cell r="G1387">
            <v>-0.9150641250457503</v>
          </cell>
          <cell r="H1387">
            <v>-1.40782539828056</v>
          </cell>
          <cell r="I1387">
            <v>-1.9162085648156912</v>
          </cell>
          <cell r="J1387">
            <v>-2.4861505515813787</v>
          </cell>
          <cell r="K1387">
            <v>-3.1186130646738031</v>
          </cell>
          <cell r="L1387">
            <v>-3.7795195717832297</v>
          </cell>
          <cell r="M1387">
            <v>-4.4148569254580998</v>
          </cell>
          <cell r="N1387">
            <v>-4.9744640434501992</v>
          </cell>
          <cell r="O1387">
            <v>-5.4224882456849084</v>
          </cell>
          <cell r="P1387">
            <v>-5.7405360519857229</v>
          </cell>
          <cell r="Q1387">
            <v>-5.9338071268963404</v>
          </cell>
          <cell r="R1387">
            <v>-6.0111635258851663</v>
          </cell>
          <cell r="S1387">
            <v>-5.992438654030896</v>
          </cell>
          <cell r="T1387">
            <v>-5.9017531302030797</v>
          </cell>
          <cell r="U1387">
            <v>-5.763917772843441</v>
          </cell>
          <cell r="V1387">
            <v>-5.606022578840431</v>
          </cell>
          <cell r="W1387">
            <v>-5.4449301455194892</v>
          </cell>
          <cell r="X1387">
            <v>-5.2939241145155469</v>
          </cell>
          <cell r="Y1387">
            <v>-5.161760941668458</v>
          </cell>
          <cell r="Z1387">
            <v>-5.0540250830530269</v>
          </cell>
          <cell r="AA1387">
            <v>-4.9714808950359846</v>
          </cell>
          <cell r="AB1387">
            <v>-4.9149611394592956</v>
          </cell>
          <cell r="AC1387">
            <v>-4.8831373815202088</v>
          </cell>
          <cell r="AD1387">
            <v>-4.8739028829385411</v>
          </cell>
          <cell r="AE1387">
            <v>-4.8859358355265332</v>
          </cell>
          <cell r="AF1387">
            <v>-4.911541819216902</v>
          </cell>
          <cell r="AG1387">
            <v>-4.9500645682647786</v>
          </cell>
          <cell r="AH1387">
            <v>-4.9995482253459063</v>
          </cell>
          <cell r="AI1387">
            <v>-5.0584077188315373</v>
          </cell>
          <cell r="AJ1387">
            <v>-5.1251292505607893</v>
          </cell>
          <cell r="AK1387">
            <v>-5.19721838419348</v>
          </cell>
          <cell r="AL1387">
            <v>-5.2737960708338587</v>
          </cell>
          <cell r="AM1387">
            <v>-5.3538408019968013</v>
          </cell>
          <cell r="AN1387">
            <v>-5.4364466773816016</v>
          </cell>
          <cell r="AO1387">
            <v>-5.5207717880000011</v>
          </cell>
          <cell r="AP1387">
            <v>-5.5969813508370265</v>
          </cell>
          <cell r="AQ1387">
            <v>-5.6681317604417085</v>
          </cell>
          <cell r="AR1387">
            <v>-5.7357501728814819</v>
          </cell>
          <cell r="AS1387">
            <v>-5.8014084839263402</v>
          </cell>
          <cell r="AT1387">
            <v>-5.8661919610814355</v>
          </cell>
          <cell r="AU1387">
            <v>-5.9291671518749256</v>
          </cell>
          <cell r="AV1387">
            <v>-5.9911639657574511</v>
          </cell>
          <cell r="AW1387">
            <v>-6.0524056701060536</v>
          </cell>
          <cell r="AX1387">
            <v>-6.1129773611283138</v>
          </cell>
          <cell r="AY1387">
            <v>-6.1728458269225577</v>
          </cell>
          <cell r="AZ1387">
            <v>-6.2269130886962287</v>
          </cell>
          <cell r="BA1387">
            <v>-6.2775126303382329</v>
          </cell>
          <cell r="BB1387">
            <v>-7.0697676517655346</v>
          </cell>
          <cell r="BC1387">
            <v>-8.3641584604196915</v>
          </cell>
          <cell r="BD1387">
            <v>-9.8215370217109683</v>
          </cell>
          <cell r="BE1387">
            <v>-0.17458533209651073</v>
          </cell>
          <cell r="BF1387">
            <v>-0.18184727266860046</v>
          </cell>
          <cell r="BG1387">
            <v>-0.18919186420462974</v>
          </cell>
          <cell r="BH1387">
            <v>-0.19676894095761455</v>
          </cell>
          <cell r="BI1387">
            <v>-0.20467680295104262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1.4125761557615135E-2</v>
          </cell>
          <cell r="G1388">
            <v>8.0124908037371156E-2</v>
          </cell>
          <cell r="H1388">
            <v>0.19546007075519345</v>
          </cell>
          <cell r="I1388">
            <v>0.29359454812689645</v>
          </cell>
          <cell r="J1388">
            <v>0.3311577187748993</v>
          </cell>
          <cell r="K1388">
            <v>0.29099259336013983</v>
          </cell>
          <cell r="L1388">
            <v>0.17491692577207285</v>
          </cell>
          <cell r="M1388">
            <v>-1.6356262368066865E-3</v>
          </cell>
          <cell r="N1388">
            <v>-0.21892092642543659</v>
          </cell>
          <cell r="O1388">
            <v>-0.45702699896501553</v>
          </cell>
          <cell r="P1388">
            <v>-0.69809922510130074</v>
          </cell>
          <cell r="Q1388">
            <v>-0.93183029036097986</v>
          </cell>
          <cell r="R1388">
            <v>-1.1473881039216982</v>
          </cell>
          <cell r="S1388">
            <v>-1.3391269941105954</v>
          </cell>
          <cell r="T1388">
            <v>-1.5047808349081704</v>
          </cell>
          <cell r="U1388">
            <v>-1.644555725748309</v>
          </cell>
          <cell r="V1388">
            <v>-1.7619232414728736</v>
          </cell>
          <cell r="W1388">
            <v>-1.858612486348632</v>
          </cell>
          <cell r="X1388">
            <v>-1.9374036216264212</v>
          </cell>
          <cell r="Y1388">
            <v>-2.0010800580189225</v>
          </cell>
          <cell r="Z1388">
            <v>-2.0525180335426052</v>
          </cell>
          <cell r="AA1388">
            <v>-2.093221265174372</v>
          </cell>
          <cell r="AB1388">
            <v>-2.1255226539552918</v>
          </cell>
          <cell r="AC1388">
            <v>-2.1511449009209982</v>
          </cell>
          <cell r="AD1388">
            <v>-2.1714926286976688</v>
          </cell>
          <cell r="AE1388">
            <v>-2.1885399083875545</v>
          </cell>
          <cell r="AF1388">
            <v>-2.2007752073333386</v>
          </cell>
          <cell r="AG1388">
            <v>-2.2098583642814695</v>
          </cell>
          <cell r="AH1388">
            <v>-2.216677805400924</v>
          </cell>
          <cell r="AI1388">
            <v>-2.2219960277556572</v>
          </cell>
          <cell r="AJ1388">
            <v>-2.2264532802867665</v>
          </cell>
          <cell r="AK1388">
            <v>-2.2301706400570831</v>
          </cell>
          <cell r="AL1388">
            <v>-2.2337574316576458</v>
          </cell>
          <cell r="AM1388">
            <v>-2.2375820257811374</v>
          </cell>
          <cell r="AN1388">
            <v>-2.2419339190161813</v>
          </cell>
          <cell r="AO1388">
            <v>-2.2470246723212184</v>
          </cell>
          <cell r="AP1388">
            <v>-2.2496480894590443</v>
          </cell>
          <cell r="AQ1388">
            <v>-2.2512789795318344</v>
          </cell>
          <cell r="AR1388">
            <v>-2.2523970431950979</v>
          </cell>
          <cell r="AS1388">
            <v>-2.2535369472136746</v>
          </cell>
          <cell r="AT1388">
            <v>-2.2551462271428013</v>
          </cell>
          <cell r="AU1388">
            <v>-2.2569649509110778</v>
          </cell>
          <cell r="AV1388">
            <v>-2.2594267910202803</v>
          </cell>
          <cell r="AW1388">
            <v>-2.2626526054657536</v>
          </cell>
          <cell r="AX1388">
            <v>-2.2666753839168607</v>
          </cell>
          <cell r="AY1388">
            <v>-2.2714475613661578</v>
          </cell>
          <cell r="AZ1388">
            <v>-2.2749276347783898</v>
          </cell>
          <cell r="BA1388">
            <v>-2.277876817505653</v>
          </cell>
          <cell r="BB1388">
            <v>-3.0740789000241242</v>
          </cell>
          <cell r="BC1388">
            <v>-4.1359721175645792</v>
          </cell>
          <cell r="BD1388">
            <v>-5.3017563977861615</v>
          </cell>
          <cell r="BE1388">
            <v>-4.6237572208673861E-2</v>
          </cell>
          <cell r="BF1388">
            <v>-3.9788414709518438E-2</v>
          </cell>
          <cell r="BG1388">
            <v>-3.2910111721817792E-2</v>
          </cell>
          <cell r="BH1388">
            <v>-2.5688620004793439E-2</v>
          </cell>
          <cell r="BI1388">
            <v>-1.8194280593819556E-2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-1.3069205874647327</v>
          </cell>
          <cell r="G1389">
            <v>-2.6180294205370491</v>
          </cell>
          <cell r="H1389">
            <v>-3.9218400374825046</v>
          </cell>
          <cell r="I1389">
            <v>-5.1496050001495597</v>
          </cell>
          <cell r="J1389">
            <v>-6.2567630034555677</v>
          </cell>
          <cell r="K1389">
            <v>-7.2137031094486321</v>
          </cell>
          <cell r="L1389">
            <v>-8.0060014507202908</v>
          </cell>
          <cell r="M1389">
            <v>-8.6273521857466289</v>
          </cell>
          <cell r="N1389">
            <v>-9.081790882144702</v>
          </cell>
          <cell r="O1389">
            <v>-9.3808093085809947</v>
          </cell>
          <cell r="P1389">
            <v>-9.5404409139312918</v>
          </cell>
          <cell r="Q1389">
            <v>-9.585380395192832</v>
          </cell>
          <cell r="R1389">
            <v>-9.5359591455518089</v>
          </cell>
          <cell r="S1389">
            <v>-9.4136556064456691</v>
          </cell>
          <cell r="T1389">
            <v>-9.2390539881837768</v>
          </cell>
          <cell r="U1389">
            <v>-9.0304144103627415</v>
          </cell>
          <cell r="V1389">
            <v>-8.8050094681236146</v>
          </cell>
          <cell r="W1389">
            <v>-8.5749248440742942</v>
          </cell>
          <cell r="X1389">
            <v>-8.3489753672921889</v>
          </cell>
          <cell r="Y1389">
            <v>-8.1336239519220417</v>
          </cell>
          <cell r="Z1389">
            <v>-7.9341813317302279</v>
          </cell>
          <cell r="AA1389">
            <v>-7.7512169748862441</v>
          </cell>
          <cell r="AB1389">
            <v>-7.58664698414937</v>
          </cell>
          <cell r="AC1389">
            <v>-7.4406972246169438</v>
          </cell>
          <cell r="AD1389">
            <v>-7.3126305930669382</v>
          </cell>
          <cell r="AE1389">
            <v>-7.2035659814861264</v>
          </cell>
          <cell r="AF1389">
            <v>-7.1075111970373861</v>
          </cell>
          <cell r="AG1389">
            <v>-7.0237322764648891</v>
          </cell>
          <cell r="AH1389">
            <v>-6.9508637211959101</v>
          </cell>
          <cell r="AI1389">
            <v>-6.8871022111090081</v>
          </cell>
          <cell r="AJ1389">
            <v>-6.8306447245884865</v>
          </cell>
          <cell r="AK1389">
            <v>-6.7795465781821385</v>
          </cell>
          <cell r="AL1389">
            <v>-6.7322081515271082</v>
          </cell>
          <cell r="AM1389">
            <v>-6.6871972317292467</v>
          </cell>
          <cell r="AN1389">
            <v>-6.64313413447013</v>
          </cell>
          <cell r="AO1389">
            <v>-6.5987569551596241</v>
          </cell>
          <cell r="AP1389">
            <v>-6.5521666223594792</v>
          </cell>
          <cell r="AQ1389">
            <v>-6.5023864290256856</v>
          </cell>
          <cell r="AR1389">
            <v>-6.4495703346749806</v>
          </cell>
          <cell r="AS1389">
            <v>-6.3935059373818266</v>
          </cell>
          <cell r="AT1389">
            <v>-6.3339725731294427</v>
          </cell>
          <cell r="AU1389">
            <v>-6.2706708726095073</v>
          </cell>
          <cell r="AV1389">
            <v>-6.2035844763931092</v>
          </cell>
          <cell r="AW1389">
            <v>-6.1328807952227056</v>
          </cell>
          <cell r="AX1389">
            <v>-6.0587430565452021</v>
          </cell>
          <cell r="AY1389">
            <v>-5.9814445448345914</v>
          </cell>
          <cell r="AZ1389">
            <v>-5.9011258866294209</v>
          </cell>
          <cell r="BA1389">
            <v>-5.8185352385757616</v>
          </cell>
          <cell r="BB1389">
            <v>-9.0831268608145059</v>
          </cell>
          <cell r="BC1389">
            <v>-12.244156706965747</v>
          </cell>
          <cell r="BD1389">
            <v>-15.3050454056322</v>
          </cell>
          <cell r="BE1389">
            <v>0.8125431429759411</v>
          </cell>
          <cell r="BF1389">
            <v>0.84413600174433334</v>
          </cell>
          <cell r="BG1389">
            <v>0.87530829797670684</v>
          </cell>
          <cell r="BH1389">
            <v>0.90604525289521565</v>
          </cell>
          <cell r="BI1389">
            <v>0.93634214291802298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-0.4720449622814038</v>
          </cell>
          <cell r="G1390">
            <v>-1.1129909196120558</v>
          </cell>
          <cell r="H1390">
            <v>-1.6229092316657145</v>
          </cell>
          <cell r="I1390">
            <v>-2.0925538884379868</v>
          </cell>
          <cell r="J1390">
            <v>-2.5371338564955659</v>
          </cell>
          <cell r="K1390">
            <v>-2.9533254793932535</v>
          </cell>
          <cell r="L1390">
            <v>-3.3331228896141596</v>
          </cell>
          <cell r="M1390">
            <v>-3.6624329373202151</v>
          </cell>
          <cell r="N1390">
            <v>-3.9319879898777721</v>
          </cell>
          <cell r="O1390">
            <v>-4.1368163105303442</v>
          </cell>
          <cell r="P1390">
            <v>-4.2757941801041195</v>
          </cell>
          <cell r="Q1390">
            <v>-4.3613817632796579</v>
          </cell>
          <cell r="R1390">
            <v>-4.3954246474158136</v>
          </cell>
          <cell r="S1390">
            <v>-4.3888351614081209</v>
          </cell>
          <cell r="T1390">
            <v>-4.352709091283347</v>
          </cell>
          <cell r="U1390">
            <v>-4.2979072585832112</v>
          </cell>
          <cell r="V1390">
            <v>-4.2390113851222271</v>
          </cell>
          <cell r="W1390">
            <v>-4.1801524996123103</v>
          </cell>
          <cell r="X1390">
            <v>-4.1275500306517277</v>
          </cell>
          <cell r="Y1390">
            <v>-4.0848490755964306</v>
          </cell>
          <cell r="Z1390">
            <v>-4.0551607336474227</v>
          </cell>
          <cell r="AA1390">
            <v>-4.0368140229677394</v>
          </cell>
          <cell r="AB1390">
            <v>-4.0316073809832602</v>
          </cell>
          <cell r="AC1390">
            <v>-4.038712568328318</v>
          </cell>
          <cell r="AD1390">
            <v>-4.0570943514457447</v>
          </cell>
          <cell r="AE1390">
            <v>-4.087768627231636</v>
          </cell>
          <cell r="AF1390">
            <v>-4.1217461440929526</v>
          </cell>
          <cell r="AG1390">
            <v>-4.1621613543173623</v>
          </cell>
          <cell r="AH1390">
            <v>-4.2074263731150641</v>
          </cell>
          <cell r="AI1390">
            <v>-4.2566903134188534</v>
          </cell>
          <cell r="AJ1390">
            <v>-4.3091487119976346</v>
          </cell>
          <cell r="AK1390">
            <v>-4.3629448160009581</v>
          </cell>
          <cell r="AL1390">
            <v>-4.4183500055315239</v>
          </cell>
          <cell r="AM1390">
            <v>-4.4747269764771387</v>
          </cell>
          <cell r="AN1390">
            <v>-4.5316881763711621</v>
          </cell>
          <cell r="AO1390">
            <v>-4.5888900003664528</v>
          </cell>
          <cell r="AP1390">
            <v>-4.6366422848977518</v>
          </cell>
          <cell r="AQ1390">
            <v>-4.6821084162121824</v>
          </cell>
          <cell r="AR1390">
            <v>-4.7247861318244322</v>
          </cell>
          <cell r="AS1390">
            <v>-4.7656105564511604</v>
          </cell>
          <cell r="AT1390">
            <v>-4.8052705411285812</v>
          </cell>
          <cell r="AU1390">
            <v>-4.8426963437344872</v>
          </cell>
          <cell r="AV1390">
            <v>-4.8795824599744853</v>
          </cell>
          <cell r="AW1390">
            <v>-4.9161105654668464</v>
          </cell>
          <cell r="AX1390">
            <v>-4.9526436160672436</v>
          </cell>
          <cell r="AY1390">
            <v>-4.9894609831301793</v>
          </cell>
          <cell r="AZ1390">
            <v>-5.0215196567540143</v>
          </cell>
          <cell r="BA1390">
            <v>-5.0536445296486043</v>
          </cell>
          <cell r="BB1390">
            <v>-6.0334034922296951</v>
          </cell>
          <cell r="BC1390">
            <v>-6.9557733805452706</v>
          </cell>
          <cell r="BD1390">
            <v>-7.823238749782135</v>
          </cell>
          <cell r="BE1390">
            <v>4.7498446736571331E-2</v>
          </cell>
          <cell r="BF1390">
            <v>5.1407209653087094E-2</v>
          </cell>
          <cell r="BG1390">
            <v>5.5114852930970848E-2</v>
          </cell>
          <cell r="BH1390">
            <v>5.8544590700004839E-2</v>
          </cell>
          <cell r="BI1390">
            <v>6.1660941499108723E-2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-0.50339040694475923</v>
          </cell>
          <cell r="G1391">
            <v>-1.1536839871503002</v>
          </cell>
          <cell r="H1391">
            <v>-1.9845381427021858</v>
          </cell>
          <cell r="I1391">
            <v>-2.8938793391942497</v>
          </cell>
          <cell r="J1391">
            <v>-3.7918430288113925</v>
          </cell>
          <cell r="K1391">
            <v>-4.6087156502160553</v>
          </cell>
          <cell r="L1391">
            <v>-5.2992772744937415</v>
          </cell>
          <cell r="M1391">
            <v>-5.8383772874263222</v>
          </cell>
          <cell r="N1391">
            <v>-6.2202190460018727</v>
          </cell>
          <cell r="O1391">
            <v>-6.4525063263354276</v>
          </cell>
          <cell r="P1391">
            <v>-6.5511895998748741</v>
          </cell>
          <cell r="Q1391">
            <v>-6.5384166184754395</v>
          </cell>
          <cell r="R1391">
            <v>-6.4353424874421084</v>
          </cell>
          <cell r="S1391">
            <v>-6.2636988659646722</v>
          </cell>
          <cell r="T1391">
            <v>-6.0432400515648803</v>
          </cell>
          <cell r="U1391">
            <v>-5.7904926504531389</v>
          </cell>
          <cell r="V1391">
            <v>-5.5185887293131337</v>
          </cell>
          <cell r="W1391">
            <v>-5.2375925621165447</v>
          </cell>
          <cell r="X1391">
            <v>-4.9550129654675983</v>
          </cell>
          <cell r="Y1391">
            <v>-4.6766541365186205</v>
          </cell>
          <cell r="Z1391">
            <v>-4.4075025809600881</v>
          </cell>
          <cell r="AA1391">
            <v>-4.149176384148646</v>
          </cell>
          <cell r="AB1391">
            <v>-3.9045404123825511</v>
          </cell>
          <cell r="AC1391">
            <v>-3.6750164672130774</v>
          </cell>
          <cell r="AD1391">
            <v>-3.4611869696273394</v>
          </cell>
          <cell r="AE1391">
            <v>-3.2647967728094196</v>
          </cell>
          <cell r="AF1391">
            <v>-3.0824454530084306</v>
          </cell>
          <cell r="AG1391">
            <v>-2.9148379792943828</v>
          </cell>
          <cell r="AH1391">
            <v>-2.7615767645617133</v>
          </cell>
          <cell r="AI1391">
            <v>-2.6214776278114744</v>
          </cell>
          <cell r="AJ1391">
            <v>-2.4931084032656319</v>
          </cell>
          <cell r="AK1391">
            <v>-2.37488139761507</v>
          </cell>
          <cell r="AL1391">
            <v>-2.2653691003001297</v>
          </cell>
          <cell r="AM1391">
            <v>-2.1631089520614983</v>
          </cell>
          <cell r="AN1391">
            <v>-2.0665856282097943</v>
          </cell>
          <cell r="AO1391">
            <v>-1.9743425878471559</v>
          </cell>
          <cell r="AP1391">
            <v>-1.8849021973683548</v>
          </cell>
          <cell r="AQ1391">
            <v>-1.798336612464368</v>
          </cell>
          <cell r="AR1391">
            <v>-1.7146827467352628</v>
          </cell>
          <cell r="AS1391">
            <v>-1.6331152890811431</v>
          </cell>
          <cell r="AT1391">
            <v>-1.5526104811071422</v>
          </cell>
          <cell r="AU1391">
            <v>-1.4720852969883902</v>
          </cell>
          <cell r="AV1391">
            <v>-1.3910023238701612</v>
          </cell>
          <cell r="AW1391">
            <v>-1.3089232273050921</v>
          </cell>
          <cell r="AX1391">
            <v>-1.2254611042147978</v>
          </cell>
          <cell r="AY1391">
            <v>-1.1403995302290646</v>
          </cell>
          <cell r="AZ1391">
            <v>-1.0533645393935966</v>
          </cell>
          <cell r="BA1391">
            <v>-0.9656869284597418</v>
          </cell>
          <cell r="BB1391">
            <v>-3.7853901683847067</v>
          </cell>
          <cell r="BC1391">
            <v>-6.2456788750731231</v>
          </cell>
          <cell r="BD1391">
            <v>-8.5202233873955073</v>
          </cell>
          <cell r="BE1391">
            <v>0.67226973873200091</v>
          </cell>
          <cell r="BF1391">
            <v>0.69672447596293985</v>
          </cell>
          <cell r="BG1391">
            <v>0.72048719210395795</v>
          </cell>
          <cell r="BH1391">
            <v>0.74351876459619604</v>
          </cell>
          <cell r="BI1391">
            <v>0.76583071177447337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0.33148521823856969</v>
          </cell>
          <cell r="G1392">
            <v>0.35135451377469318</v>
          </cell>
          <cell r="H1392">
            <v>0.31439266311460434</v>
          </cell>
          <cell r="I1392">
            <v>0.16317177251732318</v>
          </cell>
          <cell r="J1392">
            <v>-7.221388185139066E-2</v>
          </cell>
          <cell r="K1392">
            <v>-0.34833802016067672</v>
          </cell>
          <cell r="L1392">
            <v>-0.62639871338761033</v>
          </cell>
          <cell r="M1392">
            <v>-0.87345803899990848</v>
          </cell>
          <cell r="N1392">
            <v>-1.0704161537349428</v>
          </cell>
          <cell r="O1392">
            <v>-1.2085133282847771</v>
          </cell>
          <cell r="P1392">
            <v>-1.2865428660477018</v>
          </cell>
          <cell r="Q1392">
            <v>-1.3144179865622654</v>
          </cell>
          <cell r="R1392">
            <v>-1.2948079893061131</v>
          </cell>
          <cell r="S1392">
            <v>-1.238878420927124</v>
          </cell>
          <cell r="T1392">
            <v>-1.1568951546644506</v>
          </cell>
          <cell r="U1392">
            <v>-1.0579854986736086</v>
          </cell>
          <cell r="V1392">
            <v>-0.95259064631174617</v>
          </cell>
          <cell r="W1392">
            <v>-0.84282021765456072</v>
          </cell>
          <cell r="X1392">
            <v>-0.73358762882713702</v>
          </cell>
          <cell r="Y1392">
            <v>-0.62787926019300944</v>
          </cell>
          <cell r="Z1392">
            <v>-0.52848198287728287</v>
          </cell>
          <cell r="AA1392">
            <v>-0.43477343223014087</v>
          </cell>
          <cell r="AB1392">
            <v>-0.34950080921644089</v>
          </cell>
          <cell r="AC1392">
            <v>-0.27303181092445161</v>
          </cell>
          <cell r="AD1392">
            <v>-0.20565072800614637</v>
          </cell>
          <cell r="AE1392">
            <v>-0.14899941855492926</v>
          </cell>
          <cell r="AF1392">
            <v>-9.6680400063997141E-2</v>
          </cell>
          <cell r="AG1392">
            <v>-5.3267057146855645E-2</v>
          </cell>
          <cell r="AH1392">
            <v>-1.8139416480867254E-2</v>
          </cell>
          <cell r="AI1392">
            <v>8.9342698786802899E-3</v>
          </cell>
          <cell r="AJ1392">
            <v>2.8387609325219554E-2</v>
          </cell>
          <cell r="AK1392">
            <v>4.1720364566110835E-2</v>
          </cell>
          <cell r="AL1392">
            <v>4.8489045695454536E-2</v>
          </cell>
          <cell r="AM1392">
            <v>4.9361303190609718E-2</v>
          </cell>
          <cell r="AN1392">
            <v>4.4860329889173212E-2</v>
          </cell>
          <cell r="AO1392">
            <v>3.5524366946015462E-2</v>
          </cell>
          <cell r="AP1392">
            <v>3.0622140093372163E-2</v>
          </cell>
          <cell r="AQ1392">
            <v>2.1941400349135165E-2</v>
          </cell>
          <cell r="AR1392">
            <v>1.0101456115286123E-2</v>
          </cell>
          <cell r="AS1392">
            <v>-5.219908150476904E-3</v>
          </cell>
          <cell r="AT1392">
            <v>-2.3908449106280649E-2</v>
          </cell>
          <cell r="AU1392">
            <v>-4.4110768113370113E-2</v>
          </cell>
          <cell r="AV1392">
            <v>-6.7000307451537289E-2</v>
          </cell>
          <cell r="AW1392">
            <v>-9.2152997549233007E-2</v>
          </cell>
          <cell r="AX1392">
            <v>-0.11936166373683887</v>
          </cell>
          <cell r="AY1392">
            <v>-0.148415968524652</v>
          </cell>
          <cell r="AZ1392">
            <v>-0.1737583095181896</v>
          </cell>
          <cell r="BA1392">
            <v>-0.20079621953258453</v>
          </cell>
          <cell r="BB1392">
            <v>-0.73566679979989535</v>
          </cell>
          <cell r="BC1392">
            <v>-0.9572955486526471</v>
          </cell>
          <cell r="BD1392">
            <v>-1.0384167315454427</v>
          </cell>
          <cell r="BE1392">
            <v>-9.277495750736886E-2</v>
          </cell>
          <cell r="BF1392">
            <v>-9.6004316128306399E-2</v>
          </cell>
          <cell r="BG1392">
            <v>-9.970625294177804E-2</v>
          </cell>
          <cell r="BH1392">
            <v>-0.10398189759901477</v>
          </cell>
          <cell r="BI1392">
            <v>-0.10885048964444088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-0.4720449622814038</v>
          </cell>
          <cell r="G1394">
            <v>-1.1129909196120558</v>
          </cell>
          <cell r="H1394">
            <v>-1.6229092316657145</v>
          </cell>
          <cell r="I1394">
            <v>-2.0925538884379868</v>
          </cell>
          <cell r="J1394">
            <v>-2.5371338564955659</v>
          </cell>
          <cell r="K1394">
            <v>-2.9533254793932535</v>
          </cell>
          <cell r="L1394">
            <v>-3.3331228896141596</v>
          </cell>
          <cell r="M1394">
            <v>-3.6624329373202151</v>
          </cell>
          <cell r="N1394">
            <v>-3.9319879898777721</v>
          </cell>
          <cell r="O1394">
            <v>-4.1368163105303442</v>
          </cell>
          <cell r="P1394">
            <v>-4.2757941801041195</v>
          </cell>
          <cell r="Q1394">
            <v>-4.3613817632796579</v>
          </cell>
          <cell r="R1394">
            <v>-4.3954246474158136</v>
          </cell>
          <cell r="S1394">
            <v>-4.3888351614081209</v>
          </cell>
          <cell r="T1394">
            <v>-4.352709091283347</v>
          </cell>
          <cell r="U1394">
            <v>-4.2979072585832112</v>
          </cell>
          <cell r="V1394">
            <v>-4.2390113851222271</v>
          </cell>
          <cell r="W1394">
            <v>-4.1801524996123103</v>
          </cell>
          <cell r="X1394">
            <v>-4.1275500306517277</v>
          </cell>
          <cell r="Y1394">
            <v>-4.0848490755964306</v>
          </cell>
          <cell r="Z1394">
            <v>-4.0551607336474227</v>
          </cell>
          <cell r="AA1394">
            <v>-4.0368140229677394</v>
          </cell>
          <cell r="AB1394">
            <v>-4.0316073809832602</v>
          </cell>
          <cell r="AC1394">
            <v>-4.038712568328318</v>
          </cell>
          <cell r="AD1394">
            <v>-4.0570943514457447</v>
          </cell>
          <cell r="AE1394">
            <v>-4.087768627231636</v>
          </cell>
          <cell r="AF1394">
            <v>-4.1217461440929526</v>
          </cell>
          <cell r="AG1394">
            <v>-4.1621613543173623</v>
          </cell>
          <cell r="AH1394">
            <v>-4.2074263731150641</v>
          </cell>
          <cell r="AI1394">
            <v>-4.2566903134188534</v>
          </cell>
          <cell r="AJ1394">
            <v>-4.3091487119976346</v>
          </cell>
          <cell r="AK1394">
            <v>-4.3629448160009581</v>
          </cell>
          <cell r="AL1394">
            <v>-4.4183500055315239</v>
          </cell>
          <cell r="AM1394">
            <v>-4.4747269764771387</v>
          </cell>
          <cell r="AN1394">
            <v>-4.5316881763711621</v>
          </cell>
          <cell r="AO1394">
            <v>-4.5888900003664528</v>
          </cell>
          <cell r="AP1394">
            <v>-4.6366422848977518</v>
          </cell>
          <cell r="AQ1394">
            <v>-4.6821084162121824</v>
          </cell>
          <cell r="AR1394">
            <v>-4.7247861318244322</v>
          </cell>
          <cell r="AS1394">
            <v>-4.7656105564511604</v>
          </cell>
          <cell r="AT1394">
            <v>-4.8052705411285812</v>
          </cell>
          <cell r="AU1394">
            <v>-4.8426963437344872</v>
          </cell>
          <cell r="AV1394">
            <v>-4.8795824599744853</v>
          </cell>
          <cell r="AW1394">
            <v>-4.9161105654668464</v>
          </cell>
          <cell r="AX1394">
            <v>-4.9526436160672436</v>
          </cell>
          <cell r="AY1394">
            <v>-4.9894609831301793</v>
          </cell>
          <cell r="AZ1394">
            <v>-5.0215196567540143</v>
          </cell>
          <cell r="BA1394">
            <v>-5.0536445296486043</v>
          </cell>
          <cell r="BB1394">
            <v>-6.0334034922296951</v>
          </cell>
          <cell r="BC1394">
            <v>-6.9557733805452706</v>
          </cell>
          <cell r="BD1394">
            <v>-7.823238749782135</v>
          </cell>
          <cell r="BE1394">
            <v>4.7498446736571331E-2</v>
          </cell>
          <cell r="BF1394">
            <v>5.1407209653087094E-2</v>
          </cell>
          <cell r="BG1394">
            <v>5.5114852930970848E-2</v>
          </cell>
          <cell r="BH1394">
            <v>5.8544590700004839E-2</v>
          </cell>
          <cell r="BI1394">
            <v>6.1660941499108723E-2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-0.64859349351292783</v>
          </cell>
          <cell r="G1395">
            <v>-1.4237569716229248</v>
          </cell>
          <cell r="H1395">
            <v>-2.2602648598623265</v>
          </cell>
          <cell r="I1395">
            <v>-3.0629769405728813</v>
          </cell>
          <cell r="J1395">
            <v>-3.7767537441143473</v>
          </cell>
          <cell r="K1395">
            <v>-4.3767568146990783</v>
          </cell>
          <cell r="L1395">
            <v>-4.8568961109953239</v>
          </cell>
          <cell r="M1395">
            <v>-5.2225628555823018</v>
          </cell>
          <cell r="N1395">
            <v>-5.4840168081720879</v>
          </cell>
          <cell r="O1395">
            <v>-5.6537849409286185</v>
          </cell>
          <cell r="P1395">
            <v>-5.7448207917249139</v>
          </cell>
          <cell r="Q1395">
            <v>-5.7679882561809119</v>
          </cell>
          <cell r="R1395">
            <v>-5.7369326459683068</v>
          </cell>
          <cell r="S1395">
            <v>-5.6621898878606247</v>
          </cell>
          <cell r="T1395">
            <v>-5.5530520363175739</v>
          </cell>
          <cell r="U1395">
            <v>-5.4176505943160596</v>
          </cell>
          <cell r="V1395">
            <v>-5.2613804579127006</v>
          </cell>
          <cell r="W1395">
            <v>-5.0918694895794481</v>
          </cell>
          <cell r="X1395">
            <v>-4.9145400655115301</v>
          </cell>
          <cell r="Y1395">
            <v>-4.7338994750599328</v>
          </cell>
          <cell r="Z1395">
            <v>-4.5537396210687309</v>
          </cell>
          <cell r="AA1395">
            <v>-4.3769959568995649</v>
          </cell>
          <cell r="AB1395">
            <v>-4.2053950256969124</v>
          </cell>
          <cell r="AC1395">
            <v>-4.0403016306235662</v>
          </cell>
          <cell r="AD1395">
            <v>-3.8824910262407752</v>
          </cell>
          <cell r="AE1395">
            <v>-3.7326356423191265</v>
          </cell>
          <cell r="AF1395">
            <v>-3.5921163165456904</v>
          </cell>
          <cell r="AG1395">
            <v>-3.4593464419353848</v>
          </cell>
          <cell r="AH1395">
            <v>-3.3334744297233154</v>
          </cell>
          <cell r="AI1395">
            <v>-3.2135148300197036</v>
          </cell>
          <cell r="AJ1395">
            <v>-3.0984261539301561</v>
          </cell>
          <cell r="AK1395">
            <v>-2.9877785128390122</v>
          </cell>
          <cell r="AL1395">
            <v>-2.8801183674037167</v>
          </cell>
          <cell r="AM1395">
            <v>-2.7743083742258534</v>
          </cell>
          <cell r="AN1395">
            <v>-2.6692508907818491</v>
          </cell>
          <cell r="AO1395">
            <v>-2.5639109712303876</v>
          </cell>
          <cell r="AP1395">
            <v>-2.4635577185167845</v>
          </cell>
          <cell r="AQ1395">
            <v>-2.3640311880663623</v>
          </cell>
          <cell r="AR1395">
            <v>-2.2638163658436627</v>
          </cell>
          <cell r="AS1395">
            <v>-2.1616660729834369</v>
          </cell>
          <cell r="AT1395">
            <v>-2.05664969919781</v>
          </cell>
          <cell r="AU1395">
            <v>-1.9491896607514603</v>
          </cell>
          <cell r="AV1395">
            <v>-1.8383124385124239</v>
          </cell>
          <cell r="AW1395">
            <v>-1.7236891709229929</v>
          </cell>
          <cell r="AX1395">
            <v>-1.6051855372854695</v>
          </cell>
          <cell r="AY1395">
            <v>-1.4828397863132059</v>
          </cell>
          <cell r="AZ1395">
            <v>-1.360659377443485</v>
          </cell>
          <cell r="BA1395">
            <v>-1.2369310513420828</v>
          </cell>
          <cell r="BB1395">
            <v>-3.3247596124753476</v>
          </cell>
          <cell r="BC1395">
            <v>-5.5204016956207465</v>
          </cell>
          <cell r="BD1395">
            <v>-7.7276290225458011</v>
          </cell>
          <cell r="BE1395">
            <v>0.92349145427912394</v>
          </cell>
          <cell r="BF1395">
            <v>0.95712879840108567</v>
          </cell>
          <cell r="BG1395">
            <v>0.99049300470144264</v>
          </cell>
          <cell r="BH1395">
            <v>1.0236628073144516</v>
          </cell>
          <cell r="BI1395">
            <v>1.0566729836185118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-0.73816588041329956</v>
          </cell>
          <cell r="G1396">
            <v>-1.4940787099536834</v>
          </cell>
          <cell r="H1396">
            <v>-2.2574690738025094</v>
          </cell>
          <cell r="I1396">
            <v>-2.9517452029125701</v>
          </cell>
          <cell r="J1396">
            <v>-3.540568191696758</v>
          </cell>
          <cell r="K1396">
            <v>-4.0112331072369223</v>
          </cell>
          <cell r="L1396">
            <v>-4.36557504948345</v>
          </cell>
          <cell r="M1396">
            <v>-4.6144430473535225</v>
          </cell>
          <cell r="N1396">
            <v>-4.7720775884113609</v>
          </cell>
          <cell r="O1396">
            <v>-4.8539091608375546</v>
          </cell>
          <cell r="P1396">
            <v>-4.8747136186967239</v>
          </cell>
          <cell r="Q1396">
            <v>-4.8462522036358919</v>
          </cell>
          <cell r="R1396">
            <v>-4.7816339888446135</v>
          </cell>
          <cell r="S1396">
            <v>-4.6897804422764366</v>
          </cell>
          <cell r="T1396">
            <v>-4.5779193913273115</v>
          </cell>
          <cell r="U1396">
            <v>-4.4517874883205693</v>
          </cell>
          <cell r="V1396">
            <v>-4.3145504157715564</v>
          </cell>
          <cell r="W1396">
            <v>-4.1713545126024876</v>
          </cell>
          <cell r="X1396">
            <v>-4.0251171594351209</v>
          </cell>
          <cell r="Y1396">
            <v>-3.8783717508494631</v>
          </cell>
          <cell r="Z1396">
            <v>-3.733300533946593</v>
          </cell>
          <cell r="AA1396">
            <v>-3.5916770459388903</v>
          </cell>
          <cell r="AB1396">
            <v>-3.4542775190595232</v>
          </cell>
          <cell r="AC1396">
            <v>-3.3218493870921129</v>
          </cell>
          <cell r="AD1396">
            <v>-3.1947787061661348</v>
          </cell>
          <cell r="AE1396">
            <v>-3.0734647493334322</v>
          </cell>
          <cell r="AF1396">
            <v>-2.9593162053840327</v>
          </cell>
          <cell r="AG1396">
            <v>-2.850780395194441</v>
          </cell>
          <cell r="AH1396">
            <v>-2.7473291918866272</v>
          </cell>
          <cell r="AI1396">
            <v>-2.6482168976204812</v>
          </cell>
          <cell r="AJ1396">
            <v>-2.5526505044397352</v>
          </cell>
          <cell r="AK1396">
            <v>-2.4603883853179354</v>
          </cell>
          <cell r="AL1396">
            <v>-2.3702560460020838</v>
          </cell>
          <cell r="AM1396">
            <v>-2.2814524295096117</v>
          </cell>
          <cell r="AN1396">
            <v>-2.193146571591098</v>
          </cell>
          <cell r="AO1396">
            <v>-2.1045389039357154</v>
          </cell>
          <cell r="AP1396">
            <v>-2.0204122910858824</v>
          </cell>
          <cell r="AQ1396">
            <v>-1.9368610247397888</v>
          </cell>
          <cell r="AR1396">
            <v>-1.8530939727336215</v>
          </cell>
          <cell r="AS1396">
            <v>-1.7680185103545076</v>
          </cell>
          <cell r="AT1396">
            <v>-1.6807313180242311</v>
          </cell>
          <cell r="AU1396">
            <v>-1.591526522979636</v>
          </cell>
          <cell r="AV1396">
            <v>-1.4994268607995465</v>
          </cell>
          <cell r="AW1396">
            <v>-1.40420006678319</v>
          </cell>
          <cell r="AX1396">
            <v>-1.3057355665679116</v>
          </cell>
          <cell r="AY1396">
            <v>-1.2040847919271847</v>
          </cell>
          <cell r="AZ1396">
            <v>-1.1028610762417013</v>
          </cell>
          <cell r="BA1396">
            <v>-1.0003645747429513</v>
          </cell>
          <cell r="BB1396">
            <v>-3.0564156116442809</v>
          </cell>
          <cell r="BC1396">
            <v>-5.1414785151146063</v>
          </cell>
          <cell r="BD1396">
            <v>-7.1952898910272349</v>
          </cell>
          <cell r="BE1396">
            <v>0.76004335846093785</v>
          </cell>
          <cell r="BF1396">
            <v>0.7871795426503958</v>
          </cell>
          <cell r="BG1396">
            <v>0.81408310092607739</v>
          </cell>
          <cell r="BH1396">
            <v>0.8408317434181356</v>
          </cell>
          <cell r="BI1396">
            <v>0.86746467176475051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-0.63814507160414591</v>
          </cell>
          <cell r="G1397">
            <v>-0.51001088482645063</v>
          </cell>
          <cell r="H1397">
            <v>-0.57632982962070312</v>
          </cell>
          <cell r="I1397">
            <v>-0.6566500550960086</v>
          </cell>
          <cell r="J1397">
            <v>-0.72681528531014505</v>
          </cell>
          <cell r="K1397">
            <v>-0.77576697048730159</v>
          </cell>
          <cell r="L1397">
            <v>-0.79849804193339313</v>
          </cell>
          <cell r="M1397">
            <v>-0.79489001230135248</v>
          </cell>
          <cell r="N1397">
            <v>-0.76809779375844878</v>
          </cell>
          <cell r="O1397">
            <v>-0.72273551820215554</v>
          </cell>
          <cell r="P1397">
            <v>-0.66396024501230722</v>
          </cell>
          <cell r="Q1397">
            <v>-0.59563070787538308</v>
          </cell>
          <cell r="R1397">
            <v>-0.52663265677784787</v>
          </cell>
          <cell r="S1397">
            <v>-0.45962996456712091</v>
          </cell>
          <cell r="T1397">
            <v>-0.39756286186013456</v>
          </cell>
          <cell r="U1397">
            <v>-0.34214141133068754</v>
          </cell>
          <cell r="V1397">
            <v>-0.28993638260531585</v>
          </cell>
          <cell r="W1397">
            <v>-0.24737127529568248</v>
          </cell>
          <cell r="X1397">
            <v>-0.21049284130533197</v>
          </cell>
          <cell r="Y1397">
            <v>-0.1780185069658935</v>
          </cell>
          <cell r="Z1397">
            <v>-0.14855639536509591</v>
          </cell>
          <cell r="AA1397">
            <v>-0.12136376366509438</v>
          </cell>
          <cell r="AB1397">
            <v>-9.432413761584213E-2</v>
          </cell>
          <cell r="AC1397">
            <v>-6.7068376656920226E-2</v>
          </cell>
          <cell r="AD1397">
            <v>-3.8949566081680764E-2</v>
          </cell>
          <cell r="AE1397">
            <v>-9.2732141404816559E-3</v>
          </cell>
          <cell r="AF1397">
            <v>1.7986314905793499E-2</v>
          </cell>
          <cell r="AG1397">
            <v>4.9221322138093271E-2</v>
          </cell>
          <cell r="AH1397">
            <v>8.1638376985027072E-2</v>
          </cell>
          <cell r="AI1397">
            <v>0.1150647074035005</v>
          </cell>
          <cell r="AJ1397">
            <v>0.14933114342512432</v>
          </cell>
          <cell r="AK1397">
            <v>0.18315925437237812</v>
          </cell>
          <cell r="AL1397">
            <v>0.21826620925475826</v>
          </cell>
          <cell r="AM1397">
            <v>0.25372858266969889</v>
          </cell>
          <cell r="AN1397">
            <v>0.2894812814246972</v>
          </cell>
          <cell r="AO1397">
            <v>0.32550021294277531</v>
          </cell>
          <cell r="AP1397">
            <v>0.35166804018547104</v>
          </cell>
          <cell r="AQ1397">
            <v>0.3841646761191253</v>
          </cell>
          <cell r="AR1397">
            <v>0.41621338563997412</v>
          </cell>
          <cell r="AS1397">
            <v>0.44789238176081714</v>
          </cell>
          <cell r="AT1397">
            <v>0.47938688910504901</v>
          </cell>
          <cell r="AU1397">
            <v>0.50923329457261968</v>
          </cell>
          <cell r="AV1397">
            <v>0.54047453647856347</v>
          </cell>
          <cell r="AW1397">
            <v>0.57208165394639909</v>
          </cell>
          <cell r="AX1397">
            <v>0.60423110064424801</v>
          </cell>
          <cell r="AY1397">
            <v>0.63705592464040617</v>
          </cell>
          <cell r="AZ1397">
            <v>0.66467010495498968</v>
          </cell>
          <cell r="BA1397">
            <v>0.69691504849542785</v>
          </cell>
          <cell r="BB1397">
            <v>0.37813390297960492</v>
          </cell>
          <cell r="BC1397">
            <v>6.1824643643659805E-2</v>
          </cell>
          <cell r="BD1397">
            <v>-0.25201915954998766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-0.23200357939642258</v>
          </cell>
          <cell r="G1398">
            <v>-0.73052786179356177</v>
          </cell>
          <cell r="H1398">
            <v>-1.3984713552564476</v>
          </cell>
          <cell r="I1398">
            <v>-2.1922723756919948</v>
          </cell>
          <cell r="J1398">
            <v>-3.049591248121275</v>
          </cell>
          <cell r="K1398">
            <v>-3.9061387247454449</v>
          </cell>
          <cell r="L1398">
            <v>-4.7087188245288125</v>
          </cell>
          <cell r="M1398">
            <v>-5.4188449434245172</v>
          </cell>
          <cell r="N1398">
            <v>-6.014157162232225</v>
          </cell>
          <cell r="O1398">
            <v>-6.4857851816388585</v>
          </cell>
          <cell r="P1398">
            <v>-6.8348370308727757</v>
          </cell>
          <cell r="Q1398">
            <v>-7.0719945519467808</v>
          </cell>
          <cell r="R1398">
            <v>-7.2092031067023115</v>
          </cell>
          <cell r="S1398">
            <v>-7.2619829802260565</v>
          </cell>
          <cell r="T1398">
            <v>-7.2463746434508032</v>
          </cell>
          <cell r="U1398">
            <v>-7.1778201307782901</v>
          </cell>
          <cell r="V1398">
            <v>-7.0716823391811285</v>
          </cell>
          <cell r="W1398">
            <v>-6.9392434283039428</v>
          </cell>
          <cell r="X1398">
            <v>-6.7907882944322147</v>
          </cell>
          <cell r="Y1398">
            <v>-6.6345962250845432</v>
          </cell>
          <cell r="Z1398">
            <v>-6.4774303742735846</v>
          </cell>
          <cell r="AA1398">
            <v>-6.3236475582785996</v>
          </cell>
          <cell r="AB1398">
            <v>-6.177114253816363</v>
          </cell>
          <cell r="AC1398">
            <v>-6.0401945514319655</v>
          </cell>
          <cell r="AD1398">
            <v>-5.9143272936003521</v>
          </cell>
          <cell r="AE1398">
            <v>-5.8009700965288458</v>
          </cell>
          <cell r="AF1398">
            <v>-5.6983662096138481</v>
          </cell>
          <cell r="AG1398">
            <v>-5.6072170215441641</v>
          </cell>
          <cell r="AH1398">
            <v>-5.5268721690052818</v>
          </cell>
          <cell r="AI1398">
            <v>-5.4564583825345014</v>
          </cell>
          <cell r="AJ1398">
            <v>-5.3948822053424994</v>
          </cell>
          <cell r="AK1398">
            <v>-5.3405599010409865</v>
          </cell>
          <cell r="AL1398">
            <v>-5.2924882571226073</v>
          </cell>
          <cell r="AM1398">
            <v>-5.2493766599049918</v>
          </cell>
          <cell r="AN1398">
            <v>-5.2099401446412452</v>
          </cell>
          <cell r="AO1398">
            <v>-5.1729195753665085</v>
          </cell>
          <cell r="AP1398">
            <v>-5.1342054707991913</v>
          </cell>
          <cell r="AQ1398">
            <v>-5.0955622500207571</v>
          </cell>
          <cell r="AR1398">
            <v>-5.0566605613296396</v>
          </cell>
          <cell r="AS1398">
            <v>-5.0170858105612393</v>
          </cell>
          <cell r="AT1398">
            <v>-4.9762844307614129</v>
          </cell>
          <cell r="AU1398">
            <v>-4.9331329747170809</v>
          </cell>
          <cell r="AV1398">
            <v>-4.8875612152295851</v>
          </cell>
          <cell r="AW1398">
            <v>-4.8391905134373197</v>
          </cell>
          <cell r="AX1398">
            <v>-4.7877274013893079</v>
          </cell>
          <cell r="AY1398">
            <v>-4.7329719873794858</v>
          </cell>
          <cell r="AZ1398">
            <v>-4.6730529968134871</v>
          </cell>
          <cell r="BA1398">
            <v>-4.6098447450427908</v>
          </cell>
          <cell r="BB1398">
            <v>-4.5431346149904073</v>
          </cell>
          <cell r="BC1398">
            <v>-5.1232714650859208</v>
          </cell>
          <cell r="BD1398">
            <v>-6.3014404812393394</v>
          </cell>
          <cell r="BE1398">
            <v>0.52299662863573015</v>
          </cell>
          <cell r="BF1398">
            <v>0.54651107442689195</v>
          </cell>
          <cell r="BG1398">
            <v>0.5699060909814424</v>
          </cell>
          <cell r="BH1398">
            <v>0.5931206808498013</v>
          </cell>
          <cell r="BI1398">
            <v>0.61613815686294426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0.60794765255194338</v>
          </cell>
          <cell r="G1399">
            <v>0.78634544076521262</v>
          </cell>
          <cell r="H1399">
            <v>0.92164748859673296</v>
          </cell>
          <cell r="I1399">
            <v>0.89204913398714947</v>
          </cell>
          <cell r="J1399">
            <v>0.69592367883737349</v>
          </cell>
          <cell r="K1399">
            <v>0.37000240500335568</v>
          </cell>
          <cell r="L1399">
            <v>-3.7597131730926492E-2</v>
          </cell>
          <cell r="M1399">
            <v>-0.47764014236456598</v>
          </cell>
          <cell r="N1399">
            <v>-0.91128357802309212</v>
          </cell>
          <cell r="O1399">
            <v>-1.3105155260105805</v>
          </cell>
          <cell r="P1399">
            <v>-1.6574491390071833</v>
          </cell>
          <cell r="Q1399">
            <v>-1.9498563912360489</v>
          </cell>
          <cell r="R1399">
            <v>-2.1807719426014227</v>
          </cell>
          <cell r="S1399">
            <v>-2.3555233542821186</v>
          </cell>
          <cell r="T1399">
            <v>-2.4812733187387082</v>
          </cell>
          <cell r="U1399">
            <v>-2.5667863254201673</v>
          </cell>
          <cell r="V1399">
            <v>-2.6255676235384273</v>
          </cell>
          <cell r="W1399">
            <v>-2.6614350974714429</v>
          </cell>
          <cell r="X1399">
            <v>-2.6826072186002969</v>
          </cell>
          <cell r="Y1399">
            <v>-2.6949331240179397</v>
          </cell>
          <cell r="Z1399">
            <v>-2.703270183427775</v>
          </cell>
          <cell r="AA1399">
            <v>-2.7099012587075921</v>
          </cell>
          <cell r="AB1399">
            <v>-2.7187264527471666</v>
          </cell>
          <cell r="AC1399">
            <v>-2.7311222552100722</v>
          </cell>
          <cell r="AD1399">
            <v>-2.7482617078942506</v>
          </cell>
          <cell r="AE1399">
            <v>-2.7715279363887735</v>
          </cell>
          <cell r="AF1399">
            <v>-2.7960857065458256</v>
          </cell>
          <cell r="AG1399">
            <v>-2.8265292381824625</v>
          </cell>
          <cell r="AH1399">
            <v>-2.8619506437692288</v>
          </cell>
          <cell r="AI1399">
            <v>-2.9023913317522743</v>
          </cell>
          <cell r="AJ1399">
            <v>-2.9477126496758599</v>
          </cell>
          <cell r="AK1399">
            <v>-2.9963684311688832</v>
          </cell>
          <cell r="AL1399">
            <v>-3.0491839012115829</v>
          </cell>
          <cell r="AM1399">
            <v>-3.1056172628350809</v>
          </cell>
          <cell r="AN1399">
            <v>-3.1653283847833391</v>
          </cell>
          <cell r="AO1399">
            <v>-3.2279297132029483</v>
          </cell>
          <cell r="AP1399">
            <v>-3.2815398273743246</v>
          </cell>
          <cell r="AQ1399">
            <v>-3.3360088732322213</v>
          </cell>
          <cell r="AR1399">
            <v>-3.3903526249756011</v>
          </cell>
          <cell r="AS1399">
            <v>-3.4452759171461067</v>
          </cell>
          <cell r="AT1399">
            <v>-3.5011038443719222</v>
          </cell>
          <cell r="AU1399">
            <v>-3.5559363106207442</v>
          </cell>
          <cell r="AV1399">
            <v>-3.611373861558409</v>
          </cell>
          <cell r="AW1399">
            <v>-3.6670397314470193</v>
          </cell>
          <cell r="AX1399">
            <v>-3.7228058960981691</v>
          </cell>
          <cell r="AY1399">
            <v>-3.7784702292329664</v>
          </cell>
          <cell r="AZ1399">
            <v>-3.8271102672732149</v>
          </cell>
          <cell r="BA1399">
            <v>-3.874590418233681</v>
          </cell>
          <cell r="BB1399">
            <v>-1.540388844977969</v>
          </cell>
          <cell r="BC1399">
            <v>0.17433116140717075</v>
          </cell>
          <cell r="BD1399">
            <v>1.275820605596989</v>
          </cell>
          <cell r="BE1399">
            <v>-0.24021035105309396</v>
          </cell>
          <cell r="BF1399">
            <v>-0.24428123002031565</v>
          </cell>
          <cell r="BG1399">
            <v>-0.24825121388079019</v>
          </cell>
          <cell r="BH1399">
            <v>-0.25224222680291231</v>
          </cell>
          <cell r="BI1399">
            <v>-0.25630122591391302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-0.23200357809272099</v>
          </cell>
          <cell r="G1400">
            <v>-0.73052785618685778</v>
          </cell>
          <cell r="H1400">
            <v>-1.3984713629271783</v>
          </cell>
          <cell r="I1400">
            <v>-2.1922723945959288</v>
          </cell>
          <cell r="J1400">
            <v>-3.0495912317126117</v>
          </cell>
          <cell r="K1400">
            <v>-3.9061387208295106</v>
          </cell>
          <cell r="L1400">
            <v>-4.7087188207570518</v>
          </cell>
          <cell r="M1400">
            <v>-5.4188449438459685</v>
          </cell>
          <cell r="N1400">
            <v>-6.0141571644671821</v>
          </cell>
          <cell r="O1400">
            <v>-6.4857851824657198</v>
          </cell>
          <cell r="P1400">
            <v>-6.8348370441093103</v>
          </cell>
          <cell r="Q1400">
            <v>-7.0719945492449749</v>
          </cell>
          <cell r="R1400">
            <v>-7.2092031023633485</v>
          </cell>
          <cell r="S1400">
            <v>-7.2619829845752655</v>
          </cell>
          <cell r="T1400">
            <v>-7.2463746325901024</v>
          </cell>
          <cell r="U1400">
            <v>-7.1778201211962429</v>
          </cell>
          <cell r="V1400">
            <v>-7.0716823366566146</v>
          </cell>
          <cell r="W1400">
            <v>-6.9392434192249164</v>
          </cell>
          <cell r="X1400">
            <v>-6.7907882974133527</v>
          </cell>
          <cell r="Y1400">
            <v>-6.6345962161471705</v>
          </cell>
          <cell r="Z1400">
            <v>-6.4774303669749571</v>
          </cell>
          <cell r="AA1400">
            <v>-6.3236474920327694</v>
          </cell>
          <cell r="AB1400">
            <v>-6.1771142571237725</v>
          </cell>
          <cell r="AC1400">
            <v>-6.0401945561406434</v>
          </cell>
          <cell r="AD1400">
            <v>-5.9143273133241419</v>
          </cell>
          <cell r="AE1400">
            <v>-5.8009700733624321</v>
          </cell>
          <cell r="AF1400">
            <v>-5.6983662290800874</v>
          </cell>
          <cell r="AG1400">
            <v>-5.6072170000796007</v>
          </cell>
          <cell r="AH1400">
            <v>-5.5268721118995838</v>
          </cell>
          <cell r="AI1400">
            <v>-5.4564583920502567</v>
          </cell>
          <cell r="AJ1400">
            <v>-5.3948821288378079</v>
          </cell>
          <cell r="AK1400">
            <v>-5.3405599367241319</v>
          </cell>
          <cell r="AL1400">
            <v>-5.2924882360805725</v>
          </cell>
          <cell r="AM1400">
            <v>-5.2493766816348097</v>
          </cell>
          <cell r="AN1400">
            <v>-5.2099401209743874</v>
          </cell>
          <cell r="AO1400">
            <v>-5.172919559870925</v>
          </cell>
          <cell r="AP1400">
            <v>-5.134205420605098</v>
          </cell>
          <cell r="AQ1400">
            <v>-5.0955622496622999</v>
          </cell>
          <cell r="AR1400">
            <v>-5.0566605014995432</v>
          </cell>
          <cell r="AS1400">
            <v>-5.0170857820015407</v>
          </cell>
          <cell r="AT1400">
            <v>-4.9762844193791516</v>
          </cell>
          <cell r="AU1400">
            <v>-4.93313300933933</v>
          </cell>
          <cell r="AV1400">
            <v>-4.887561222439496</v>
          </cell>
          <cell r="AW1400">
            <v>-4.8391904977704847</v>
          </cell>
          <cell r="AX1400">
            <v>-4.7877273597525587</v>
          </cell>
          <cell r="AY1400">
            <v>-4.7329719573367512</v>
          </cell>
          <cell r="AZ1400">
            <v>-4.6730529850852793</v>
          </cell>
          <cell r="BA1400">
            <v>-4.6098448047005576</v>
          </cell>
          <cell r="BB1400">
            <v>-6.749974051320673</v>
          </cell>
          <cell r="BC1400">
            <v>-9.0286996720705499</v>
          </cell>
          <cell r="BD1400">
            <v>-11.418256858388231</v>
          </cell>
          <cell r="BE1400">
            <v>0.52299658260768211</v>
          </cell>
          <cell r="BF1400">
            <v>0.54651106337506583</v>
          </cell>
          <cell r="BG1400">
            <v>0.5699060494213759</v>
          </cell>
          <cell r="BH1400">
            <v>0.59312071470607464</v>
          </cell>
          <cell r="BI1400">
            <v>0.61613814107257525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0.47497157732023787</v>
          </cell>
          <cell r="G1401">
            <v>0.9216611912187922</v>
          </cell>
          <cell r="H1401">
            <v>1.2555298558072359</v>
          </cell>
          <cell r="I1401">
            <v>1.4198357805949913</v>
          </cell>
          <cell r="J1401">
            <v>1.4071961313320891</v>
          </cell>
          <cell r="K1401">
            <v>1.2510842948756373</v>
          </cell>
          <cell r="L1401">
            <v>0.99957322359911505</v>
          </cell>
          <cell r="M1401">
            <v>0.70137394085538762</v>
          </cell>
          <cell r="N1401">
            <v>0.39503026050373702</v>
          </cell>
          <cell r="O1401">
            <v>0.10722572615819992</v>
          </cell>
          <cell r="P1401">
            <v>-0.146291343978322</v>
          </cell>
          <cell r="Q1401">
            <v>-0.36273344170426602</v>
          </cell>
          <cell r="R1401">
            <v>-0.53914935791771201</v>
          </cell>
          <cell r="S1401">
            <v>-0.67932262183449943</v>
          </cell>
          <cell r="T1401">
            <v>-0.78950922854548189</v>
          </cell>
          <cell r="U1401">
            <v>-0.87660229779760179</v>
          </cell>
          <cell r="V1401">
            <v>-0.94998802071242228</v>
          </cell>
          <cell r="W1401">
            <v>-1.0129968629603581</v>
          </cell>
          <cell r="X1401">
            <v>-1.0693156742596632</v>
          </cell>
          <cell r="Y1401">
            <v>-1.1218585207624643</v>
          </cell>
          <cell r="Z1401">
            <v>-1.1726760585934914</v>
          </cell>
          <cell r="AA1401">
            <v>-1.2227622440153185</v>
          </cell>
          <cell r="AB1401">
            <v>-1.2734230006095415</v>
          </cell>
          <cell r="AC1401">
            <v>-1.3253881258446953</v>
          </cell>
          <cell r="AD1401">
            <v>-1.3790804406885071</v>
          </cell>
          <cell r="AE1401">
            <v>-1.4349074472222001</v>
          </cell>
          <cell r="AF1401">
            <v>-1.4904378631536486</v>
          </cell>
          <cell r="AG1401">
            <v>-1.5473290078927504</v>
          </cell>
          <cell r="AH1401">
            <v>-1.6063705654517868</v>
          </cell>
          <cell r="AI1401">
            <v>-1.6679336810723755</v>
          </cell>
          <cell r="AJ1401">
            <v>-1.7322164264860107</v>
          </cell>
          <cell r="AK1401">
            <v>-1.7983376821992247</v>
          </cell>
          <cell r="AL1401">
            <v>-1.8668384379898706</v>
          </cell>
          <cell r="AM1401">
            <v>-1.9378735518708834</v>
          </cell>
          <cell r="AN1401">
            <v>-2.0114382497208094</v>
          </cell>
          <cell r="AO1401">
            <v>-2.0874565102829146</v>
          </cell>
          <cell r="AP1401">
            <v>-2.1570141894890704</v>
          </cell>
          <cell r="AQ1401">
            <v>-2.2249479339166434</v>
          </cell>
          <cell r="AR1401">
            <v>-2.2934269951262798</v>
          </cell>
          <cell r="AS1401">
            <v>-2.3633766083891339</v>
          </cell>
          <cell r="AT1401">
            <v>-2.4351735229194316</v>
          </cell>
          <cell r="AU1401">
            <v>-2.5072924042276457</v>
          </cell>
          <cell r="AV1401">
            <v>-2.5803012652801938</v>
          </cell>
          <cell r="AW1401">
            <v>-2.6542022301859758</v>
          </cell>
          <cell r="AX1401">
            <v>-2.7287342373255252</v>
          </cell>
          <cell r="AY1401">
            <v>-2.8035601073807648</v>
          </cell>
          <cell r="AZ1401">
            <v>-2.8731062782297423</v>
          </cell>
          <cell r="BA1401">
            <v>-2.9399998850337949</v>
          </cell>
          <cell r="BB1401">
            <v>-2.8810509860466627</v>
          </cell>
          <cell r="BC1401">
            <v>-2.7879367341390071</v>
          </cell>
          <cell r="BD1401">
            <v>-2.7736901536325798</v>
          </cell>
          <cell r="BE1401">
            <v>-0.55346485136600343</v>
          </cell>
          <cell r="BF1401">
            <v>-0.56941968367145712</v>
          </cell>
          <cell r="BG1401">
            <v>-0.58518679972733301</v>
          </cell>
          <cell r="BH1401">
            <v>-0.60091463051668015</v>
          </cell>
          <cell r="BI1401">
            <v>-0.61665616465492734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-0.80353018051997349</v>
          </cell>
          <cell r="G1402">
            <v>-1.4643454333867489</v>
          </cell>
          <cell r="H1402">
            <v>-1.9373018947803189</v>
          </cell>
          <cell r="I1402">
            <v>-2.25572566095531</v>
          </cell>
          <cell r="J1402">
            <v>-2.4649199746441752</v>
          </cell>
          <cell r="K1402">
            <v>-2.6049874592325772</v>
          </cell>
          <cell r="L1402">
            <v>-2.7067241762265493</v>
          </cell>
          <cell r="M1402">
            <v>-2.7889748983203067</v>
          </cell>
          <cell r="N1402">
            <v>-2.8615718361428288</v>
          </cell>
          <cell r="O1402">
            <v>-2.9283029822455675</v>
          </cell>
          <cell r="P1402">
            <v>-2.9892513140564181</v>
          </cell>
          <cell r="Q1402">
            <v>-3.0469637767173929</v>
          </cell>
          <cell r="R1402">
            <v>-3.1006166581097006</v>
          </cell>
          <cell r="S1402">
            <v>-3.1499567404809969</v>
          </cell>
          <cell r="T1402">
            <v>-3.1958139366188965</v>
          </cell>
          <cell r="U1402">
            <v>-3.2399217599096031</v>
          </cell>
          <cell r="V1402">
            <v>-3.2864207388104805</v>
          </cell>
          <cell r="W1402">
            <v>-3.33733228195775</v>
          </cell>
          <cell r="X1402">
            <v>-3.3939624018245906</v>
          </cell>
          <cell r="Y1402">
            <v>-3.4569698154034212</v>
          </cell>
          <cell r="Z1402">
            <v>-3.5266787507701403</v>
          </cell>
          <cell r="AA1402">
            <v>-3.6020405907375985</v>
          </cell>
          <cell r="AB1402">
            <v>-3.6821065717668189</v>
          </cell>
          <cell r="AC1402">
            <v>-3.7656807574038664</v>
          </cell>
          <cell r="AD1402">
            <v>-3.8514436234395988</v>
          </cell>
          <cell r="AE1402">
            <v>-3.9387692086767068</v>
          </cell>
          <cell r="AF1402">
            <v>-4.0250657440289555</v>
          </cell>
          <cell r="AG1402">
            <v>-4.1088942971705062</v>
          </cell>
          <cell r="AH1402">
            <v>-4.1892869566341968</v>
          </cell>
          <cell r="AI1402">
            <v>-4.2656245832975337</v>
          </cell>
          <cell r="AJ1402">
            <v>-4.3375363213228546</v>
          </cell>
          <cell r="AK1402">
            <v>-4.4046651805670685</v>
          </cell>
          <cell r="AL1402">
            <v>-4.4668390512269784</v>
          </cell>
          <cell r="AM1402">
            <v>-4.5240882796677484</v>
          </cell>
          <cell r="AN1402">
            <v>-4.5765485062603357</v>
          </cell>
          <cell r="AO1402">
            <v>-4.6244143673124682</v>
          </cell>
          <cell r="AP1402">
            <v>-4.6672644249911244</v>
          </cell>
          <cell r="AQ1402">
            <v>-4.7040498165613176</v>
          </cell>
          <cell r="AR1402">
            <v>-4.7348875879397179</v>
          </cell>
          <cell r="AS1402">
            <v>-4.7603906483006835</v>
          </cell>
          <cell r="AT1402">
            <v>-4.7813620920223006</v>
          </cell>
          <cell r="AU1402">
            <v>-4.7985855756211171</v>
          </cell>
          <cell r="AV1402">
            <v>-4.812582152522948</v>
          </cell>
          <cell r="AW1402">
            <v>-4.8239575679176134</v>
          </cell>
          <cell r="AX1402">
            <v>-4.8332819523304043</v>
          </cell>
          <cell r="AY1402">
            <v>-4.8410450146055268</v>
          </cell>
          <cell r="AZ1402">
            <v>-4.8477613472358243</v>
          </cell>
          <cell r="BA1402">
            <v>-4.8528483101160198</v>
          </cell>
          <cell r="BB1402">
            <v>-5.2977366924297993</v>
          </cell>
          <cell r="BC1402">
            <v>-5.9984778318926235</v>
          </cell>
          <cell r="BD1402">
            <v>-6.7848220182366914</v>
          </cell>
          <cell r="BE1402">
            <v>0.14027340424394019</v>
          </cell>
          <cell r="BF1402">
            <v>0.14741152578139349</v>
          </cell>
          <cell r="BG1402">
            <v>0.15482110587274889</v>
          </cell>
          <cell r="BH1402">
            <v>0.16252648829901961</v>
          </cell>
          <cell r="BI1402">
            <v>0.17051143114354961</v>
          </cell>
        </row>
        <row r="1403">
          <cell r="C1403" t="str">
            <v>Emploi en millier</v>
          </cell>
          <cell r="E1403" t="str">
            <v>F_L_2-F_L_0</v>
          </cell>
          <cell r="F1403">
            <v>-219.95120999999926</v>
          </cell>
          <cell r="G1403">
            <v>-401.2443600000006</v>
          </cell>
          <cell r="H1403">
            <v>-531.47850000000108</v>
          </cell>
          <cell r="I1403">
            <v>-619.89361999999892</v>
          </cell>
          <cell r="J1403">
            <v>-678.95014000000083</v>
          </cell>
          <cell r="K1403">
            <v>-719.60368999999992</v>
          </cell>
          <cell r="L1403">
            <v>-749.9322800000009</v>
          </cell>
          <cell r="M1403">
            <v>-775.06336999999985</v>
          </cell>
          <cell r="N1403">
            <v>-797.67540000000008</v>
          </cell>
          <cell r="O1403">
            <v>-818.78476000000228</v>
          </cell>
          <cell r="P1403">
            <v>-838.91761000000042</v>
          </cell>
          <cell r="Q1403">
            <v>-858.1234000000004</v>
          </cell>
          <cell r="R1403">
            <v>-876.12178000000131</v>
          </cell>
          <cell r="S1403">
            <v>-892.8256999999976</v>
          </cell>
          <cell r="T1403">
            <v>-908.46608999999808</v>
          </cell>
          <cell r="U1403">
            <v>-923.53979000000254</v>
          </cell>
          <cell r="V1403">
            <v>-939.24033000000054</v>
          </cell>
          <cell r="W1403">
            <v>-956.16758000000118</v>
          </cell>
          <cell r="X1403">
            <v>-974.72127000000182</v>
          </cell>
          <cell r="Y1403">
            <v>-995.11714999999822</v>
          </cell>
          <cell r="Z1403">
            <v>-1017.0608500000017</v>
          </cell>
          <cell r="AA1403">
            <v>-1040.7567899999995</v>
          </cell>
          <cell r="AB1403">
            <v>-1065.9658000000018</v>
          </cell>
          <cell r="AC1403">
            <v>-1092.3515299999999</v>
          </cell>
          <cell r="AD1403">
            <v>-1119.5333199999986</v>
          </cell>
          <cell r="AE1403">
            <v>-1146.0775099999992</v>
          </cell>
          <cell r="AF1403">
            <v>-1172.0800899999995</v>
          </cell>
          <cell r="AG1403">
            <v>-1197.2465899999988</v>
          </cell>
          <cell r="AH1403">
            <v>-1221.3748599999999</v>
          </cell>
          <cell r="AI1403">
            <v>-1244.341040000003</v>
          </cell>
          <cell r="AJ1403">
            <v>-1266.0742599999976</v>
          </cell>
          <cell r="AK1403">
            <v>-1286.4901900000004</v>
          </cell>
          <cell r="AL1403">
            <v>-1305.5440699999999</v>
          </cell>
          <cell r="AM1403">
            <v>-1323.2399000000005</v>
          </cell>
          <cell r="AN1403">
            <v>-1339.6060499999985</v>
          </cell>
          <cell r="AO1403">
            <v>-1354.6850099999974</v>
          </cell>
          <cell r="AP1403">
            <v>-1368.0275299999994</v>
          </cell>
          <cell r="AQ1403">
            <v>-1379.3671800000011</v>
          </cell>
          <cell r="AR1403">
            <v>-1388.7910199999969</v>
          </cell>
          <cell r="AS1403">
            <v>-1396.5265099999997</v>
          </cell>
          <cell r="AT1403">
            <v>-1402.8482000000004</v>
          </cell>
          <cell r="AU1403">
            <v>-1408.0153600000012</v>
          </cell>
          <cell r="AV1403">
            <v>-1412.2008800000003</v>
          </cell>
          <cell r="AW1403">
            <v>-1415.5943299999999</v>
          </cell>
          <cell r="AX1403">
            <v>-1418.3684199999989</v>
          </cell>
          <cell r="AY1403">
            <v>-1420.667809999999</v>
          </cell>
          <cell r="AZ1403">
            <v>-1422.6674300000013</v>
          </cell>
          <cell r="BA1403">
            <v>-1424.1882500000029</v>
          </cell>
          <cell r="BB1403">
            <v>-1554.7719800000013</v>
          </cell>
          <cell r="BC1403">
            <v>-1760.4265899999991</v>
          </cell>
          <cell r="BD1403">
            <v>-1991.1730500000012</v>
          </cell>
          <cell r="BE1403">
            <v>43.635760000001028</v>
          </cell>
          <cell r="BF1403">
            <v>45.909630000001926</v>
          </cell>
          <cell r="BG1403">
            <v>48.272320000000036</v>
          </cell>
          <cell r="BH1403">
            <v>50.7316000000028</v>
          </cell>
          <cell r="BI1403">
            <v>53.282609999998385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0.58717855000000041</v>
          </cell>
          <cell r="G1404">
            <v>1.0259240000000003</v>
          </cell>
          <cell r="H1404">
            <v>1.315407630000001</v>
          </cell>
          <cell r="I1404">
            <v>1.4975502200000017</v>
          </cell>
          <cell r="J1404">
            <v>1.6109281400000008</v>
          </cell>
          <cell r="K1404">
            <v>1.6846869399999993</v>
          </cell>
          <cell r="L1404">
            <v>1.7397710099999992</v>
          </cell>
          <cell r="M1404">
            <v>1.7860078000000001</v>
          </cell>
          <cell r="N1404">
            <v>1.8285373600000017</v>
          </cell>
          <cell r="O1404">
            <v>1.8687091299999987</v>
          </cell>
          <cell r="P1404">
            <v>1.9044053599999999</v>
          </cell>
          <cell r="Q1404">
            <v>1.9407063400000006</v>
          </cell>
          <cell r="R1404">
            <v>1.9740733799999992</v>
          </cell>
          <cell r="S1404">
            <v>2.0043805600000022</v>
          </cell>
          <cell r="T1404">
            <v>2.0322854700000006</v>
          </cell>
          <cell r="U1404">
            <v>2.0590452000000008</v>
          </cell>
          <cell r="V1404">
            <v>2.0875994700000011</v>
          </cell>
          <cell r="W1404">
            <v>2.1191784200000008</v>
          </cell>
          <cell r="X1404">
            <v>2.1545313900000003</v>
          </cell>
          <cell r="Y1404">
            <v>2.1939894500000001</v>
          </cell>
          <cell r="Z1404">
            <v>2.2387188899999995</v>
          </cell>
          <cell r="AA1404">
            <v>2.2851897100000018</v>
          </cell>
          <cell r="AB1404">
            <v>2.3347253799999996</v>
          </cell>
          <cell r="AC1404">
            <v>2.3864126699999986</v>
          </cell>
          <cell r="AD1404">
            <v>2.4393303800000017</v>
          </cell>
          <cell r="AE1404">
            <v>2.4961779500000003</v>
          </cell>
          <cell r="AF1404">
            <v>2.5484579700000012</v>
          </cell>
          <cell r="AG1404">
            <v>2.5988036599999988</v>
          </cell>
          <cell r="AH1404">
            <v>2.6466990100000003</v>
          </cell>
          <cell r="AI1404">
            <v>2.6918540299999987</v>
          </cell>
          <cell r="AJ1404">
            <v>2.7341174699999997</v>
          </cell>
          <cell r="AK1404">
            <v>2.7733058899999996</v>
          </cell>
          <cell r="AL1404">
            <v>2.8093429399999978</v>
          </cell>
          <cell r="AM1404">
            <v>2.8422732700000006</v>
          </cell>
          <cell r="AN1404">
            <v>2.8721945299999998</v>
          </cell>
          <cell r="AO1404">
            <v>2.8992318500000005</v>
          </cell>
          <cell r="AP1404">
            <v>2.9238138199999986</v>
          </cell>
          <cell r="AQ1404">
            <v>2.943948269999999</v>
          </cell>
          <cell r="AR1404">
            <v>2.9599839899999978</v>
          </cell>
          <cell r="AS1404">
            <v>2.9725029099999993</v>
          </cell>
          <cell r="AT1404">
            <v>2.9821358500000006</v>
          </cell>
          <cell r="AU1404">
            <v>2.9894439200000011</v>
          </cell>
          <cell r="AV1404">
            <v>2.9947696200000014</v>
          </cell>
          <cell r="AW1404">
            <v>2.9985113399999985</v>
          </cell>
          <cell r="AX1404">
            <v>3.0010314699999983</v>
          </cell>
          <cell r="AY1404">
            <v>3.0026298700000007</v>
          </cell>
          <cell r="AZ1404">
            <v>3.0035635099999984</v>
          </cell>
          <cell r="BA1404">
            <v>3.0034692499999989</v>
          </cell>
          <cell r="BB1404">
            <v>2.9059769099999992</v>
          </cell>
          <cell r="BC1404">
            <v>2.81103375</v>
          </cell>
          <cell r="BD1404">
            <v>2.7108496399999988</v>
          </cell>
          <cell r="BE1404">
            <v>-8.9909590000000761E-2</v>
          </cell>
          <cell r="BF1404">
            <v>-9.4422660000001435E-2</v>
          </cell>
          <cell r="BG1404">
            <v>-9.911473000000226E-2</v>
          </cell>
          <cell r="BH1404">
            <v>-0.10399653000000009</v>
          </cell>
          <cell r="BI1404">
            <v>-0.10905186999999872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-1.2296534974212234</v>
          </cell>
          <cell r="G1405">
            <v>-1.3412011153183818</v>
          </cell>
          <cell r="H1405">
            <v>-1.418190146497444</v>
          </cell>
          <cell r="I1405">
            <v>-1.4705661135387373</v>
          </cell>
          <cell r="J1405">
            <v>-1.4963588146125837</v>
          </cell>
          <cell r="K1405">
            <v>-1.5004043987049682</v>
          </cell>
          <cell r="L1405">
            <v>-1.4913399371969709</v>
          </cell>
          <cell r="M1405">
            <v>-1.4757818107743441</v>
          </cell>
          <cell r="N1405">
            <v>-1.4609162853436231</v>
          </cell>
          <cell r="O1405">
            <v>-1.4519497633806056</v>
          </cell>
          <cell r="P1405">
            <v>-1.4521561894440291</v>
          </cell>
          <cell r="Q1405">
            <v>-1.4674284733504215</v>
          </cell>
          <cell r="R1405">
            <v>-1.4907209714691487</v>
          </cell>
          <cell r="S1405">
            <v>-1.5219636915981396</v>
          </cell>
          <cell r="T1405">
            <v>-1.5593109069729743</v>
          </cell>
          <cell r="U1405">
            <v>-1.6007832633672354</v>
          </cell>
          <cell r="V1405">
            <v>-1.6493801382017625</v>
          </cell>
          <cell r="W1405">
            <v>-1.6973761780338541</v>
          </cell>
          <cell r="X1405">
            <v>-1.7449604362529607</v>
          </cell>
          <cell r="Y1405">
            <v>-1.7916856847428049</v>
          </cell>
          <cell r="Z1405">
            <v>-1.8371075243550195</v>
          </cell>
          <cell r="AA1405">
            <v>-1.8814642414061844</v>
          </cell>
          <cell r="AB1405">
            <v>-1.925249908683081</v>
          </cell>
          <cell r="AC1405">
            <v>-1.9681139977060738</v>
          </cell>
          <cell r="AD1405">
            <v>-2.0101719334300894</v>
          </cell>
          <cell r="AE1405">
            <v>-2.0505796089951076</v>
          </cell>
          <cell r="AF1405">
            <v>-2.088864734821648</v>
          </cell>
          <cell r="AG1405">
            <v>-2.1283628326308617</v>
          </cell>
          <cell r="AH1405">
            <v>-2.1678219612684773</v>
          </cell>
          <cell r="AI1405">
            <v>-2.2071148833917897</v>
          </cell>
          <cell r="AJ1405">
            <v>-2.246138810280272</v>
          </cell>
          <cell r="AK1405">
            <v>-2.2839660414785503</v>
          </cell>
          <cell r="AL1405">
            <v>-2.3217337446206678</v>
          </cell>
          <cell r="AM1405">
            <v>-2.3591146767873927</v>
          </cell>
          <cell r="AN1405">
            <v>-2.3960387644593242</v>
          </cell>
          <cell r="AO1405">
            <v>-2.4324597272423389</v>
          </cell>
          <cell r="AP1405">
            <v>-2.4611202049011949</v>
          </cell>
          <cell r="AQ1405">
            <v>-2.4923412272288439</v>
          </cell>
          <cell r="AR1405">
            <v>-2.5238494098513544</v>
          </cell>
          <cell r="AS1405">
            <v>-2.5552928824270782</v>
          </cell>
          <cell r="AT1405">
            <v>-2.5864706053066087</v>
          </cell>
          <cell r="AU1405">
            <v>-2.6162466503971276</v>
          </cell>
          <cell r="AV1405">
            <v>-2.6461458065813912</v>
          </cell>
          <cell r="AW1405">
            <v>-2.6757902713365289</v>
          </cell>
          <cell r="AX1405">
            <v>-2.7051813623107046</v>
          </cell>
          <cell r="AY1405">
            <v>-2.7343460249097045</v>
          </cell>
          <cell r="AZ1405">
            <v>-2.7600135778756494</v>
          </cell>
          <cell r="BA1405">
            <v>-2.7871693923925007</v>
          </cell>
          <cell r="BB1405">
            <v>-3.2188691464999404</v>
          </cell>
          <cell r="BC1405">
            <v>-3.6828065973095985</v>
          </cell>
          <cell r="BD1405">
            <v>-4.1612634912446502</v>
          </cell>
          <cell r="BE1405">
            <v>2.5088340241877227E-2</v>
          </cell>
          <cell r="BF1405">
            <v>2.3677838209086803E-2</v>
          </cell>
          <cell r="BG1405">
            <v>2.2157323216682578E-2</v>
          </cell>
          <cell r="BH1405">
            <v>2.0562063689133103E-2</v>
          </cell>
          <cell r="BI1405">
            <v>1.8911098973554932E-2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4.6735794159673792E-2</v>
          </cell>
          <cell r="G1406">
            <v>5.5761702454805613E-2</v>
          </cell>
          <cell r="H1406">
            <v>7.0190240031473172E-2</v>
          </cell>
          <cell r="I1406">
            <v>8.4551177648519923E-2</v>
          </cell>
          <cell r="J1406">
            <v>9.7682166502572637E-2</v>
          </cell>
          <cell r="K1406">
            <v>0.10930539502962411</v>
          </cell>
          <cell r="L1406">
            <v>0.11939195367594702</v>
          </cell>
          <cell r="M1406">
            <v>0.12779803256131195</v>
          </cell>
          <cell r="N1406">
            <v>0.13450534412191451</v>
          </cell>
          <cell r="O1406">
            <v>0.13955425217030779</v>
          </cell>
          <cell r="P1406">
            <v>0.14298610720184304</v>
          </cell>
          <cell r="Q1406">
            <v>0.14516706889787201</v>
          </cell>
          <cell r="R1406">
            <v>0.1460354351362268</v>
          </cell>
          <cell r="S1406">
            <v>0.14582556752453599</v>
          </cell>
          <cell r="T1406">
            <v>0.14474586925993602</v>
          </cell>
          <cell r="U1406">
            <v>0.14299462107066757</v>
          </cell>
          <cell r="V1406">
            <v>0.14087747192077696</v>
          </cell>
          <cell r="W1406">
            <v>0.13840221429706981</v>
          </cell>
          <cell r="X1406">
            <v>0.13573858997777688</v>
          </cell>
          <cell r="Y1406">
            <v>0.13300830623176502</v>
          </cell>
          <cell r="Z1406">
            <v>0.13032525222217811</v>
          </cell>
          <cell r="AA1406">
            <v>0.12771500372154437</v>
          </cell>
          <cell r="AB1406">
            <v>0.12525354708985675</v>
          </cell>
          <cell r="AC1406">
            <v>0.12296148148495736</v>
          </cell>
          <cell r="AD1406">
            <v>0.12085143339705187</v>
          </cell>
          <cell r="AE1406">
            <v>0.11896769968545076</v>
          </cell>
          <cell r="AF1406">
            <v>0.1172177232888422</v>
          </cell>
          <cell r="AG1406">
            <v>0.11568217341210336</v>
          </cell>
          <cell r="AH1406">
            <v>0.11432864865919667</v>
          </cell>
          <cell r="AI1406">
            <v>0.1131342055843948</v>
          </cell>
          <cell r="AJ1406">
            <v>0.11207671628437418</v>
          </cell>
          <cell r="AK1406">
            <v>0.1111157396016452</v>
          </cell>
          <cell r="AL1406">
            <v>0.11025760078571256</v>
          </cell>
          <cell r="AM1406">
            <v>0.10947770886857618</v>
          </cell>
          <cell r="AN1406">
            <v>0.1087566571751554</v>
          </cell>
          <cell r="AO1406">
            <v>0.10807765291979722</v>
          </cell>
          <cell r="AP1406">
            <v>0.1072809675690959</v>
          </cell>
          <cell r="AQ1406">
            <v>0.10657524219217854</v>
          </cell>
          <cell r="AR1406">
            <v>0.10590946141399177</v>
          </cell>
          <cell r="AS1406">
            <v>0.10526370403258056</v>
          </cell>
          <cell r="AT1406">
            <v>0.10462731618262039</v>
          </cell>
          <cell r="AU1406">
            <v>0.10397192491921059</v>
          </cell>
          <cell r="AV1406">
            <v>0.10332543053377247</v>
          </cell>
          <cell r="AW1406">
            <v>0.10267832044623515</v>
          </cell>
          <cell r="AX1406">
            <v>0.10202709534403043</v>
          </cell>
          <cell r="AY1406">
            <v>0.10137087763006812</v>
          </cell>
          <cell r="AZ1406">
            <v>0.10064463856081082</v>
          </cell>
          <cell r="BA1406">
            <v>9.9952656936406953E-2</v>
          </cell>
          <cell r="BB1406">
            <v>0.13375357016025363</v>
          </cell>
          <cell r="BC1406">
            <v>0.1720590127112247</v>
          </cell>
          <cell r="BD1406">
            <v>0.2123765482706928</v>
          </cell>
          <cell r="BE1406">
            <v>-1.4290277810535823E-2</v>
          </cell>
          <cell r="BF1406">
            <v>-1.4575120011606733E-2</v>
          </cell>
          <cell r="BG1406">
            <v>-1.4850600843896618E-2</v>
          </cell>
          <cell r="BH1406">
            <v>-1.5118730917251105E-2</v>
          </cell>
          <cell r="BI1406">
            <v>-1.5380040732979224E-2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0.61866698966400058</v>
          </cell>
          <cell r="G1407">
            <v>1.1217840108579207</v>
          </cell>
          <cell r="H1407">
            <v>1.5273227909686944</v>
          </cell>
          <cell r="I1407">
            <v>1.8555692952529581</v>
          </cell>
          <cell r="J1407">
            <v>2.1193194284499484</v>
          </cell>
          <cell r="K1407">
            <v>2.3286784311489197</v>
          </cell>
          <cell r="L1407">
            <v>2.491928041324992</v>
          </cell>
          <cell r="M1407">
            <v>2.6145950589852398</v>
          </cell>
          <cell r="N1407">
            <v>2.7006777612848398</v>
          </cell>
          <cell r="O1407">
            <v>2.7537823771360013</v>
          </cell>
          <cell r="P1407">
            <v>2.7786218991782805</v>
          </cell>
          <cell r="Q1407">
            <v>2.7810845543830283</v>
          </cell>
          <cell r="R1407">
            <v>2.7657970110476411</v>
          </cell>
          <cell r="S1407">
            <v>2.7385063247239994</v>
          </cell>
          <cell r="T1407">
            <v>2.7045828824760649</v>
          </cell>
          <cell r="U1407">
            <v>2.6689339707351123</v>
          </cell>
          <cell r="V1407">
            <v>2.63834119302755</v>
          </cell>
          <cell r="W1407">
            <v>2.6142936099840179</v>
          </cell>
          <cell r="X1407">
            <v>2.598515110530343</v>
          </cell>
          <cell r="Y1407">
            <v>2.5917393797856825</v>
          </cell>
          <cell r="Z1407">
            <v>2.5935960983503938</v>
          </cell>
          <cell r="AA1407">
            <v>2.6048093728097443</v>
          </cell>
          <cell r="AB1407">
            <v>2.6236770103659079</v>
          </cell>
          <cell r="AC1407">
            <v>2.6489695464961458</v>
          </cell>
          <cell r="AD1407">
            <v>2.6795788729037233</v>
          </cell>
          <cell r="AE1407">
            <v>2.7128758131594752</v>
          </cell>
          <cell r="AF1407">
            <v>2.7503127074092339</v>
          </cell>
          <cell r="AG1407">
            <v>2.7900599265403154</v>
          </cell>
          <cell r="AH1407">
            <v>2.8309226288179947</v>
          </cell>
          <cell r="AI1407">
            <v>2.8721982306413172</v>
          </cell>
          <cell r="AJ1407">
            <v>2.9133189225135183</v>
          </cell>
          <cell r="AK1407">
            <v>2.9533419743451699</v>
          </cell>
          <cell r="AL1407">
            <v>2.9922368266410229</v>
          </cell>
          <cell r="AM1407">
            <v>3.0297999965471227</v>
          </cell>
          <cell r="AN1407">
            <v>3.0659141664489091</v>
          </cell>
          <cell r="AO1407">
            <v>3.1005083314231769</v>
          </cell>
          <cell r="AP1407">
            <v>3.1289455852424792</v>
          </cell>
          <cell r="AQ1407">
            <v>3.1545797839948944</v>
          </cell>
          <cell r="AR1407">
            <v>3.1778183689402812</v>
          </cell>
          <cell r="AS1407">
            <v>3.1991142281154974</v>
          </cell>
          <cell r="AT1407">
            <v>3.2188531742327013</v>
          </cell>
          <cell r="AU1407">
            <v>3.2367391627826745</v>
          </cell>
          <cell r="AV1407">
            <v>3.2534704545111106</v>
          </cell>
          <cell r="AW1407">
            <v>3.2693655774442152</v>
          </cell>
          <cell r="AX1407">
            <v>3.2847432336037152</v>
          </cell>
          <cell r="AY1407">
            <v>3.2998846940284174</v>
          </cell>
          <cell r="AZ1407">
            <v>3.3130756800498955</v>
          </cell>
          <cell r="BA1407">
            <v>3.3257874150059061</v>
          </cell>
          <cell r="BB1407">
            <v>3.4963305813310477</v>
          </cell>
          <cell r="BC1407">
            <v>4.2724830045233562</v>
          </cell>
          <cell r="BD1407">
            <v>5.3697805466903032</v>
          </cell>
          <cell r="BE1407">
            <v>-3.3322679994021893E-2</v>
          </cell>
          <cell r="BF1407">
            <v>-3.5692533237813295E-2</v>
          </cell>
          <cell r="BG1407">
            <v>-3.8023948859414007E-2</v>
          </cell>
          <cell r="BH1407">
            <v>-4.0292657603382964E-2</v>
          </cell>
          <cell r="BI1407">
            <v>-4.248222650924012E-2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0.66660342540367101</v>
          </cell>
          <cell r="G1408">
            <v>0.79390227070255082</v>
          </cell>
          <cell r="H1408">
            <v>1.1033834945186061</v>
          </cell>
          <cell r="I1408">
            <v>1.3307391503673813</v>
          </cell>
          <cell r="J1408">
            <v>1.5770500632448343</v>
          </cell>
          <cell r="K1408">
            <v>1.8480760624226871</v>
          </cell>
          <cell r="L1408">
            <v>2.1339212957568647</v>
          </cell>
          <cell r="M1408">
            <v>2.421198587175367</v>
          </cell>
          <cell r="N1408">
            <v>2.6926399862999659</v>
          </cell>
          <cell r="O1408">
            <v>2.9386251915422692</v>
          </cell>
          <cell r="P1408">
            <v>3.1523113321113043</v>
          </cell>
          <cell r="Q1408">
            <v>3.3312987511030761</v>
          </cell>
          <cell r="R1408">
            <v>3.4846942921645656</v>
          </cell>
          <cell r="S1408">
            <v>3.6032515960460074</v>
          </cell>
          <cell r="T1408">
            <v>3.6973771391795078</v>
          </cell>
          <cell r="U1408">
            <v>3.7725323283184515</v>
          </cell>
          <cell r="V1408">
            <v>3.837226772639593</v>
          </cell>
          <cell r="W1408">
            <v>3.8968786968070339</v>
          </cell>
          <cell r="X1408">
            <v>3.9521518250882917</v>
          </cell>
          <cell r="Y1408">
            <v>4.007065551030407</v>
          </cell>
          <cell r="Z1408">
            <v>4.0641849728137114</v>
          </cell>
          <cell r="AA1408">
            <v>4.1254756590318218</v>
          </cell>
          <cell r="AB1408">
            <v>4.183911046948249</v>
          </cell>
          <cell r="AC1408">
            <v>4.2501032775947278</v>
          </cell>
          <cell r="AD1408">
            <v>4.3194940383381102</v>
          </cell>
          <cell r="AE1408">
            <v>4.3940757992963322</v>
          </cell>
          <cell r="AF1408">
            <v>4.4765316728084832</v>
          </cell>
          <cell r="AG1408">
            <v>4.5439850301462279</v>
          </cell>
          <cell r="AH1408">
            <v>4.6209725069377798</v>
          </cell>
          <cell r="AI1408">
            <v>4.6983744207950497</v>
          </cell>
          <cell r="AJ1408">
            <v>4.7768124013545483</v>
          </cell>
          <cell r="AK1408">
            <v>4.8563451694718953</v>
          </cell>
          <cell r="AL1408">
            <v>4.9370718168783769</v>
          </cell>
          <cell r="AM1408">
            <v>5.0202354240780451</v>
          </cell>
          <cell r="AN1408">
            <v>5.105680909123067</v>
          </cell>
          <cell r="AO1408">
            <v>5.1933707162132157</v>
          </cell>
          <cell r="AP1408">
            <v>5.2791343191299864</v>
          </cell>
          <cell r="AQ1408">
            <v>5.3601290877596224</v>
          </cell>
          <cell r="AR1408">
            <v>5.4397853396019089</v>
          </cell>
          <cell r="AS1408">
            <v>5.519408390748012</v>
          </cell>
          <cell r="AT1408">
            <v>5.5990255359585861</v>
          </cell>
          <cell r="AU1408">
            <v>5.6781012078346267</v>
          </cell>
          <cell r="AV1408">
            <v>5.7560938194118307</v>
          </cell>
          <cell r="AW1408">
            <v>5.8348281686186931</v>
          </cell>
          <cell r="AX1408">
            <v>5.9141940991856199</v>
          </cell>
          <cell r="AY1408">
            <v>5.9944766029078016</v>
          </cell>
          <cell r="AZ1408">
            <v>6.0736908688263824</v>
          </cell>
          <cell r="BA1408">
            <v>6.1488603782592177</v>
          </cell>
          <cell r="BB1408">
            <v>6.5303914758188082</v>
          </cell>
          <cell r="BC1408">
            <v>5.3174895797915225</v>
          </cell>
          <cell r="BD1408">
            <v>5.3717499143387943</v>
          </cell>
          <cell r="BE1408">
            <v>-2.889316514713032E-2</v>
          </cell>
          <cell r="BF1408">
            <v>-3.2486357194434073E-2</v>
          </cell>
          <cell r="BG1408">
            <v>-3.6087102957965168E-2</v>
          </cell>
          <cell r="BH1408">
            <v>-3.964266266881554E-2</v>
          </cell>
          <cell r="BI1408">
            <v>-4.3128238461639587E-2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2.8702785859217927</v>
          </cell>
          <cell r="G1409">
            <v>4.755683022399726</v>
          </cell>
          <cell r="H1409">
            <v>6.9306290727113362</v>
          </cell>
          <cell r="I1409">
            <v>9.1999570809031752</v>
          </cell>
          <cell r="J1409">
            <v>11.524844012929691</v>
          </cell>
          <cell r="K1409">
            <v>13.901091798922693</v>
          </cell>
          <cell r="L1409">
            <v>16.340593210461396</v>
          </cell>
          <cell r="M1409">
            <v>18.831545325232046</v>
          </cell>
          <cell r="N1409">
            <v>21.355822160907877</v>
          </cell>
          <cell r="O1409">
            <v>23.889812125488486</v>
          </cell>
          <cell r="P1409">
            <v>26.381204076795171</v>
          </cell>
          <cell r="Q1409">
            <v>28.856677786025521</v>
          </cell>
          <cell r="R1409">
            <v>31.283107907008322</v>
          </cell>
          <cell r="S1409">
            <v>33.644769761471515</v>
          </cell>
          <cell r="T1409">
            <v>35.937642500339294</v>
          </cell>
          <cell r="U1409">
            <v>38.163986592074984</v>
          </cell>
          <cell r="V1409">
            <v>40.340494341182932</v>
          </cell>
          <cell r="W1409">
            <v>42.475021974109481</v>
          </cell>
          <cell r="X1409">
            <v>44.579406329665005</v>
          </cell>
          <cell r="Y1409">
            <v>46.66595599772856</v>
          </cell>
          <cell r="Z1409">
            <v>48.778299635426215</v>
          </cell>
          <cell r="AA1409">
            <v>50.873654426810909</v>
          </cell>
          <cell r="AB1409">
            <v>52.973769130713031</v>
          </cell>
          <cell r="AC1409">
            <v>55.08708970762671</v>
          </cell>
          <cell r="AD1409">
            <v>57.216508777073237</v>
          </cell>
          <cell r="AE1409">
            <v>59.470052199010567</v>
          </cell>
          <cell r="AF1409">
            <v>61.727084712151516</v>
          </cell>
          <cell r="AG1409">
            <v>64.007129821950926</v>
          </cell>
          <cell r="AH1409">
            <v>66.31267564495063</v>
          </cell>
          <cell r="AI1409">
            <v>68.638617684511132</v>
          </cell>
          <cell r="AJ1409">
            <v>70.980279917061864</v>
          </cell>
          <cell r="AK1409">
            <v>73.332139794691301</v>
          </cell>
          <cell r="AL1409">
            <v>75.691119522693839</v>
          </cell>
          <cell r="AM1409">
            <v>78.054591636946995</v>
          </cell>
          <cell r="AN1409">
            <v>80.420361330540445</v>
          </cell>
          <cell r="AO1409">
            <v>82.786712038544238</v>
          </cell>
          <cell r="AP1409">
            <v>85.172029320794778</v>
          </cell>
          <cell r="AQ1409">
            <v>87.557661723271494</v>
          </cell>
          <cell r="AR1409">
            <v>89.938594194559954</v>
          </cell>
          <cell r="AS1409">
            <v>92.312202164224573</v>
          </cell>
          <cell r="AT1409">
            <v>94.676654822106343</v>
          </cell>
          <cell r="AU1409">
            <v>97.028977400965104</v>
          </cell>
          <cell r="AV1409">
            <v>99.368490501176495</v>
          </cell>
          <cell r="AW1409">
            <v>101.69502962619453</v>
          </cell>
          <cell r="AX1409">
            <v>104.00883090676652</v>
          </cell>
          <cell r="AY1409">
            <v>106.31069552759347</v>
          </cell>
          <cell r="AZ1409">
            <v>108.5933020736272</v>
          </cell>
          <cell r="BA1409">
            <v>110.85961785886415</v>
          </cell>
          <cell r="BB1409">
            <v>118.96009690312259</v>
          </cell>
          <cell r="BC1409">
            <v>126.35446790204048</v>
          </cell>
          <cell r="BD1409">
            <v>133.99700546400732</v>
          </cell>
          <cell r="BE1409">
            <v>-0.31622750646672637</v>
          </cell>
          <cell r="BF1409">
            <v>-0.35047498363949825</v>
          </cell>
          <cell r="BG1409">
            <v>-0.38649508567719648</v>
          </cell>
          <cell r="BH1409">
            <v>-0.42419383410826628</v>
          </cell>
          <cell r="BI1409">
            <v>-0.46344306992865403</v>
          </cell>
        </row>
        <row r="1410">
          <cell r="C1410" t="str">
            <v>PIB</v>
          </cell>
          <cell r="E1410" t="str">
            <v>GDP_2</v>
          </cell>
          <cell r="F1410">
            <v>2165578.844</v>
          </cell>
          <cell r="G1410">
            <v>2185726.392</v>
          </cell>
          <cell r="H1410">
            <v>2209496.4750000001</v>
          </cell>
          <cell r="I1410">
            <v>2235635.7140000002</v>
          </cell>
          <cell r="J1410">
            <v>2263510.7999999998</v>
          </cell>
          <cell r="K1410">
            <v>2292635.8390000002</v>
          </cell>
          <cell r="L1410">
            <v>2321115.943</v>
          </cell>
          <cell r="M1410">
            <v>2350135.0580000002</v>
          </cell>
          <cell r="N1410">
            <v>2379794.429</v>
          </cell>
          <cell r="O1410">
            <v>2410234.7570000002</v>
          </cell>
          <cell r="P1410">
            <v>2444310.179</v>
          </cell>
          <cell r="Q1410">
            <v>2477024.3190000001</v>
          </cell>
          <cell r="R1410">
            <v>2510529.8420000002</v>
          </cell>
          <cell r="S1410">
            <v>2544753.3459999999</v>
          </cell>
          <cell r="T1410">
            <v>2579618.0049999999</v>
          </cell>
          <cell r="U1410">
            <v>2615035.2659999998</v>
          </cell>
          <cell r="V1410">
            <v>2650725.676</v>
          </cell>
          <cell r="W1410">
            <v>2686757.7439999999</v>
          </cell>
          <cell r="X1410">
            <v>2723068.693</v>
          </cell>
          <cell r="Y1410">
            <v>2759620.264</v>
          </cell>
          <cell r="Z1410">
            <v>2794413.8909999998</v>
          </cell>
          <cell r="AA1410">
            <v>2830961.307</v>
          </cell>
          <cell r="AB1410">
            <v>2867849.764</v>
          </cell>
          <cell r="AC1410">
            <v>2905124.2039999999</v>
          </cell>
          <cell r="AD1410">
            <v>2942808.9720000001</v>
          </cell>
          <cell r="AE1410">
            <v>2975277.2990000001</v>
          </cell>
          <cell r="AF1410">
            <v>3009929.08</v>
          </cell>
          <cell r="AG1410">
            <v>3044684.3879999998</v>
          </cell>
          <cell r="AH1410">
            <v>3079722.0649999999</v>
          </cell>
          <cell r="AI1410">
            <v>3115158.1460000002</v>
          </cell>
          <cell r="AJ1410">
            <v>3151063.537</v>
          </cell>
          <cell r="AK1410">
            <v>3187518.591</v>
          </cell>
          <cell r="AL1410">
            <v>3224505.4640000002</v>
          </cell>
          <cell r="AM1410">
            <v>3262025.5789999999</v>
          </cell>
          <cell r="AN1410">
            <v>3300074.3709999998</v>
          </cell>
          <cell r="AO1410">
            <v>3338646.3420000002</v>
          </cell>
          <cell r="AP1410">
            <v>3376793.9419999998</v>
          </cell>
          <cell r="AQ1410">
            <v>3415228.1359999999</v>
          </cell>
          <cell r="AR1410">
            <v>3453991.8089999999</v>
          </cell>
          <cell r="AS1410">
            <v>3493129.4279999998</v>
          </cell>
          <cell r="AT1410">
            <v>3532678.304</v>
          </cell>
          <cell r="AU1410">
            <v>3572726.7480000001</v>
          </cell>
          <cell r="AV1410">
            <v>3613242.7429999998</v>
          </cell>
          <cell r="AW1410">
            <v>3654226.9670000002</v>
          </cell>
          <cell r="AX1410">
            <v>3695672.2149999999</v>
          </cell>
          <cell r="AY1410">
            <v>3737568.398</v>
          </cell>
          <cell r="AZ1410">
            <v>3780237.341</v>
          </cell>
          <cell r="BA1410">
            <v>3823429.3859999999</v>
          </cell>
          <cell r="BB1410">
            <v>3846391.5389999999</v>
          </cell>
          <cell r="BC1410">
            <v>3861383.8160000001</v>
          </cell>
          <cell r="BD1410">
            <v>3873695.7579999999</v>
          </cell>
          <cell r="BE1410">
            <v>4934052.733</v>
          </cell>
          <cell r="BF1410">
            <v>5016319.7319999998</v>
          </cell>
          <cell r="BG1410">
            <v>5099876.3890000004</v>
          </cell>
          <cell r="BH1410">
            <v>5184742.5460000001</v>
          </cell>
          <cell r="BI1410">
            <v>5270939.8990000002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-4.0371028742214321E-8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-3.721958297120409E-8</v>
          </cell>
          <cell r="X1411">
            <v>0</v>
          </cell>
          <cell r="Y1411">
            <v>-3.6236880163187379E-8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-2.6755364590513864E-8</v>
          </cell>
          <cell r="AZ1411">
            <v>0</v>
          </cell>
          <cell r="BA1411">
            <v>0</v>
          </cell>
          <cell r="BB1411">
            <v>-0.65124334706997411</v>
          </cell>
          <cell r="BC1411">
            <v>-1.06313860409053</v>
          </cell>
          <cell r="BD1411">
            <v>-1.3762256855072375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-1.8971946236234771E-8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1174138.9779999999</v>
          </cell>
          <cell r="G1412">
            <v>1200175.8319999999</v>
          </cell>
          <cell r="H1412">
            <v>1234351.9739999999</v>
          </cell>
          <cell r="I1412">
            <v>1268545.145</v>
          </cell>
          <cell r="J1412">
            <v>1307694.1040000001</v>
          </cell>
          <cell r="K1412">
            <v>1352232.423</v>
          </cell>
          <cell r="L1412">
            <v>1401078.69</v>
          </cell>
          <cell r="M1412">
            <v>1455483.08</v>
          </cell>
          <cell r="N1412">
            <v>1514937.149</v>
          </cell>
          <cell r="O1412">
            <v>1579413.09</v>
          </cell>
          <cell r="P1412">
            <v>1651067.02</v>
          </cell>
          <cell r="Q1412">
            <v>1724764.193</v>
          </cell>
          <cell r="R1412">
            <v>1803395.345</v>
          </cell>
          <cell r="S1412">
            <v>1885560.4350000001</v>
          </cell>
          <cell r="T1412">
            <v>1971578.43</v>
          </cell>
          <cell r="U1412">
            <v>2061229.085</v>
          </cell>
          <cell r="V1412">
            <v>2154402.3870000001</v>
          </cell>
          <cell r="W1412">
            <v>2251055.1839999999</v>
          </cell>
          <cell r="X1412">
            <v>2351042.9</v>
          </cell>
          <cell r="Y1412">
            <v>2454418.304</v>
          </cell>
          <cell r="Z1412">
            <v>2558849.7319999998</v>
          </cell>
          <cell r="AA1412">
            <v>2669155.2680000002</v>
          </cell>
          <cell r="AB1412">
            <v>2782434.0550000002</v>
          </cell>
          <cell r="AC1412">
            <v>2899939.0970000001</v>
          </cell>
          <cell r="AD1412">
            <v>3021379.1069999998</v>
          </cell>
          <cell r="AE1412">
            <v>3139195.5290000001</v>
          </cell>
          <cell r="AF1412">
            <v>3265417.4139999999</v>
          </cell>
          <cell r="AG1412">
            <v>3393896.6349999998</v>
          </cell>
          <cell r="AH1412">
            <v>3527491.25</v>
          </cell>
          <cell r="AI1412">
            <v>3665457.0070000002</v>
          </cell>
          <cell r="AJ1412">
            <v>3808172.0869999998</v>
          </cell>
          <cell r="AK1412">
            <v>3956041.5430000001</v>
          </cell>
          <cell r="AL1412">
            <v>4109482.4440000001</v>
          </cell>
          <cell r="AM1412">
            <v>4269009.5760000004</v>
          </cell>
          <cell r="AN1412">
            <v>4435059.8099999996</v>
          </cell>
          <cell r="AO1412">
            <v>4608078.3080000002</v>
          </cell>
          <cell r="AP1412">
            <v>4785801.9179999996</v>
          </cell>
          <cell r="AQ1412">
            <v>4970582.5199999996</v>
          </cell>
          <cell r="AR1412">
            <v>5162695.0949999997</v>
          </cell>
          <cell r="AS1412">
            <v>5362760.04</v>
          </cell>
          <cell r="AT1412">
            <v>5571083.9119999995</v>
          </cell>
          <cell r="AU1412">
            <v>5787979.1090000002</v>
          </cell>
          <cell r="AV1412">
            <v>6013759.0130000003</v>
          </cell>
          <cell r="AW1412">
            <v>6248996.2850000001</v>
          </cell>
          <cell r="AX1412">
            <v>6494122.8229999999</v>
          </cell>
          <cell r="AY1412">
            <v>6749628.9230000004</v>
          </cell>
          <cell r="AZ1412">
            <v>7016103.7060000002</v>
          </cell>
          <cell r="BA1412">
            <v>7293364.6830000002</v>
          </cell>
          <cell r="BB1412">
            <v>7459320.8880000003</v>
          </cell>
          <cell r="BC1412">
            <v>7373794.9239999996</v>
          </cell>
          <cell r="BD1412">
            <v>7392064.5209999997</v>
          </cell>
          <cell r="BE1412">
            <v>6406006.1739999996</v>
          </cell>
          <cell r="BF1412">
            <v>6609777.1940000001</v>
          </cell>
          <cell r="BG1412">
            <v>6819700.4450000003</v>
          </cell>
          <cell r="BH1412">
            <v>7035997.3969999999</v>
          </cell>
          <cell r="BI1412">
            <v>7258896.4110000003</v>
          </cell>
        </row>
        <row r="1413">
          <cell r="C1413" t="str">
            <v>Recettes publiques</v>
          </cell>
          <cell r="E1413" t="str">
            <v>INC_G_VAL_2</v>
          </cell>
          <cell r="F1413">
            <v>994263.01430000004</v>
          </cell>
          <cell r="G1413">
            <v>1011245.515</v>
          </cell>
          <cell r="H1413">
            <v>1029514.133</v>
          </cell>
          <cell r="I1413">
            <v>1050333.4550000001</v>
          </cell>
          <cell r="J1413">
            <v>1074563.987</v>
          </cell>
          <cell r="K1413">
            <v>1102864.5120000001</v>
          </cell>
          <cell r="L1413">
            <v>1135047.4180000001</v>
          </cell>
          <cell r="M1413">
            <v>1171604.1440000001</v>
          </cell>
          <cell r="N1413">
            <v>1212736.1910000001</v>
          </cell>
          <cell r="O1413">
            <v>1258512.9129999999</v>
          </cell>
          <cell r="P1413">
            <v>1310094.2779999999</v>
          </cell>
          <cell r="Q1413">
            <v>1365767.9990000001</v>
          </cell>
          <cell r="R1413">
            <v>1425633.202</v>
          </cell>
          <cell r="S1413">
            <v>1489465.8019999999</v>
          </cell>
          <cell r="T1413">
            <v>1556972.3319999999</v>
          </cell>
          <cell r="U1413">
            <v>1627860.024</v>
          </cell>
          <cell r="V1413">
            <v>1701799.7609999999</v>
          </cell>
          <cell r="W1413">
            <v>1778551.649</v>
          </cell>
          <cell r="X1413">
            <v>1857922.291</v>
          </cell>
          <cell r="Y1413">
            <v>1939765.9990000001</v>
          </cell>
          <cell r="Z1413">
            <v>2022810.4979999999</v>
          </cell>
          <cell r="AA1413">
            <v>2108554.4109999998</v>
          </cell>
          <cell r="AB1413">
            <v>2196738.6630000002</v>
          </cell>
          <cell r="AC1413">
            <v>2287411.7149999999</v>
          </cell>
          <cell r="AD1413">
            <v>2380694.8620000002</v>
          </cell>
          <cell r="AE1413">
            <v>2472870.1030000001</v>
          </cell>
          <cell r="AF1413">
            <v>2567299.6770000001</v>
          </cell>
          <cell r="AG1413">
            <v>2663765.4709999999</v>
          </cell>
          <cell r="AH1413">
            <v>2762495.6839999999</v>
          </cell>
          <cell r="AI1413">
            <v>2863804.4890000001</v>
          </cell>
          <cell r="AJ1413">
            <v>2968004.6660000002</v>
          </cell>
          <cell r="AK1413">
            <v>3075425.6690000002</v>
          </cell>
          <cell r="AL1413">
            <v>3186390.628</v>
          </cell>
          <cell r="AM1413">
            <v>3301225.41</v>
          </cell>
          <cell r="AN1413">
            <v>3420259.4550000001</v>
          </cell>
          <cell r="AO1413">
            <v>3543820.469</v>
          </cell>
          <cell r="AP1413">
            <v>3671123.8640000001</v>
          </cell>
          <cell r="AQ1413">
            <v>3802791.9640000002</v>
          </cell>
          <cell r="AR1413">
            <v>3939137.9160000002</v>
          </cell>
          <cell r="AS1413">
            <v>4080469.966</v>
          </cell>
          <cell r="AT1413">
            <v>4227100.1399999997</v>
          </cell>
          <cell r="AU1413">
            <v>4379348.6409999998</v>
          </cell>
          <cell r="AV1413">
            <v>4537516.6890000002</v>
          </cell>
          <cell r="AW1413">
            <v>4701899.03</v>
          </cell>
          <cell r="AX1413">
            <v>4872795.0999999996</v>
          </cell>
          <cell r="AY1413">
            <v>5050506.3459999999</v>
          </cell>
          <cell r="AZ1413">
            <v>5235502.841</v>
          </cell>
          <cell r="BA1413">
            <v>5428041.6440000003</v>
          </cell>
          <cell r="BB1413">
            <v>5500596.557</v>
          </cell>
          <cell r="BC1413">
            <v>5507916.4270000001</v>
          </cell>
          <cell r="BD1413">
            <v>5479487.0010000002</v>
          </cell>
          <cell r="BE1413">
            <v>6227547.3530000001</v>
          </cell>
          <cell r="BF1413">
            <v>6447101.7589999996</v>
          </cell>
          <cell r="BG1413">
            <v>6673897.7949999999</v>
          </cell>
          <cell r="BH1413">
            <v>6908213.1090000002</v>
          </cell>
          <cell r="BI1413">
            <v>7150343.2790000001</v>
          </cell>
        </row>
        <row r="1414">
          <cell r="C1414" t="str">
            <v>Solde public</v>
          </cell>
          <cell r="E1414" t="str">
            <v>Bal_G_tot_VAL_2</v>
          </cell>
          <cell r="F1414">
            <v>-77898.896240000002</v>
          </cell>
          <cell r="G1414">
            <v>-83058.304579999996</v>
          </cell>
          <cell r="H1414">
            <v>-94812.913700000005</v>
          </cell>
          <cell r="I1414">
            <v>-103446.11749999999</v>
          </cell>
          <cell r="J1414">
            <v>-113192.23789999999</v>
          </cell>
          <cell r="K1414">
            <v>-123770.41989999999</v>
          </cell>
          <cell r="L1414">
            <v>-134245.2599</v>
          </cell>
          <cell r="M1414">
            <v>-145380.6606</v>
          </cell>
          <cell r="N1414">
            <v>-156433.64939999999</v>
          </cell>
          <cell r="O1414">
            <v>-167311.18599999999</v>
          </cell>
          <cell r="P1414">
            <v>-179018.19270000001</v>
          </cell>
          <cell r="Q1414">
            <v>-188090.73439999999</v>
          </cell>
          <cell r="R1414">
            <v>-197452.14679999999</v>
          </cell>
          <cell r="S1414">
            <v>-205912.02900000001</v>
          </cell>
          <cell r="T1414">
            <v>-214127.89290000001</v>
          </cell>
          <cell r="U1414">
            <v>-222184.46179999999</v>
          </cell>
          <cell r="V1414">
            <v>-230308.80350000001</v>
          </cell>
          <cell r="W1414">
            <v>-238694.27170000001</v>
          </cell>
          <cell r="X1414">
            <v>-247376.6329</v>
          </cell>
          <cell r="Y1414">
            <v>-256539.49720000001</v>
          </cell>
          <cell r="Z1414">
            <v>-265099.45039999997</v>
          </cell>
          <cell r="AA1414">
            <v>-276406.10139999999</v>
          </cell>
          <cell r="AB1414">
            <v>-287680.33110000001</v>
          </cell>
          <cell r="AC1414">
            <v>-300128.30479999998</v>
          </cell>
          <cell r="AD1414">
            <v>-313278.75270000001</v>
          </cell>
          <cell r="AE1414">
            <v>-323255.9963</v>
          </cell>
          <cell r="AF1414">
            <v>-338885.50719999999</v>
          </cell>
          <cell r="AG1414">
            <v>-353954.65820000001</v>
          </cell>
          <cell r="AH1414">
            <v>-371121.32809999998</v>
          </cell>
          <cell r="AI1414">
            <v>-389222.21309999999</v>
          </cell>
          <cell r="AJ1414">
            <v>-408276.0061</v>
          </cell>
          <cell r="AK1414">
            <v>-428310.65789999999</v>
          </cell>
          <cell r="AL1414">
            <v>-449371.0673</v>
          </cell>
          <cell r="AM1414">
            <v>-471594.86410000001</v>
          </cell>
          <cell r="AN1414">
            <v>-495031.30940000003</v>
          </cell>
          <cell r="AO1414">
            <v>-519737.22810000001</v>
          </cell>
          <cell r="AP1414">
            <v>-544170.58180000004</v>
          </cell>
          <cell r="AQ1414">
            <v>-570074.55449999997</v>
          </cell>
          <cell r="AR1414">
            <v>-597337.45059999998</v>
          </cell>
          <cell r="AS1414">
            <v>-626203.47290000005</v>
          </cell>
          <cell r="AT1414">
            <v>-656586.99690000003</v>
          </cell>
          <cell r="AU1414">
            <v>-688404.34360000002</v>
          </cell>
          <cell r="AV1414">
            <v>-721595.98230000003</v>
          </cell>
          <cell r="AW1414">
            <v>-756371.11450000003</v>
          </cell>
          <cell r="AX1414">
            <v>-792783.02709999995</v>
          </cell>
          <cell r="AY1414">
            <v>-830938.72919999994</v>
          </cell>
          <cell r="AZ1414">
            <v>-870870.08030000003</v>
          </cell>
          <cell r="BA1414">
            <v>-912048.75080000004</v>
          </cell>
          <cell r="BB1414">
            <v>-959847.60510000004</v>
          </cell>
          <cell r="BC1414">
            <v>-819009.39139999996</v>
          </cell>
          <cell r="BD1414">
            <v>-824757.94400000002</v>
          </cell>
          <cell r="BE1414">
            <v>77863.230030000006</v>
          </cell>
          <cell r="BF1414">
            <v>89753.453880000001</v>
          </cell>
          <cell r="BG1414">
            <v>102138.5665</v>
          </cell>
          <cell r="BH1414">
            <v>115050</v>
          </cell>
          <cell r="BI1414">
            <v>128528.6568</v>
          </cell>
        </row>
        <row r="1415">
          <cell r="C1415" t="str">
            <v>Dette publique</v>
          </cell>
          <cell r="E1415" t="str">
            <v>DEBT_G_VAL_2</v>
          </cell>
          <cell r="F1415">
            <v>2117440.25</v>
          </cell>
          <cell r="G1415">
            <v>2200498.554</v>
          </cell>
          <cell r="H1415">
            <v>2295311.4679999999</v>
          </cell>
          <cell r="I1415">
            <v>2398757.585</v>
          </cell>
          <cell r="J1415">
            <v>2511949.8229999999</v>
          </cell>
          <cell r="K1415">
            <v>2635720.2429999998</v>
          </cell>
          <cell r="L1415">
            <v>2769965.503</v>
          </cell>
          <cell r="M1415">
            <v>2915346.1639999999</v>
          </cell>
          <cell r="N1415">
            <v>3071779.8130000001</v>
          </cell>
          <cell r="O1415">
            <v>3239090.9989999998</v>
          </cell>
          <cell r="P1415">
            <v>3418109.1919999998</v>
          </cell>
          <cell r="Q1415">
            <v>3606199.926</v>
          </cell>
          <cell r="R1415">
            <v>3803652.0729999999</v>
          </cell>
          <cell r="S1415">
            <v>4009564.102</v>
          </cell>
          <cell r="T1415">
            <v>4223691.9950000001</v>
          </cell>
          <cell r="U1415">
            <v>4445876.4570000004</v>
          </cell>
          <cell r="V1415">
            <v>4676185.26</v>
          </cell>
          <cell r="W1415">
            <v>4914879.5319999997</v>
          </cell>
          <cell r="X1415">
            <v>5162256.165</v>
          </cell>
          <cell r="Y1415">
            <v>5418795.6619999995</v>
          </cell>
          <cell r="Z1415">
            <v>5683895.1119999997</v>
          </cell>
          <cell r="AA1415">
            <v>5960301.2139999997</v>
          </cell>
          <cell r="AB1415">
            <v>6247981.5449999999</v>
          </cell>
          <cell r="AC1415">
            <v>6548109.8499999996</v>
          </cell>
          <cell r="AD1415">
            <v>6861388.602</v>
          </cell>
          <cell r="AE1415">
            <v>7184644.5990000004</v>
          </cell>
          <cell r="AF1415">
            <v>7523530.1059999997</v>
          </cell>
          <cell r="AG1415">
            <v>7877484.7640000004</v>
          </cell>
          <cell r="AH1415">
            <v>8248606.0920000002</v>
          </cell>
          <cell r="AI1415">
            <v>8637828.3049999997</v>
          </cell>
          <cell r="AJ1415">
            <v>9046104.3120000008</v>
          </cell>
          <cell r="AK1415">
            <v>9474414.9690000005</v>
          </cell>
          <cell r="AL1415">
            <v>9923786.0370000005</v>
          </cell>
          <cell r="AM1415">
            <v>10395380.9</v>
          </cell>
          <cell r="AN1415">
            <v>10890412.210000001</v>
          </cell>
          <cell r="AO1415">
            <v>11410149.439999999</v>
          </cell>
          <cell r="AP1415">
            <v>11954320.02</v>
          </cell>
          <cell r="AQ1415">
            <v>12524394.57</v>
          </cell>
          <cell r="AR1415">
            <v>13121732.029999999</v>
          </cell>
          <cell r="AS1415">
            <v>13747935.5</v>
          </cell>
          <cell r="AT1415">
            <v>14404522.49</v>
          </cell>
          <cell r="AU1415">
            <v>15092926.84</v>
          </cell>
          <cell r="AV1415">
            <v>15814522.82</v>
          </cell>
          <cell r="AW1415">
            <v>16570893.939999999</v>
          </cell>
          <cell r="AX1415">
            <v>17363676.960000001</v>
          </cell>
          <cell r="AY1415">
            <v>18194615.690000001</v>
          </cell>
          <cell r="AZ1415">
            <v>19065485.77</v>
          </cell>
          <cell r="BA1415">
            <v>19977534.52</v>
          </cell>
          <cell r="BB1415">
            <v>20937382.129999999</v>
          </cell>
          <cell r="BC1415">
            <v>21756391.52</v>
          </cell>
          <cell r="BD1415">
            <v>22581149.460000001</v>
          </cell>
          <cell r="BE1415">
            <v>5048577.7790000001</v>
          </cell>
          <cell r="BF1415">
            <v>4958824.3250000002</v>
          </cell>
          <cell r="BG1415">
            <v>4856685.7580000004</v>
          </cell>
          <cell r="BH1415">
            <v>4741635.7580000004</v>
          </cell>
          <cell r="BI1415">
            <v>4613107.102</v>
          </cell>
        </row>
        <row r="1434">
          <cell r="F1434">
            <v>27153.16001</v>
          </cell>
          <cell r="G1434">
            <v>26999.69198</v>
          </cell>
          <cell r="H1434">
            <v>26902.47495</v>
          </cell>
          <cell r="I1434">
            <v>26861.002250000001</v>
          </cell>
          <cell r="J1434">
            <v>26865.560310000001</v>
          </cell>
          <cell r="K1434">
            <v>26904.47133</v>
          </cell>
          <cell r="L1434">
            <v>26956.336670000001</v>
          </cell>
          <cell r="M1434">
            <v>27015.19643</v>
          </cell>
          <cell r="N1434">
            <v>27077.752710000001</v>
          </cell>
          <cell r="O1434">
            <v>27142.282279999999</v>
          </cell>
          <cell r="P1434">
            <v>27225.554789999998</v>
          </cell>
          <cell r="Q1434">
            <v>27305.106059999998</v>
          </cell>
          <cell r="R1434">
            <v>27380.250309999999</v>
          </cell>
          <cell r="S1434">
            <v>27451.236570000001</v>
          </cell>
          <cell r="T1434">
            <v>27518.285530000001</v>
          </cell>
          <cell r="U1434">
            <v>27581.463059999998</v>
          </cell>
          <cell r="V1434">
            <v>27640.190139999999</v>
          </cell>
          <cell r="W1434">
            <v>27694.488069999999</v>
          </cell>
          <cell r="X1434">
            <v>27744.550029999999</v>
          </cell>
          <cell r="Y1434">
            <v>27790.70405</v>
          </cell>
          <cell r="Z1434">
            <v>27821.994869999999</v>
          </cell>
          <cell r="AA1434">
            <v>27852.776300000001</v>
          </cell>
          <cell r="AB1434">
            <v>27883.924139999999</v>
          </cell>
          <cell r="AC1434">
            <v>27915.724310000001</v>
          </cell>
          <cell r="AD1434">
            <v>27948.35471</v>
          </cell>
          <cell r="AE1434">
            <v>27951.273700000002</v>
          </cell>
          <cell r="AF1434">
            <v>27947.446510000002</v>
          </cell>
          <cell r="AG1434">
            <v>27940.679660000002</v>
          </cell>
          <cell r="AH1434">
            <v>27933.34461</v>
          </cell>
          <cell r="AI1434">
            <v>27927.026849999998</v>
          </cell>
          <cell r="AJ1434">
            <v>27922.713250000001</v>
          </cell>
          <cell r="AK1434">
            <v>27920.95549</v>
          </cell>
          <cell r="AL1434">
            <v>27921.926520000001</v>
          </cell>
          <cell r="AM1434">
            <v>27925.524010000001</v>
          </cell>
          <cell r="AN1434">
            <v>27931.49308</v>
          </cell>
          <cell r="AO1434">
            <v>27939.511020000002</v>
          </cell>
          <cell r="AP1434">
            <v>27943.09362</v>
          </cell>
          <cell r="AQ1434">
            <v>27943.604169999999</v>
          </cell>
          <cell r="AR1434">
            <v>27942.233090000002</v>
          </cell>
          <cell r="AS1434">
            <v>27939.858110000001</v>
          </cell>
          <cell r="AT1434">
            <v>27937.079900000001</v>
          </cell>
          <cell r="AU1434">
            <v>27934.284319999999</v>
          </cell>
          <cell r="AV1434">
            <v>27931.732069999998</v>
          </cell>
          <cell r="AW1434">
            <v>27929.48821</v>
          </cell>
          <cell r="AX1434">
            <v>27927.497060000002</v>
          </cell>
          <cell r="AY1434">
            <v>27925.63667</v>
          </cell>
          <cell r="AZ1434">
            <v>27924.22752</v>
          </cell>
          <cell r="BA1434">
            <v>27923.282739999999</v>
          </cell>
          <cell r="BB1434">
            <v>27793.08108</v>
          </cell>
          <cell r="BC1434">
            <v>27587.46198</v>
          </cell>
          <cell r="BD1434">
            <v>27356.28875</v>
          </cell>
          <cell r="BE1434">
            <v>31151.28602</v>
          </cell>
          <cell r="BF1434">
            <v>31189.76338</v>
          </cell>
          <cell r="BG1434">
            <v>31227.690480000001</v>
          </cell>
          <cell r="BH1434">
            <v>31265.089660000001</v>
          </cell>
          <cell r="BI1434">
            <v>31301.985199999999</v>
          </cell>
        </row>
        <row r="1435">
          <cell r="F1435">
            <v>757.07066540000005</v>
          </cell>
          <cell r="G1435">
            <v>754.07725979999998</v>
          </cell>
          <cell r="H1435">
            <v>751.96896600000002</v>
          </cell>
          <cell r="I1435">
            <v>750.79409740000006</v>
          </cell>
          <cell r="J1435">
            <v>750.01217629999996</v>
          </cell>
          <cell r="K1435">
            <v>748.94655580000006</v>
          </cell>
          <cell r="L1435">
            <v>746.69698129999995</v>
          </cell>
          <cell r="M1435">
            <v>742.95371069999999</v>
          </cell>
          <cell r="N1435">
            <v>737.74718319999999</v>
          </cell>
          <cell r="O1435">
            <v>731.32175029999996</v>
          </cell>
          <cell r="P1435">
            <v>724.57789660000003</v>
          </cell>
          <cell r="Q1435">
            <v>717.32992109999998</v>
          </cell>
          <cell r="R1435">
            <v>709.77322830000003</v>
          </cell>
          <cell r="S1435">
            <v>702.18154270000002</v>
          </cell>
          <cell r="T1435">
            <v>694.79722140000001</v>
          </cell>
          <cell r="U1435">
            <v>687.78927610000005</v>
          </cell>
          <cell r="V1435">
            <v>681.28695219999997</v>
          </cell>
          <cell r="W1435">
            <v>675.27938989999996</v>
          </cell>
          <cell r="X1435">
            <v>669.71680170000002</v>
          </cell>
          <cell r="Y1435">
            <v>664.52382569999997</v>
          </cell>
          <cell r="Z1435">
            <v>659.29761629999996</v>
          </cell>
          <cell r="AA1435">
            <v>654.29422030000001</v>
          </cell>
          <cell r="AB1435">
            <v>649.51401880000003</v>
          </cell>
          <cell r="AC1435">
            <v>644.89232939999999</v>
          </cell>
          <cell r="AD1435">
            <v>640.35208880000005</v>
          </cell>
          <cell r="AE1435">
            <v>635.01229550000005</v>
          </cell>
          <cell r="AF1435">
            <v>629.31468159999997</v>
          </cell>
          <cell r="AG1435">
            <v>623.49443199999996</v>
          </cell>
          <cell r="AH1435">
            <v>617.68967269999996</v>
          </cell>
          <cell r="AI1435">
            <v>611.97404970000002</v>
          </cell>
          <cell r="AJ1435">
            <v>606.37802720000002</v>
          </cell>
          <cell r="AK1435">
            <v>600.89348219999999</v>
          </cell>
          <cell r="AL1435">
            <v>595.5169823</v>
          </cell>
          <cell r="AM1435">
            <v>590.23580619999996</v>
          </cell>
          <cell r="AN1435">
            <v>585.03527650000001</v>
          </cell>
          <cell r="AO1435">
            <v>579.90306959999998</v>
          </cell>
          <cell r="AP1435">
            <v>574.57520369999997</v>
          </cell>
          <cell r="AQ1435">
            <v>569.13408819999995</v>
          </cell>
          <cell r="AR1435">
            <v>563.67053559999999</v>
          </cell>
          <cell r="AS1435">
            <v>558.25532959999998</v>
          </cell>
          <cell r="AT1435">
            <v>552.93301369999995</v>
          </cell>
          <cell r="AU1435">
            <v>547.70787900000005</v>
          </cell>
          <cell r="AV1435">
            <v>542.59398309999995</v>
          </cell>
          <cell r="AW1435">
            <v>537.58805050000001</v>
          </cell>
          <cell r="AX1435">
            <v>532.67682330000002</v>
          </cell>
          <cell r="AY1435">
            <v>527.84292670000002</v>
          </cell>
          <cell r="AZ1435">
            <v>523.02447129999996</v>
          </cell>
          <cell r="BA1435">
            <v>518.24371729999996</v>
          </cell>
          <cell r="BB1435">
            <v>529.20010439999999</v>
          </cell>
          <cell r="BC1435">
            <v>541.68402560000004</v>
          </cell>
          <cell r="BD1435">
            <v>548.63411110000004</v>
          </cell>
          <cell r="BE1435">
            <v>820.99118099999998</v>
          </cell>
          <cell r="BF1435">
            <v>821.45874209999999</v>
          </cell>
          <cell r="BG1435">
            <v>821.93549919999998</v>
          </cell>
          <cell r="BH1435">
            <v>822.4226175</v>
          </cell>
          <cell r="BI1435">
            <v>822.92123130000004</v>
          </cell>
        </row>
        <row r="1438">
          <cell r="F1438">
            <v>4315.6192540000002</v>
          </cell>
          <cell r="G1438">
            <v>4282.0923300000004</v>
          </cell>
          <cell r="H1438">
            <v>4262.283265</v>
          </cell>
          <cell r="I1438">
            <v>4254.0026740000003</v>
          </cell>
          <cell r="J1438">
            <v>4254.0127030000003</v>
          </cell>
          <cell r="K1438">
            <v>4259.164769</v>
          </cell>
          <cell r="L1438">
            <v>4265.3452299999999</v>
          </cell>
          <cell r="M1438">
            <v>4270.8896539999996</v>
          </cell>
          <cell r="N1438">
            <v>4275.0127940000002</v>
          </cell>
          <cell r="O1438">
            <v>4277.4796649999998</v>
          </cell>
          <cell r="P1438">
            <v>4280.8321180000003</v>
          </cell>
          <cell r="Q1438">
            <v>4282.4425099999999</v>
          </cell>
          <cell r="R1438">
            <v>4282.3834429999997</v>
          </cell>
          <cell r="S1438">
            <v>4281.0167469999997</v>
          </cell>
          <cell r="T1438">
            <v>4278.7267110000003</v>
          </cell>
          <cell r="U1438">
            <v>4275.8446210000002</v>
          </cell>
          <cell r="V1438">
            <v>4272.494737</v>
          </cell>
          <cell r="W1438">
            <v>4268.9106780000002</v>
          </cell>
          <cell r="X1438">
            <v>4265.2862150000001</v>
          </cell>
          <cell r="Y1438">
            <v>4261.7781750000004</v>
          </cell>
          <cell r="Z1438">
            <v>4256.9889720000001</v>
          </cell>
          <cell r="AA1438">
            <v>4252.7182810000004</v>
          </cell>
          <cell r="AB1438">
            <v>4249.2343129999999</v>
          </cell>
          <cell r="AC1438">
            <v>4246.6040510000003</v>
          </cell>
          <cell r="AD1438">
            <v>4244.826959</v>
          </cell>
          <cell r="AE1438">
            <v>4239.8357319999996</v>
          </cell>
          <cell r="AF1438">
            <v>4234.1826680000004</v>
          </cell>
          <cell r="AG1438">
            <v>4228.491454</v>
          </cell>
          <cell r="AH1438">
            <v>4223.1075259999998</v>
          </cell>
          <cell r="AI1438">
            <v>4218.2276970000003</v>
          </cell>
          <cell r="AJ1438">
            <v>4213.9448000000002</v>
          </cell>
          <cell r="AK1438">
            <v>4210.288227</v>
          </cell>
          <cell r="AL1438">
            <v>4207.217901</v>
          </cell>
          <cell r="AM1438">
            <v>4204.6529879999998</v>
          </cell>
          <cell r="AN1438">
            <v>4202.4922569999999</v>
          </cell>
          <cell r="AO1438">
            <v>4200.6288340000001</v>
          </cell>
          <cell r="AP1438">
            <v>4198.2374300000001</v>
          </cell>
          <cell r="AQ1438">
            <v>4195.3420169999999</v>
          </cell>
          <cell r="AR1438">
            <v>4192.0365830000001</v>
          </cell>
          <cell r="AS1438">
            <v>4188.4117749999996</v>
          </cell>
          <cell r="AT1438">
            <v>4184.5358409999999</v>
          </cell>
          <cell r="AU1438">
            <v>4180.4618570000002</v>
          </cell>
          <cell r="AV1438">
            <v>4176.2202079999997</v>
          </cell>
          <cell r="AW1438">
            <v>4171.815525</v>
          </cell>
          <cell r="AX1438">
            <v>4167.2364379999999</v>
          </cell>
          <cell r="AY1438">
            <v>4162.462861</v>
          </cell>
          <cell r="AZ1438">
            <v>4157.5523590000003</v>
          </cell>
          <cell r="BA1438">
            <v>4152.5177430000003</v>
          </cell>
          <cell r="BB1438">
            <v>4129.667367</v>
          </cell>
          <cell r="BC1438">
            <v>4095.8575930000002</v>
          </cell>
          <cell r="BD1438">
            <v>4061.5678029999999</v>
          </cell>
          <cell r="BE1438">
            <v>5231.1607729999996</v>
          </cell>
          <cell r="BF1438">
            <v>5242.3388690000002</v>
          </cell>
          <cell r="BG1438">
            <v>5253.0782669999999</v>
          </cell>
          <cell r="BH1438">
            <v>5263.3729199999998</v>
          </cell>
          <cell r="BI1438">
            <v>5273.218406</v>
          </cell>
        </row>
        <row r="1450">
          <cell r="F1450">
            <v>858.45489859999998</v>
          </cell>
          <cell r="G1450">
            <v>851.59641160000001</v>
          </cell>
          <cell r="H1450">
            <v>846.83441089999997</v>
          </cell>
          <cell r="I1450">
            <v>843.92903490000003</v>
          </cell>
          <cell r="J1450">
            <v>842.51646730000004</v>
          </cell>
          <cell r="K1450">
            <v>842.22001260000002</v>
          </cell>
          <cell r="L1450">
            <v>842.38207639999996</v>
          </cell>
          <cell r="M1450">
            <v>842.78979730000003</v>
          </cell>
          <cell r="N1450">
            <v>843.30517399999997</v>
          </cell>
          <cell r="O1450">
            <v>843.83242910000001</v>
          </cell>
          <cell r="P1450">
            <v>844.80908980000004</v>
          </cell>
          <cell r="Q1450">
            <v>845.5375348</v>
          </cell>
          <cell r="R1450">
            <v>845.97773549999999</v>
          </cell>
          <cell r="S1450">
            <v>846.13806669999997</v>
          </cell>
          <cell r="T1450">
            <v>846.03330489999996</v>
          </cell>
          <cell r="U1450">
            <v>845.67975809999996</v>
          </cell>
          <cell r="V1450">
            <v>845.06482400000004</v>
          </cell>
          <cell r="W1450">
            <v>844.22081189999994</v>
          </cell>
          <cell r="X1450">
            <v>843.1831694</v>
          </cell>
          <cell r="Y1450">
            <v>841.98844510000004</v>
          </cell>
          <cell r="Z1450">
            <v>840.35409660000005</v>
          </cell>
          <cell r="AA1450">
            <v>838.70628299999998</v>
          </cell>
          <cell r="AB1450">
            <v>837.09113090000005</v>
          </cell>
          <cell r="AC1450">
            <v>835.52601649999997</v>
          </cell>
          <cell r="AD1450">
            <v>834.02261420000002</v>
          </cell>
          <cell r="AE1450">
            <v>831.74133389999997</v>
          </cell>
          <cell r="AF1450">
            <v>829.33332129999997</v>
          </cell>
          <cell r="AG1450">
            <v>826.91796169999998</v>
          </cell>
          <cell r="AH1450">
            <v>824.55795690000002</v>
          </cell>
          <cell r="AI1450">
            <v>822.29193210000005</v>
          </cell>
          <cell r="AJ1450">
            <v>820.14172489999999</v>
          </cell>
          <cell r="AK1450">
            <v>818.12017549999996</v>
          </cell>
          <cell r="AL1450">
            <v>816.22529440000005</v>
          </cell>
          <cell r="AM1450">
            <v>814.44813450000004</v>
          </cell>
          <cell r="AN1450">
            <v>812.77600670000004</v>
          </cell>
          <cell r="AO1450">
            <v>811.19464619999997</v>
          </cell>
          <cell r="AP1450">
            <v>809.54763679999996</v>
          </cell>
          <cell r="AQ1450">
            <v>807.85533680000003</v>
          </cell>
          <cell r="AR1450">
            <v>806.14178600000002</v>
          </cell>
          <cell r="AS1450">
            <v>804.42517420000001</v>
          </cell>
          <cell r="AT1450">
            <v>802.71770079999999</v>
          </cell>
          <cell r="AU1450">
            <v>801.03056630000003</v>
          </cell>
          <cell r="AV1450">
            <v>799.36696449999999</v>
          </cell>
          <cell r="AW1450">
            <v>797.72621260000005</v>
          </cell>
          <cell r="AX1450">
            <v>796.10540839999999</v>
          </cell>
          <cell r="AY1450">
            <v>794.50048260000005</v>
          </cell>
          <cell r="AZ1450">
            <v>792.93114160000005</v>
          </cell>
          <cell r="BA1450">
            <v>791.39146579999999</v>
          </cell>
          <cell r="BB1450">
            <v>785.54316879999999</v>
          </cell>
          <cell r="BC1450">
            <v>776.729285</v>
          </cell>
          <cell r="BD1450">
            <v>767.93343749999997</v>
          </cell>
          <cell r="BE1450">
            <v>906.05349030000002</v>
          </cell>
          <cell r="BF1450">
            <v>906.0849584</v>
          </cell>
          <cell r="BG1450">
            <v>906.13729030000002</v>
          </cell>
          <cell r="BH1450">
            <v>906.21093189999999</v>
          </cell>
          <cell r="BI1450">
            <v>906.30620550000003</v>
          </cell>
        </row>
        <row r="1455">
          <cell r="F1455">
            <v>21117.509559999999</v>
          </cell>
          <cell r="G1455">
            <v>21008.158080000001</v>
          </cell>
          <cell r="H1455">
            <v>20938.509669999999</v>
          </cell>
          <cell r="I1455">
            <v>20910.26137</v>
          </cell>
          <cell r="J1455">
            <v>20917.730189999998</v>
          </cell>
          <cell r="K1455">
            <v>20953.395420000001</v>
          </cell>
          <cell r="L1455">
            <v>21001.565259999999</v>
          </cell>
          <cell r="M1455">
            <v>21058.499110000001</v>
          </cell>
          <cell r="N1455">
            <v>21121.828979999998</v>
          </cell>
          <cell r="O1455">
            <v>21189.954839999999</v>
          </cell>
          <cell r="P1455">
            <v>21275.747599999999</v>
          </cell>
          <cell r="Q1455">
            <v>21360.329699999998</v>
          </cell>
          <cell r="R1455">
            <v>21442.816080000001</v>
          </cell>
          <cell r="S1455">
            <v>21522.821080000002</v>
          </cell>
          <cell r="T1455">
            <v>21599.924510000001</v>
          </cell>
          <cell r="U1455">
            <v>21673.671699999999</v>
          </cell>
          <cell r="V1455">
            <v>21743.231810000001</v>
          </cell>
          <cell r="W1455">
            <v>21808.366829999999</v>
          </cell>
          <cell r="X1455">
            <v>21869.08322</v>
          </cell>
          <cell r="Y1455">
            <v>21925.58252</v>
          </cell>
          <cell r="Z1455">
            <v>21969.016070000001</v>
          </cell>
          <cell r="AA1455">
            <v>22011.213329999999</v>
          </cell>
          <cell r="AB1455">
            <v>22052.722839999999</v>
          </cell>
          <cell r="AC1455">
            <v>22093.806049999999</v>
          </cell>
          <cell r="AD1455">
            <v>22134.70451</v>
          </cell>
          <cell r="AE1455">
            <v>22150.747879999999</v>
          </cell>
          <cell r="AF1455">
            <v>22161.20522</v>
          </cell>
          <cell r="AG1455">
            <v>22168.883549999999</v>
          </cell>
          <cell r="AH1455">
            <v>22175.598709999998</v>
          </cell>
          <cell r="AI1455">
            <v>22182.622889999999</v>
          </cell>
          <cell r="AJ1455">
            <v>22190.79608</v>
          </cell>
          <cell r="AK1455">
            <v>22200.636839999999</v>
          </cell>
          <cell r="AL1455">
            <v>22212.363109999998</v>
          </cell>
          <cell r="AM1455">
            <v>22225.9758</v>
          </cell>
          <cell r="AN1455">
            <v>22241.350170000002</v>
          </cell>
          <cell r="AO1455">
            <v>22258.29896</v>
          </cell>
          <cell r="AP1455">
            <v>22271.615669999999</v>
          </cell>
          <cell r="AQ1455">
            <v>22282.528439999998</v>
          </cell>
          <cell r="AR1455">
            <v>22292.012360000001</v>
          </cell>
          <cell r="AS1455">
            <v>22300.762009999999</v>
          </cell>
          <cell r="AT1455">
            <v>22309.251660000002</v>
          </cell>
          <cell r="AU1455">
            <v>22317.80041</v>
          </cell>
          <cell r="AV1455">
            <v>22326.620169999998</v>
          </cell>
          <cell r="AW1455">
            <v>22335.775130000002</v>
          </cell>
          <cell r="AX1455">
            <v>22345.237519999999</v>
          </cell>
          <cell r="AY1455">
            <v>22354.927530000001</v>
          </cell>
          <cell r="AZ1455">
            <v>22365.156940000001</v>
          </cell>
          <cell r="BA1455">
            <v>22375.905620000001</v>
          </cell>
          <cell r="BB1455">
            <v>22265.069930000001</v>
          </cell>
          <cell r="BC1455">
            <v>22093.567770000001</v>
          </cell>
          <cell r="BD1455">
            <v>21900.359840000001</v>
          </cell>
          <cell r="BE1455">
            <v>24105.83799</v>
          </cell>
          <cell r="BF1455">
            <v>24132.885460000001</v>
          </cell>
          <cell r="BG1455">
            <v>24159.784810000001</v>
          </cell>
          <cell r="BH1455">
            <v>24186.563109999999</v>
          </cell>
          <cell r="BI1455">
            <v>24213.247859999999</v>
          </cell>
        </row>
        <row r="1458">
          <cell r="F1458">
            <v>17.736058119999999</v>
          </cell>
          <cell r="G1458">
            <v>17.513891090000001</v>
          </cell>
          <cell r="H1458">
            <v>17.310916639999999</v>
          </cell>
          <cell r="I1458">
            <v>17.136776730000001</v>
          </cell>
          <cell r="J1458">
            <v>16.99800347</v>
          </cell>
          <cell r="K1458">
            <v>16.895199860000002</v>
          </cell>
          <cell r="L1458">
            <v>16.818970790000002</v>
          </cell>
          <cell r="M1458">
            <v>16.764383949999999</v>
          </cell>
          <cell r="N1458">
            <v>16.72630771</v>
          </cell>
          <cell r="O1458">
            <v>16.699950170000001</v>
          </cell>
          <cell r="P1458">
            <v>16.69001433</v>
          </cell>
          <cell r="Q1458">
            <v>16.682060010000001</v>
          </cell>
          <cell r="R1458">
            <v>16.67355542</v>
          </cell>
          <cell r="S1458">
            <v>16.663421920000001</v>
          </cell>
          <cell r="T1458">
            <v>16.6510508</v>
          </cell>
          <cell r="U1458">
            <v>16.636077790000002</v>
          </cell>
          <cell r="V1458">
            <v>16.617699980000001</v>
          </cell>
          <cell r="W1458">
            <v>16.596156199999999</v>
          </cell>
          <cell r="X1458">
            <v>16.571782379999998</v>
          </cell>
          <cell r="Y1458">
            <v>16.544961359999999</v>
          </cell>
          <cell r="Z1458">
            <v>16.510520620000001</v>
          </cell>
          <cell r="AA1458">
            <v>16.475636120000001</v>
          </cell>
          <cell r="AB1458">
            <v>16.441008199999999</v>
          </cell>
          <cell r="AC1458">
            <v>16.40679394</v>
          </cell>
          <cell r="AD1458">
            <v>16.373110109999999</v>
          </cell>
          <cell r="AE1458">
            <v>16.325193209999998</v>
          </cell>
          <cell r="AF1458">
            <v>16.274354670000001</v>
          </cell>
          <cell r="AG1458">
            <v>16.22274612</v>
          </cell>
          <cell r="AH1458">
            <v>16.17140449</v>
          </cell>
          <cell r="AI1458">
            <v>16.12096253</v>
          </cell>
          <cell r="AJ1458">
            <v>16.071848989999999</v>
          </cell>
          <cell r="AK1458">
            <v>16.024427540000001</v>
          </cell>
          <cell r="AL1458">
            <v>15.97884779</v>
          </cell>
          <cell r="AM1458">
            <v>15.935169670000001</v>
          </cell>
          <cell r="AN1458">
            <v>15.893388</v>
          </cell>
          <cell r="AO1458">
            <v>15.85344894</v>
          </cell>
          <cell r="AP1458">
            <v>15.8127268</v>
          </cell>
          <cell r="AQ1458">
            <v>15.771589329999999</v>
          </cell>
          <cell r="AR1458">
            <v>15.73052055</v>
          </cell>
          <cell r="AS1458">
            <v>15.689893229999999</v>
          </cell>
          <cell r="AT1458">
            <v>15.64995498</v>
          </cell>
          <cell r="AU1458">
            <v>15.61091725</v>
          </cell>
          <cell r="AV1458">
            <v>15.57284808</v>
          </cell>
          <cell r="AW1458">
            <v>15.53576749</v>
          </cell>
          <cell r="AX1458">
            <v>15.49967015</v>
          </cell>
          <cell r="AY1458">
            <v>15.464535400000001</v>
          </cell>
          <cell r="AZ1458">
            <v>15.43071486</v>
          </cell>
          <cell r="BA1458">
            <v>15.39810447</v>
          </cell>
          <cell r="BB1458">
            <v>14.65605219</v>
          </cell>
          <cell r="BC1458">
            <v>12.563178369999999</v>
          </cell>
          <cell r="BD1458">
            <v>11.958287520000001</v>
          </cell>
          <cell r="BE1458">
            <v>17.10672302</v>
          </cell>
          <cell r="BF1458">
            <v>17.084953720000001</v>
          </cell>
          <cell r="BG1458">
            <v>17.063645919999999</v>
          </cell>
          <cell r="BH1458">
            <v>17.04283483</v>
          </cell>
          <cell r="BI1458">
            <v>17.022556850000001</v>
          </cell>
        </row>
        <row r="1460">
          <cell r="F1460">
            <v>6.5953844559999997</v>
          </cell>
          <cell r="G1460">
            <v>6.5108014980000002</v>
          </cell>
          <cell r="H1460">
            <v>6.4280914620000003</v>
          </cell>
          <cell r="I1460">
            <v>6.3543057950000001</v>
          </cell>
          <cell r="J1460">
            <v>6.2939891760000002</v>
          </cell>
          <cell r="K1460">
            <v>6.2482213800000004</v>
          </cell>
          <cell r="L1460">
            <v>6.2139331870000003</v>
          </cell>
          <cell r="M1460">
            <v>6.189246625</v>
          </cell>
          <cell r="N1460">
            <v>6.1721099400000003</v>
          </cell>
          <cell r="O1460">
            <v>6.1606136600000001</v>
          </cell>
          <cell r="P1460">
            <v>6.1560413479999996</v>
          </cell>
          <cell r="Q1460">
            <v>6.1533681790000001</v>
          </cell>
          <cell r="R1460">
            <v>6.151635798</v>
          </cell>
          <cell r="S1460">
            <v>6.1502697580000003</v>
          </cell>
          <cell r="T1460">
            <v>6.1488407220000001</v>
          </cell>
          <cell r="U1460">
            <v>6.1470134380000001</v>
          </cell>
          <cell r="V1460">
            <v>6.1443234090000001</v>
          </cell>
          <cell r="W1460">
            <v>6.1406923549999997</v>
          </cell>
          <cell r="X1460">
            <v>6.136092283</v>
          </cell>
          <cell r="Y1460">
            <v>6.1305393459999999</v>
          </cell>
          <cell r="Z1460">
            <v>6.1222310950000001</v>
          </cell>
          <cell r="AA1460">
            <v>6.1135021790000001</v>
          </cell>
          <cell r="AB1460">
            <v>6.104507516</v>
          </cell>
          <cell r="AC1460">
            <v>6.0952975040000004</v>
          </cell>
          <cell r="AD1460">
            <v>6.0859316229999996</v>
          </cell>
          <cell r="AE1460">
            <v>6.071511192</v>
          </cell>
          <cell r="AF1460">
            <v>6.0558510779999999</v>
          </cell>
          <cell r="AG1460">
            <v>6.0395800050000004</v>
          </cell>
          <cell r="AH1460">
            <v>6.0230519080000002</v>
          </cell>
          <cell r="AI1460">
            <v>6.0065175200000001</v>
          </cell>
          <cell r="AJ1460">
            <v>5.9901696500000003</v>
          </cell>
          <cell r="AK1460">
            <v>5.9741805369999996</v>
          </cell>
          <cell r="AL1460">
            <v>5.9586466539999998</v>
          </cell>
          <cell r="AM1460">
            <v>5.9436320990000002</v>
          </cell>
          <cell r="AN1460">
            <v>5.9291749019999997</v>
          </cell>
          <cell r="AO1460">
            <v>5.9152924029999996</v>
          </cell>
          <cell r="AP1460">
            <v>5.9011327370000002</v>
          </cell>
          <cell r="AQ1460">
            <v>5.8868387679999996</v>
          </cell>
          <cell r="AR1460">
            <v>5.8725765839999999</v>
          </cell>
          <cell r="AS1460">
            <v>5.8584764390000004</v>
          </cell>
          <cell r="AT1460">
            <v>5.8446304099999997</v>
          </cell>
          <cell r="AU1460">
            <v>5.8311207290000002</v>
          </cell>
          <cell r="AV1460">
            <v>5.8179819239999997</v>
          </cell>
          <cell r="AW1460">
            <v>5.805234199</v>
          </cell>
          <cell r="AX1460">
            <v>5.7928885320000001</v>
          </cell>
          <cell r="AY1460">
            <v>5.7809495020000004</v>
          </cell>
          <cell r="AZ1460">
            <v>5.7695432479999997</v>
          </cell>
          <cell r="BA1460">
            <v>5.758639981</v>
          </cell>
          <cell r="BB1460">
            <v>5.624996436</v>
          </cell>
          <cell r="BC1460">
            <v>5.2313257120000003</v>
          </cell>
          <cell r="BD1460">
            <v>5.0087980840000004</v>
          </cell>
          <cell r="BE1460">
            <v>6.2603257899999996</v>
          </cell>
          <cell r="BF1460">
            <v>6.2497078110000004</v>
          </cell>
          <cell r="BG1460">
            <v>6.2392568309999996</v>
          </cell>
          <cell r="BH1460">
            <v>6.2289919490000001</v>
          </cell>
          <cell r="BI1460">
            <v>6.2189324130000001</v>
          </cell>
        </row>
        <row r="1462">
          <cell r="F1462">
            <v>0.71044144860000003</v>
          </cell>
          <cell r="G1462">
            <v>0.70268134599999998</v>
          </cell>
          <cell r="H1462">
            <v>0.69616303980000005</v>
          </cell>
          <cell r="I1462">
            <v>0.69089873469999996</v>
          </cell>
          <cell r="J1462">
            <v>0.68694200920000004</v>
          </cell>
          <cell r="K1462">
            <v>0.68426718099999995</v>
          </cell>
          <cell r="L1462">
            <v>0.68246546119999996</v>
          </cell>
          <cell r="M1462">
            <v>0.68133629490000003</v>
          </cell>
          <cell r="N1462">
            <v>0.68067564970000005</v>
          </cell>
          <cell r="O1462">
            <v>0.68028245990000002</v>
          </cell>
          <cell r="P1462">
            <v>0.68040534870000002</v>
          </cell>
          <cell r="Q1462">
            <v>0.68039579299999997</v>
          </cell>
          <cell r="R1462">
            <v>0.68010684840000002</v>
          </cell>
          <cell r="S1462">
            <v>0.67950545139999996</v>
          </cell>
          <cell r="T1462">
            <v>0.67859866719999995</v>
          </cell>
          <cell r="U1462">
            <v>0.67741147280000003</v>
          </cell>
          <cell r="V1462">
            <v>0.67595980079999995</v>
          </cell>
          <cell r="W1462">
            <v>0.6742885394</v>
          </cell>
          <cell r="X1462">
            <v>0.67244661949999995</v>
          </cell>
          <cell r="Y1462">
            <v>0.67048140180000004</v>
          </cell>
          <cell r="Z1462">
            <v>0.66816671100000002</v>
          </cell>
          <cell r="AA1462">
            <v>0.66585262229999997</v>
          </cell>
          <cell r="AB1462">
            <v>0.66360684449999996</v>
          </cell>
          <cell r="AC1462">
            <v>0.66144597660000004</v>
          </cell>
          <cell r="AD1462">
            <v>0.65937568950000003</v>
          </cell>
          <cell r="AE1462">
            <v>0.65668438039999999</v>
          </cell>
          <cell r="AF1462">
            <v>0.65387031870000001</v>
          </cell>
          <cell r="AG1462">
            <v>0.65107510690000003</v>
          </cell>
          <cell r="AH1462">
            <v>0.64835881549999996</v>
          </cell>
          <cell r="AI1462">
            <v>0.64575006479999997</v>
          </cell>
          <cell r="AJ1462">
            <v>0.64326291660000001</v>
          </cell>
          <cell r="AK1462">
            <v>0.64090458949999995</v>
          </cell>
          <cell r="AL1462">
            <v>0.6386756509</v>
          </cell>
          <cell r="AM1462">
            <v>0.63657200899999999</v>
          </cell>
          <cell r="AN1462">
            <v>0.63458645300000005</v>
          </cell>
          <cell r="AO1462">
            <v>0.63270963430000005</v>
          </cell>
          <cell r="AP1462">
            <v>0.63079120150000001</v>
          </cell>
          <cell r="AQ1462">
            <v>0.62884659669999998</v>
          </cell>
          <cell r="AR1462">
            <v>0.62690312439999996</v>
          </cell>
          <cell r="AS1462">
            <v>0.62498122160000003</v>
          </cell>
          <cell r="AT1462">
            <v>0.62309293290000001</v>
          </cell>
          <cell r="AU1462">
            <v>0.62124381409999996</v>
          </cell>
          <cell r="AV1462">
            <v>0.61943630540000005</v>
          </cell>
          <cell r="AW1462">
            <v>0.61766944319999995</v>
          </cell>
          <cell r="AX1462">
            <v>0.6159405926</v>
          </cell>
          <cell r="AY1462">
            <v>0.61424628800000003</v>
          </cell>
          <cell r="AZ1462">
            <v>0.61259098960000002</v>
          </cell>
          <cell r="BA1462">
            <v>0.61097319829999996</v>
          </cell>
          <cell r="BB1462">
            <v>0.49903642799999998</v>
          </cell>
          <cell r="BC1462">
            <v>0.1061054707</v>
          </cell>
          <cell r="BD1462">
            <v>8.0368638800000004E-4</v>
          </cell>
          <cell r="BE1462">
            <v>0.69044872810000002</v>
          </cell>
          <cell r="BF1462">
            <v>0.68981517540000004</v>
          </cell>
          <cell r="BG1462">
            <v>0.68920305380000002</v>
          </cell>
          <cell r="BH1462">
            <v>0.68861274729999999</v>
          </cell>
          <cell r="BI1462">
            <v>0.68804478970000005</v>
          </cell>
        </row>
        <row r="1463">
          <cell r="F1463">
            <v>86.76957582</v>
          </cell>
          <cell r="G1463">
            <v>86.254004989999999</v>
          </cell>
          <cell r="H1463">
            <v>85.567712569999998</v>
          </cell>
          <cell r="I1463">
            <v>84.878300060000001</v>
          </cell>
          <cell r="J1463">
            <v>84.290768670000006</v>
          </cell>
          <cell r="K1463">
            <v>83.849376640000003</v>
          </cell>
          <cell r="L1463">
            <v>83.528144760000004</v>
          </cell>
          <cell r="M1463">
            <v>83.299768330000006</v>
          </cell>
          <cell r="N1463">
            <v>83.132277689999995</v>
          </cell>
          <cell r="O1463">
            <v>82.993655599999997</v>
          </cell>
          <cell r="P1463">
            <v>82.89807356</v>
          </cell>
          <cell r="Q1463">
            <v>82.784332039999995</v>
          </cell>
          <cell r="R1463">
            <v>82.626265040000007</v>
          </cell>
          <cell r="S1463">
            <v>82.415714370000003</v>
          </cell>
          <cell r="T1463">
            <v>82.152729289999996</v>
          </cell>
          <cell r="U1463">
            <v>81.841630929999994</v>
          </cell>
          <cell r="V1463">
            <v>81.494121699999994</v>
          </cell>
          <cell r="W1463">
            <v>81.114198779999995</v>
          </cell>
          <cell r="X1463">
            <v>80.708843090000002</v>
          </cell>
          <cell r="Y1463">
            <v>80.286126199999998</v>
          </cell>
          <cell r="Z1463">
            <v>79.827597780000005</v>
          </cell>
          <cell r="AA1463">
            <v>79.368543529999997</v>
          </cell>
          <cell r="AB1463">
            <v>78.920832610000005</v>
          </cell>
          <cell r="AC1463">
            <v>78.489063540000004</v>
          </cell>
          <cell r="AD1463">
            <v>78.075427419999997</v>
          </cell>
          <cell r="AE1463">
            <v>77.611262490000001</v>
          </cell>
          <cell r="AF1463">
            <v>77.136270510000003</v>
          </cell>
          <cell r="AG1463">
            <v>76.669516119999997</v>
          </cell>
          <cell r="AH1463">
            <v>76.219339129999994</v>
          </cell>
          <cell r="AI1463">
            <v>75.789316979999995</v>
          </cell>
          <cell r="AJ1463">
            <v>75.380765019999998</v>
          </cell>
          <cell r="AK1463">
            <v>74.992342339999993</v>
          </cell>
          <cell r="AL1463">
            <v>74.624392049999997</v>
          </cell>
          <cell r="AM1463">
            <v>74.276113550000005</v>
          </cell>
          <cell r="AN1463">
            <v>73.945984350000003</v>
          </cell>
          <cell r="AO1463">
            <v>73.632067680000006</v>
          </cell>
          <cell r="AP1463">
            <v>73.304957020000003</v>
          </cell>
          <cell r="AQ1463">
            <v>72.972703069999994</v>
          </cell>
          <cell r="AR1463">
            <v>72.641309190000001</v>
          </cell>
          <cell r="AS1463">
            <v>72.313921710000002</v>
          </cell>
          <cell r="AT1463">
            <v>71.99172824</v>
          </cell>
          <cell r="AU1463">
            <v>71.672682109999997</v>
          </cell>
          <cell r="AV1463">
            <v>71.357900009999994</v>
          </cell>
          <cell r="AW1463">
            <v>71.047526099999999</v>
          </cell>
          <cell r="AX1463">
            <v>70.741201110000006</v>
          </cell>
          <cell r="AY1463">
            <v>70.438334499999996</v>
          </cell>
          <cell r="AZ1463">
            <v>70.131892149999999</v>
          </cell>
          <cell r="BA1463">
            <v>69.826094170000005</v>
          </cell>
          <cell r="BB1463">
            <v>68.944455189999999</v>
          </cell>
          <cell r="BC1463">
            <v>67.060131569999996</v>
          </cell>
          <cell r="BD1463">
            <v>65.835268279999994</v>
          </cell>
          <cell r="BE1463">
            <v>70.135860050000005</v>
          </cell>
          <cell r="BF1463">
            <v>69.91039542</v>
          </cell>
          <cell r="BG1463">
            <v>69.69096304</v>
          </cell>
          <cell r="BH1463">
            <v>69.477245850000003</v>
          </cell>
          <cell r="BI1463">
            <v>69.268945419999994</v>
          </cell>
        </row>
        <row r="1473">
          <cell r="F1473">
            <v>27373.111219999999</v>
          </cell>
          <cell r="G1473">
            <v>27400.93634</v>
          </cell>
          <cell r="H1473">
            <v>27433.953450000001</v>
          </cell>
          <cell r="I1473">
            <v>27480.89587</v>
          </cell>
          <cell r="J1473">
            <v>27544.510450000002</v>
          </cell>
          <cell r="K1473">
            <v>27624.07502</v>
          </cell>
          <cell r="L1473">
            <v>27706.268950000001</v>
          </cell>
          <cell r="M1473">
            <v>27790.2598</v>
          </cell>
          <cell r="N1473">
            <v>27875.428110000001</v>
          </cell>
          <cell r="O1473">
            <v>27961.067040000002</v>
          </cell>
          <cell r="P1473">
            <v>28064.472399999999</v>
          </cell>
          <cell r="Q1473">
            <v>28163.229459999999</v>
          </cell>
          <cell r="R1473">
            <v>28256.372090000001</v>
          </cell>
          <cell r="S1473">
            <v>28344.062269999999</v>
          </cell>
          <cell r="T1473">
            <v>28426.751619999999</v>
          </cell>
          <cell r="U1473">
            <v>28505.002850000001</v>
          </cell>
          <cell r="V1473">
            <v>28579.430469999999</v>
          </cell>
          <cell r="W1473">
            <v>28650.655650000001</v>
          </cell>
          <cell r="X1473">
            <v>28719.2713</v>
          </cell>
          <cell r="Y1473">
            <v>28785.821199999998</v>
          </cell>
          <cell r="Z1473">
            <v>28839.05572</v>
          </cell>
          <cell r="AA1473">
            <v>28893.533090000001</v>
          </cell>
          <cell r="AB1473">
            <v>28949.889940000001</v>
          </cell>
          <cell r="AC1473">
            <v>29008.075840000001</v>
          </cell>
          <cell r="AD1473">
            <v>29067.888029999998</v>
          </cell>
          <cell r="AE1473">
            <v>29097.351210000001</v>
          </cell>
          <cell r="AF1473">
            <v>29119.526600000001</v>
          </cell>
          <cell r="AG1473">
            <v>29137.92625</v>
          </cell>
          <cell r="AH1473">
            <v>29154.71947</v>
          </cell>
          <cell r="AI1473">
            <v>29171.367890000001</v>
          </cell>
          <cell r="AJ1473">
            <v>29188.787509999998</v>
          </cell>
          <cell r="AK1473">
            <v>29207.445680000001</v>
          </cell>
          <cell r="AL1473">
            <v>29227.470590000001</v>
          </cell>
          <cell r="AM1473">
            <v>29248.763910000001</v>
          </cell>
          <cell r="AN1473">
            <v>29271.099129999999</v>
          </cell>
          <cell r="AO1473">
            <v>29294.196029999999</v>
          </cell>
          <cell r="AP1473">
            <v>29311.121149999999</v>
          </cell>
          <cell r="AQ1473">
            <v>29322.97135</v>
          </cell>
          <cell r="AR1473">
            <v>29331.024109999998</v>
          </cell>
          <cell r="AS1473">
            <v>29336.384620000001</v>
          </cell>
          <cell r="AT1473">
            <v>29339.928100000001</v>
          </cell>
          <cell r="AU1473">
            <v>29342.29968</v>
          </cell>
          <cell r="AV1473">
            <v>29343.932949999999</v>
          </cell>
          <cell r="AW1473">
            <v>29345.082539999999</v>
          </cell>
          <cell r="AX1473">
            <v>29345.86548</v>
          </cell>
          <cell r="AY1473">
            <v>29346.304479999999</v>
          </cell>
          <cell r="AZ1473">
            <v>29346.894950000002</v>
          </cell>
          <cell r="BA1473">
            <v>29347.470990000002</v>
          </cell>
          <cell r="BB1473">
            <v>29347.853060000001</v>
          </cell>
          <cell r="BC1473">
            <v>29347.888569999999</v>
          </cell>
          <cell r="BD1473">
            <v>29347.461800000001</v>
          </cell>
          <cell r="BE1473">
            <v>31107.650259999999</v>
          </cell>
          <cell r="BF1473">
            <v>31143.853749999998</v>
          </cell>
          <cell r="BG1473">
            <v>31179.418160000001</v>
          </cell>
          <cell r="BH1473">
            <v>31214.358059999999</v>
          </cell>
          <cell r="BI1473">
            <v>31248.702590000001</v>
          </cell>
        </row>
        <row r="1474">
          <cell r="F1474">
            <v>760.65848940000001</v>
          </cell>
          <cell r="G1474">
            <v>758.28932899999995</v>
          </cell>
          <cell r="H1474">
            <v>753.64188039999999</v>
          </cell>
          <cell r="I1474">
            <v>747.89557879999995</v>
          </cell>
          <cell r="J1474">
            <v>741.81255629999998</v>
          </cell>
          <cell r="K1474">
            <v>735.77943800000003</v>
          </cell>
          <cell r="L1474">
            <v>729.59090409999999</v>
          </cell>
          <cell r="M1474">
            <v>723.27096700000004</v>
          </cell>
          <cell r="N1474">
            <v>716.86644209999997</v>
          </cell>
          <cell r="O1474">
            <v>710.41708879999999</v>
          </cell>
          <cell r="P1474">
            <v>704.48407959999997</v>
          </cell>
          <cell r="Q1474">
            <v>698.50361369999996</v>
          </cell>
          <cell r="R1474">
            <v>692.37066619999996</v>
          </cell>
          <cell r="S1474">
            <v>686.10684000000003</v>
          </cell>
          <cell r="T1474">
            <v>679.77708280000002</v>
          </cell>
          <cell r="U1474">
            <v>673.45186620000004</v>
          </cell>
          <cell r="V1474">
            <v>667.19015320000005</v>
          </cell>
          <cell r="W1474">
            <v>661.0329074</v>
          </cell>
          <cell r="X1474">
            <v>655.00270060000003</v>
          </cell>
          <cell r="Y1474">
            <v>649.10637410000004</v>
          </cell>
          <cell r="Z1474">
            <v>643.03012139999998</v>
          </cell>
          <cell r="AA1474">
            <v>637.10376629999996</v>
          </cell>
          <cell r="AB1474">
            <v>631.38507030000005</v>
          </cell>
          <cell r="AC1474">
            <v>625.8569655</v>
          </cell>
          <cell r="AD1474">
            <v>620.47747370000002</v>
          </cell>
          <cell r="AE1474">
            <v>614.40991770000005</v>
          </cell>
          <cell r="AF1474">
            <v>608.1264089</v>
          </cell>
          <cell r="AG1474">
            <v>601.83269089999999</v>
          </cell>
          <cell r="AH1474">
            <v>595.64204689999997</v>
          </cell>
          <cell r="AI1474">
            <v>589.60667360000002</v>
          </cell>
          <cell r="AJ1474">
            <v>583.73788460000003</v>
          </cell>
          <cell r="AK1474">
            <v>578.02160330000004</v>
          </cell>
          <cell r="AL1474">
            <v>572.4307675</v>
          </cell>
          <cell r="AM1474">
            <v>566.93468949999999</v>
          </cell>
          <cell r="AN1474">
            <v>561.5054255</v>
          </cell>
          <cell r="AO1474">
            <v>556.12142240000003</v>
          </cell>
          <cell r="AP1474">
            <v>550.62147130000005</v>
          </cell>
          <cell r="AQ1474">
            <v>545.01665839999998</v>
          </cell>
          <cell r="AR1474">
            <v>539.3589571</v>
          </cell>
          <cell r="AS1474">
            <v>533.7038526</v>
          </cell>
          <cell r="AT1474">
            <v>528.09583620000001</v>
          </cell>
          <cell r="AU1474">
            <v>522.5642077</v>
          </cell>
          <cell r="AV1474">
            <v>517.12375350000002</v>
          </cell>
          <cell r="AW1474">
            <v>511.77764500000001</v>
          </cell>
          <cell r="AX1474">
            <v>506.52107990000002</v>
          </cell>
          <cell r="AY1474">
            <v>501.34480280000002</v>
          </cell>
          <cell r="AZ1474">
            <v>496.24851510000002</v>
          </cell>
          <cell r="BA1474">
            <v>491.22081320000001</v>
          </cell>
          <cell r="BB1474">
            <v>486.24974400000002</v>
          </cell>
          <cell r="BC1474">
            <v>481.32589039999999</v>
          </cell>
          <cell r="BD1474">
            <v>476.44328739999997</v>
          </cell>
          <cell r="BE1474">
            <v>821.15535560000001</v>
          </cell>
          <cell r="BF1474">
            <v>821.62769619999995</v>
          </cell>
          <cell r="BG1474">
            <v>822.10868189999997</v>
          </cell>
          <cell r="BH1474">
            <v>822.59935270000005</v>
          </cell>
          <cell r="BI1474">
            <v>823.10108200000002</v>
          </cell>
        </row>
        <row r="1477">
          <cell r="F1477">
            <v>4367.3850510000002</v>
          </cell>
          <cell r="G1477">
            <v>4370.8044440000003</v>
          </cell>
          <cell r="H1477">
            <v>4374.1628929999997</v>
          </cell>
          <cell r="I1477">
            <v>4378.9259890000003</v>
          </cell>
          <cell r="J1477">
            <v>4385.5638840000001</v>
          </cell>
          <cell r="K1477">
            <v>4394.0148980000004</v>
          </cell>
          <cell r="L1477">
            <v>4402.4281110000002</v>
          </cell>
          <cell r="M1477">
            <v>4410.586789</v>
          </cell>
          <cell r="N1477">
            <v>4418.4555810000002</v>
          </cell>
          <cell r="O1477">
            <v>4426.0400630000004</v>
          </cell>
          <cell r="P1477">
            <v>4435.8893539999999</v>
          </cell>
          <cell r="Q1477">
            <v>4445.2086330000002</v>
          </cell>
          <cell r="R1477">
            <v>4453.7519920000004</v>
          </cell>
          <cell r="S1477">
            <v>4461.5827179999997</v>
          </cell>
          <cell r="T1477">
            <v>4468.853153</v>
          </cell>
          <cell r="U1477">
            <v>4475.7370970000002</v>
          </cell>
          <cell r="V1477">
            <v>4482.4041180000004</v>
          </cell>
          <cell r="W1477">
            <v>4489.0069119999998</v>
          </cell>
          <cell r="X1477">
            <v>4495.6743930000002</v>
          </cell>
          <cell r="Y1477">
            <v>4502.5086719999999</v>
          </cell>
          <cell r="Z1477">
            <v>4507.9734280000002</v>
          </cell>
          <cell r="AA1477">
            <v>4513.9011620000001</v>
          </cell>
          <cell r="AB1477">
            <v>4520.4992810000003</v>
          </cell>
          <cell r="AC1477">
            <v>4527.7707280000004</v>
          </cell>
          <cell r="AD1477">
            <v>4535.6517990000002</v>
          </cell>
          <cell r="AE1477">
            <v>4539.7370389999996</v>
          </cell>
          <cell r="AF1477">
            <v>4542.6642670000001</v>
          </cell>
          <cell r="AG1477">
            <v>4545.0300589999997</v>
          </cell>
          <cell r="AH1477">
            <v>4547.1660410000004</v>
          </cell>
          <cell r="AI1477">
            <v>4549.2666390000004</v>
          </cell>
          <cell r="AJ1477">
            <v>4551.4307449999997</v>
          </cell>
          <cell r="AK1477">
            <v>4553.6840430000002</v>
          </cell>
          <cell r="AL1477">
            <v>4555.9983060000004</v>
          </cell>
          <cell r="AM1477">
            <v>4558.3100990000003</v>
          </cell>
          <cell r="AN1477">
            <v>4560.5376999999999</v>
          </cell>
          <cell r="AO1477">
            <v>4562.5947489999999</v>
          </cell>
          <cell r="AP1477">
            <v>4563.5097299999998</v>
          </cell>
          <cell r="AQ1477">
            <v>4563.2988809999997</v>
          </cell>
          <cell r="AR1477">
            <v>4562.0930719999997</v>
          </cell>
          <cell r="AS1477">
            <v>4560.0365389999997</v>
          </cell>
          <cell r="AT1477">
            <v>4557.2573089999996</v>
          </cell>
          <cell r="AU1477">
            <v>4553.8583040000003</v>
          </cell>
          <cell r="AV1477">
            <v>4549.9158859999998</v>
          </cell>
          <cell r="AW1477">
            <v>4545.4821609999999</v>
          </cell>
          <cell r="AX1477">
            <v>4540.589575</v>
          </cell>
          <cell r="AY1477">
            <v>4535.2566029999998</v>
          </cell>
          <cell r="AZ1477">
            <v>4529.5630760000004</v>
          </cell>
          <cell r="BA1477">
            <v>4523.5091579999998</v>
          </cell>
          <cell r="BB1477">
            <v>4517.0876779999999</v>
          </cell>
          <cell r="BC1477">
            <v>4510.2944129999996</v>
          </cell>
          <cell r="BD1477">
            <v>4503.1314769999999</v>
          </cell>
          <cell r="BE1477">
            <v>5222.4697040000001</v>
          </cell>
          <cell r="BF1477">
            <v>5232.6580800000002</v>
          </cell>
          <cell r="BG1477">
            <v>5242.3468860000003</v>
          </cell>
          <cell r="BH1477">
            <v>5251.5300660000003</v>
          </cell>
          <cell r="BI1477">
            <v>5260.2061640000002</v>
          </cell>
        </row>
        <row r="1489">
          <cell r="F1489">
            <v>868.31324719999998</v>
          </cell>
          <cell r="G1489">
            <v>868.41160790000004</v>
          </cell>
          <cell r="H1489">
            <v>868.15704300000004</v>
          </cell>
          <cell r="I1489">
            <v>868.03789570000004</v>
          </cell>
          <cell r="J1489">
            <v>868.27823479999995</v>
          </cell>
          <cell r="K1489">
            <v>868.92831560000002</v>
          </cell>
          <cell r="L1489">
            <v>869.62572250000005</v>
          </cell>
          <cell r="M1489">
            <v>870.34983580000005</v>
          </cell>
          <cell r="N1489">
            <v>871.07925869999997</v>
          </cell>
          <cell r="O1489">
            <v>871.78419980000001</v>
          </cell>
          <cell r="P1489">
            <v>872.95541839999999</v>
          </cell>
          <cell r="Q1489">
            <v>873.9307043</v>
          </cell>
          <cell r="R1489">
            <v>874.67356610000002</v>
          </cell>
          <cell r="S1489">
            <v>875.19644889999995</v>
          </cell>
          <cell r="T1489">
            <v>875.52180290000001</v>
          </cell>
          <cell r="U1489">
            <v>875.67577240000003</v>
          </cell>
          <cell r="V1489">
            <v>875.68646320000005</v>
          </cell>
          <cell r="W1489">
            <v>875.58250759999999</v>
          </cell>
          <cell r="X1489">
            <v>875.39172859999996</v>
          </cell>
          <cell r="Y1489">
            <v>875.14011110000001</v>
          </cell>
          <cell r="Z1489">
            <v>874.51699900000006</v>
          </cell>
          <cell r="AA1489">
            <v>873.95003640000004</v>
          </cell>
          <cell r="AB1489">
            <v>873.46782089999999</v>
          </cell>
          <cell r="AC1489">
            <v>873.07009870000002</v>
          </cell>
          <cell r="AD1489">
            <v>872.75201360000005</v>
          </cell>
          <cell r="AE1489">
            <v>871.61129080000001</v>
          </cell>
          <cell r="AF1489">
            <v>870.31289809999998</v>
          </cell>
          <cell r="AG1489">
            <v>868.97153719999994</v>
          </cell>
          <cell r="AH1489">
            <v>867.64691860000005</v>
          </cell>
          <cell r="AI1489">
            <v>866.37631329999999</v>
          </cell>
          <cell r="AJ1489">
            <v>865.18148359999998</v>
          </cell>
          <cell r="AK1489">
            <v>864.0718382</v>
          </cell>
          <cell r="AL1489">
            <v>863.04745409999998</v>
          </cell>
          <cell r="AM1489">
            <v>862.10208920000002</v>
          </cell>
          <cell r="AN1489">
            <v>861.22582190000003</v>
          </cell>
          <cell r="AO1489">
            <v>860.40709530000004</v>
          </cell>
          <cell r="AP1489">
            <v>859.44872629999998</v>
          </cell>
          <cell r="AQ1489">
            <v>858.38019710000003</v>
          </cell>
          <cell r="AR1489">
            <v>857.23806539999998</v>
          </cell>
          <cell r="AS1489">
            <v>856.05205190000004</v>
          </cell>
          <cell r="AT1489">
            <v>854.84426529999996</v>
          </cell>
          <cell r="AU1489">
            <v>853.63010320000001</v>
          </cell>
          <cell r="AV1489">
            <v>852.41927620000001</v>
          </cell>
          <cell r="AW1489">
            <v>851.21689739999999</v>
          </cell>
          <cell r="AX1489">
            <v>850.02462370000001</v>
          </cell>
          <cell r="AY1489">
            <v>848.84175830000004</v>
          </cell>
          <cell r="AZ1489">
            <v>847.68080689999999</v>
          </cell>
          <cell r="BA1489">
            <v>846.53582129999995</v>
          </cell>
          <cell r="BB1489">
            <v>845.40029719999995</v>
          </cell>
          <cell r="BC1489">
            <v>844.26859249999995</v>
          </cell>
          <cell r="BD1489">
            <v>843.13614680000001</v>
          </cell>
          <cell r="BE1489">
            <v>906.06296829999997</v>
          </cell>
          <cell r="BF1489">
            <v>906.10522619999995</v>
          </cell>
          <cell r="BG1489">
            <v>906.16741290000004</v>
          </cell>
          <cell r="BH1489">
            <v>906.24966629999994</v>
          </cell>
          <cell r="BI1489">
            <v>906.35235750000004</v>
          </cell>
        </row>
        <row r="1494">
          <cell r="F1494">
            <v>21271.810890000001</v>
          </cell>
          <cell r="G1494">
            <v>21298.722040000001</v>
          </cell>
          <cell r="H1494">
            <v>21333.762439999999</v>
          </cell>
          <cell r="I1494">
            <v>21382.380379999999</v>
          </cell>
          <cell r="J1494">
            <v>21445.760709999999</v>
          </cell>
          <cell r="K1494">
            <v>21522.754819999998</v>
          </cell>
          <cell r="L1494">
            <v>21602.47956</v>
          </cell>
          <cell r="M1494">
            <v>21684.321769999999</v>
          </cell>
          <cell r="N1494">
            <v>21767.681410000001</v>
          </cell>
          <cell r="O1494">
            <v>21851.847760000001</v>
          </cell>
          <cell r="P1494">
            <v>21950.475340000001</v>
          </cell>
          <cell r="Q1494">
            <v>22045.235700000001</v>
          </cell>
          <cell r="R1494">
            <v>22135.565060000001</v>
          </cell>
          <cell r="S1494">
            <v>22221.53025</v>
          </cell>
          <cell r="T1494">
            <v>22303.341189999999</v>
          </cell>
          <cell r="U1494">
            <v>22381.28686</v>
          </cell>
          <cell r="V1494">
            <v>22455.721160000001</v>
          </cell>
          <cell r="W1494">
            <v>22527.03872</v>
          </cell>
          <cell r="X1494">
            <v>22595.648789999999</v>
          </cell>
          <cell r="Y1494">
            <v>22661.95594</v>
          </cell>
          <cell r="Z1494">
            <v>22716.899850000002</v>
          </cell>
          <cell r="AA1494">
            <v>22772.40943</v>
          </cell>
          <cell r="AB1494">
            <v>22828.81927</v>
          </cell>
          <cell r="AC1494">
            <v>22886.09187</v>
          </cell>
          <cell r="AD1494">
            <v>22944.13523</v>
          </cell>
          <cell r="AE1494">
            <v>22977.205190000001</v>
          </cell>
          <cell r="AF1494">
            <v>23004.53357</v>
          </cell>
          <cell r="AG1494">
            <v>23028.697820000001</v>
          </cell>
          <cell r="AH1494">
            <v>23051.355039999999</v>
          </cell>
          <cell r="AI1494">
            <v>23073.679390000001</v>
          </cell>
          <cell r="AJ1494">
            <v>23096.453160000001</v>
          </cell>
          <cell r="AK1494">
            <v>23120.122019999999</v>
          </cell>
          <cell r="AL1494">
            <v>23144.869419999999</v>
          </cell>
          <cell r="AM1494">
            <v>23170.698079999998</v>
          </cell>
          <cell r="AN1494">
            <v>23197.50217</v>
          </cell>
          <cell r="AO1494">
            <v>23225.12241</v>
          </cell>
          <cell r="AP1494">
            <v>23247.97437</v>
          </cell>
          <cell r="AQ1494">
            <v>23267.097839999999</v>
          </cell>
          <cell r="AR1494">
            <v>23283.54782</v>
          </cell>
          <cell r="AS1494">
            <v>23298.197400000001</v>
          </cell>
          <cell r="AT1494">
            <v>23311.72536</v>
          </cell>
          <cell r="AU1494">
            <v>23324.628079999999</v>
          </cell>
          <cell r="AV1494">
            <v>23337.23763</v>
          </cell>
          <cell r="AW1494">
            <v>23349.74785</v>
          </cell>
          <cell r="AX1494">
            <v>23362.246309999999</v>
          </cell>
          <cell r="AY1494">
            <v>23374.747210000001</v>
          </cell>
          <cell r="AZ1494">
            <v>23387.652689999999</v>
          </cell>
          <cell r="BA1494">
            <v>23400.814409999999</v>
          </cell>
          <cell r="BB1494">
            <v>23414.079140000002</v>
          </cell>
          <cell r="BC1494">
            <v>23427.31422</v>
          </cell>
          <cell r="BD1494">
            <v>23440.412929999999</v>
          </cell>
          <cell r="BE1494">
            <v>24069.530859999999</v>
          </cell>
          <cell r="BF1494">
            <v>24095.26267</v>
          </cell>
          <cell r="BG1494">
            <v>24120.821110000001</v>
          </cell>
          <cell r="BH1494">
            <v>24146.22565</v>
          </cell>
          <cell r="BI1494">
            <v>24171.505140000001</v>
          </cell>
        </row>
        <row r="1497">
          <cell r="F1497">
            <v>17.99375195</v>
          </cell>
          <cell r="G1497">
            <v>17.949325380000001</v>
          </cell>
          <cell r="H1497">
            <v>17.864787960000001</v>
          </cell>
          <cell r="I1497">
            <v>17.772978420000001</v>
          </cell>
          <cell r="J1497">
            <v>17.694428259999999</v>
          </cell>
          <cell r="K1497">
            <v>17.637392859999999</v>
          </cell>
          <cell r="L1497">
            <v>17.596681199999999</v>
          </cell>
          <cell r="M1497">
            <v>17.570140200000001</v>
          </cell>
          <cell r="N1497">
            <v>17.554627920000001</v>
          </cell>
          <cell r="O1497">
            <v>17.546836379999998</v>
          </cell>
          <cell r="P1497">
            <v>17.553206589999998</v>
          </cell>
          <cell r="Q1497">
            <v>17.560161390000001</v>
          </cell>
          <cell r="R1497">
            <v>17.56566406</v>
          </cell>
          <cell r="S1497">
            <v>17.569068850000001</v>
          </cell>
          <cell r="T1497">
            <v>17.57015805</v>
          </cell>
          <cell r="U1497">
            <v>17.568904209999999</v>
          </cell>
          <cell r="V1497">
            <v>17.56540425</v>
          </cell>
          <cell r="W1497">
            <v>17.559848290000001</v>
          </cell>
          <cell r="X1497">
            <v>17.55249298</v>
          </cell>
          <cell r="Y1497">
            <v>17.54363584</v>
          </cell>
          <cell r="Z1497">
            <v>17.527519359999999</v>
          </cell>
          <cell r="AA1497">
            <v>17.511819460000002</v>
          </cell>
          <cell r="AB1497">
            <v>17.497032860000001</v>
          </cell>
          <cell r="AC1497">
            <v>17.48309987</v>
          </cell>
          <cell r="AD1497">
            <v>17.469932579999998</v>
          </cell>
          <cell r="AE1497">
            <v>17.441114219999999</v>
          </cell>
          <cell r="AF1497">
            <v>17.408871359999999</v>
          </cell>
          <cell r="AG1497">
            <v>17.37535213</v>
          </cell>
          <cell r="AH1497">
            <v>17.34153306</v>
          </cell>
          <cell r="AI1497">
            <v>17.307978739999999</v>
          </cell>
          <cell r="AJ1497">
            <v>17.27505961</v>
          </cell>
          <cell r="AK1497">
            <v>17.243019539999999</v>
          </cell>
          <cell r="AL1497">
            <v>17.212002590000001</v>
          </cell>
          <cell r="AM1497">
            <v>17.182070840000002</v>
          </cell>
          <cell r="AN1497">
            <v>17.15322145</v>
          </cell>
          <cell r="AO1497">
            <v>17.125403689999999</v>
          </cell>
          <cell r="AP1497">
            <v>17.09512131</v>
          </cell>
          <cell r="AQ1497">
            <v>17.063038339999999</v>
          </cell>
          <cell r="AR1497">
            <v>17.029892109999999</v>
          </cell>
          <cell r="AS1497">
            <v>16.996223870000001</v>
          </cell>
          <cell r="AT1497">
            <v>16.962395730000001</v>
          </cell>
          <cell r="AU1497">
            <v>16.92864522</v>
          </cell>
          <cell r="AV1497">
            <v>16.895127800000001</v>
          </cell>
          <cell r="AW1497">
            <v>16.861943759999999</v>
          </cell>
          <cell r="AX1497">
            <v>16.82915479</v>
          </cell>
          <cell r="AY1497">
            <v>16.796794909999999</v>
          </cell>
          <cell r="AZ1497">
            <v>16.76514877</v>
          </cell>
          <cell r="BA1497">
            <v>16.734155220000002</v>
          </cell>
          <cell r="BB1497">
            <v>16.7037406</v>
          </cell>
          <cell r="BC1497">
            <v>16.673844070000001</v>
          </cell>
          <cell r="BD1497">
            <v>16.644419589999998</v>
          </cell>
          <cell r="BE1497">
            <v>17.061439549999999</v>
          </cell>
          <cell r="BF1497">
            <v>17.03713956</v>
          </cell>
          <cell r="BG1497">
            <v>17.01324752</v>
          </cell>
          <cell r="BH1497">
            <v>16.989794199999999</v>
          </cell>
          <cell r="BI1497">
            <v>16.96681293</v>
          </cell>
        </row>
        <row r="1499">
          <cell r="F1499">
            <v>6.6862304540000004</v>
          </cell>
          <cell r="G1499">
            <v>6.6635022169999996</v>
          </cell>
          <cell r="H1499">
            <v>6.6224086289999997</v>
          </cell>
          <cell r="I1499">
            <v>6.5783342139999998</v>
          </cell>
          <cell r="J1499">
            <v>6.5407867489999996</v>
          </cell>
          <cell r="K1499">
            <v>6.513467822</v>
          </cell>
          <cell r="L1499">
            <v>6.4945982500000001</v>
          </cell>
          <cell r="M1499">
            <v>6.4829859399999998</v>
          </cell>
          <cell r="N1499">
            <v>6.4769621170000002</v>
          </cell>
          <cell r="O1499">
            <v>6.4748689170000002</v>
          </cell>
          <cell r="P1499">
            <v>6.4784150809999996</v>
          </cell>
          <cell r="Q1499">
            <v>6.4827512379999996</v>
          </cell>
          <cell r="R1499">
            <v>6.4870560240000001</v>
          </cell>
          <cell r="S1499">
            <v>6.490936477</v>
          </cell>
          <cell r="T1499">
            <v>6.4941709330000004</v>
          </cell>
          <cell r="U1499">
            <v>6.4966354260000001</v>
          </cell>
          <cell r="V1499">
            <v>6.4982761660000001</v>
          </cell>
          <cell r="W1499">
            <v>6.4990926739999999</v>
          </cell>
          <cell r="X1499">
            <v>6.4991239839999997</v>
          </cell>
          <cell r="Y1499">
            <v>6.4984367460000003</v>
          </cell>
          <cell r="Z1499">
            <v>6.495080432</v>
          </cell>
          <cell r="AA1499">
            <v>6.4916239640000004</v>
          </cell>
          <cell r="AB1499">
            <v>6.488179337</v>
          </cell>
          <cell r="AC1499">
            <v>6.4847411350000002</v>
          </cell>
          <cell r="AD1499">
            <v>6.4813087060000001</v>
          </cell>
          <cell r="AE1499">
            <v>6.4723940930000001</v>
          </cell>
          <cell r="AF1499">
            <v>6.4621578150000003</v>
          </cell>
          <cell r="AG1499">
            <v>6.4512179290000002</v>
          </cell>
          <cell r="AH1499">
            <v>6.4398967310000002</v>
          </cell>
          <cell r="AI1499">
            <v>6.4284102399999998</v>
          </cell>
          <cell r="AJ1499">
            <v>6.4169201070000002</v>
          </cell>
          <cell r="AK1499">
            <v>6.4055474099999996</v>
          </cell>
          <cell r="AL1499">
            <v>6.3943778489999996</v>
          </cell>
          <cell r="AM1499">
            <v>6.3834663279999999</v>
          </cell>
          <cell r="AN1499">
            <v>6.3728423330000004</v>
          </cell>
          <cell r="AO1499">
            <v>6.3625156709999997</v>
          </cell>
          <cell r="AP1499">
            <v>6.3513283999999999</v>
          </cell>
          <cell r="AQ1499">
            <v>6.339531021</v>
          </cell>
          <cell r="AR1499">
            <v>6.3273663210000004</v>
          </cell>
          <cell r="AS1499">
            <v>6.3150123259999997</v>
          </cell>
          <cell r="AT1499">
            <v>6.3025926290000003</v>
          </cell>
          <cell r="AU1499">
            <v>6.2901932980000002</v>
          </cell>
          <cell r="AV1499">
            <v>6.2778749639999996</v>
          </cell>
          <cell r="AW1499">
            <v>6.2656802589999998</v>
          </cell>
          <cell r="AX1499">
            <v>6.2536385020000003</v>
          </cell>
          <cell r="AY1499">
            <v>6.2417690209999996</v>
          </cell>
          <cell r="AZ1499">
            <v>6.2301754960000002</v>
          </cell>
          <cell r="BA1499">
            <v>6.2188430759999997</v>
          </cell>
          <cell r="BB1499">
            <v>6.2077543789999998</v>
          </cell>
          <cell r="BC1499">
            <v>6.1968955040000004</v>
          </cell>
          <cell r="BD1499">
            <v>6.1862564139999998</v>
          </cell>
          <cell r="BE1499">
            <v>6.2314564189999997</v>
          </cell>
          <cell r="BF1499">
            <v>6.21968941</v>
          </cell>
          <cell r="BG1499">
            <v>6.2080740509999996</v>
          </cell>
          <cell r="BH1499">
            <v>6.1966238159999998</v>
          </cell>
          <cell r="BI1499">
            <v>6.1853541830000003</v>
          </cell>
        </row>
        <row r="1501">
          <cell r="F1501">
            <v>0.72007906050000003</v>
          </cell>
          <cell r="G1501">
            <v>0.71948959089999998</v>
          </cell>
          <cell r="H1501">
            <v>0.71795992760000005</v>
          </cell>
          <cell r="I1501">
            <v>0.71617125800000003</v>
          </cell>
          <cell r="J1501">
            <v>0.7145843704</v>
          </cell>
          <cell r="K1501">
            <v>0.71341781069999999</v>
          </cell>
          <cell r="L1501">
            <v>0.71244255690000002</v>
          </cell>
          <cell r="M1501">
            <v>0.71163971879999999</v>
          </cell>
          <cell r="N1501">
            <v>0.71097979069999995</v>
          </cell>
          <cell r="O1501">
            <v>0.71041246859999996</v>
          </cell>
          <cell r="P1501">
            <v>0.71032801000000001</v>
          </cell>
          <cell r="Q1501">
            <v>0.71016001120000005</v>
          </cell>
          <cell r="R1501">
            <v>0.70981467769999995</v>
          </cell>
          <cell r="S1501">
            <v>0.70928712390000004</v>
          </cell>
          <cell r="T1501">
            <v>0.70859455920000003</v>
          </cell>
          <cell r="U1501">
            <v>0.70775939070000005</v>
          </cell>
          <cell r="V1501">
            <v>0.70680552910000005</v>
          </cell>
          <cell r="W1501">
            <v>0.70575761910000001</v>
          </cell>
          <cell r="X1501">
            <v>0.70464050050000004</v>
          </cell>
          <cell r="Y1501">
            <v>0.70347843430000001</v>
          </cell>
          <cell r="Z1501">
            <v>0.7020078032</v>
          </cell>
          <cell r="AA1501">
            <v>0.70058185559999997</v>
          </cell>
          <cell r="AB1501">
            <v>0.69925057260000001</v>
          </cell>
          <cell r="AC1501">
            <v>0.69801482930000003</v>
          </cell>
          <cell r="AD1501">
            <v>0.69686739730000002</v>
          </cell>
          <cell r="AE1501">
            <v>0.69503505980000002</v>
          </cell>
          <cell r="AF1501">
            <v>0.69304741299999995</v>
          </cell>
          <cell r="AG1501">
            <v>0.69104339309999996</v>
          </cell>
          <cell r="AH1501">
            <v>0.6890797528</v>
          </cell>
          <cell r="AI1501">
            <v>0.687182717</v>
          </cell>
          <cell r="AJ1501">
            <v>0.68536506959999999</v>
          </cell>
          <cell r="AK1501">
            <v>0.68363236049999998</v>
          </cell>
          <cell r="AL1501">
            <v>0.68198535390000004</v>
          </cell>
          <cell r="AM1501">
            <v>0.68042121519999998</v>
          </cell>
          <cell r="AN1501">
            <v>0.67893435410000003</v>
          </cell>
          <cell r="AO1501">
            <v>0.67751721570000001</v>
          </cell>
          <cell r="AP1501">
            <v>0.67600355280000002</v>
          </cell>
          <cell r="AQ1501">
            <v>0.67441163459999998</v>
          </cell>
          <cell r="AR1501">
            <v>0.67277572949999997</v>
          </cell>
          <cell r="AS1501">
            <v>0.67112253820000001</v>
          </cell>
          <cell r="AT1501">
            <v>0.66946937539999996</v>
          </cell>
          <cell r="AU1501">
            <v>0.66782663919999996</v>
          </cell>
          <cell r="AV1501">
            <v>0.66620027900000001</v>
          </cell>
          <cell r="AW1501">
            <v>0.6645934725</v>
          </cell>
          <cell r="AX1501">
            <v>0.66300762130000002</v>
          </cell>
          <cell r="AY1501">
            <v>0.66144292660000004</v>
          </cell>
          <cell r="AZ1501">
            <v>0.65991107419999995</v>
          </cell>
          <cell r="BA1501">
            <v>0.65840861809999995</v>
          </cell>
          <cell r="BB1501">
            <v>0.65693061559999999</v>
          </cell>
          <cell r="BC1501">
            <v>0.6554726421</v>
          </cell>
          <cell r="BD1501">
            <v>0.65403109579999996</v>
          </cell>
          <cell r="BE1501">
            <v>0.69139399580000005</v>
          </cell>
          <cell r="BF1501">
            <v>0.6906937943</v>
          </cell>
          <cell r="BG1501">
            <v>0.69001173999999998</v>
          </cell>
          <cell r="BH1501">
            <v>0.68934913139999998</v>
          </cell>
          <cell r="BI1501">
            <v>0.68870704589999998</v>
          </cell>
        </row>
        <row r="1502">
          <cell r="F1502">
            <v>86.949796230000004</v>
          </cell>
          <cell r="G1502">
            <v>86.759592549999994</v>
          </cell>
          <cell r="H1502">
            <v>86.364399559999995</v>
          </cell>
          <cell r="I1502">
            <v>85.88305269</v>
          </cell>
          <cell r="J1502">
            <v>85.400635449999996</v>
          </cell>
          <cell r="K1502">
            <v>84.96015285</v>
          </cell>
          <cell r="L1502">
            <v>84.547974850000003</v>
          </cell>
          <cell r="M1502">
            <v>84.160296889999998</v>
          </cell>
          <cell r="N1502">
            <v>83.790788050000003</v>
          </cell>
          <cell r="O1502">
            <v>83.431096460000006</v>
          </cell>
          <cell r="P1502">
            <v>83.115001500000005</v>
          </cell>
          <cell r="Q1502">
            <v>82.790649610000003</v>
          </cell>
          <cell r="R1502">
            <v>82.445136930000004</v>
          </cell>
          <cell r="S1502">
            <v>82.076945080000002</v>
          </cell>
          <cell r="T1502">
            <v>81.688228539999997</v>
          </cell>
          <cell r="U1502">
            <v>81.282354510000005</v>
          </cell>
          <cell r="V1502">
            <v>80.863174259999994</v>
          </cell>
          <cell r="W1502">
            <v>80.434756410000006</v>
          </cell>
          <cell r="X1502">
            <v>80.001201589999994</v>
          </cell>
          <cell r="Y1502">
            <v>79.566460379999995</v>
          </cell>
          <cell r="Z1502">
            <v>79.107793819999998</v>
          </cell>
          <cell r="AA1502">
            <v>78.656878160000005</v>
          </cell>
          <cell r="AB1502">
            <v>78.221465510000002</v>
          </cell>
          <cell r="AC1502">
            <v>77.803074229999993</v>
          </cell>
          <cell r="AD1502">
            <v>77.401581230000005</v>
          </cell>
          <cell r="AE1502">
            <v>76.9466508</v>
          </cell>
          <cell r="AF1502">
            <v>76.480585020000007</v>
          </cell>
          <cell r="AG1502">
            <v>76.018787180000004</v>
          </cell>
          <cell r="AH1502">
            <v>75.567892549999996</v>
          </cell>
          <cell r="AI1502">
            <v>75.130904389999998</v>
          </cell>
          <cell r="AJ1502">
            <v>74.709179980000002</v>
          </cell>
          <cell r="AK1502">
            <v>74.303158240000002</v>
          </cell>
          <cell r="AL1502">
            <v>73.912632099999996</v>
          </cell>
          <cell r="AM1502">
            <v>73.536882559999995</v>
          </cell>
          <cell r="AN1502">
            <v>73.174789820000001</v>
          </cell>
          <cell r="AO1502">
            <v>72.824951560000002</v>
          </cell>
          <cell r="AP1502">
            <v>72.471722360000001</v>
          </cell>
          <cell r="AQ1502">
            <v>72.114731140000004</v>
          </cell>
          <cell r="AR1502">
            <v>71.756296550000002</v>
          </cell>
          <cell r="AS1502">
            <v>71.398547309999998</v>
          </cell>
          <cell r="AT1502">
            <v>71.042930769999998</v>
          </cell>
          <cell r="AU1502">
            <v>70.690335869999998</v>
          </cell>
          <cell r="AV1502">
            <v>70.341281269999996</v>
          </cell>
          <cell r="AW1502">
            <v>69.996043830000005</v>
          </cell>
          <cell r="AX1502">
            <v>69.654727940000001</v>
          </cell>
          <cell r="AY1502">
            <v>69.317302229999996</v>
          </cell>
          <cell r="AZ1502">
            <v>68.984710640000003</v>
          </cell>
          <cell r="BA1502">
            <v>68.656624280000003</v>
          </cell>
          <cell r="BB1502">
            <v>68.332455060000001</v>
          </cell>
          <cell r="BC1502">
            <v>68.011606650000004</v>
          </cell>
          <cell r="BD1502">
            <v>67.693538669999995</v>
          </cell>
          <cell r="BE1502">
            <v>71.369933189999998</v>
          </cell>
          <cell r="BF1502">
            <v>71.162944929999995</v>
          </cell>
          <cell r="BG1502">
            <v>70.960819119999996</v>
          </cell>
          <cell r="BH1502">
            <v>70.76353349</v>
          </cell>
          <cell r="BI1502">
            <v>70.57103103</v>
          </cell>
        </row>
        <row r="1512">
          <cell r="F1512">
            <v>1936637.885</v>
          </cell>
          <cell r="G1512">
            <v>1955417.38</v>
          </cell>
          <cell r="H1512">
            <v>1977486.189</v>
          </cell>
          <cell r="I1512">
            <v>2001685.3810000001</v>
          </cell>
          <cell r="J1512">
            <v>2027409.524</v>
          </cell>
          <cell r="K1512">
            <v>2054173.517</v>
          </cell>
          <cell r="L1512">
            <v>2080193.2890000001</v>
          </cell>
          <cell r="M1512">
            <v>2106572.91</v>
          </cell>
          <cell r="N1512">
            <v>2133381.1230000001</v>
          </cell>
          <cell r="O1512">
            <v>2160737.5559999999</v>
          </cell>
          <cell r="P1512">
            <v>2191280.017</v>
          </cell>
          <cell r="Q1512">
            <v>2220339.5419999999</v>
          </cell>
          <cell r="R1512">
            <v>2250008.4700000002</v>
          </cell>
          <cell r="S1512">
            <v>2280237.46</v>
          </cell>
          <cell r="T1512">
            <v>2310980.5350000001</v>
          </cell>
          <cell r="U1512">
            <v>2342180.8829999999</v>
          </cell>
          <cell r="V1512">
            <v>2373603.4909999999</v>
          </cell>
          <cell r="W1512">
            <v>2405335.8050000002</v>
          </cell>
          <cell r="X1512">
            <v>2437335.2519999999</v>
          </cell>
          <cell r="Y1512">
            <v>2469578.1880000001</v>
          </cell>
          <cell r="Z1512">
            <v>2500228.8190000001</v>
          </cell>
          <cell r="AA1512">
            <v>2532579.591</v>
          </cell>
          <cell r="AB1512">
            <v>2565267.3539999998</v>
          </cell>
          <cell r="AC1512">
            <v>2598336.196</v>
          </cell>
          <cell r="AD1512">
            <v>2631807.0950000002</v>
          </cell>
          <cell r="AE1512">
            <v>2660488.6850000001</v>
          </cell>
          <cell r="AF1512">
            <v>2691340.8429999999</v>
          </cell>
          <cell r="AG1512">
            <v>2722330.1519999998</v>
          </cell>
          <cell r="AH1512">
            <v>2753611.8829999999</v>
          </cell>
          <cell r="AI1512">
            <v>2785281.398</v>
          </cell>
          <cell r="AJ1512">
            <v>2817394.9360000002</v>
          </cell>
          <cell r="AK1512">
            <v>2850019.4360000002</v>
          </cell>
          <cell r="AL1512">
            <v>2883132.0809999998</v>
          </cell>
          <cell r="AM1512">
            <v>2916729.58</v>
          </cell>
          <cell r="AN1512">
            <v>2950803.4759999998</v>
          </cell>
          <cell r="AO1512">
            <v>2985344.7570000002</v>
          </cell>
          <cell r="AP1512">
            <v>3019473.912</v>
          </cell>
          <cell r="AQ1512">
            <v>3053871.0819999999</v>
          </cell>
          <cell r="AR1512">
            <v>3088567.6170000001</v>
          </cell>
          <cell r="AS1512">
            <v>3123598.5359999998</v>
          </cell>
          <cell r="AT1512">
            <v>3158993.3420000002</v>
          </cell>
          <cell r="AU1512">
            <v>3194829.4240000001</v>
          </cell>
          <cell r="AV1512">
            <v>3231073.9470000002</v>
          </cell>
          <cell r="AW1512">
            <v>3267726.4559999998</v>
          </cell>
          <cell r="AX1512">
            <v>3304779.733</v>
          </cell>
          <cell r="AY1512">
            <v>3342224.21</v>
          </cell>
          <cell r="AZ1512">
            <v>3380355.0890000002</v>
          </cell>
          <cell r="BA1512">
            <v>3418936.571</v>
          </cell>
          <cell r="BB1512">
            <v>3415886.0920000002</v>
          </cell>
          <cell r="BC1512">
            <v>3414869.9350000001</v>
          </cell>
          <cell r="BD1512">
            <v>3415240.7880000002</v>
          </cell>
          <cell r="BE1512">
            <v>4435341.7680000002</v>
          </cell>
          <cell r="BF1512">
            <v>4509946.5190000003</v>
          </cell>
          <cell r="BG1512">
            <v>4585737.1710000001</v>
          </cell>
          <cell r="BH1512">
            <v>4662731.2929999996</v>
          </cell>
          <cell r="BI1512">
            <v>4740947.9249999998</v>
          </cell>
        </row>
        <row r="1513">
          <cell r="F1513">
            <v>35161.567479999998</v>
          </cell>
          <cell r="G1513">
            <v>35306.396919999999</v>
          </cell>
          <cell r="H1513">
            <v>35505.463210000002</v>
          </cell>
          <cell r="I1513">
            <v>35715.922809999996</v>
          </cell>
          <cell r="J1513">
            <v>35905.617010000002</v>
          </cell>
          <cell r="K1513">
            <v>36050.893150000004</v>
          </cell>
          <cell r="L1513">
            <v>36107.117140000002</v>
          </cell>
          <cell r="M1513">
            <v>36096.497309999999</v>
          </cell>
          <cell r="N1513">
            <v>36031.390879999999</v>
          </cell>
          <cell r="O1513">
            <v>35927.052100000001</v>
          </cell>
          <cell r="P1513">
            <v>35848.110200000003</v>
          </cell>
          <cell r="Q1513">
            <v>35715.022290000001</v>
          </cell>
          <cell r="R1513">
            <v>35574.979229999997</v>
          </cell>
          <cell r="S1513">
            <v>35441.015829999997</v>
          </cell>
          <cell r="T1513">
            <v>35321.018510000002</v>
          </cell>
          <cell r="U1513">
            <v>35219.081480000001</v>
          </cell>
          <cell r="V1513">
            <v>35127.858610000003</v>
          </cell>
          <cell r="W1513">
            <v>35053.335169999998</v>
          </cell>
          <cell r="X1513">
            <v>34993.355649999998</v>
          </cell>
          <cell r="Y1513">
            <v>34944.611720000001</v>
          </cell>
          <cell r="Z1513">
            <v>34872.971960000003</v>
          </cell>
          <cell r="AA1513">
            <v>34828.664870000001</v>
          </cell>
          <cell r="AB1513">
            <v>34791.212599999999</v>
          </cell>
          <cell r="AC1513">
            <v>34755.698960000002</v>
          </cell>
          <cell r="AD1513">
            <v>34718.719429999997</v>
          </cell>
          <cell r="AE1513">
            <v>34596.284330000002</v>
          </cell>
          <cell r="AF1513">
            <v>34495.838920000002</v>
          </cell>
          <cell r="AG1513">
            <v>34395.951959999999</v>
          </cell>
          <cell r="AH1513">
            <v>34297.071459999999</v>
          </cell>
          <cell r="AI1513">
            <v>34199.55485</v>
          </cell>
          <cell r="AJ1513">
            <v>34103.175340000002</v>
          </cell>
          <cell r="AK1513">
            <v>34009.318019999999</v>
          </cell>
          <cell r="AL1513">
            <v>33915.695189999999</v>
          </cell>
          <cell r="AM1513">
            <v>33821.574229999998</v>
          </cell>
          <cell r="AN1513">
            <v>33726.521610000003</v>
          </cell>
          <cell r="AO1513">
            <v>33630.349399999999</v>
          </cell>
          <cell r="AP1513">
            <v>33533.889799999997</v>
          </cell>
          <cell r="AQ1513">
            <v>33435.774830000002</v>
          </cell>
          <cell r="AR1513">
            <v>33337.913979999998</v>
          </cell>
          <cell r="AS1513">
            <v>33241.776919999997</v>
          </cell>
          <cell r="AT1513">
            <v>33148.048199999997</v>
          </cell>
          <cell r="AU1513">
            <v>33059.528389999999</v>
          </cell>
          <cell r="AV1513">
            <v>32973.605259999997</v>
          </cell>
          <cell r="AW1513">
            <v>32889.385560000002</v>
          </cell>
          <cell r="AX1513">
            <v>32806.025300000001</v>
          </cell>
          <cell r="AY1513">
            <v>32722.73071</v>
          </cell>
          <cell r="AZ1513">
            <v>32649.381130000002</v>
          </cell>
          <cell r="BA1513">
            <v>32577.18518</v>
          </cell>
          <cell r="BB1513">
            <v>32521.163850000001</v>
          </cell>
          <cell r="BC1513">
            <v>32411.02594</v>
          </cell>
          <cell r="BD1513">
            <v>32391.573179999999</v>
          </cell>
          <cell r="BE1513">
            <v>73046.369460000002</v>
          </cell>
          <cell r="BF1513">
            <v>74178.173190000001</v>
          </cell>
          <cell r="BG1513">
            <v>75329.311960000006</v>
          </cell>
          <cell r="BH1513">
            <v>76500.127600000007</v>
          </cell>
          <cell r="BI1513">
            <v>77691.000880000007</v>
          </cell>
        </row>
        <row r="1516">
          <cell r="F1516">
            <v>323108.8309</v>
          </cell>
          <cell r="G1516">
            <v>327660.26189999998</v>
          </cell>
          <cell r="H1516">
            <v>331982.73389999999</v>
          </cell>
          <cell r="I1516">
            <v>336398.72090000001</v>
          </cell>
          <cell r="J1516">
            <v>340822.5012</v>
          </cell>
          <cell r="K1516">
            <v>345148.03570000001</v>
          </cell>
          <cell r="L1516">
            <v>349056.87430000002</v>
          </cell>
          <cell r="M1516">
            <v>352786.8775</v>
          </cell>
          <cell r="N1516">
            <v>356371.20760000002</v>
          </cell>
          <cell r="O1516">
            <v>359868.4509</v>
          </cell>
          <cell r="P1516">
            <v>363777.26779999997</v>
          </cell>
          <cell r="Q1516">
            <v>367276.79879999999</v>
          </cell>
          <cell r="R1516">
            <v>370841.81890000001</v>
          </cell>
          <cell r="S1516">
            <v>374479.2169</v>
          </cell>
          <cell r="T1516">
            <v>378206.4031</v>
          </cell>
          <cell r="U1516">
            <v>382035.52439999999</v>
          </cell>
          <cell r="V1516">
            <v>385927.49859999999</v>
          </cell>
          <cell r="W1516">
            <v>389927.84820000001</v>
          </cell>
          <cell r="X1516">
            <v>394031.17180000001</v>
          </cell>
          <cell r="Y1516">
            <v>398234.98959999997</v>
          </cell>
          <cell r="Z1516">
            <v>402232.65610000002</v>
          </cell>
          <cell r="AA1516">
            <v>406596.22840000002</v>
          </cell>
          <cell r="AB1516">
            <v>411055.32980000001</v>
          </cell>
          <cell r="AC1516">
            <v>415621.29800000001</v>
          </cell>
          <cell r="AD1516">
            <v>420292.70760000002</v>
          </cell>
          <cell r="AE1516">
            <v>424211.54220000003</v>
          </cell>
          <cell r="AF1516">
            <v>428590.74670000002</v>
          </cell>
          <cell r="AG1516">
            <v>433010.02059999999</v>
          </cell>
          <cell r="AH1516">
            <v>437500.62390000001</v>
          </cell>
          <cell r="AI1516">
            <v>442071.77299999999</v>
          </cell>
          <cell r="AJ1516">
            <v>446723.84450000001</v>
          </cell>
          <cell r="AK1516">
            <v>451462.40960000001</v>
          </cell>
          <cell r="AL1516">
            <v>456271.33370000002</v>
          </cell>
          <cell r="AM1516">
            <v>461143.53200000001</v>
          </cell>
          <cell r="AN1516">
            <v>466071.32189999998</v>
          </cell>
          <cell r="AO1516">
            <v>471047.908</v>
          </cell>
          <cell r="AP1516">
            <v>475959.67550000001</v>
          </cell>
          <cell r="AQ1516">
            <v>480890.83069999999</v>
          </cell>
          <cell r="AR1516">
            <v>485844.04149999999</v>
          </cell>
          <cell r="AS1516">
            <v>490822.62699999998</v>
          </cell>
          <cell r="AT1516">
            <v>495829.12099999998</v>
          </cell>
          <cell r="AU1516">
            <v>500878.65299999999</v>
          </cell>
          <cell r="AV1516">
            <v>505958.27610000002</v>
          </cell>
          <cell r="AW1516">
            <v>511067.2353</v>
          </cell>
          <cell r="AX1516">
            <v>516202.8774</v>
          </cell>
          <cell r="AY1516">
            <v>521362.28240000003</v>
          </cell>
          <cell r="AZ1516">
            <v>526607.62470000004</v>
          </cell>
          <cell r="BA1516">
            <v>531881.10419999994</v>
          </cell>
          <cell r="BB1516">
            <v>530913.0183</v>
          </cell>
          <cell r="BC1516">
            <v>530430.93709999998</v>
          </cell>
          <cell r="BD1516">
            <v>530524.54559999995</v>
          </cell>
          <cell r="BE1516">
            <v>779782.38390000002</v>
          </cell>
          <cell r="BF1516">
            <v>793578.7855</v>
          </cell>
          <cell r="BG1516">
            <v>807567.57739999995</v>
          </cell>
          <cell r="BH1516">
            <v>821748.6128</v>
          </cell>
          <cell r="BI1516">
            <v>836122.06779999996</v>
          </cell>
        </row>
        <row r="1528">
          <cell r="F1528">
            <v>47346.156130000003</v>
          </cell>
          <cell r="G1528">
            <v>47893.642169999999</v>
          </cell>
          <cell r="H1528">
            <v>48407.463920000002</v>
          </cell>
          <cell r="I1528">
            <v>48956.863380000003</v>
          </cell>
          <cell r="J1528">
            <v>49545.009129999999</v>
          </cell>
          <cell r="K1528">
            <v>50163.20306</v>
          </cell>
          <cell r="L1528">
            <v>50765.304709999997</v>
          </cell>
          <cell r="M1528">
            <v>51379.646890000004</v>
          </cell>
          <cell r="N1528">
            <v>52002.630590000001</v>
          </cell>
          <cell r="O1528">
            <v>52633.128259999998</v>
          </cell>
          <cell r="P1528">
            <v>53334.034359999998</v>
          </cell>
          <cell r="Q1528">
            <v>53978.751949999998</v>
          </cell>
          <cell r="R1528">
            <v>54628.374190000002</v>
          </cell>
          <cell r="S1528">
            <v>55278.555979999997</v>
          </cell>
          <cell r="T1528">
            <v>55927.791920000003</v>
          </cell>
          <cell r="U1528">
            <v>56575.308689999998</v>
          </cell>
          <cell r="V1528">
            <v>57214.749660000001</v>
          </cell>
          <cell r="W1528">
            <v>57852.222829999999</v>
          </cell>
          <cell r="X1528">
            <v>58487.825989999998</v>
          </cell>
          <cell r="Y1528">
            <v>59122.544860000002</v>
          </cell>
          <cell r="Z1528">
            <v>59712.416299999997</v>
          </cell>
          <cell r="AA1528">
            <v>60343.998440000003</v>
          </cell>
          <cell r="AB1528">
            <v>60979.277679999999</v>
          </cell>
          <cell r="AC1528">
            <v>61621.630259999998</v>
          </cell>
          <cell r="AD1528">
            <v>62272.572010000004</v>
          </cell>
          <cell r="AE1528">
            <v>62805.234020000004</v>
          </cell>
          <cell r="AF1528">
            <v>63401.413529999998</v>
          </cell>
          <cell r="AG1528">
            <v>64000.182679999998</v>
          </cell>
          <cell r="AH1528">
            <v>64607.030279999999</v>
          </cell>
          <cell r="AI1528">
            <v>65224.498390000001</v>
          </cell>
          <cell r="AJ1528">
            <v>65853.90337</v>
          </cell>
          <cell r="AK1528">
            <v>66497.124500000005</v>
          </cell>
          <cell r="AL1528">
            <v>67152.961039999995</v>
          </cell>
          <cell r="AM1528">
            <v>67821.250759999995</v>
          </cell>
          <cell r="AN1528">
            <v>68501.562309999994</v>
          </cell>
          <cell r="AO1528">
            <v>69193.382580000005</v>
          </cell>
          <cell r="AP1528">
            <v>69878.138349999994</v>
          </cell>
          <cell r="AQ1528">
            <v>70569.718510000006</v>
          </cell>
          <cell r="AR1528">
            <v>71268.343219999995</v>
          </cell>
          <cell r="AS1528">
            <v>71974.448550000001</v>
          </cell>
          <cell r="AT1528">
            <v>72688.443230000004</v>
          </cell>
          <cell r="AU1528">
            <v>73412.449489999999</v>
          </cell>
          <cell r="AV1528">
            <v>74144.834010000006</v>
          </cell>
          <cell r="AW1528">
            <v>74885.632620000004</v>
          </cell>
          <cell r="AX1528">
            <v>75634.637740000006</v>
          </cell>
          <cell r="AY1528">
            <v>76391.584959999993</v>
          </cell>
          <cell r="AZ1528">
            <v>77165.119560000006</v>
          </cell>
          <cell r="BA1528">
            <v>77947.066319999998</v>
          </cell>
          <cell r="BB1528">
            <v>77788.133379999999</v>
          </cell>
          <cell r="BC1528">
            <v>77531.626579999996</v>
          </cell>
          <cell r="BD1528">
            <v>77513.252349999995</v>
          </cell>
          <cell r="BE1528">
            <v>104246.85159999999</v>
          </cell>
          <cell r="BF1528">
            <v>105947.7721</v>
          </cell>
          <cell r="BG1528">
            <v>107679.07919999999</v>
          </cell>
          <cell r="BH1528">
            <v>109441.3615</v>
          </cell>
          <cell r="BI1528">
            <v>111235.22809999999</v>
          </cell>
        </row>
        <row r="1533">
          <cell r="F1533">
            <v>1493289.602</v>
          </cell>
          <cell r="G1533">
            <v>1506714.095</v>
          </cell>
          <cell r="H1533">
            <v>1523690.993</v>
          </cell>
          <cell r="I1533">
            <v>1542622.0660000001</v>
          </cell>
          <cell r="J1533">
            <v>1562990.6329999999</v>
          </cell>
          <cell r="K1533">
            <v>1584451.9939999999</v>
          </cell>
          <cell r="L1533">
            <v>1605667.706</v>
          </cell>
          <cell r="M1533">
            <v>1627452.335</v>
          </cell>
          <cell r="N1533">
            <v>1649844.9480000001</v>
          </cell>
          <cell r="O1533">
            <v>1672903.4380000001</v>
          </cell>
          <cell r="P1533">
            <v>1698609.581</v>
          </cell>
          <cell r="Q1533">
            <v>1723398.5449999999</v>
          </cell>
          <cell r="R1533">
            <v>1748756.1340000001</v>
          </cell>
          <cell r="S1533">
            <v>1774616.99</v>
          </cell>
          <cell r="T1533">
            <v>1800910.54</v>
          </cell>
          <cell r="U1533">
            <v>1827562.821</v>
          </cell>
          <cell r="V1533">
            <v>1854394.3089999999</v>
          </cell>
          <cell r="W1533">
            <v>1881427.99</v>
          </cell>
          <cell r="X1533">
            <v>1908624.9669999999</v>
          </cell>
          <cell r="Y1533">
            <v>1935962.72</v>
          </cell>
          <cell r="Z1533">
            <v>1962013.2409999999</v>
          </cell>
          <cell r="AA1533">
            <v>1989311.1980000001</v>
          </cell>
          <cell r="AB1533">
            <v>2016835.993</v>
          </cell>
          <cell r="AC1533">
            <v>2044620.963</v>
          </cell>
          <cell r="AD1533">
            <v>2072689.1240000001</v>
          </cell>
          <cell r="AE1533">
            <v>2096990.0249999999</v>
          </cell>
          <cell r="AF1533">
            <v>2122886.2400000002</v>
          </cell>
          <cell r="AG1533">
            <v>2148868.8139999998</v>
          </cell>
          <cell r="AH1533">
            <v>2175055.5210000002</v>
          </cell>
          <cell r="AI1533">
            <v>2201529.0180000002</v>
          </cell>
          <cell r="AJ1533">
            <v>2228343.6189999999</v>
          </cell>
          <cell r="AK1533">
            <v>2255556.0780000002</v>
          </cell>
          <cell r="AL1533">
            <v>2283164.0950000002</v>
          </cell>
          <cell r="AM1533">
            <v>2311172.8470000001</v>
          </cell>
          <cell r="AN1533">
            <v>2339583.1239999998</v>
          </cell>
          <cell r="AO1533">
            <v>2368394.2549999999</v>
          </cell>
          <cell r="AP1533">
            <v>2396865.3369999998</v>
          </cell>
          <cell r="AQ1533">
            <v>2425575.8390000002</v>
          </cell>
          <cell r="AR1533">
            <v>2454552.588</v>
          </cell>
          <cell r="AS1533">
            <v>2483825.9160000002</v>
          </cell>
          <cell r="AT1533">
            <v>2513422.2429999998</v>
          </cell>
          <cell r="AU1533">
            <v>2543397.804</v>
          </cell>
          <cell r="AV1533">
            <v>2573738.4109999998</v>
          </cell>
          <cell r="AW1533">
            <v>2604445.7030000002</v>
          </cell>
          <cell r="AX1533">
            <v>2635516.591</v>
          </cell>
          <cell r="AY1533">
            <v>2666945.9010000001</v>
          </cell>
          <cell r="AZ1533">
            <v>2698941.9550000001</v>
          </cell>
          <cell r="BA1533">
            <v>2731348.6979999999</v>
          </cell>
          <cell r="BB1533">
            <v>2729653.4139999999</v>
          </cell>
          <cell r="BC1533">
            <v>2729880.7719999999</v>
          </cell>
          <cell r="BD1533">
            <v>2730257.7710000002</v>
          </cell>
          <cell r="BE1533">
            <v>3416677.1430000002</v>
          </cell>
          <cell r="BF1533">
            <v>3473898.909</v>
          </cell>
          <cell r="BG1533">
            <v>3532050.4369999999</v>
          </cell>
          <cell r="BH1533">
            <v>3591148.4539999999</v>
          </cell>
          <cell r="BI1533">
            <v>3651210.7570000002</v>
          </cell>
        </row>
        <row r="1537">
          <cell r="F1537">
            <v>-2143.8690879999999</v>
          </cell>
          <cell r="G1537">
            <v>-2089.048413</v>
          </cell>
          <cell r="H1537">
            <v>-2085.3190009999998</v>
          </cell>
          <cell r="I1537">
            <v>-2089.9082509999998</v>
          </cell>
          <cell r="J1537">
            <v>-2098.5216249999999</v>
          </cell>
          <cell r="K1537">
            <v>-2111.5557819999999</v>
          </cell>
          <cell r="L1537">
            <v>-2129.260878</v>
          </cell>
          <cell r="M1537">
            <v>-2148.4256180000002</v>
          </cell>
          <cell r="N1537">
            <v>-2169.4570410000001</v>
          </cell>
          <cell r="O1537">
            <v>-2191.9468870000001</v>
          </cell>
          <cell r="P1537">
            <v>-2214.6019470000001</v>
          </cell>
          <cell r="Q1537">
            <v>-2241.996087</v>
          </cell>
          <cell r="R1537">
            <v>-2267.2600950000001</v>
          </cell>
          <cell r="S1537">
            <v>-2292.080035</v>
          </cell>
          <cell r="T1537">
            <v>-2316.804087</v>
          </cell>
          <cell r="U1537">
            <v>-2341.462505</v>
          </cell>
          <cell r="V1537">
            <v>-2366.116763</v>
          </cell>
          <cell r="W1537">
            <v>-2390.3159599999999</v>
          </cell>
          <cell r="X1537">
            <v>-2414.352445</v>
          </cell>
          <cell r="Y1537">
            <v>-2438.3004289999999</v>
          </cell>
          <cell r="Z1537">
            <v>-2462.7971680000001</v>
          </cell>
          <cell r="AA1537">
            <v>-2484.4486360000001</v>
          </cell>
          <cell r="AB1537">
            <v>-2507.7255719999998</v>
          </cell>
          <cell r="AC1537">
            <v>-2531.5619390000002</v>
          </cell>
          <cell r="AD1537">
            <v>-2555.7234229999999</v>
          </cell>
          <cell r="AE1537">
            <v>-2581.8634910000001</v>
          </cell>
          <cell r="AF1537">
            <v>-2601.0507819999998</v>
          </cell>
          <cell r="AG1537">
            <v>-2622.1459100000002</v>
          </cell>
          <cell r="AH1537">
            <v>-2643.9292129999999</v>
          </cell>
          <cell r="AI1537">
            <v>-2666.1477070000001</v>
          </cell>
          <cell r="AJ1537">
            <v>-2688.78676</v>
          </cell>
          <cell r="AK1537">
            <v>-2711.8598969999998</v>
          </cell>
          <cell r="AL1537">
            <v>-2735.4856869999999</v>
          </cell>
          <cell r="AM1537">
            <v>-2759.6221489999998</v>
          </cell>
          <cell r="AN1537">
            <v>-2784.264885</v>
          </cell>
          <cell r="AO1537">
            <v>-2809.4096479999998</v>
          </cell>
          <cell r="AP1537">
            <v>-2835.2830960000001</v>
          </cell>
          <cell r="AQ1537">
            <v>-2860.7703000000001</v>
          </cell>
          <cell r="AR1537">
            <v>-2886.3559140000002</v>
          </cell>
          <cell r="AS1537">
            <v>-2912.21702</v>
          </cell>
          <cell r="AT1537">
            <v>-2938.419206</v>
          </cell>
          <cell r="AU1537">
            <v>-2964.9671039999998</v>
          </cell>
          <cell r="AV1537">
            <v>-2991.9947499999998</v>
          </cell>
          <cell r="AW1537">
            <v>-3019.431047</v>
          </cell>
          <cell r="AX1537">
            <v>-3047.2669689999998</v>
          </cell>
          <cell r="AY1537">
            <v>-3075.5024450000001</v>
          </cell>
          <cell r="AZ1537">
            <v>-3104.0235779999998</v>
          </cell>
          <cell r="BA1537">
            <v>-3133.3876959999998</v>
          </cell>
          <cell r="BB1537">
            <v>-3168.047442</v>
          </cell>
          <cell r="BC1537">
            <v>-3228.0915380000001</v>
          </cell>
          <cell r="BD1537">
            <v>-3232.8317360000001</v>
          </cell>
          <cell r="BE1537">
            <v>-4070.1845090000002</v>
          </cell>
          <cell r="BF1537">
            <v>-4129.4091010000002</v>
          </cell>
          <cell r="BG1537">
            <v>-4189.5967199999996</v>
          </cell>
          <cell r="BH1537">
            <v>-4250.7691379999997</v>
          </cell>
          <cell r="BI1537">
            <v>-4312.9515389999997</v>
          </cell>
        </row>
        <row r="1538">
          <cell r="F1538">
            <v>-607.24478680000004</v>
          </cell>
          <cell r="G1538">
            <v>-602.075963</v>
          </cell>
          <cell r="H1538">
            <v>-601.66780289999997</v>
          </cell>
          <cell r="I1538">
            <v>-602.31832989999998</v>
          </cell>
          <cell r="J1538">
            <v>-604.20675840000001</v>
          </cell>
          <cell r="K1538">
            <v>-607.45130010000003</v>
          </cell>
          <cell r="L1538">
            <v>-611.77915489999998</v>
          </cell>
          <cell r="M1538">
            <v>-616.82616819999998</v>
          </cell>
          <cell r="N1538">
            <v>-622.52529370000002</v>
          </cell>
          <cell r="O1538">
            <v>-628.74243349999995</v>
          </cell>
          <cell r="P1538">
            <v>-635.56379760000004</v>
          </cell>
          <cell r="Q1538">
            <v>-642.88968560000001</v>
          </cell>
          <cell r="R1538">
            <v>-650.16161780000004</v>
          </cell>
          <cell r="S1538">
            <v>-657.53528819999997</v>
          </cell>
          <cell r="T1538">
            <v>-665.00548939999999</v>
          </cell>
          <cell r="U1538">
            <v>-672.54037159999996</v>
          </cell>
          <cell r="V1538">
            <v>-680.08798290000004</v>
          </cell>
          <cell r="W1538">
            <v>-687.60635179999997</v>
          </cell>
          <cell r="X1538">
            <v>-695.1118275</v>
          </cell>
          <cell r="Y1538">
            <v>-702.60112340000001</v>
          </cell>
          <cell r="Z1538">
            <v>-709.92701750000003</v>
          </cell>
          <cell r="AA1538">
            <v>-717.08636120000006</v>
          </cell>
          <cell r="AB1538">
            <v>-724.42414210000004</v>
          </cell>
          <cell r="AC1538">
            <v>-731.82058659999996</v>
          </cell>
          <cell r="AD1538">
            <v>-739.26056649999998</v>
          </cell>
          <cell r="AE1538">
            <v>-746.33543459999999</v>
          </cell>
          <cell r="AF1538">
            <v>-752.84753739999996</v>
          </cell>
          <cell r="AG1538">
            <v>-759.55779949999999</v>
          </cell>
          <cell r="AH1538">
            <v>-766.33027860000004</v>
          </cell>
          <cell r="AI1538">
            <v>-773.157239</v>
          </cell>
          <cell r="AJ1538">
            <v>-780.05421609999996</v>
          </cell>
          <cell r="AK1538">
            <v>-787.04309120000005</v>
          </cell>
          <cell r="AL1538">
            <v>-794.14232670000001</v>
          </cell>
          <cell r="AM1538">
            <v>-801.35661140000002</v>
          </cell>
          <cell r="AN1538">
            <v>-808.69318299999998</v>
          </cell>
          <cell r="AO1538">
            <v>-816.15759319999995</v>
          </cell>
          <cell r="AP1538">
            <v>-823.69352419999996</v>
          </cell>
          <cell r="AQ1538">
            <v>-831.2318295</v>
          </cell>
          <cell r="AR1538">
            <v>-838.83567989999995</v>
          </cell>
          <cell r="AS1538">
            <v>-846.53006530000005</v>
          </cell>
          <cell r="AT1538">
            <v>-854.32740049999995</v>
          </cell>
          <cell r="AU1538">
            <v>-862.24151210000002</v>
          </cell>
          <cell r="AV1538">
            <v>-870.28345430000002</v>
          </cell>
          <cell r="AW1538">
            <v>-878.44937819999996</v>
          </cell>
          <cell r="AX1538">
            <v>-886.7421081</v>
          </cell>
          <cell r="AY1538">
            <v>-895.16478859999995</v>
          </cell>
          <cell r="AZ1538">
            <v>-903.74785280000003</v>
          </cell>
          <cell r="BA1538">
            <v>-912.51932580000005</v>
          </cell>
          <cell r="BB1538">
            <v>-926.39248329999998</v>
          </cell>
          <cell r="BC1538">
            <v>-957.12903889999995</v>
          </cell>
          <cell r="BD1538">
            <v>-960.82070820000001</v>
          </cell>
          <cell r="BE1538">
            <v>-1146.8100690000001</v>
          </cell>
          <cell r="BF1538">
            <v>-1162.752213</v>
          </cell>
          <cell r="BG1538">
            <v>-1178.9435550000001</v>
          </cell>
          <cell r="BH1538">
            <v>-1195.3919310000001</v>
          </cell>
          <cell r="BI1538">
            <v>-1212.105595</v>
          </cell>
        </row>
        <row r="1540">
          <cell r="F1540">
            <v>484.41456460000001</v>
          </cell>
          <cell r="G1540">
            <v>486.68218309999997</v>
          </cell>
          <cell r="H1540">
            <v>489.51290260000002</v>
          </cell>
          <cell r="I1540">
            <v>492.77215869999998</v>
          </cell>
          <cell r="J1540">
            <v>496.59900019999998</v>
          </cell>
          <cell r="K1540">
            <v>501.01802350000003</v>
          </cell>
          <cell r="L1540">
            <v>505.62903499999999</v>
          </cell>
          <cell r="M1540">
            <v>510.53256859999999</v>
          </cell>
          <cell r="N1540">
            <v>515.65988919999995</v>
          </cell>
          <cell r="O1540">
            <v>520.93375109999999</v>
          </cell>
          <cell r="P1540">
            <v>526.84586669999999</v>
          </cell>
          <cell r="Q1540">
            <v>532.3811518</v>
          </cell>
          <cell r="R1540">
            <v>537.81619039999998</v>
          </cell>
          <cell r="S1540">
            <v>543.18371679999996</v>
          </cell>
          <cell r="T1540">
            <v>548.49143470000001</v>
          </cell>
          <cell r="U1540">
            <v>553.74450439999998</v>
          </cell>
          <cell r="V1540">
            <v>558.91366110000001</v>
          </cell>
          <cell r="W1540">
            <v>564.03921109999999</v>
          </cell>
          <cell r="X1540">
            <v>569.13920659999997</v>
          </cell>
          <cell r="Y1540">
            <v>574.23092099999997</v>
          </cell>
          <cell r="Z1540">
            <v>578.93636419999996</v>
          </cell>
          <cell r="AA1540">
            <v>583.93207010000003</v>
          </cell>
          <cell r="AB1540">
            <v>589.03345860000002</v>
          </cell>
          <cell r="AC1540">
            <v>594.2212002</v>
          </cell>
          <cell r="AD1540">
            <v>599.49719259999995</v>
          </cell>
          <cell r="AE1540">
            <v>603.75612179999996</v>
          </cell>
          <cell r="AF1540">
            <v>608.34795340000005</v>
          </cell>
          <cell r="AG1540">
            <v>613.04701160000002</v>
          </cell>
          <cell r="AH1540">
            <v>617.84187250000002</v>
          </cell>
          <cell r="AI1540">
            <v>622.73910069999999</v>
          </cell>
          <cell r="AJ1540">
            <v>627.74734090000004</v>
          </cell>
          <cell r="AK1540">
            <v>632.87998030000006</v>
          </cell>
          <cell r="AL1540">
            <v>638.13611040000001</v>
          </cell>
          <cell r="AM1540">
            <v>643.51631190000001</v>
          </cell>
          <cell r="AN1540">
            <v>649.01925819999997</v>
          </cell>
          <cell r="AO1540">
            <v>654.64203139999995</v>
          </cell>
          <cell r="AP1540">
            <v>660.17830709999998</v>
          </cell>
          <cell r="AQ1540">
            <v>665.75312150000002</v>
          </cell>
          <cell r="AR1540">
            <v>671.3952266</v>
          </cell>
          <cell r="AS1540">
            <v>677.11485440000001</v>
          </cell>
          <cell r="AT1540">
            <v>682.91608059999999</v>
          </cell>
          <cell r="AU1540">
            <v>688.80812890000004</v>
          </cell>
          <cell r="AV1540">
            <v>694.78532310000003</v>
          </cell>
          <cell r="AW1540">
            <v>700.84606640000004</v>
          </cell>
          <cell r="AX1540">
            <v>706.98853819999999</v>
          </cell>
          <cell r="AY1540">
            <v>713.21064379999996</v>
          </cell>
          <cell r="AZ1540">
            <v>719.55674520000002</v>
          </cell>
          <cell r="BA1540">
            <v>725.99259940000002</v>
          </cell>
          <cell r="BB1540">
            <v>723.37782389999995</v>
          </cell>
          <cell r="BC1540">
            <v>711.42411340000001</v>
          </cell>
          <cell r="BD1540">
            <v>709.68563129999995</v>
          </cell>
          <cell r="BE1540">
            <v>947.16079630000002</v>
          </cell>
          <cell r="BF1540">
            <v>961.08038239999996</v>
          </cell>
          <cell r="BG1540">
            <v>975.23425729999997</v>
          </cell>
          <cell r="BH1540">
            <v>989.62701319999996</v>
          </cell>
          <cell r="BI1540">
            <v>1004.263659</v>
          </cell>
        </row>
        <row r="1541">
          <cell r="F1541">
            <v>39793.283510000001</v>
          </cell>
          <cell r="G1541">
            <v>39841.085630000001</v>
          </cell>
          <cell r="H1541">
            <v>39889.422200000001</v>
          </cell>
          <cell r="I1541">
            <v>39982.280850000003</v>
          </cell>
          <cell r="J1541">
            <v>40141.279589999998</v>
          </cell>
          <cell r="K1541">
            <v>40364.885320000001</v>
          </cell>
          <cell r="L1541">
            <v>40617.252699999997</v>
          </cell>
          <cell r="M1541">
            <v>40895.750489999999</v>
          </cell>
          <cell r="N1541">
            <v>41188.576050000003</v>
          </cell>
          <cell r="O1541">
            <v>41484.318420000003</v>
          </cell>
          <cell r="P1541">
            <v>41810.903319999998</v>
          </cell>
          <cell r="Q1541">
            <v>42097.15984</v>
          </cell>
          <cell r="R1541">
            <v>42358.704449999997</v>
          </cell>
          <cell r="S1541">
            <v>42597.777479999997</v>
          </cell>
          <cell r="T1541">
            <v>42815.516369999998</v>
          </cell>
          <cell r="U1541">
            <v>43013.596740000001</v>
          </cell>
          <cell r="V1541">
            <v>43189.367700000003</v>
          </cell>
          <cell r="W1541">
            <v>43349.119639999997</v>
          </cell>
          <cell r="X1541">
            <v>43496.92179</v>
          </cell>
          <cell r="Y1541">
            <v>43636.497329999998</v>
          </cell>
          <cell r="Z1541">
            <v>43745.839970000001</v>
          </cell>
          <cell r="AA1541">
            <v>43869.494409999999</v>
          </cell>
          <cell r="AB1541">
            <v>43998.879079999999</v>
          </cell>
          <cell r="AC1541">
            <v>44133.787850000001</v>
          </cell>
          <cell r="AD1541">
            <v>44275.240250000003</v>
          </cell>
          <cell r="AE1541">
            <v>44354.045899999997</v>
          </cell>
          <cell r="AF1541">
            <v>44454.198239999998</v>
          </cell>
          <cell r="AG1541">
            <v>44563.884850000002</v>
          </cell>
          <cell r="AH1541">
            <v>44682.061390000003</v>
          </cell>
          <cell r="AI1541">
            <v>44809.047330000001</v>
          </cell>
          <cell r="AJ1541">
            <v>44945.28974</v>
          </cell>
          <cell r="AK1541">
            <v>45092.152430000002</v>
          </cell>
          <cell r="AL1541">
            <v>45248.8819</v>
          </cell>
          <cell r="AM1541">
            <v>45414.948550000001</v>
          </cell>
          <cell r="AN1541">
            <v>45589.661930000002</v>
          </cell>
          <cell r="AO1541">
            <v>45772.17871</v>
          </cell>
          <cell r="AP1541">
            <v>45955.719530000002</v>
          </cell>
          <cell r="AQ1541">
            <v>46142.853860000003</v>
          </cell>
          <cell r="AR1541">
            <v>46333.820030000003</v>
          </cell>
          <cell r="AS1541">
            <v>46528.267209999998</v>
          </cell>
          <cell r="AT1541">
            <v>46725.724150000002</v>
          </cell>
          <cell r="AU1541">
            <v>46927.29754</v>
          </cell>
          <cell r="AV1541">
            <v>47131.686540000002</v>
          </cell>
          <cell r="AW1541">
            <v>47338.337189999998</v>
          </cell>
          <cell r="AX1541">
            <v>47546.820500000002</v>
          </cell>
          <cell r="AY1541">
            <v>47756.726999999999</v>
          </cell>
          <cell r="AZ1541">
            <v>47974.091840000001</v>
          </cell>
          <cell r="BA1541">
            <v>48194.57069</v>
          </cell>
          <cell r="BB1541">
            <v>48082.556259999998</v>
          </cell>
          <cell r="BC1541">
            <v>47817.320780000002</v>
          </cell>
          <cell r="BD1541">
            <v>47769.627710000001</v>
          </cell>
          <cell r="BE1541">
            <v>65457.206310000001</v>
          </cell>
          <cell r="BF1541">
            <v>66266.410640000002</v>
          </cell>
          <cell r="BG1541">
            <v>67090.519190000006</v>
          </cell>
          <cell r="BH1541">
            <v>67929.616699999999</v>
          </cell>
          <cell r="BI1541">
            <v>68783.803939999998</v>
          </cell>
        </row>
        <row r="1551">
          <cell r="F1551">
            <v>1969714.702</v>
          </cell>
          <cell r="G1551">
            <v>1994113.311</v>
          </cell>
          <cell r="H1551">
            <v>2021159.0430000001</v>
          </cell>
          <cell r="I1551">
            <v>2049630.1529999999</v>
          </cell>
          <cell r="J1551">
            <v>2079405.182</v>
          </cell>
          <cell r="K1551">
            <v>2110352.9</v>
          </cell>
          <cell r="L1551">
            <v>2140847.2940000002</v>
          </cell>
          <cell r="M1551">
            <v>2171958.6519999998</v>
          </cell>
          <cell r="N1551">
            <v>2203639.446</v>
          </cell>
          <cell r="O1551">
            <v>2235865.4</v>
          </cell>
          <cell r="P1551">
            <v>2271222.7289999998</v>
          </cell>
          <cell r="Q1551">
            <v>2305007.2689999999</v>
          </cell>
          <cell r="R1551">
            <v>2339173.3139999998</v>
          </cell>
          <cell r="S1551">
            <v>2373675.5189999999</v>
          </cell>
          <cell r="T1551">
            <v>2408511.514</v>
          </cell>
          <cell r="U1551">
            <v>2443693.8990000002</v>
          </cell>
          <cell r="V1551">
            <v>2479241.0269999998</v>
          </cell>
          <cell r="W1551">
            <v>2515171.9019999998</v>
          </cell>
          <cell r="X1551">
            <v>2551504.2250000001</v>
          </cell>
          <cell r="Y1551">
            <v>2588254.3080000002</v>
          </cell>
          <cell r="Z1551">
            <v>2623530.7259999998</v>
          </cell>
          <cell r="AA1551">
            <v>2660762.395</v>
          </cell>
          <cell r="AB1551">
            <v>2698533.3470000001</v>
          </cell>
          <cell r="AC1551">
            <v>2736879.03</v>
          </cell>
          <cell r="AD1551">
            <v>2775804.6359999999</v>
          </cell>
          <cell r="AE1551">
            <v>2809833.1529999999</v>
          </cell>
          <cell r="AF1551">
            <v>2846147.9169999999</v>
          </cell>
          <cell r="AG1551">
            <v>2882662.1170000001</v>
          </cell>
          <cell r="AH1551">
            <v>2919524.3259999999</v>
          </cell>
          <cell r="AI1551">
            <v>2956825.6039999998</v>
          </cell>
          <cell r="AJ1551">
            <v>2994618.2769999998</v>
          </cell>
          <cell r="AK1551">
            <v>3032925.5419999999</v>
          </cell>
          <cell r="AL1551">
            <v>3071751.9730000002</v>
          </cell>
          <cell r="AM1551">
            <v>3111092.4410000001</v>
          </cell>
          <cell r="AN1551">
            <v>3150938.4109999998</v>
          </cell>
          <cell r="AO1551">
            <v>3191281.696</v>
          </cell>
          <cell r="AP1551">
            <v>3230808.4029999999</v>
          </cell>
          <cell r="AQ1551">
            <v>3270528.5950000002</v>
          </cell>
          <cell r="AR1551">
            <v>3310488.9219999998</v>
          </cell>
          <cell r="AS1551">
            <v>3350750.7850000001</v>
          </cell>
          <cell r="AT1551">
            <v>3391369.5359999998</v>
          </cell>
          <cell r="AU1551">
            <v>3432387.3769999999</v>
          </cell>
          <cell r="AV1551">
            <v>3473831.9709999999</v>
          </cell>
          <cell r="AW1551">
            <v>3515718.4929999998</v>
          </cell>
          <cell r="AX1551">
            <v>3558053.182</v>
          </cell>
          <cell r="AY1551">
            <v>3600837.0290000001</v>
          </cell>
          <cell r="AZ1551">
            <v>3644185.7740000002</v>
          </cell>
          <cell r="BA1551">
            <v>3688007.5720000002</v>
          </cell>
          <cell r="BB1551">
            <v>3732298.0809999998</v>
          </cell>
          <cell r="BC1551">
            <v>3777053.4569999999</v>
          </cell>
          <cell r="BD1551">
            <v>3822272.1290000002</v>
          </cell>
          <cell r="BE1551">
            <v>4443934.8679999998</v>
          </cell>
          <cell r="BF1551">
            <v>4518812.6409999998</v>
          </cell>
          <cell r="BG1551">
            <v>4594869.43</v>
          </cell>
          <cell r="BH1551">
            <v>4672125.4069999997</v>
          </cell>
          <cell r="BI1551">
            <v>4750601.8959999997</v>
          </cell>
        </row>
        <row r="1552">
          <cell r="F1552">
            <v>36148.602800000001</v>
          </cell>
          <cell r="G1552">
            <v>36286.772770000003</v>
          </cell>
          <cell r="H1552">
            <v>36420.026210000004</v>
          </cell>
          <cell r="I1552">
            <v>36550.850859999999</v>
          </cell>
          <cell r="J1552">
            <v>36686.152889999998</v>
          </cell>
          <cell r="K1552">
            <v>36826.52996</v>
          </cell>
          <cell r="L1552">
            <v>36939.173519999997</v>
          </cell>
          <cell r="M1552">
            <v>37043.26655</v>
          </cell>
          <cell r="N1552">
            <v>37141.959450000002</v>
          </cell>
          <cell r="O1552">
            <v>37237.16676</v>
          </cell>
          <cell r="P1552">
            <v>37380.985379999998</v>
          </cell>
          <cell r="Q1552">
            <v>37486.742400000003</v>
          </cell>
          <cell r="R1552">
            <v>37583.792479999996</v>
          </cell>
          <cell r="S1552">
            <v>37677.074869999997</v>
          </cell>
          <cell r="T1552">
            <v>37770.021000000001</v>
          </cell>
          <cell r="U1552">
            <v>37865.158889999999</v>
          </cell>
          <cell r="V1552">
            <v>37964.171249999999</v>
          </cell>
          <cell r="W1552">
            <v>38067.917159999997</v>
          </cell>
          <cell r="X1552">
            <v>38176.620799999997</v>
          </cell>
          <cell r="Y1552">
            <v>38290.020649999999</v>
          </cell>
          <cell r="Z1552">
            <v>38374.280019999998</v>
          </cell>
          <cell r="AA1552">
            <v>38486.378900000003</v>
          </cell>
          <cell r="AB1552">
            <v>38607.17697</v>
          </cell>
          <cell r="AC1552">
            <v>38733.411350000002</v>
          </cell>
          <cell r="AD1552">
            <v>38862.772409999998</v>
          </cell>
          <cell r="AE1552">
            <v>38902.812080000003</v>
          </cell>
          <cell r="AF1552">
            <v>38967.123630000002</v>
          </cell>
          <cell r="AG1552">
            <v>39036.241049999997</v>
          </cell>
          <cell r="AH1552">
            <v>39110.829769999997</v>
          </cell>
          <cell r="AI1552">
            <v>39190.926449999999</v>
          </cell>
          <cell r="AJ1552">
            <v>39275.716740000003</v>
          </cell>
          <cell r="AK1552">
            <v>39363.85368</v>
          </cell>
          <cell r="AL1552">
            <v>39453.844089999999</v>
          </cell>
          <cell r="AM1552">
            <v>39544.326699999998</v>
          </cell>
          <cell r="AN1552">
            <v>39634.248520000001</v>
          </cell>
          <cell r="AO1552">
            <v>39722.943720000003</v>
          </cell>
          <cell r="AP1552">
            <v>39790.800569999999</v>
          </cell>
          <cell r="AQ1552">
            <v>39852.064140000002</v>
          </cell>
          <cell r="AR1552">
            <v>39910.543680000002</v>
          </cell>
          <cell r="AS1552">
            <v>39968.764690000004</v>
          </cell>
          <cell r="AT1552">
            <v>40028.345690000002</v>
          </cell>
          <cell r="AU1552">
            <v>40090.142059999998</v>
          </cell>
          <cell r="AV1552">
            <v>40154.398829999998</v>
          </cell>
          <cell r="AW1552">
            <v>40220.926240000001</v>
          </cell>
          <cell r="AX1552">
            <v>40289.275079999999</v>
          </cell>
          <cell r="AY1552">
            <v>40358.890059999998</v>
          </cell>
          <cell r="AZ1552">
            <v>40430.782520000001</v>
          </cell>
          <cell r="BA1552">
            <v>40503.363279999998</v>
          </cell>
          <cell r="BB1552">
            <v>40576.032760000002</v>
          </cell>
          <cell r="BC1552">
            <v>40648.446320000003</v>
          </cell>
          <cell r="BD1552">
            <v>40720.464820000001</v>
          </cell>
          <cell r="BE1552">
            <v>73673.009269999995</v>
          </cell>
          <cell r="BF1552">
            <v>74830.096340000004</v>
          </cell>
          <cell r="BG1552">
            <v>76006.871119999996</v>
          </cell>
          <cell r="BH1552">
            <v>77203.811189999993</v>
          </cell>
          <cell r="BI1552">
            <v>78421.397010000001</v>
          </cell>
        </row>
        <row r="1555">
          <cell r="F1555">
            <v>332303.84350000002</v>
          </cell>
          <cell r="G1555">
            <v>336412.4926</v>
          </cell>
          <cell r="H1555">
            <v>340950.19530000002</v>
          </cell>
          <cell r="I1555">
            <v>345588.88170000003</v>
          </cell>
          <cell r="J1555">
            <v>350308.25319999998</v>
          </cell>
          <cell r="K1555">
            <v>355098.96600000001</v>
          </cell>
          <cell r="L1555">
            <v>359691.63829999999</v>
          </cell>
          <cell r="M1555">
            <v>364318.55989999999</v>
          </cell>
          <cell r="N1555">
            <v>368980.06069999997</v>
          </cell>
          <cell r="O1555">
            <v>373688.54129999998</v>
          </cell>
          <cell r="P1555">
            <v>378913.3553</v>
          </cell>
          <cell r="Q1555">
            <v>383804.61430000002</v>
          </cell>
          <cell r="R1555">
            <v>388779.00530000002</v>
          </cell>
          <cell r="S1555">
            <v>393825.81040000002</v>
          </cell>
          <cell r="T1555">
            <v>398952.91489999997</v>
          </cell>
          <cell r="U1555">
            <v>404170.74160000001</v>
          </cell>
          <cell r="V1555">
            <v>409488.36940000003</v>
          </cell>
          <cell r="W1555">
            <v>414912.54080000002</v>
          </cell>
          <cell r="X1555">
            <v>420447.53730000003</v>
          </cell>
          <cell r="Y1555">
            <v>426095.47019999998</v>
          </cell>
          <cell r="Z1555">
            <v>431530.54060000001</v>
          </cell>
          <cell r="AA1555">
            <v>437365.04749999999</v>
          </cell>
          <cell r="AB1555">
            <v>443308.49219999998</v>
          </cell>
          <cell r="AC1555">
            <v>449372.69349999999</v>
          </cell>
          <cell r="AD1555">
            <v>455554.4375</v>
          </cell>
          <cell r="AE1555">
            <v>460919.2684</v>
          </cell>
          <cell r="AF1555">
            <v>466761.56579999998</v>
          </cell>
          <cell r="AG1555">
            <v>472637.02480000001</v>
          </cell>
          <cell r="AH1555">
            <v>478577.39990000002</v>
          </cell>
          <cell r="AI1555">
            <v>484592.14649999997</v>
          </cell>
          <cell r="AJ1555">
            <v>490681.80209999997</v>
          </cell>
          <cell r="AK1555">
            <v>496841.99910000002</v>
          </cell>
          <cell r="AL1555">
            <v>503065.7292</v>
          </cell>
          <cell r="AM1555">
            <v>509345.10359999997</v>
          </cell>
          <cell r="AN1555">
            <v>515672.61379999999</v>
          </cell>
          <cell r="AO1555">
            <v>522041.88880000002</v>
          </cell>
          <cell r="AP1555">
            <v>528229.65159999998</v>
          </cell>
          <cell r="AQ1555">
            <v>534420.451</v>
          </cell>
          <cell r="AR1555">
            <v>540610.06680000003</v>
          </cell>
          <cell r="AS1555">
            <v>546805.06790000002</v>
          </cell>
          <cell r="AT1555">
            <v>553012.54410000006</v>
          </cell>
          <cell r="AU1555">
            <v>559237.67579999997</v>
          </cell>
          <cell r="AV1555">
            <v>565483.32420000003</v>
          </cell>
          <cell r="AW1555">
            <v>571750.36120000004</v>
          </cell>
          <cell r="AX1555">
            <v>578038.30909999995</v>
          </cell>
          <cell r="AY1555">
            <v>584346.03460000001</v>
          </cell>
          <cell r="AZ1555">
            <v>590691.57960000006</v>
          </cell>
          <cell r="BA1555">
            <v>597057.56949999998</v>
          </cell>
          <cell r="BB1555">
            <v>603443.98439999996</v>
          </cell>
          <cell r="BC1555">
            <v>609850.60349999997</v>
          </cell>
          <cell r="BD1555">
            <v>616277.86820000003</v>
          </cell>
          <cell r="BE1555">
            <v>781663.80500000005</v>
          </cell>
          <cell r="BF1555">
            <v>795467.88820000004</v>
          </cell>
          <cell r="BG1555">
            <v>809456.06830000004</v>
          </cell>
          <cell r="BH1555">
            <v>823628.62589999998</v>
          </cell>
          <cell r="BI1555">
            <v>837986.17110000004</v>
          </cell>
        </row>
        <row r="1567">
          <cell r="F1567">
            <v>48577.403939999997</v>
          </cell>
          <cell r="G1567">
            <v>49144.300900000002</v>
          </cell>
          <cell r="H1567">
            <v>49769.350209999997</v>
          </cell>
          <cell r="I1567">
            <v>50423.168539999999</v>
          </cell>
          <cell r="J1567">
            <v>51104.322800000002</v>
          </cell>
          <cell r="K1567">
            <v>51809.348969999999</v>
          </cell>
          <cell r="L1567">
            <v>52496.351790000001</v>
          </cell>
          <cell r="M1567">
            <v>53195.057359999999</v>
          </cell>
          <cell r="N1567">
            <v>53902.007460000001</v>
          </cell>
          <cell r="O1567">
            <v>54615.649230000003</v>
          </cell>
          <cell r="P1567">
            <v>55401.15928</v>
          </cell>
          <cell r="Q1567">
            <v>56133.23818</v>
          </cell>
          <cell r="R1567">
            <v>56869.998140000003</v>
          </cell>
          <cell r="S1567">
            <v>57608.421560000003</v>
          </cell>
          <cell r="T1567">
            <v>58348.422299999998</v>
          </cell>
          <cell r="U1567">
            <v>59090.730949999997</v>
          </cell>
          <cell r="V1567">
            <v>59836.381939999999</v>
          </cell>
          <cell r="W1567">
            <v>60586.519809999998</v>
          </cell>
          <cell r="X1567">
            <v>61342.307659999999</v>
          </cell>
          <cell r="Y1567">
            <v>62104.882749999997</v>
          </cell>
          <cell r="Z1567">
            <v>62827.342420000001</v>
          </cell>
          <cell r="AA1567">
            <v>63600.672480000001</v>
          </cell>
          <cell r="AB1567">
            <v>64383.666850000001</v>
          </cell>
          <cell r="AC1567">
            <v>65179.18838</v>
          </cell>
          <cell r="AD1567">
            <v>65988.031130000003</v>
          </cell>
          <cell r="AE1567">
            <v>66673.388479999994</v>
          </cell>
          <cell r="AF1567">
            <v>67426.960789999997</v>
          </cell>
          <cell r="AG1567">
            <v>68184.652000000002</v>
          </cell>
          <cell r="AH1567">
            <v>68951.845319999993</v>
          </cell>
          <cell r="AI1567">
            <v>69731.006829999998</v>
          </cell>
          <cell r="AJ1567">
            <v>70523.422070000001</v>
          </cell>
          <cell r="AK1567">
            <v>71329.647490000003</v>
          </cell>
          <cell r="AL1567">
            <v>72149.768200000006</v>
          </cell>
          <cell r="AM1567">
            <v>72983.590849999993</v>
          </cell>
          <cell r="AN1567">
            <v>73830.780870000002</v>
          </cell>
          <cell r="AO1567">
            <v>74690.951289999997</v>
          </cell>
          <cell r="AP1567">
            <v>75531.179889999999</v>
          </cell>
          <cell r="AQ1567">
            <v>76379.054409999997</v>
          </cell>
          <cell r="AR1567">
            <v>77234.070630000002</v>
          </cell>
          <cell r="AS1567">
            <v>78097.133329999997</v>
          </cell>
          <cell r="AT1567">
            <v>78969.234989999997</v>
          </cell>
          <cell r="AU1567">
            <v>79851.153200000001</v>
          </cell>
          <cell r="AV1567">
            <v>80743.393320000003</v>
          </cell>
          <cell r="AW1567">
            <v>81646.219700000001</v>
          </cell>
          <cell r="AX1567">
            <v>82559.719620000003</v>
          </cell>
          <cell r="AY1567">
            <v>83483.870389999996</v>
          </cell>
          <cell r="AZ1567">
            <v>84421.495200000005</v>
          </cell>
          <cell r="BA1567">
            <v>85370.015880000006</v>
          </cell>
          <cell r="BB1567">
            <v>86329.368929999997</v>
          </cell>
          <cell r="BC1567">
            <v>87299.389120000007</v>
          </cell>
          <cell r="BD1567">
            <v>88279.930890000003</v>
          </cell>
          <cell r="BE1567">
            <v>104551.2357</v>
          </cell>
          <cell r="BF1567">
            <v>106267.7761</v>
          </cell>
          <cell r="BG1567">
            <v>108015.0258</v>
          </cell>
          <cell r="BH1567">
            <v>109793.6344</v>
          </cell>
          <cell r="BI1567">
            <v>111604.26330000001</v>
          </cell>
        </row>
        <row r="1572">
          <cell r="F1572">
            <v>1514087.1470000001</v>
          </cell>
          <cell r="G1572">
            <v>1533401.8049999999</v>
          </cell>
          <cell r="H1572">
            <v>1554896.1610000001</v>
          </cell>
          <cell r="I1572">
            <v>1577675.594</v>
          </cell>
          <cell r="J1572">
            <v>1601624.811</v>
          </cell>
          <cell r="K1572">
            <v>1626625.5619999999</v>
          </cell>
          <cell r="L1572">
            <v>1651423.5789999999</v>
          </cell>
          <cell r="M1572">
            <v>1676796.5789999999</v>
          </cell>
          <cell r="N1572">
            <v>1702699.48</v>
          </cell>
          <cell r="O1572">
            <v>1729098.0379999999</v>
          </cell>
          <cell r="P1572">
            <v>1757953.7479999999</v>
          </cell>
          <cell r="Q1572">
            <v>1785695.3389999999</v>
          </cell>
          <cell r="R1572">
            <v>1813749.014</v>
          </cell>
          <cell r="S1572">
            <v>1842076.669</v>
          </cell>
          <cell r="T1572">
            <v>1870663.6340000001</v>
          </cell>
          <cell r="U1572">
            <v>1899507.662</v>
          </cell>
          <cell r="V1572">
            <v>1928613.8840000001</v>
          </cell>
          <cell r="W1572">
            <v>1957990.899</v>
          </cell>
          <cell r="X1572">
            <v>1987648.9469999999</v>
          </cell>
          <cell r="Y1572">
            <v>2017599.5330000001</v>
          </cell>
          <cell r="Z1572">
            <v>2046384.594</v>
          </cell>
          <cell r="AA1572">
            <v>2076621.84</v>
          </cell>
          <cell r="AB1572">
            <v>2107262.6779999998</v>
          </cell>
          <cell r="AC1572">
            <v>2138331.0929999999</v>
          </cell>
          <cell r="AD1572">
            <v>2169836.554</v>
          </cell>
          <cell r="AE1572">
            <v>2197545.7000000002</v>
          </cell>
          <cell r="AF1572">
            <v>2226940.8059999999</v>
          </cell>
          <cell r="AG1572">
            <v>2256486.3199999998</v>
          </cell>
          <cell r="AH1572">
            <v>2286292.4360000002</v>
          </cell>
          <cell r="AI1572">
            <v>2316437.477</v>
          </cell>
          <cell r="AJ1572">
            <v>2346972.071</v>
          </cell>
          <cell r="AK1572">
            <v>2377924.1120000002</v>
          </cell>
          <cell r="AL1572">
            <v>2409306.4300000002</v>
          </cell>
          <cell r="AM1572">
            <v>2441123.4739999999</v>
          </cell>
          <cell r="AN1572">
            <v>2473375.9909999999</v>
          </cell>
          <cell r="AO1572">
            <v>2506063.7930000001</v>
          </cell>
          <cell r="AP1572">
            <v>2538167.9950000001</v>
          </cell>
          <cell r="AQ1572">
            <v>2570459.5249999999</v>
          </cell>
          <cell r="AR1572">
            <v>2602985.0359999998</v>
          </cell>
          <cell r="AS1572">
            <v>2635795.56</v>
          </cell>
          <cell r="AT1572">
            <v>2668936.548</v>
          </cell>
          <cell r="AU1572">
            <v>2702443.2390000001</v>
          </cell>
          <cell r="AV1572">
            <v>2736339.5520000001</v>
          </cell>
          <cell r="AW1572">
            <v>2770639.61</v>
          </cell>
          <cell r="AX1572">
            <v>2805350.4339999999</v>
          </cell>
          <cell r="AY1572">
            <v>2840474.7340000002</v>
          </cell>
          <cell r="AZ1572">
            <v>2876104.8309999998</v>
          </cell>
          <cell r="BA1572">
            <v>2912171.7289999998</v>
          </cell>
          <cell r="BB1572">
            <v>2948672.0630000001</v>
          </cell>
          <cell r="BC1572">
            <v>2985602.9950000001</v>
          </cell>
          <cell r="BD1572">
            <v>3022963.0660000001</v>
          </cell>
          <cell r="BE1572">
            <v>3421146.1329999999</v>
          </cell>
          <cell r="BF1572">
            <v>3478549.7910000002</v>
          </cell>
          <cell r="BG1572">
            <v>3536883.7719999999</v>
          </cell>
          <cell r="BH1572">
            <v>3596166.577</v>
          </cell>
          <cell r="BI1572">
            <v>3656417.5589999999</v>
          </cell>
        </row>
        <row r="1575">
          <cell r="F1575">
            <v>-2029.2659120000001</v>
          </cell>
          <cell r="G1575">
            <v>-2061.3799519999998</v>
          </cell>
          <cell r="H1575">
            <v>-2071.799156</v>
          </cell>
          <cell r="I1575">
            <v>-2078.5759979999998</v>
          </cell>
          <cell r="J1575">
            <v>-2088.8553449999999</v>
          </cell>
          <cell r="K1575">
            <v>-2104.4205470000002</v>
          </cell>
          <cell r="L1575">
            <v>-2125.6158679999999</v>
          </cell>
          <cell r="M1575">
            <v>-2148.3892110000002</v>
          </cell>
          <cell r="N1575">
            <v>-2173.0899669999999</v>
          </cell>
          <cell r="O1575">
            <v>-2199.2796250000001</v>
          </cell>
          <cell r="P1575">
            <v>-2224.9711139999999</v>
          </cell>
          <cell r="Q1575">
            <v>-2256.4502400000001</v>
          </cell>
          <cell r="R1575">
            <v>-2285.8755719999999</v>
          </cell>
          <cell r="S1575">
            <v>-2314.9441649999999</v>
          </cell>
          <cell r="T1575">
            <v>-2344.0270190000001</v>
          </cell>
          <cell r="U1575">
            <v>-2373.182217</v>
          </cell>
          <cell r="V1575">
            <v>-2402.4105340000001</v>
          </cell>
          <cell r="W1575">
            <v>-2431.714571</v>
          </cell>
          <cell r="X1575">
            <v>-2461.1087480000001</v>
          </cell>
          <cell r="Y1575">
            <v>-2490.617929</v>
          </cell>
          <cell r="Z1575">
            <v>-2521.3732380000001</v>
          </cell>
          <cell r="AA1575">
            <v>-2548.590338</v>
          </cell>
          <cell r="AB1575">
            <v>-2577.8760929999999</v>
          </cell>
          <cell r="AC1575">
            <v>-2607.8992119999998</v>
          </cell>
          <cell r="AD1575">
            <v>-2638.3596870000001</v>
          </cell>
          <cell r="AE1575">
            <v>-2672.3420449999999</v>
          </cell>
          <cell r="AF1575">
            <v>-2697.5593549999999</v>
          </cell>
          <cell r="AG1575">
            <v>-2724.9624170000002</v>
          </cell>
          <cell r="AH1575">
            <v>-2753.0932990000001</v>
          </cell>
          <cell r="AI1575">
            <v>-2781.6387009999999</v>
          </cell>
          <cell r="AJ1575">
            <v>-2810.565599</v>
          </cell>
          <cell r="AK1575">
            <v>-2839.9004810000001</v>
          </cell>
          <cell r="AL1575">
            <v>-2869.673444</v>
          </cell>
          <cell r="AM1575">
            <v>-2899.9052109999998</v>
          </cell>
          <cell r="AN1575">
            <v>-2930.6060130000001</v>
          </cell>
          <cell r="AO1575">
            <v>-2961.7777529999998</v>
          </cell>
          <cell r="AP1575">
            <v>-2994.1562789999998</v>
          </cell>
          <cell r="AQ1575">
            <v>-3025.2071489999998</v>
          </cell>
          <cell r="AR1575">
            <v>-3056.1839209999998</v>
          </cell>
          <cell r="AS1575">
            <v>-3087.3950890000001</v>
          </cell>
          <cell r="AT1575">
            <v>-3118.9245580000002</v>
          </cell>
          <cell r="AU1575">
            <v>-3150.8049759999999</v>
          </cell>
          <cell r="AV1575">
            <v>-3183.0572729999999</v>
          </cell>
          <cell r="AW1575">
            <v>-3215.698378</v>
          </cell>
          <cell r="AX1575">
            <v>-3248.7421009999998</v>
          </cell>
          <cell r="AY1575">
            <v>-3282.1991870000002</v>
          </cell>
          <cell r="AZ1575">
            <v>-3316.0122179999998</v>
          </cell>
          <cell r="BA1575">
            <v>-3350.412977</v>
          </cell>
          <cell r="BB1575">
            <v>-3385.2926950000001</v>
          </cell>
          <cell r="BC1575">
            <v>-3420.6282230000002</v>
          </cell>
          <cell r="BD1575">
            <v>-3456.4170049999998</v>
          </cell>
          <cell r="BE1575">
            <v>-3861.2418819999998</v>
          </cell>
          <cell r="BF1575">
            <v>-3916.1006659999998</v>
          </cell>
          <cell r="BG1575">
            <v>-3971.8087999999998</v>
          </cell>
          <cell r="BH1575">
            <v>-4028.391533</v>
          </cell>
          <cell r="BI1575">
            <v>-4085.8743770000001</v>
          </cell>
        </row>
        <row r="1577">
          <cell r="F1577">
            <v>-613.15918850000003</v>
          </cell>
          <cell r="G1577">
            <v>-619.22060699999997</v>
          </cell>
          <cell r="H1577">
            <v>-622.06356300000004</v>
          </cell>
          <cell r="I1577">
            <v>-624.80288140000005</v>
          </cell>
          <cell r="J1577">
            <v>-628.66675029999999</v>
          </cell>
          <cell r="K1577">
            <v>-633.8609414</v>
          </cell>
          <cell r="L1577">
            <v>-640.07146420000004</v>
          </cell>
          <cell r="M1577">
            <v>-646.89674979999995</v>
          </cell>
          <cell r="N1577">
            <v>-654.25399449999998</v>
          </cell>
          <cell r="O1577">
            <v>-662.00423560000002</v>
          </cell>
          <cell r="P1577">
            <v>-670.25325069999997</v>
          </cell>
          <cell r="Q1577">
            <v>-678.93319480000002</v>
          </cell>
          <cell r="R1577">
            <v>-687.48425680000003</v>
          </cell>
          <cell r="S1577">
            <v>-696.06846459999997</v>
          </cell>
          <cell r="T1577">
            <v>-704.70211540000003</v>
          </cell>
          <cell r="U1577">
            <v>-713.37720569999999</v>
          </cell>
          <cell r="V1577">
            <v>-722.08545619999995</v>
          </cell>
          <cell r="W1577">
            <v>-730.82275919999995</v>
          </cell>
          <cell r="X1577">
            <v>-739.58922489999998</v>
          </cell>
          <cell r="Y1577">
            <v>-748.38833929999998</v>
          </cell>
          <cell r="Z1577">
            <v>-757.0648463</v>
          </cell>
          <cell r="AA1577">
            <v>-765.61922089999996</v>
          </cell>
          <cell r="AB1577">
            <v>-774.43054970000003</v>
          </cell>
          <cell r="AC1577">
            <v>-783.35937469999999</v>
          </cell>
          <cell r="AD1577">
            <v>-792.38396239999997</v>
          </cell>
          <cell r="AE1577">
            <v>-801.0431638</v>
          </cell>
          <cell r="AF1577">
            <v>-809.10540979999996</v>
          </cell>
          <cell r="AG1577">
            <v>-817.40876660000004</v>
          </cell>
          <cell r="AH1577">
            <v>-825.79885400000001</v>
          </cell>
          <cell r="AI1577">
            <v>-834.26031739999996</v>
          </cell>
          <cell r="AJ1577">
            <v>-842.80394960000001</v>
          </cell>
          <cell r="AK1577">
            <v>-851.44379579999998</v>
          </cell>
          <cell r="AL1577">
            <v>-860.19179880000002</v>
          </cell>
          <cell r="AM1577">
            <v>-869.05679680000003</v>
          </cell>
          <cell r="AN1577">
            <v>-878.04477529999997</v>
          </cell>
          <cell r="AO1577">
            <v>-887.15945399999998</v>
          </cell>
          <cell r="AP1577">
            <v>-896.29227719999994</v>
          </cell>
          <cell r="AQ1577">
            <v>-905.32873519999998</v>
          </cell>
          <cell r="AR1577">
            <v>-914.40681500000005</v>
          </cell>
          <cell r="AS1577">
            <v>-923.5610418</v>
          </cell>
          <cell r="AT1577">
            <v>-932.80467610000005</v>
          </cell>
          <cell r="AU1577">
            <v>-942.14616890000002</v>
          </cell>
          <cell r="AV1577">
            <v>-951.59248869999999</v>
          </cell>
          <cell r="AW1577">
            <v>-961.14963390000003</v>
          </cell>
          <cell r="AX1577">
            <v>-970.82265930000005</v>
          </cell>
          <cell r="AY1577">
            <v>-980.61573469999996</v>
          </cell>
          <cell r="AZ1577">
            <v>-990.54220329999998</v>
          </cell>
          <cell r="BA1577">
            <v>-1000.615239</v>
          </cell>
          <cell r="BB1577">
            <v>-1010.824986</v>
          </cell>
          <cell r="BC1577">
            <v>-1021.170831</v>
          </cell>
          <cell r="BD1577">
            <v>-1031.6540769999999</v>
          </cell>
          <cell r="BE1577">
            <v>-1144.325685</v>
          </cell>
          <cell r="BF1577">
            <v>-1160.095908</v>
          </cell>
          <cell r="BG1577">
            <v>-1176.1073469999999</v>
          </cell>
          <cell r="BH1577">
            <v>-1192.3669970000001</v>
          </cell>
          <cell r="BI1577">
            <v>-1208.8823600000001</v>
          </cell>
        </row>
        <row r="1579">
          <cell r="F1579">
            <v>495.68027330000001</v>
          </cell>
        </row>
        <row r="1580">
          <cell r="F1580">
            <v>40626.97135</v>
          </cell>
          <cell r="G1580">
            <v>40929.319869999999</v>
          </cell>
          <cell r="H1580">
            <v>41195.109929999999</v>
          </cell>
          <cell r="I1580">
            <v>41470.233379999998</v>
          </cell>
          <cell r="J1580">
            <v>41770.496809999997</v>
          </cell>
          <cell r="K1580">
            <v>42096.913560000001</v>
          </cell>
          <cell r="L1580">
            <v>42422.167509999999</v>
          </cell>
          <cell r="M1580">
            <v>42753.578730000001</v>
          </cell>
          <cell r="N1580">
            <v>43089.027770000001</v>
          </cell>
          <cell r="O1580">
            <v>43425.284619999999</v>
          </cell>
          <cell r="P1580">
            <v>43798.452530000002</v>
          </cell>
          <cell r="Q1580">
            <v>44143.786209999998</v>
          </cell>
          <cell r="R1580">
            <v>44477.379829999998</v>
          </cell>
          <cell r="S1580">
            <v>44802.487229999999</v>
          </cell>
          <cell r="T1580">
            <v>45120.548210000001</v>
          </cell>
          <cell r="U1580">
            <v>45432.787729999996</v>
          </cell>
          <cell r="V1580">
            <v>45740.631410000002</v>
          </cell>
          <cell r="W1580">
            <v>46045.739750000001</v>
          </cell>
          <cell r="X1580">
            <v>46349.921560000003</v>
          </cell>
          <cell r="Y1580">
            <v>46655.019209999999</v>
          </cell>
          <cell r="Z1580">
            <v>46935.341639999999</v>
          </cell>
          <cell r="AA1580">
            <v>47237.045859999998</v>
          </cell>
          <cell r="AB1580">
            <v>47549.208489999997</v>
          </cell>
          <cell r="AC1580">
            <v>47870.543619999997</v>
          </cell>
          <cell r="AD1580">
            <v>48201.200689999998</v>
          </cell>
          <cell r="AE1580">
            <v>48464.325230000002</v>
          </cell>
          <cell r="AF1580">
            <v>48749.020049999999</v>
          </cell>
          <cell r="AG1580">
            <v>49042.841869999997</v>
          </cell>
          <cell r="AH1580">
            <v>49344.908940000001</v>
          </cell>
          <cell r="AI1580">
            <v>49655.685599999997</v>
          </cell>
          <cell r="AJ1580">
            <v>49975.83135</v>
          </cell>
          <cell r="AK1580">
            <v>50305.83079</v>
          </cell>
          <cell r="AL1580">
            <v>50645.875290000004</v>
          </cell>
          <cell r="AM1580">
            <v>50995.851369999997</v>
          </cell>
          <cell r="AN1580">
            <v>51355.382830000002</v>
          </cell>
          <cell r="AO1580">
            <v>51723.897400000002</v>
          </cell>
          <cell r="AP1580">
            <v>52082.932339999999</v>
          </cell>
          <cell r="AQ1580">
            <v>52442.70779</v>
          </cell>
          <cell r="AR1580">
            <v>52805.388339999998</v>
          </cell>
          <cell r="AS1580">
            <v>53171.655100000004</v>
          </cell>
          <cell r="AT1580">
            <v>53541.788</v>
          </cell>
          <cell r="AU1580">
            <v>53915.971109999999</v>
          </cell>
          <cell r="AV1580">
            <v>54294.359640000002</v>
          </cell>
          <cell r="AW1580">
            <v>54677.074990000001</v>
          </cell>
          <cell r="AX1580">
            <v>55064.186300000001</v>
          </cell>
          <cell r="AY1580">
            <v>55455.698810000002</v>
          </cell>
          <cell r="AZ1580">
            <v>55853.097170000001</v>
          </cell>
          <cell r="BA1580">
            <v>56255.307359999999</v>
          </cell>
          <cell r="BB1580">
            <v>56661.924740000002</v>
          </cell>
          <cell r="BC1580">
            <v>57072.650600000001</v>
          </cell>
          <cell r="BD1580">
            <v>57487.216180000003</v>
          </cell>
          <cell r="BE1580">
            <v>66761.92697</v>
          </cell>
          <cell r="BF1580">
            <v>67613.189150000006</v>
          </cell>
          <cell r="BG1580">
            <v>68479.501260000005</v>
          </cell>
          <cell r="BH1580">
            <v>69361.150169999994</v>
          </cell>
          <cell r="BI1580">
            <v>70258.379430000001</v>
          </cell>
        </row>
        <row r="1600">
          <cell r="F1600">
            <v>468592.45610000001</v>
          </cell>
          <cell r="G1600">
            <v>472040.03730000003</v>
          </cell>
          <cell r="H1600">
            <v>477125.61290000001</v>
          </cell>
          <cell r="I1600">
            <v>482991.2243</v>
          </cell>
          <cell r="J1600">
            <v>489124.39559999999</v>
          </cell>
          <cell r="K1600">
            <v>495246.02970000001</v>
          </cell>
          <cell r="L1600">
            <v>501026.67099999997</v>
          </cell>
          <cell r="M1600">
            <v>506541.44219999999</v>
          </cell>
          <cell r="N1600">
            <v>511894.58610000001</v>
          </cell>
          <cell r="O1600">
            <v>517207.62479999999</v>
          </cell>
          <cell r="P1600">
            <v>522953.2268</v>
          </cell>
          <cell r="Q1600">
            <v>528721.35129999998</v>
          </cell>
          <cell r="R1600">
            <v>534661.52579999994</v>
          </cell>
          <cell r="S1600">
            <v>540851.26729999995</v>
          </cell>
          <cell r="T1600">
            <v>547331.83750000002</v>
          </cell>
          <cell r="U1600">
            <v>554119.91749999998</v>
          </cell>
          <cell r="V1600">
            <v>561186.16359999997</v>
          </cell>
          <cell r="W1600">
            <v>568531.34779999999</v>
          </cell>
          <cell r="X1600">
            <v>576143.92050000001</v>
          </cell>
          <cell r="Y1600">
            <v>584007.5736</v>
          </cell>
          <cell r="Z1600">
            <v>591852.3358</v>
          </cell>
          <cell r="AA1600">
            <v>600002.19649999996</v>
          </cell>
          <cell r="AB1600">
            <v>608401.8872</v>
          </cell>
          <cell r="AC1600">
            <v>617025.05570000003</v>
          </cell>
          <cell r="AD1600">
            <v>625853.75890000002</v>
          </cell>
          <cell r="AE1600">
            <v>634151.84990000003</v>
          </cell>
          <cell r="AF1600">
            <v>642545.79440000001</v>
          </cell>
          <cell r="AG1600">
            <v>651018.17000000004</v>
          </cell>
          <cell r="AH1600">
            <v>659576.98060000001</v>
          </cell>
          <cell r="AI1600">
            <v>668230.50930000003</v>
          </cell>
          <cell r="AJ1600">
            <v>676982.60789999994</v>
          </cell>
          <cell r="AK1600">
            <v>685838.6973</v>
          </cell>
          <cell r="AL1600">
            <v>694790.50600000005</v>
          </cell>
          <cell r="AM1600">
            <v>703828.89890000003</v>
          </cell>
          <cell r="AN1600">
            <v>712944.87800000003</v>
          </cell>
          <cell r="AO1600">
            <v>722130.74190000002</v>
          </cell>
          <cell r="AP1600">
            <v>731273.79229999997</v>
          </cell>
          <cell r="AQ1600">
            <v>740405.48860000004</v>
          </cell>
          <cell r="AR1600">
            <v>749543.32400000002</v>
          </cell>
          <cell r="AS1600">
            <v>758699.21429999999</v>
          </cell>
          <cell r="AT1600">
            <v>767881.72629999998</v>
          </cell>
          <cell r="AU1600">
            <v>777107.22499999998</v>
          </cell>
          <cell r="AV1600">
            <v>786375.65529999998</v>
          </cell>
          <cell r="AW1600">
            <v>795686.19709999999</v>
          </cell>
          <cell r="AX1600">
            <v>805036.66350000002</v>
          </cell>
          <cell r="AY1600">
            <v>814424.21030000004</v>
          </cell>
          <cell r="AZ1600">
            <v>823898.02229999995</v>
          </cell>
          <cell r="BA1600">
            <v>833440.95360000001</v>
          </cell>
          <cell r="BB1600">
            <v>835325.42290000001</v>
          </cell>
          <cell r="BC1600">
            <v>835595.34510000004</v>
          </cell>
          <cell r="BD1600">
            <v>835220.90170000005</v>
          </cell>
          <cell r="BE1600">
            <v>1177882.68</v>
          </cell>
          <cell r="BF1600">
            <v>1199509.7779999999</v>
          </cell>
          <cell r="BG1600">
            <v>1221370.1200000001</v>
          </cell>
          <cell r="BH1600">
            <v>1243459.7209999999</v>
          </cell>
          <cell r="BI1600">
            <v>1265775.415</v>
          </cell>
        </row>
        <row r="1601">
          <cell r="F1601">
            <v>4397.5037810000003</v>
          </cell>
          <cell r="G1601">
            <v>4426.1354039999997</v>
          </cell>
          <cell r="H1601">
            <v>4470.0862930000003</v>
          </cell>
          <cell r="I1601">
            <v>4518.8271139999997</v>
          </cell>
          <cell r="J1601">
            <v>4564.5413520000002</v>
          </cell>
          <cell r="K1601">
            <v>4601.9180969999998</v>
          </cell>
          <cell r="L1601">
            <v>4625.3900119999998</v>
          </cell>
          <cell r="M1601">
            <v>4634.9942010000004</v>
          </cell>
          <cell r="N1601">
            <v>4632.369686</v>
          </cell>
          <cell r="O1601">
            <v>4620.1241040000004</v>
          </cell>
          <cell r="P1601">
            <v>4605.3905080000004</v>
          </cell>
          <cell r="Q1601">
            <v>4585.2459230000004</v>
          </cell>
          <cell r="R1601">
            <v>4562.4197969999996</v>
          </cell>
          <cell r="S1601">
            <v>4539.2374449999998</v>
          </cell>
          <cell r="T1601">
            <v>4517.5320949999996</v>
          </cell>
          <cell r="U1601">
            <v>4498.5269859999999</v>
          </cell>
          <cell r="V1601">
            <v>4482.6611569999995</v>
          </cell>
          <cell r="W1601">
            <v>4470.2465400000001</v>
          </cell>
          <cell r="X1601">
            <v>4461.161889</v>
          </cell>
          <cell r="Y1601">
            <v>4455.0503799999997</v>
          </cell>
          <cell r="Z1601">
            <v>4448.8807909999996</v>
          </cell>
          <cell r="AA1601">
            <v>4445.4592549999998</v>
          </cell>
          <cell r="AB1601">
            <v>4444.2895930000004</v>
          </cell>
          <cell r="AC1601">
            <v>4444.7419280000004</v>
          </cell>
          <cell r="AD1601">
            <v>4446.1877690000001</v>
          </cell>
          <cell r="AE1601">
            <v>4441.3041830000002</v>
          </cell>
          <cell r="AF1601">
            <v>4435.4840990000002</v>
          </cell>
          <cell r="AG1601">
            <v>4429.5402020000001</v>
          </cell>
          <cell r="AH1601">
            <v>4423.9596199999996</v>
          </cell>
          <cell r="AI1601">
            <v>4418.9260569999997</v>
          </cell>
          <cell r="AJ1601">
            <v>4414.458611</v>
          </cell>
          <cell r="AK1601">
            <v>4410.5250480000004</v>
          </cell>
          <cell r="AL1601">
            <v>4406.9973460000001</v>
          </cell>
          <cell r="AM1601">
            <v>4403.7614389999999</v>
          </cell>
          <cell r="AN1601">
            <v>4400.7269409999999</v>
          </cell>
          <cell r="AO1601">
            <v>4397.840518</v>
          </cell>
          <cell r="AP1601">
            <v>4394.0425809999997</v>
          </cell>
          <cell r="AQ1601">
            <v>4389.6588220000003</v>
          </cell>
          <cell r="AR1601">
            <v>4385.1835380000002</v>
          </cell>
          <cell r="AS1601">
            <v>4381.0085209999997</v>
          </cell>
          <cell r="AT1601">
            <v>4377.3794170000001</v>
          </cell>
          <cell r="AU1601">
            <v>4374.4636170000003</v>
          </cell>
          <cell r="AV1601">
            <v>4372.263978</v>
          </cell>
          <cell r="AW1601">
            <v>4370.7295100000001</v>
          </cell>
          <cell r="AX1601">
            <v>4369.7639669999999</v>
          </cell>
          <cell r="AY1601">
            <v>4369.2526159999998</v>
          </cell>
          <cell r="AZ1601">
            <v>4369.3557350000001</v>
          </cell>
          <cell r="BA1601">
            <v>4369.9148889999997</v>
          </cell>
          <cell r="BB1601">
            <v>4367.3368339999997</v>
          </cell>
          <cell r="BC1601">
            <v>4359.8669280000004</v>
          </cell>
          <cell r="BD1601">
            <v>4359.1043970000001</v>
          </cell>
          <cell r="BE1601">
            <v>10315.183279999999</v>
          </cell>
          <cell r="BF1601">
            <v>10501.124680000001</v>
          </cell>
          <cell r="BG1601">
            <v>10690.10708</v>
          </cell>
          <cell r="BH1601">
            <v>10882.175730000001</v>
          </cell>
          <cell r="BI1601">
            <v>11077.383040000001</v>
          </cell>
        </row>
        <row r="1604">
          <cell r="F1604">
            <v>232516.64799999999</v>
          </cell>
          <cell r="G1604">
            <v>234265.64379999999</v>
          </cell>
          <cell r="H1604">
            <v>236925.6335</v>
          </cell>
          <cell r="I1604">
            <v>239998.56940000001</v>
          </cell>
          <cell r="J1604">
            <v>243183.59280000001</v>
          </cell>
          <cell r="K1604">
            <v>246310.96859999999</v>
          </cell>
          <cell r="L1604">
            <v>249209.63269999999</v>
          </cell>
          <cell r="M1604">
            <v>251899.2218</v>
          </cell>
          <cell r="N1604">
            <v>254430.06270000001</v>
          </cell>
          <cell r="O1604">
            <v>256869.0435</v>
          </cell>
          <cell r="P1604">
            <v>259442.54019999999</v>
          </cell>
          <cell r="Q1604">
            <v>261995.87349999999</v>
          </cell>
          <cell r="R1604">
            <v>264605.28289999999</v>
          </cell>
          <cell r="S1604">
            <v>267320.92830000003</v>
          </cell>
          <cell r="T1604">
            <v>270175.7524</v>
          </cell>
          <cell r="U1604">
            <v>273189.44699999999</v>
          </cell>
          <cell r="V1604">
            <v>276356.10950000002</v>
          </cell>
          <cell r="W1604">
            <v>279684.23540000001</v>
          </cell>
          <cell r="X1604">
            <v>283174.25089999998</v>
          </cell>
          <cell r="Y1604">
            <v>286822.40779999999</v>
          </cell>
          <cell r="Z1604">
            <v>290512.98320000002</v>
          </cell>
          <cell r="AA1604">
            <v>294380.53080000001</v>
          </cell>
          <cell r="AB1604">
            <v>298407.0036</v>
          </cell>
          <cell r="AC1604">
            <v>302580.94520000002</v>
          </cell>
          <cell r="AD1604">
            <v>306893.11040000001</v>
          </cell>
          <cell r="AE1604">
            <v>311022.70510000002</v>
          </cell>
          <cell r="AF1604">
            <v>315218.3922</v>
          </cell>
          <cell r="AG1604">
            <v>319478.1078</v>
          </cell>
          <cell r="AH1604">
            <v>323804.11249999999</v>
          </cell>
          <cell r="AI1604">
            <v>328197.42989999999</v>
          </cell>
          <cell r="AJ1604">
            <v>332656.57650000002</v>
          </cell>
          <cell r="AK1604">
            <v>337181.02850000001</v>
          </cell>
          <cell r="AL1604">
            <v>341763.29259999999</v>
          </cell>
          <cell r="AM1604">
            <v>346395.41930000001</v>
          </cell>
          <cell r="AN1604">
            <v>351069.56510000001</v>
          </cell>
          <cell r="AO1604">
            <v>355778.62829999998</v>
          </cell>
          <cell r="AP1604">
            <v>360476.41</v>
          </cell>
          <cell r="AQ1604">
            <v>365166.83750000002</v>
          </cell>
          <cell r="AR1604">
            <v>369853.48220000003</v>
          </cell>
          <cell r="AS1604">
            <v>374539.08</v>
          </cell>
          <cell r="AT1604">
            <v>379225.38030000002</v>
          </cell>
          <cell r="AU1604">
            <v>383918.61570000002</v>
          </cell>
          <cell r="AV1604">
            <v>388616.99609999999</v>
          </cell>
          <cell r="AW1604">
            <v>393318.5379</v>
          </cell>
          <cell r="AX1604">
            <v>398020.75670000003</v>
          </cell>
          <cell r="AY1604">
            <v>402720.9559</v>
          </cell>
          <cell r="AZ1604">
            <v>407442.1789</v>
          </cell>
          <cell r="BA1604">
            <v>412176.12949999998</v>
          </cell>
          <cell r="BB1604">
            <v>413583.78129999997</v>
          </cell>
          <cell r="BC1604">
            <v>413702.87880000001</v>
          </cell>
          <cell r="BD1604">
            <v>413275.75280000002</v>
          </cell>
          <cell r="BE1604">
            <v>617742.98450000002</v>
          </cell>
          <cell r="BF1604">
            <v>629611.85600000003</v>
          </cell>
          <cell r="BG1604">
            <v>641570.32310000004</v>
          </cell>
          <cell r="BH1604">
            <v>653612.58900000004</v>
          </cell>
          <cell r="BI1604">
            <v>665733.37950000004</v>
          </cell>
        </row>
        <row r="1616">
          <cell r="F1616">
            <v>7856.4728260000002</v>
          </cell>
          <cell r="G1616">
            <v>7889.2037270000001</v>
          </cell>
          <cell r="H1616">
            <v>7967.7305930000002</v>
          </cell>
          <cell r="I1616">
            <v>8063.5025569999998</v>
          </cell>
          <cell r="J1616">
            <v>8164.969634</v>
          </cell>
          <cell r="K1616">
            <v>8267.0198839999994</v>
          </cell>
          <cell r="L1616">
            <v>8362.9254349999992</v>
          </cell>
          <cell r="M1616">
            <v>8454.5104240000001</v>
          </cell>
          <cell r="N1616">
            <v>8543.0040850000005</v>
          </cell>
          <cell r="O1616">
            <v>8629.5524069999992</v>
          </cell>
          <cell r="P1616">
            <v>8722.6084040000005</v>
          </cell>
          <cell r="Q1616">
            <v>8810.7954269999991</v>
          </cell>
          <cell r="R1616">
            <v>8897.6215630000006</v>
          </cell>
          <cell r="S1616">
            <v>8984.4837150000003</v>
          </cell>
          <cell r="T1616">
            <v>9072.0122709999996</v>
          </cell>
          <cell r="U1616">
            <v>9160.5004430000008</v>
          </cell>
          <cell r="V1616">
            <v>9249.206983</v>
          </cell>
          <cell r="W1616">
            <v>9338.7096689999998</v>
          </cell>
          <cell r="X1616">
            <v>9429.2410810000001</v>
          </cell>
          <cell r="Y1616">
            <v>9520.9258030000001</v>
          </cell>
          <cell r="Z1616">
            <v>9608.6913719999993</v>
          </cell>
          <cell r="AA1616">
            <v>9700.5402770000001</v>
          </cell>
          <cell r="AB1616">
            <v>9794.9914499999995</v>
          </cell>
          <cell r="AC1616">
            <v>9891.6226970000007</v>
          </cell>
          <cell r="AD1616">
            <v>9990.320995</v>
          </cell>
          <cell r="AE1616">
            <v>10076.521779999999</v>
          </cell>
          <cell r="AF1616">
            <v>10165.79463</v>
          </cell>
          <cell r="AG1616">
            <v>10257.006649999999</v>
          </cell>
          <cell r="AH1616">
            <v>10350.02103</v>
          </cell>
          <cell r="AI1616">
            <v>10444.91221</v>
          </cell>
          <cell r="AJ1616">
            <v>10541.75001</v>
          </cell>
          <cell r="AK1616">
            <v>10640.73321</v>
          </cell>
          <cell r="AL1616">
            <v>10741.695830000001</v>
          </cell>
          <cell r="AM1616">
            <v>10844.499379999999</v>
          </cell>
          <cell r="AN1616">
            <v>10949.012290000001</v>
          </cell>
          <cell r="AO1616">
            <v>11055.113579999999</v>
          </cell>
          <cell r="AP1616">
            <v>11161.08259</v>
          </cell>
          <cell r="AQ1616">
            <v>11267.604729999999</v>
          </cell>
          <cell r="AR1616">
            <v>11374.972739999999</v>
          </cell>
          <cell r="AS1616">
            <v>11483.338830000001</v>
          </cell>
          <cell r="AT1616">
            <v>11592.79074</v>
          </cell>
          <cell r="AU1616">
            <v>11703.65518</v>
          </cell>
          <cell r="AV1616">
            <v>11815.806</v>
          </cell>
          <cell r="AW1616">
            <v>11929.178749999999</v>
          </cell>
          <cell r="AX1616">
            <v>12043.71809</v>
          </cell>
          <cell r="AY1616">
            <v>12159.369979999999</v>
          </cell>
          <cell r="AZ1616">
            <v>12277.32488</v>
          </cell>
          <cell r="BA1616">
            <v>12396.930850000001</v>
          </cell>
          <cell r="BB1616">
            <v>12419.35759</v>
          </cell>
          <cell r="BC1616">
            <v>12381.99941</v>
          </cell>
          <cell r="BD1616">
            <v>12334.34881</v>
          </cell>
          <cell r="BE1616">
            <v>18304.411169999999</v>
          </cell>
          <cell r="BF1616">
            <v>18627.571029999999</v>
          </cell>
          <cell r="BG1616">
            <v>18956.537619999999</v>
          </cell>
          <cell r="BH1616">
            <v>19291.396369999999</v>
          </cell>
          <cell r="BI1616">
            <v>19632.235570000001</v>
          </cell>
        </row>
        <row r="1621">
          <cell r="F1621">
            <v>218015.20629999999</v>
          </cell>
          <cell r="G1621">
            <v>219655.29250000001</v>
          </cell>
          <cell r="H1621">
            <v>221952.92610000001</v>
          </cell>
          <cell r="I1621">
            <v>224589.08420000001</v>
          </cell>
          <cell r="J1621">
            <v>227370.0423</v>
          </cell>
          <cell r="K1621">
            <v>230196.1421</v>
          </cell>
          <cell r="L1621">
            <v>232924.0753</v>
          </cell>
          <cell r="M1621">
            <v>235608.29500000001</v>
          </cell>
          <cell r="N1621">
            <v>238300.94289999999</v>
          </cell>
          <cell r="O1621">
            <v>241054.11970000001</v>
          </cell>
          <cell r="P1621">
            <v>244095.98050000001</v>
          </cell>
          <cell r="Q1621">
            <v>247191.2518</v>
          </cell>
          <cell r="R1621">
            <v>250407.59090000001</v>
          </cell>
          <cell r="S1621">
            <v>253768.73509999999</v>
          </cell>
          <cell r="T1621">
            <v>257280.60329999999</v>
          </cell>
          <cell r="U1621">
            <v>260938.68950000001</v>
          </cell>
          <cell r="V1621">
            <v>264720.07390000002</v>
          </cell>
          <cell r="W1621">
            <v>268615.91680000001</v>
          </cell>
          <cell r="X1621">
            <v>272613.86009999999</v>
          </cell>
          <cell r="Y1621">
            <v>276701.27020000003</v>
          </cell>
          <cell r="Z1621">
            <v>280734.2599</v>
          </cell>
          <cell r="AA1621">
            <v>284887.90740000003</v>
          </cell>
          <cell r="AB1621">
            <v>289126.64909999998</v>
          </cell>
          <cell r="AC1621">
            <v>293436.5784</v>
          </cell>
          <cell r="AD1621">
            <v>297809.61749999999</v>
          </cell>
          <cell r="AE1621">
            <v>301859.35619999998</v>
          </cell>
          <cell r="AF1621">
            <v>305936.7781</v>
          </cell>
          <cell r="AG1621">
            <v>310025.9326</v>
          </cell>
          <cell r="AH1621">
            <v>314131.9571</v>
          </cell>
          <cell r="AI1621">
            <v>318261.68070000003</v>
          </cell>
          <cell r="AJ1621">
            <v>322420.18800000002</v>
          </cell>
          <cell r="AK1621">
            <v>326613.06579999998</v>
          </cell>
          <cell r="AL1621">
            <v>330839.73580000002</v>
          </cell>
          <cell r="AM1621">
            <v>335099.20770000003</v>
          </cell>
          <cell r="AN1621">
            <v>339390.53</v>
          </cell>
          <cell r="AO1621">
            <v>343713.29090000002</v>
          </cell>
          <cell r="AP1621">
            <v>348005.04749999999</v>
          </cell>
          <cell r="AQ1621">
            <v>352292.08380000002</v>
          </cell>
          <cell r="AR1621">
            <v>356587.28200000001</v>
          </cell>
          <cell r="AS1621">
            <v>360899.17249999999</v>
          </cell>
          <cell r="AT1621">
            <v>365234.21429999999</v>
          </cell>
          <cell r="AU1621">
            <v>369601.99190000002</v>
          </cell>
          <cell r="AV1621">
            <v>374004.39399999997</v>
          </cell>
          <cell r="AW1621">
            <v>378442.72960000002</v>
          </cell>
          <cell r="AX1621">
            <v>382917.48310000001</v>
          </cell>
          <cell r="AY1621">
            <v>387428.71519999998</v>
          </cell>
          <cell r="AZ1621">
            <v>392000.92810000002</v>
          </cell>
          <cell r="BA1621">
            <v>396626.19880000001</v>
          </cell>
          <cell r="BB1621">
            <v>397032.5392</v>
          </cell>
          <cell r="BC1621">
            <v>397209.78600000002</v>
          </cell>
          <cell r="BD1621">
            <v>397293.41190000001</v>
          </cell>
          <cell r="BE1621">
            <v>520690.10560000001</v>
          </cell>
          <cell r="BF1621">
            <v>529771.0233</v>
          </cell>
          <cell r="BG1621">
            <v>538983.70779999997</v>
          </cell>
          <cell r="BH1621">
            <v>548329.81590000005</v>
          </cell>
          <cell r="BI1621">
            <v>557811.28489999997</v>
          </cell>
        </row>
        <row r="1624">
          <cell r="F1624">
            <v>2212.3053629999999</v>
          </cell>
          <cell r="G1624">
            <v>2210.0225740000001</v>
          </cell>
          <cell r="H1624">
            <v>2212.0737570000001</v>
          </cell>
          <cell r="I1624">
            <v>2216.8942980000002</v>
          </cell>
          <cell r="J1624">
            <v>2224.6477399999999</v>
          </cell>
          <cell r="K1624">
            <v>2235.449271</v>
          </cell>
          <cell r="L1624">
            <v>2248.2333490000001</v>
          </cell>
          <cell r="M1624">
            <v>2262.955751</v>
          </cell>
          <cell r="N1624">
            <v>2279.4250860000002</v>
          </cell>
          <cell r="O1624">
            <v>2297.393337</v>
          </cell>
          <cell r="P1624">
            <v>2318.0826670000001</v>
          </cell>
          <cell r="Q1624">
            <v>2339.1806919999999</v>
          </cell>
          <cell r="R1624">
            <v>2360.7592490000002</v>
          </cell>
          <cell r="S1624">
            <v>2382.8556239999998</v>
          </cell>
          <cell r="T1624">
            <v>2405.4272559999999</v>
          </cell>
          <cell r="U1624">
            <v>2428.4038599999999</v>
          </cell>
          <cell r="V1624">
            <v>2451.5671499999999</v>
          </cell>
          <cell r="W1624">
            <v>2474.9379650000001</v>
          </cell>
          <cell r="X1624">
            <v>2498.515304</v>
          </cell>
          <cell r="Y1624">
            <v>2522.294676</v>
          </cell>
          <cell r="Z1624">
            <v>2545.2457949999998</v>
          </cell>
          <cell r="AA1624">
            <v>2568.7686739999999</v>
          </cell>
          <cell r="AB1624">
            <v>2592.766419</v>
          </cell>
          <cell r="AC1624">
            <v>2617.1656160000002</v>
          </cell>
          <cell r="AD1624">
            <v>2641.9534819999999</v>
          </cell>
          <cell r="AE1624">
            <v>2664.2274950000001</v>
          </cell>
          <cell r="AF1624">
            <v>2686.5997029999999</v>
          </cell>
          <cell r="AG1624">
            <v>2709.1763329999999</v>
          </cell>
          <cell r="AH1624">
            <v>2731.9715529999999</v>
          </cell>
          <cell r="AI1624">
            <v>2755.027427</v>
          </cell>
          <cell r="AJ1624">
            <v>2778.3992020000001</v>
          </cell>
          <cell r="AK1624">
            <v>2802.1711949999999</v>
          </cell>
          <cell r="AL1624">
            <v>2826.3732730000002</v>
          </cell>
          <cell r="AM1624">
            <v>2851.0335909999999</v>
          </cell>
          <cell r="AN1624">
            <v>2876.1752230000002</v>
          </cell>
          <cell r="AO1624">
            <v>2901.8149490000001</v>
          </cell>
          <cell r="AP1624">
            <v>2927.5511700000002</v>
          </cell>
          <cell r="AQ1624">
            <v>2953.4829639999998</v>
          </cell>
          <cell r="AR1624">
            <v>2979.698954</v>
          </cell>
          <cell r="AS1624">
            <v>3006.2542250000001</v>
          </cell>
          <cell r="AT1624">
            <v>3033.1837810000002</v>
          </cell>
          <cell r="AU1624">
            <v>3060.5530950000002</v>
          </cell>
          <cell r="AV1624">
            <v>3088.3599629999999</v>
          </cell>
          <cell r="AW1624">
            <v>3116.6089579999998</v>
          </cell>
          <cell r="AX1624">
            <v>3145.3068410000001</v>
          </cell>
          <cell r="AY1624">
            <v>3174.4598510000001</v>
          </cell>
          <cell r="AZ1624">
            <v>3204.2690389999998</v>
          </cell>
          <cell r="BA1624">
            <v>3234.6536059999999</v>
          </cell>
          <cell r="BB1624">
            <v>3274.1069130000001</v>
          </cell>
          <cell r="BC1624">
            <v>3293.1924180000001</v>
          </cell>
          <cell r="BD1624">
            <v>3306.6946939999998</v>
          </cell>
          <cell r="BE1624">
            <v>4426.5473080000002</v>
          </cell>
          <cell r="BF1624">
            <v>4495.1861529999996</v>
          </cell>
          <cell r="BG1624">
            <v>4564.88544</v>
          </cell>
          <cell r="BH1624">
            <v>4635.66716</v>
          </cell>
          <cell r="BI1624">
            <v>4707.5559839999996</v>
          </cell>
        </row>
        <row r="1629">
          <cell r="F1629">
            <v>3594.3198520000001</v>
          </cell>
          <cell r="G1629">
            <v>3593.7393350000002</v>
          </cell>
          <cell r="H1629">
            <v>3597.1626310000001</v>
          </cell>
          <cell r="I1629">
            <v>3604.3467310000001</v>
          </cell>
          <cell r="J1629">
            <v>3616.601838</v>
          </cell>
          <cell r="K1629">
            <v>3634.53172</v>
          </cell>
          <cell r="L1629">
            <v>3656.4141559999998</v>
          </cell>
          <cell r="M1629">
            <v>3681.465056</v>
          </cell>
          <cell r="N1629">
            <v>3708.7816400000002</v>
          </cell>
          <cell r="O1629">
            <v>3737.391744</v>
          </cell>
          <cell r="P1629">
            <v>3768.6245349999999</v>
          </cell>
          <cell r="Q1629">
            <v>3799.0039320000001</v>
          </cell>
          <cell r="R1629">
            <v>3827.851369</v>
          </cell>
          <cell r="S1629">
            <v>3855.0270650000002</v>
          </cell>
          <cell r="T1629">
            <v>3880.5101100000002</v>
          </cell>
          <cell r="U1629">
            <v>3904.3496679999998</v>
          </cell>
          <cell r="V1629">
            <v>3926.5449130000002</v>
          </cell>
          <cell r="W1629">
            <v>3947.3014710000002</v>
          </cell>
          <cell r="X1629">
            <v>3966.891173</v>
          </cell>
          <cell r="Y1629">
            <v>3985.6246900000001</v>
          </cell>
          <cell r="Z1629">
            <v>4002.2747159999999</v>
          </cell>
          <cell r="AA1629">
            <v>4018.9901180000002</v>
          </cell>
          <cell r="AB1629">
            <v>4036.1869820000002</v>
          </cell>
          <cell r="AC1629">
            <v>4054.0019130000001</v>
          </cell>
          <cell r="AD1629">
            <v>4072.5688230000001</v>
          </cell>
          <cell r="AE1629">
            <v>4087.7351199999998</v>
          </cell>
          <cell r="AF1629">
            <v>4102.7456099999999</v>
          </cell>
          <cell r="AG1629">
            <v>4118.4064049999997</v>
          </cell>
          <cell r="AH1629">
            <v>4134.9588549999999</v>
          </cell>
          <cell r="AI1629">
            <v>4152.5329970000003</v>
          </cell>
          <cell r="AJ1629">
            <v>4171.2355479999997</v>
          </cell>
          <cell r="AK1629">
            <v>4191.1735710000003</v>
          </cell>
          <cell r="AL1629">
            <v>4212.4111800000001</v>
          </cell>
          <cell r="AM1629">
            <v>4234.9774980000002</v>
          </cell>
          <cell r="AN1629">
            <v>4258.8683659999997</v>
          </cell>
          <cell r="AO1629">
            <v>4284.0536670000001</v>
          </cell>
          <cell r="AP1629">
            <v>4309.658574</v>
          </cell>
          <cell r="AQ1629">
            <v>4335.820745</v>
          </cell>
          <cell r="AR1629">
            <v>4362.704592</v>
          </cell>
          <cell r="AS1629">
            <v>4390.360181</v>
          </cell>
          <cell r="AT1629">
            <v>4418.7777910000004</v>
          </cell>
          <cell r="AU1629">
            <v>4447.9454459999997</v>
          </cell>
          <cell r="AV1629">
            <v>4477.8352409999998</v>
          </cell>
          <cell r="AW1629">
            <v>4508.4123790000003</v>
          </cell>
          <cell r="AX1629">
            <v>4539.6347759999999</v>
          </cell>
          <cell r="AY1629">
            <v>4571.4568380000001</v>
          </cell>
          <cell r="AZ1629">
            <v>4603.9655839999996</v>
          </cell>
          <cell r="BA1629">
            <v>4637.1259950000003</v>
          </cell>
          <cell r="BB1629">
            <v>4648.3010370000002</v>
          </cell>
          <cell r="BC1629">
            <v>4647.6215579999998</v>
          </cell>
          <cell r="BD1629">
            <v>4651.5890900000004</v>
          </cell>
          <cell r="BE1629">
            <v>6403.448018</v>
          </cell>
          <cell r="BF1629">
            <v>6503.0164150000001</v>
          </cell>
          <cell r="BG1629">
            <v>6604.5586430000003</v>
          </cell>
          <cell r="BH1629">
            <v>6708.0768269999999</v>
          </cell>
          <cell r="BI1629">
            <v>6813.5759399999997</v>
          </cell>
        </row>
        <row r="1639">
          <cell r="F1639">
            <v>473311.03779999999</v>
          </cell>
          <cell r="G1639">
            <v>479464.25799999997</v>
          </cell>
          <cell r="H1639">
            <v>486088.91710000002</v>
          </cell>
          <cell r="I1639">
            <v>493051.21179999999</v>
          </cell>
          <cell r="J1639">
            <v>500275.1422</v>
          </cell>
          <cell r="K1639">
            <v>507725.73080000002</v>
          </cell>
          <cell r="L1639">
            <v>515181.38660000003</v>
          </cell>
          <cell r="M1639">
            <v>522720.09950000001</v>
          </cell>
          <cell r="N1639">
            <v>530388.79949999996</v>
          </cell>
          <cell r="O1639">
            <v>538222.60329999996</v>
          </cell>
          <cell r="P1639">
            <v>546616.65520000004</v>
          </cell>
          <cell r="Q1639">
            <v>555093.73880000005</v>
          </cell>
          <cell r="R1639">
            <v>563729.71070000005</v>
          </cell>
          <cell r="S1639">
            <v>572555.13410000002</v>
          </cell>
          <cell r="T1639">
            <v>581587.0466</v>
          </cell>
          <cell r="U1639">
            <v>590835.80779999995</v>
          </cell>
          <cell r="V1639">
            <v>600307.58120000002</v>
          </cell>
          <cell r="W1639">
            <v>610004.8504</v>
          </cell>
          <cell r="X1639">
            <v>619926.63619999995</v>
          </cell>
          <cell r="Y1639">
            <v>630068.97180000006</v>
          </cell>
          <cell r="Z1639">
            <v>640154.38930000004</v>
          </cell>
          <cell r="AA1639">
            <v>650537.33039999998</v>
          </cell>
          <cell r="AB1639">
            <v>661166.11540000001</v>
          </cell>
          <cell r="AC1639">
            <v>672016.83319999999</v>
          </cell>
          <cell r="AD1639">
            <v>683072.17909999995</v>
          </cell>
          <cell r="AE1639">
            <v>693533.21609999996</v>
          </cell>
          <cell r="AF1639">
            <v>704057.3689</v>
          </cell>
          <cell r="AG1639">
            <v>714628.14619999996</v>
          </cell>
          <cell r="AH1639">
            <v>725253.66610000003</v>
          </cell>
          <cell r="AI1639">
            <v>735942.23219999997</v>
          </cell>
          <cell r="AJ1639">
            <v>746697.4362</v>
          </cell>
          <cell r="AK1639">
            <v>757516.86219999997</v>
          </cell>
          <cell r="AL1639">
            <v>768393.5048</v>
          </cell>
          <cell r="AM1639">
            <v>779318.09459999995</v>
          </cell>
          <cell r="AN1639">
            <v>790281.23600000003</v>
          </cell>
          <cell r="AO1639">
            <v>801274.90720000002</v>
          </cell>
          <cell r="AP1639">
            <v>812103.8909</v>
          </cell>
          <cell r="AQ1639">
            <v>822824.31420000002</v>
          </cell>
          <cell r="AR1639">
            <v>833466.20779999997</v>
          </cell>
          <cell r="AS1639">
            <v>844051.48540000001</v>
          </cell>
          <cell r="AT1639">
            <v>854597.64679999999</v>
          </cell>
          <cell r="AU1639">
            <v>865118.38439999998</v>
          </cell>
          <cell r="AV1639">
            <v>875623.51500000001</v>
          </cell>
          <cell r="AW1639">
            <v>886119.31270000001</v>
          </cell>
          <cell r="AX1639">
            <v>896609.33900000004</v>
          </cell>
          <cell r="AY1639">
            <v>907095.51769999997</v>
          </cell>
          <cell r="AZ1639">
            <v>917596.10230000003</v>
          </cell>
          <cell r="BA1639">
            <v>928107.34310000006</v>
          </cell>
          <cell r="BB1639">
            <v>938628.77370000002</v>
          </cell>
          <cell r="BC1639">
            <v>949161.85800000001</v>
          </cell>
          <cell r="BD1639">
            <v>959709.64749999996</v>
          </cell>
          <cell r="BE1639">
            <v>1178106.1470000001</v>
          </cell>
          <cell r="BF1639">
            <v>1199473.1200000001</v>
          </cell>
          <cell r="BG1639">
            <v>1221043.7919999999</v>
          </cell>
          <cell r="BH1639">
            <v>1242814.6680000001</v>
          </cell>
          <cell r="BI1639">
            <v>1264783.2679999999</v>
          </cell>
        </row>
        <row r="1640">
          <cell r="F1640">
            <v>4445.6453659999997</v>
          </cell>
          <cell r="G1640">
            <v>4480.6024500000003</v>
          </cell>
          <cell r="H1640">
            <v>4504.8392869999998</v>
          </cell>
          <cell r="I1640">
            <v>4522.99352</v>
          </cell>
          <cell r="J1640">
            <v>4537.630408</v>
          </cell>
          <cell r="K1640">
            <v>4549.8974459999999</v>
          </cell>
          <cell r="L1640">
            <v>4557.6853870000004</v>
          </cell>
          <cell r="M1640">
            <v>4561.8984920000003</v>
          </cell>
          <cell r="N1640">
            <v>4563.3504549999998</v>
          </cell>
          <cell r="O1640">
            <v>4562.7614409999996</v>
          </cell>
          <cell r="P1640">
            <v>4564.8558370000001</v>
          </cell>
          <cell r="Q1640">
            <v>4564.6751780000004</v>
          </cell>
          <cell r="R1640">
            <v>4562.6741670000001</v>
          </cell>
          <cell r="S1640">
            <v>4559.4752239999998</v>
          </cell>
          <cell r="T1640">
            <v>4555.7444269999996</v>
          </cell>
          <cell r="U1640">
            <v>4552.0406059999996</v>
          </cell>
          <cell r="V1640">
            <v>4548.7796689999996</v>
          </cell>
          <cell r="W1640">
            <v>4546.2326370000001</v>
          </cell>
          <cell r="X1640">
            <v>4544.5417299999999</v>
          </cell>
          <cell r="Y1640">
            <v>4543.7446470000004</v>
          </cell>
          <cell r="Z1640">
            <v>4541.1978740000004</v>
          </cell>
          <cell r="AA1640">
            <v>4540.2329010000003</v>
          </cell>
          <cell r="AB1640">
            <v>4540.7516850000002</v>
          </cell>
          <cell r="AC1640">
            <v>4542.4724480000004</v>
          </cell>
          <cell r="AD1640">
            <v>4545.0530669999998</v>
          </cell>
          <cell r="AE1640">
            <v>4541.2103719999996</v>
          </cell>
          <cell r="AF1640">
            <v>4536.5793970000004</v>
          </cell>
          <cell r="AG1640">
            <v>4532.0811640000002</v>
          </cell>
          <cell r="AH1640">
            <v>4528.2307739999997</v>
          </cell>
          <cell r="AI1640">
            <v>4525.2080379999998</v>
          </cell>
          <cell r="AJ1640">
            <v>4522.9994200000001</v>
          </cell>
          <cell r="AK1640">
            <v>4521.4747020000004</v>
          </cell>
          <cell r="AL1640">
            <v>4520.448101</v>
          </cell>
          <cell r="AM1640">
            <v>4519.7269969999998</v>
          </cell>
          <cell r="AN1640">
            <v>4519.1464100000003</v>
          </cell>
          <cell r="AO1640">
            <v>4518.588898</v>
          </cell>
          <cell r="AP1640">
            <v>4516.5533089999999</v>
          </cell>
          <cell r="AQ1640">
            <v>4513.4641570000003</v>
          </cell>
          <cell r="AR1640">
            <v>4509.8082530000001</v>
          </cell>
          <cell r="AS1640">
            <v>4506.0117140000002</v>
          </cell>
          <cell r="AT1640">
            <v>4502.3894749999999</v>
          </cell>
          <cell r="AU1640">
            <v>4499.1442420000003</v>
          </cell>
          <cell r="AV1640">
            <v>4496.3808019999997</v>
          </cell>
          <cell r="AW1640">
            <v>4494.1272120000003</v>
          </cell>
          <cell r="AX1640">
            <v>4492.3584110000002</v>
          </cell>
          <cell r="AY1640">
            <v>4491.0187720000004</v>
          </cell>
          <cell r="AZ1640">
            <v>4490.1536880000003</v>
          </cell>
          <cell r="BA1640">
            <v>4489.6655099999998</v>
          </cell>
          <cell r="BB1640">
            <v>4489.4659549999997</v>
          </cell>
          <cell r="BC1640">
            <v>4489.4895969999998</v>
          </cell>
          <cell r="BD1640">
            <v>4489.6973470000003</v>
          </cell>
          <cell r="BE1640">
            <v>10203.664870000001</v>
          </cell>
          <cell r="BF1640">
            <v>10378.79773</v>
          </cell>
          <cell r="BG1640">
            <v>10556.48702</v>
          </cell>
          <cell r="BH1640">
            <v>10736.797769999999</v>
          </cell>
          <cell r="BI1640">
            <v>10919.79932</v>
          </cell>
        </row>
        <row r="1643">
          <cell r="F1643">
            <v>235143.51329999999</v>
          </cell>
          <cell r="G1643">
            <v>238310.2586</v>
          </cell>
          <cell r="H1643">
            <v>241748.98199999999</v>
          </cell>
          <cell r="I1643">
            <v>245348.7403</v>
          </cell>
          <cell r="J1643">
            <v>249047.2598</v>
          </cell>
          <cell r="K1643">
            <v>252820.7782</v>
          </cell>
          <cell r="L1643">
            <v>256573.61429999999</v>
          </cell>
          <cell r="M1643">
            <v>260342.6551</v>
          </cell>
          <cell r="N1643">
            <v>264157.61489999999</v>
          </cell>
          <cell r="O1643">
            <v>268043.64399999997</v>
          </cell>
          <cell r="P1643">
            <v>272185.5073</v>
          </cell>
          <cell r="Q1643">
            <v>276388.39970000001</v>
          </cell>
          <cell r="R1643">
            <v>280684.1249</v>
          </cell>
          <cell r="S1643">
            <v>285090.82549999998</v>
          </cell>
          <cell r="T1643">
            <v>289621.06219999999</v>
          </cell>
          <cell r="U1643">
            <v>294283.8702</v>
          </cell>
          <cell r="V1643">
            <v>299085.58130000002</v>
          </cell>
          <cell r="W1643">
            <v>304029.99410000001</v>
          </cell>
          <cell r="X1643">
            <v>309118.45649999997</v>
          </cell>
          <cell r="Y1643">
            <v>314350.08399999997</v>
          </cell>
          <cell r="Z1643">
            <v>319601.72200000001</v>
          </cell>
          <cell r="AA1643">
            <v>325022.33020000003</v>
          </cell>
          <cell r="AB1643">
            <v>330593.8775</v>
          </cell>
          <cell r="AC1643">
            <v>336304.84230000002</v>
          </cell>
          <cell r="AD1643">
            <v>342145.17379999999</v>
          </cell>
          <cell r="AE1643">
            <v>347757.23700000002</v>
          </cell>
          <cell r="AF1643">
            <v>353406.57789999997</v>
          </cell>
          <cell r="AG1643">
            <v>359090.17009999999</v>
          </cell>
          <cell r="AH1643">
            <v>364809.39360000001</v>
          </cell>
          <cell r="AI1643">
            <v>370564.32280000002</v>
          </cell>
          <cell r="AJ1643">
            <v>376352.40539999999</v>
          </cell>
          <cell r="AK1643">
            <v>382168.12070000003</v>
          </cell>
          <cell r="AL1643">
            <v>388003.6814</v>
          </cell>
          <cell r="AM1643">
            <v>393850.18770000001</v>
          </cell>
          <cell r="AN1643">
            <v>399698.76160000003</v>
          </cell>
          <cell r="AO1643">
            <v>405541.41159999999</v>
          </cell>
          <cell r="AP1643">
            <v>411287.32089999999</v>
          </cell>
          <cell r="AQ1643">
            <v>416952.11780000001</v>
          </cell>
          <cell r="AR1643">
            <v>422545.07260000001</v>
          </cell>
          <cell r="AS1643">
            <v>428073.44540000003</v>
          </cell>
          <cell r="AT1643">
            <v>433543.27750000003</v>
          </cell>
          <cell r="AU1643">
            <v>438959.35810000001</v>
          </cell>
          <cell r="AV1643">
            <v>444325.0393</v>
          </cell>
          <cell r="AW1643">
            <v>449642.283</v>
          </cell>
          <cell r="AX1643">
            <v>454911.98440000002</v>
          </cell>
          <cell r="AY1643">
            <v>460134.46010000003</v>
          </cell>
          <cell r="AZ1643">
            <v>465317.47979999997</v>
          </cell>
          <cell r="BA1643">
            <v>470459.82429999998</v>
          </cell>
          <cell r="BB1643">
            <v>475561.63290000003</v>
          </cell>
          <cell r="BC1643">
            <v>480624.16440000001</v>
          </cell>
          <cell r="BD1643">
            <v>485649.7329</v>
          </cell>
          <cell r="BE1643">
            <v>617696.26529999997</v>
          </cell>
          <cell r="BF1643">
            <v>629357.23699999996</v>
          </cell>
          <cell r="BG1643">
            <v>641083.97759999998</v>
          </cell>
          <cell r="BH1643">
            <v>652870.74470000004</v>
          </cell>
          <cell r="BI1643">
            <v>664712.53189999994</v>
          </cell>
        </row>
        <row r="1655">
          <cell r="F1655">
            <v>8025.6192430000001</v>
          </cell>
          <cell r="G1655">
            <v>8130.1198949999998</v>
          </cell>
          <cell r="H1655">
            <v>8241.4749260000008</v>
          </cell>
          <cell r="I1655">
            <v>8357.0849730000009</v>
          </cell>
          <cell r="J1655">
            <v>8475.7426049999995</v>
          </cell>
          <cell r="K1655">
            <v>8596.6921450000009</v>
          </cell>
          <cell r="L1655">
            <v>8714.8918840000006</v>
          </cell>
          <cell r="M1655">
            <v>8832.3469019999993</v>
          </cell>
          <cell r="N1655">
            <v>8949.7744180000009</v>
          </cell>
          <cell r="O1655">
            <v>9067.5171119999995</v>
          </cell>
          <cell r="P1655">
            <v>9193.6283640000001</v>
          </cell>
          <cell r="Q1655">
            <v>9316.3216150000007</v>
          </cell>
          <cell r="R1655">
            <v>9438.2044029999997</v>
          </cell>
          <cell r="S1655">
            <v>9560.2448569999997</v>
          </cell>
          <cell r="T1655">
            <v>9682.9253430000008</v>
          </cell>
          <cell r="U1655">
            <v>9806.5642090000001</v>
          </cell>
          <cell r="V1655">
            <v>9931.4187320000001</v>
          </cell>
          <cell r="W1655">
            <v>10057.70845</v>
          </cell>
          <cell r="X1655">
            <v>10185.618259999999</v>
          </cell>
          <cell r="Y1655">
            <v>10315.300080000001</v>
          </cell>
          <cell r="Z1655">
            <v>10441.20448</v>
          </cell>
          <cell r="AA1655">
            <v>10572.04009</v>
          </cell>
          <cell r="AB1655">
            <v>10706.156010000001</v>
          </cell>
          <cell r="AC1655">
            <v>10843.028910000001</v>
          </cell>
          <cell r="AD1655">
            <v>10982.465190000001</v>
          </cell>
          <cell r="AE1655">
            <v>11108.147370000001</v>
          </cell>
          <cell r="AF1655">
            <v>11236.88672</v>
          </cell>
          <cell r="AG1655">
            <v>11367.59021</v>
          </cell>
          <cell r="AH1655">
            <v>11500.13334</v>
          </cell>
          <cell r="AI1655">
            <v>11634.60858</v>
          </cell>
          <cell r="AJ1655">
            <v>11771.107749999999</v>
          </cell>
          <cell r="AK1655">
            <v>11909.655280000001</v>
          </cell>
          <cell r="AL1655">
            <v>12050.2117</v>
          </cell>
          <cell r="AM1655">
            <v>12192.69901</v>
          </cell>
          <cell r="AN1655">
            <v>12337.026089999999</v>
          </cell>
          <cell r="AO1655">
            <v>12483.107019999999</v>
          </cell>
          <cell r="AP1655">
            <v>12627.0172</v>
          </cell>
          <cell r="AQ1655">
            <v>12770.63147</v>
          </cell>
          <cell r="AR1655">
            <v>12914.711219999999</v>
          </cell>
          <cell r="AS1655">
            <v>13059.647629999999</v>
          </cell>
          <cell r="AT1655">
            <v>13205.68669</v>
          </cell>
          <cell r="AU1655">
            <v>13352.99581</v>
          </cell>
          <cell r="AV1655">
            <v>13501.682409999999</v>
          </cell>
          <cell r="AW1655">
            <v>13651.80458</v>
          </cell>
          <cell r="AX1655">
            <v>13803.38327</v>
          </cell>
          <cell r="AY1655">
            <v>13956.41554</v>
          </cell>
          <cell r="AZ1655">
            <v>14111.229139999999</v>
          </cell>
          <cell r="BA1655">
            <v>14267.63631</v>
          </cell>
          <cell r="BB1655">
            <v>14425.55233</v>
          </cell>
          <cell r="BC1655">
            <v>14584.932769999999</v>
          </cell>
          <cell r="BD1655">
            <v>14745.7536</v>
          </cell>
          <cell r="BE1655">
            <v>18375.041580000001</v>
          </cell>
          <cell r="BF1655">
            <v>18700.720560000002</v>
          </cell>
          <cell r="BG1655">
            <v>19032.156940000001</v>
          </cell>
          <cell r="BH1655">
            <v>19369.446889999999</v>
          </cell>
          <cell r="BI1655">
            <v>19712.689709999999</v>
          </cell>
        </row>
        <row r="1660">
          <cell r="F1660">
            <v>219795.36679999999</v>
          </cell>
          <cell r="G1660">
            <v>222589.0558</v>
          </cell>
          <cell r="H1660">
            <v>225596.27549999999</v>
          </cell>
          <cell r="I1660">
            <v>228784.16740000001</v>
          </cell>
          <cell r="J1660">
            <v>232133.20129999999</v>
          </cell>
          <cell r="K1660">
            <v>235630.15789999999</v>
          </cell>
          <cell r="L1660">
            <v>239158.46369999999</v>
          </cell>
          <cell r="M1660">
            <v>242756.35519999999</v>
          </cell>
          <cell r="N1660">
            <v>246439.74460000001</v>
          </cell>
          <cell r="O1660">
            <v>250217.93210000001</v>
          </cell>
          <cell r="P1660">
            <v>254285.04060000001</v>
          </cell>
          <cell r="Q1660">
            <v>258380.60649999999</v>
          </cell>
          <cell r="R1660">
            <v>262545.84259999997</v>
          </cell>
          <cell r="S1660">
            <v>266791.38170000003</v>
          </cell>
          <cell r="T1660">
            <v>271120.40659999999</v>
          </cell>
          <cell r="U1660">
            <v>275533.25770000002</v>
          </cell>
          <cell r="V1660">
            <v>280028.97859999997</v>
          </cell>
          <cell r="W1660">
            <v>284605.61869999999</v>
          </cell>
          <cell r="X1660">
            <v>289260.34950000001</v>
          </cell>
          <cell r="Y1660">
            <v>293989.70240000001</v>
          </cell>
          <cell r="Z1660">
            <v>298650.11479999998</v>
          </cell>
          <cell r="AA1660">
            <v>303431.34830000001</v>
          </cell>
          <cell r="AB1660">
            <v>308301.34519999998</v>
          </cell>
          <cell r="AC1660">
            <v>313248.59029999998</v>
          </cell>
          <cell r="AD1660">
            <v>318266.35340000002</v>
          </cell>
          <cell r="AE1660">
            <v>322944.66680000001</v>
          </cell>
          <cell r="AF1660">
            <v>327646.74949999998</v>
          </cell>
          <cell r="AG1660">
            <v>332358.45899999997</v>
          </cell>
          <cell r="AH1660">
            <v>337085.94099999999</v>
          </cell>
          <cell r="AI1660">
            <v>341837.00880000001</v>
          </cell>
          <cell r="AJ1660">
            <v>346617.57870000001</v>
          </cell>
          <cell r="AK1660">
            <v>351430.72389999998</v>
          </cell>
          <cell r="AL1660">
            <v>356277.3431</v>
          </cell>
          <cell r="AM1660">
            <v>361157.26610000001</v>
          </cell>
          <cell r="AN1660">
            <v>366070.19620000001</v>
          </cell>
          <cell r="AO1660">
            <v>371016.3027</v>
          </cell>
          <cell r="AP1660">
            <v>375898.4351</v>
          </cell>
          <cell r="AQ1660">
            <v>380754.36820000003</v>
          </cell>
          <cell r="AR1660">
            <v>385603.24249999999</v>
          </cell>
          <cell r="AS1660">
            <v>390458.68979999999</v>
          </cell>
          <cell r="AT1660">
            <v>395331.49739999999</v>
          </cell>
          <cell r="AU1660">
            <v>400230.12959999999</v>
          </cell>
          <cell r="AV1660">
            <v>405160.7879</v>
          </cell>
          <cell r="AW1660">
            <v>410127.658</v>
          </cell>
          <cell r="AX1660">
            <v>415133.37910000002</v>
          </cell>
          <cell r="AY1660">
            <v>420179.59480000002</v>
          </cell>
          <cell r="AZ1660">
            <v>425276.2452</v>
          </cell>
          <cell r="BA1660">
            <v>430421.12190000003</v>
          </cell>
          <cell r="BB1660">
            <v>435613.83049999998</v>
          </cell>
          <cell r="BC1660">
            <v>440854.71509999997</v>
          </cell>
          <cell r="BD1660">
            <v>446144.60029999999</v>
          </cell>
          <cell r="BE1660">
            <v>521119.83889999997</v>
          </cell>
          <cell r="BF1660">
            <v>530169.70979999995</v>
          </cell>
          <cell r="BG1660">
            <v>539346.7709</v>
          </cell>
          <cell r="BH1660">
            <v>548653.06019999995</v>
          </cell>
          <cell r="BI1660">
            <v>558090.89249999996</v>
          </cell>
        </row>
        <row r="1663">
          <cell r="F1663">
            <v>2252.4178689999999</v>
          </cell>
          <cell r="G1663">
            <v>2272.6609210000001</v>
          </cell>
          <cell r="H1663">
            <v>2289.5133030000002</v>
          </cell>
          <cell r="I1663">
            <v>2306.4608509999998</v>
          </cell>
          <cell r="J1663">
            <v>2325.2738450000002</v>
          </cell>
          <cell r="K1663">
            <v>2346.4804490000001</v>
          </cell>
          <cell r="L1663">
            <v>2369.090772</v>
          </cell>
          <cell r="M1663">
            <v>2393.109684</v>
          </cell>
          <cell r="N1663">
            <v>2418.3995140000002</v>
          </cell>
          <cell r="O1663">
            <v>2444.7640729999998</v>
          </cell>
          <cell r="P1663">
            <v>2473.5952299999999</v>
          </cell>
          <cell r="Q1663">
            <v>2502.6183390000001</v>
          </cell>
          <cell r="R1663">
            <v>2531.902705</v>
          </cell>
          <cell r="S1663">
            <v>2561.515504</v>
          </cell>
          <cell r="T1663">
            <v>2591.4595530000001</v>
          </cell>
          <cell r="U1663">
            <v>2621.7147169999998</v>
          </cell>
          <cell r="V1663">
            <v>2652.2617190000001</v>
          </cell>
          <cell r="W1663">
            <v>2683.0904879999998</v>
          </cell>
          <cell r="X1663">
            <v>2714.201372</v>
          </cell>
          <cell r="Y1663">
            <v>2745.6037369999999</v>
          </cell>
          <cell r="Z1663">
            <v>2776.1618530000001</v>
          </cell>
          <cell r="AA1663">
            <v>2807.4461470000001</v>
          </cell>
          <cell r="AB1663">
            <v>2839.3353539999998</v>
          </cell>
          <cell r="AC1663">
            <v>2871.7376559999998</v>
          </cell>
          <cell r="AD1663">
            <v>2904.6265779999999</v>
          </cell>
          <cell r="AE1663">
            <v>2934.7055639999999</v>
          </cell>
          <cell r="AF1663">
            <v>2964.8687909999999</v>
          </cell>
          <cell r="AG1663">
            <v>2995.2290889999999</v>
          </cell>
          <cell r="AH1663">
            <v>3025.7896780000001</v>
          </cell>
          <cell r="AI1663">
            <v>3056.5825610000002</v>
          </cell>
          <cell r="AJ1663">
            <v>3087.655456</v>
          </cell>
          <cell r="AK1663">
            <v>3119.0563299999999</v>
          </cell>
          <cell r="AL1663">
            <v>3150.8260839999998</v>
          </cell>
          <cell r="AM1663">
            <v>3182.9964989999999</v>
          </cell>
          <cell r="AN1663">
            <v>3215.590706</v>
          </cell>
          <cell r="AO1663">
            <v>3248.624628</v>
          </cell>
          <cell r="AP1663">
            <v>3281.3245750000001</v>
          </cell>
          <cell r="AQ1663">
            <v>3313.9660669999998</v>
          </cell>
          <cell r="AR1663">
            <v>3346.7185239999999</v>
          </cell>
          <cell r="AS1663">
            <v>3379.6699039999999</v>
          </cell>
          <cell r="AT1663">
            <v>3412.8723789999999</v>
          </cell>
          <cell r="AU1663">
            <v>3446.3635549999999</v>
          </cell>
          <cell r="AV1663">
            <v>3480.1741529999999</v>
          </cell>
          <cell r="AW1663">
            <v>3514.3303770000002</v>
          </cell>
          <cell r="AX1663">
            <v>3548.8546689999998</v>
          </cell>
          <cell r="AY1663">
            <v>3583.7661870000002</v>
          </cell>
          <cell r="AZ1663">
            <v>3619.151124</v>
          </cell>
          <cell r="BA1663">
            <v>3654.9994750000001</v>
          </cell>
          <cell r="BB1663">
            <v>3691.3094460000002</v>
          </cell>
          <cell r="BC1663">
            <v>3728.0856279999998</v>
          </cell>
          <cell r="BD1663">
            <v>3765.3354020000002</v>
          </cell>
          <cell r="BE1663">
            <v>4416.6468480000003</v>
          </cell>
          <cell r="BF1663">
            <v>4483.9938819999998</v>
          </cell>
          <cell r="BG1663">
            <v>4552.3246609999997</v>
          </cell>
          <cell r="BH1663">
            <v>4621.6617919999999</v>
          </cell>
          <cell r="BI1663">
            <v>4692.0295589999996</v>
          </cell>
        </row>
        <row r="1668">
          <cell r="F1668">
            <v>3648.4752109999999</v>
          </cell>
          <cell r="G1668">
            <v>3681.5603030000002</v>
          </cell>
          <cell r="H1668">
            <v>3707.832073</v>
          </cell>
          <cell r="I1668">
            <v>3731.7647160000001</v>
          </cell>
          <cell r="J1668">
            <v>3756.0342409999998</v>
          </cell>
          <cell r="K1668">
            <v>3781.7247160000002</v>
          </cell>
          <cell r="L1668">
            <v>3807.6405460000001</v>
          </cell>
          <cell r="M1668">
            <v>3833.734109</v>
          </cell>
          <cell r="N1668">
            <v>3859.9155500000002</v>
          </cell>
          <cell r="O1668">
            <v>3885.984567</v>
          </cell>
          <cell r="P1668">
            <v>3914.0279030000002</v>
          </cell>
          <cell r="Q1668">
            <v>3941.1174299999998</v>
          </cell>
          <cell r="R1668">
            <v>3966.9618329999998</v>
          </cell>
          <cell r="S1668">
            <v>3991.6912900000002</v>
          </cell>
          <cell r="T1668">
            <v>4015.4484630000002</v>
          </cell>
          <cell r="U1668">
            <v>4038.3603079999998</v>
          </cell>
          <cell r="V1668">
            <v>4060.5612799999999</v>
          </cell>
          <cell r="W1668">
            <v>4082.2059960000001</v>
          </cell>
          <cell r="X1668">
            <v>4103.4688910000004</v>
          </cell>
          <cell r="Y1668">
            <v>4124.5370009999997</v>
          </cell>
          <cell r="Z1668">
            <v>4143.9882580000003</v>
          </cell>
          <cell r="AA1668">
            <v>4163.9328219999998</v>
          </cell>
          <cell r="AB1668">
            <v>4184.6496390000002</v>
          </cell>
          <cell r="AC1668">
            <v>4206.1615449999999</v>
          </cell>
          <cell r="AD1668">
            <v>4228.5070210000003</v>
          </cell>
          <cell r="AE1668">
            <v>4247.2488860000003</v>
          </cell>
          <cell r="AF1668">
            <v>4265.7066800000002</v>
          </cell>
          <cell r="AG1668">
            <v>4284.6166819999999</v>
          </cell>
          <cell r="AH1668">
            <v>4304.1776479999999</v>
          </cell>
          <cell r="AI1668">
            <v>4324.501397</v>
          </cell>
          <cell r="AJ1668">
            <v>4345.6894460000003</v>
          </cell>
          <cell r="AK1668">
            <v>4367.8313330000001</v>
          </cell>
          <cell r="AL1668">
            <v>4390.9943759999996</v>
          </cell>
          <cell r="AM1668">
            <v>4415.2182560000001</v>
          </cell>
          <cell r="AN1668">
            <v>4440.5149579999998</v>
          </cell>
          <cell r="AO1668">
            <v>4466.8722719999996</v>
          </cell>
          <cell r="AP1668">
            <v>4493.2397760000003</v>
          </cell>
          <cell r="AQ1668">
            <v>4519.766482</v>
          </cell>
          <cell r="AR1668">
            <v>4546.6547129999999</v>
          </cell>
          <cell r="AS1668">
            <v>4574.0209610000002</v>
          </cell>
          <cell r="AT1668">
            <v>4601.9233549999999</v>
          </cell>
          <cell r="AU1668">
            <v>4630.3931430000002</v>
          </cell>
          <cell r="AV1668">
            <v>4659.4504539999998</v>
          </cell>
          <cell r="AW1668">
            <v>4689.1095009999999</v>
          </cell>
          <cell r="AX1668">
            <v>4719.3791650000003</v>
          </cell>
          <cell r="AY1668">
            <v>4750.262326</v>
          </cell>
          <cell r="AZ1668">
            <v>4781.8433359999999</v>
          </cell>
          <cell r="BA1668">
            <v>4814.0956489999999</v>
          </cell>
          <cell r="BB1668">
            <v>4846.9825650000002</v>
          </cell>
          <cell r="BC1668">
            <v>4880.4704730000003</v>
          </cell>
          <cell r="BD1668">
            <v>4914.5279909999999</v>
          </cell>
          <cell r="BE1668">
            <v>6294.689676</v>
          </cell>
          <cell r="BF1668">
            <v>6382.6613719999996</v>
          </cell>
          <cell r="BG1668">
            <v>6472.0753290000002</v>
          </cell>
          <cell r="BH1668">
            <v>6562.95615</v>
          </cell>
          <cell r="BI1668">
            <v>6655.3246710000003</v>
          </cell>
        </row>
        <row r="1702">
          <cell r="F1702">
            <v>1198267.1680000001</v>
          </cell>
          <cell r="G1702">
            <v>1205442.361</v>
          </cell>
          <cell r="H1702">
            <v>1213893.736</v>
          </cell>
          <cell r="I1702">
            <v>1223426.952</v>
          </cell>
          <cell r="J1702">
            <v>1234028.7320000001</v>
          </cell>
          <cell r="K1702">
            <v>1245822.3970000001</v>
          </cell>
          <cell r="L1702">
            <v>1258347.986</v>
          </cell>
          <cell r="M1702">
            <v>1272083.0919999999</v>
          </cell>
          <cell r="N1702">
            <v>1287249.0090000001</v>
          </cell>
          <cell r="O1702">
            <v>1303977.946</v>
          </cell>
          <cell r="P1702">
            <v>1323391.7930000001</v>
          </cell>
          <cell r="Q1702">
            <v>1343814.2949999999</v>
          </cell>
          <cell r="R1702">
            <v>1365438.87</v>
          </cell>
          <cell r="S1702">
            <v>1388059.4750000001</v>
          </cell>
          <cell r="T1702">
            <v>1411446.966</v>
          </cell>
          <cell r="U1702">
            <v>1435374.2080000001</v>
          </cell>
          <cell r="V1702">
            <v>1459574.2819999999</v>
          </cell>
          <cell r="W1702">
            <v>1483881.879</v>
          </cell>
          <cell r="X1702">
            <v>1508155.08</v>
          </cell>
          <cell r="Y1702">
            <v>1532293.11</v>
          </cell>
          <cell r="Z1702">
            <v>1555422.9480000001</v>
          </cell>
          <cell r="AA1702">
            <v>1578657.257</v>
          </cell>
          <cell r="AB1702">
            <v>1601771.1170000001</v>
          </cell>
          <cell r="AC1702">
            <v>1624785.503</v>
          </cell>
          <cell r="AD1702">
            <v>1647727.754</v>
          </cell>
          <cell r="AE1702">
            <v>1668305.4269999999</v>
          </cell>
          <cell r="AF1702">
            <v>1688743.4709999999</v>
          </cell>
          <cell r="AG1702">
            <v>1708868.875</v>
          </cell>
          <cell r="AH1702">
            <v>1728848.294</v>
          </cell>
          <cell r="AI1702">
            <v>1748817.5649999999</v>
          </cell>
          <cell r="AJ1702">
            <v>1768873.1510000001</v>
          </cell>
          <cell r="AK1702">
            <v>1789097.5430000001</v>
          </cell>
          <cell r="AL1702">
            <v>1809533.737</v>
          </cell>
          <cell r="AM1702">
            <v>1830218.932</v>
          </cell>
          <cell r="AN1702">
            <v>1851185.0830000001</v>
          </cell>
          <cell r="AO1702">
            <v>1872461.415</v>
          </cell>
          <cell r="AP1702">
            <v>1893671.5020000001</v>
          </cell>
          <cell r="AQ1702">
            <v>1914991.3430000001</v>
          </cell>
          <cell r="AR1702">
            <v>1936487.1029999999</v>
          </cell>
          <cell r="AS1702">
            <v>1958217.2790000001</v>
          </cell>
          <cell r="AT1702">
            <v>1980231.1159999999</v>
          </cell>
          <cell r="AU1702">
            <v>2002588.453</v>
          </cell>
          <cell r="AV1702">
            <v>2025301.757</v>
          </cell>
          <cell r="AW1702">
            <v>2048379.1969999999</v>
          </cell>
          <cell r="AX1702">
            <v>2071821.75</v>
          </cell>
          <cell r="AY1702">
            <v>2095627.1459999999</v>
          </cell>
          <cell r="AZ1702">
            <v>2119924.3509999998</v>
          </cell>
          <cell r="BA1702">
            <v>2144655.2080000001</v>
          </cell>
          <cell r="BB1702">
            <v>2151473.6469999999</v>
          </cell>
          <cell r="BC1702">
            <v>2151749.1660000002</v>
          </cell>
          <cell r="BD1702">
            <v>2149781.7889999999</v>
          </cell>
          <cell r="BE1702">
            <v>2578303.1260000002</v>
          </cell>
          <cell r="BF1702">
            <v>2616559.395</v>
          </cell>
          <cell r="BG1702">
            <v>2655344.5720000002</v>
          </cell>
          <cell r="BH1702">
            <v>2694674.9</v>
          </cell>
          <cell r="BI1702">
            <v>2734568.8939999999</v>
          </cell>
        </row>
        <row r="1731">
          <cell r="F1731">
            <v>1203299.6270000001</v>
          </cell>
          <cell r="G1731">
            <v>1218038.3689999999</v>
          </cell>
          <cell r="H1731">
            <v>1234097.1200000001</v>
          </cell>
          <cell r="I1731">
            <v>1250972.925</v>
          </cell>
          <cell r="J1731">
            <v>1268648.905</v>
          </cell>
          <cell r="K1731">
            <v>1287226.9839999999</v>
          </cell>
          <cell r="L1731">
            <v>1306148.6499999999</v>
          </cell>
          <cell r="M1731">
            <v>1325722.4169999999</v>
          </cell>
          <cell r="N1731">
            <v>1346000.4879999999</v>
          </cell>
          <cell r="O1731">
            <v>1366984.9129999999</v>
          </cell>
          <cell r="P1731">
            <v>1389771.4369999999</v>
          </cell>
          <cell r="Q1731">
            <v>1412699.5970000001</v>
          </cell>
          <cell r="R1731">
            <v>1436013.4839999999</v>
          </cell>
          <cell r="S1731">
            <v>1459623.632</v>
          </cell>
          <cell r="T1731">
            <v>1483454.588</v>
          </cell>
          <cell r="U1731">
            <v>1507448.6869999999</v>
          </cell>
          <cell r="V1731">
            <v>1531560.0759999999</v>
          </cell>
          <cell r="W1731">
            <v>1555751.4909999999</v>
          </cell>
          <cell r="X1731">
            <v>1579994.061</v>
          </cell>
          <cell r="Y1731">
            <v>1604268.385</v>
          </cell>
          <cell r="Z1731">
            <v>1627730.2649999999</v>
          </cell>
          <cell r="AA1731">
            <v>1651545.203</v>
          </cell>
          <cell r="AB1731">
            <v>1675500.19</v>
          </cell>
          <cell r="AC1731">
            <v>1699614.334</v>
          </cell>
          <cell r="AD1731">
            <v>1723902.557</v>
          </cell>
          <cell r="AE1731">
            <v>1745979.7220000001</v>
          </cell>
          <cell r="AF1731">
            <v>1768053.263</v>
          </cell>
          <cell r="AG1731">
            <v>1789941.2150000001</v>
          </cell>
          <cell r="AH1731">
            <v>1811798.1259999999</v>
          </cell>
          <cell r="AI1731">
            <v>1833749.5049999999</v>
          </cell>
          <cell r="AJ1731">
            <v>1855881.216</v>
          </cell>
          <cell r="AK1731">
            <v>1878249.737</v>
          </cell>
          <cell r="AL1731">
            <v>1900893.9850000001</v>
          </cell>
          <cell r="AM1731">
            <v>1923843.916</v>
          </cell>
          <cell r="AN1731">
            <v>1947125.4469999999</v>
          </cell>
          <cell r="AO1731">
            <v>1970762.534</v>
          </cell>
          <cell r="AP1731">
            <v>1994210.8230000001</v>
          </cell>
          <cell r="AQ1731">
            <v>2017700.7560000001</v>
          </cell>
          <cell r="AR1731">
            <v>2041318.6170000001</v>
          </cell>
          <cell r="AS1731">
            <v>2065146.375</v>
          </cell>
          <cell r="AT1731">
            <v>2089254.284</v>
          </cell>
          <cell r="AU1731">
            <v>2113694.8829999999</v>
          </cell>
          <cell r="AV1731">
            <v>2138502.9640000002</v>
          </cell>
          <cell r="AW1731">
            <v>2163699.1669999999</v>
          </cell>
          <cell r="AX1731">
            <v>2189294.6460000002</v>
          </cell>
          <cell r="AY1731">
            <v>2215295.2459999998</v>
          </cell>
          <cell r="AZ1731">
            <v>2241754.7969999998</v>
          </cell>
          <cell r="BA1731">
            <v>2268658.219</v>
          </cell>
          <cell r="BB1731">
            <v>2296002.8769999999</v>
          </cell>
          <cell r="BC1731">
            <v>2323786.7599999998</v>
          </cell>
          <cell r="BD1731">
            <v>2352008.9079999998</v>
          </cell>
          <cell r="BE1731">
            <v>2577085.8969999999</v>
          </cell>
          <cell r="BF1731">
            <v>2615222.8059999999</v>
          </cell>
          <cell r="BG1731">
            <v>2653889.335</v>
          </cell>
          <cell r="BH1731">
            <v>2693104.4959999998</v>
          </cell>
          <cell r="BI1731">
            <v>2732888.68</v>
          </cell>
        </row>
        <row r="1760">
          <cell r="F1760">
            <v>0.99038800640000002</v>
          </cell>
          <cell r="G1760">
            <v>1.00353504</v>
          </cell>
          <cell r="H1760">
            <v>1.0149279200000001</v>
          </cell>
          <cell r="I1760">
            <v>1.027661827</v>
          </cell>
          <cell r="J1760">
            <v>1.0424177450000001</v>
          </cell>
          <cell r="K1760">
            <v>1.0596261490000001</v>
          </cell>
          <cell r="L1760">
            <v>1.0795502189999999</v>
          </cell>
          <cell r="M1760">
            <v>1.101957187</v>
          </cell>
          <cell r="N1760">
            <v>1.126843984</v>
          </cell>
          <cell r="O1760">
            <v>1.154032041</v>
          </cell>
          <cell r="P1760">
            <v>1.1831996709999999</v>
          </cell>
          <cell r="Q1760">
            <v>1.21472399</v>
          </cell>
          <cell r="R1760">
            <v>1.2477804720000001</v>
          </cell>
          <cell r="S1760">
            <v>1.2823816640000001</v>
          </cell>
          <cell r="T1760">
            <v>1.3183359079999999</v>
          </cell>
          <cell r="U1760">
            <v>1.355477287</v>
          </cell>
          <cell r="V1760">
            <v>1.3937118100000001</v>
          </cell>
          <cell r="W1760">
            <v>1.432879118</v>
          </cell>
          <cell r="X1760">
            <v>1.4729061809999999</v>
          </cell>
          <cell r="Y1760">
            <v>1.513728792</v>
          </cell>
          <cell r="Z1760">
            <v>1.5553893889999999</v>
          </cell>
          <cell r="AA1760">
            <v>1.5974336330000001</v>
          </cell>
          <cell r="AB1760">
            <v>1.640311292</v>
          </cell>
          <cell r="AC1760">
            <v>1.68387799</v>
          </cell>
          <cell r="AD1760">
            <v>1.728174026</v>
          </cell>
          <cell r="AE1760">
            <v>1.7735022519999999</v>
          </cell>
          <cell r="AF1760">
            <v>1.8187321839999999</v>
          </cell>
          <cell r="AG1760">
            <v>1.8648248780000001</v>
          </cell>
          <cell r="AH1760">
            <v>1.9115344510000001</v>
          </cell>
          <cell r="AI1760">
            <v>1.9589235149999999</v>
          </cell>
          <cell r="AJ1760">
            <v>2.0070806999999999</v>
          </cell>
          <cell r="AK1760">
            <v>2.0560922100000001</v>
          </cell>
          <cell r="AL1760">
            <v>2.1060893809999999</v>
          </cell>
          <cell r="AM1760">
            <v>2.1571834110000001</v>
          </cell>
          <cell r="AN1760">
            <v>2.2094869799999999</v>
          </cell>
          <cell r="AO1760">
            <v>2.2631059480000002</v>
          </cell>
          <cell r="AP1760">
            <v>2.3179981199999999</v>
          </cell>
          <cell r="AQ1760">
            <v>2.374160899</v>
          </cell>
          <cell r="AR1760">
            <v>2.4317211809999999</v>
          </cell>
          <cell r="AS1760">
            <v>2.4907308050000001</v>
          </cell>
          <cell r="AT1760">
            <v>2.551246999</v>
          </cell>
          <cell r="AU1760">
            <v>2.6132959310000001</v>
          </cell>
          <cell r="AV1760">
            <v>2.6769801279999998</v>
          </cell>
          <cell r="AW1760">
            <v>2.7423680570000002</v>
          </cell>
          <cell r="AX1760">
            <v>2.8095389590000002</v>
          </cell>
          <cell r="AY1760">
            <v>2.8785708400000001</v>
          </cell>
          <cell r="AZ1760">
            <v>2.9493823790000002</v>
          </cell>
          <cell r="BA1760">
            <v>3.0221905229999999</v>
          </cell>
          <cell r="BB1760">
            <v>3.0221894059999999</v>
          </cell>
          <cell r="BC1760">
            <v>3.0221882120000001</v>
          </cell>
          <cell r="BD1760">
            <v>3.022188345</v>
          </cell>
          <cell r="BE1760">
            <v>2.807915903</v>
          </cell>
          <cell r="BF1760">
            <v>2.8628385230000002</v>
          </cell>
          <cell r="BG1760">
            <v>2.9186834789999998</v>
          </cell>
          <cell r="BH1760">
            <v>2.9754758730000002</v>
          </cell>
          <cell r="BI1760">
            <v>3.0332420710000001</v>
          </cell>
        </row>
        <row r="1789">
          <cell r="F1789">
            <v>0.9987261274</v>
          </cell>
          <cell r="G1789">
            <v>1.0188694170000001</v>
          </cell>
          <cell r="H1789">
            <v>1.0388094299999999</v>
          </cell>
          <cell r="I1789">
            <v>1.060068668</v>
          </cell>
          <cell r="J1789">
            <v>1.0826897900000001</v>
          </cell>
          <cell r="K1789">
            <v>1.106779119</v>
          </cell>
          <cell r="L1789">
            <v>1.1324691259999999</v>
          </cell>
          <cell r="M1789">
            <v>1.159526754</v>
          </cell>
          <cell r="N1789">
            <v>1.188024926</v>
          </cell>
          <cell r="O1789">
            <v>1.217898556</v>
          </cell>
          <cell r="P1789">
            <v>1.248952614</v>
          </cell>
          <cell r="Q1789">
            <v>1.281678877</v>
          </cell>
          <cell r="R1789">
            <v>1.3153990120000001</v>
          </cell>
          <cell r="S1789">
            <v>1.350228207</v>
          </cell>
          <cell r="T1789">
            <v>1.386063764</v>
          </cell>
          <cell r="U1789">
            <v>1.422811965</v>
          </cell>
          <cell r="V1789">
            <v>1.4603933419999999</v>
          </cell>
          <cell r="W1789">
            <v>1.498745574</v>
          </cell>
          <cell r="X1789">
            <v>1.5378242849999999</v>
          </cell>
          <cell r="Y1789">
            <v>1.57760236</v>
          </cell>
          <cell r="Z1789">
            <v>1.6181580739999999</v>
          </cell>
          <cell r="AA1789">
            <v>1.659057722</v>
          </cell>
          <cell r="AB1789">
            <v>1.700774499</v>
          </cell>
          <cell r="AC1789">
            <v>1.743180731</v>
          </cell>
          <cell r="AD1789">
            <v>1.7863286009999999</v>
          </cell>
          <cell r="AE1789">
            <v>1.83053811</v>
          </cell>
          <cell r="AF1789">
            <v>1.874706516</v>
          </cell>
          <cell r="AG1789">
            <v>1.9197601769999999</v>
          </cell>
          <cell r="AH1789">
            <v>1.9654554909999999</v>
          </cell>
          <cell r="AI1789">
            <v>2.0118432799999999</v>
          </cell>
          <cell r="AJ1789">
            <v>2.058998259</v>
          </cell>
          <cell r="AK1789">
            <v>2.1070102570000002</v>
          </cell>
          <cell r="AL1789">
            <v>2.1559755979999999</v>
          </cell>
          <cell r="AM1789">
            <v>2.2059902899999999</v>
          </cell>
          <cell r="AN1789">
            <v>2.2571453849999998</v>
          </cell>
          <cell r="AO1789">
            <v>2.3095243139999999</v>
          </cell>
          <cell r="AP1789">
            <v>2.3632670760000001</v>
          </cell>
          <cell r="AQ1789">
            <v>2.41817847</v>
          </cell>
          <cell r="AR1789">
            <v>2.4743992279999998</v>
          </cell>
          <cell r="AS1789">
            <v>2.5319482739999999</v>
          </cell>
          <cell r="AT1789">
            <v>2.590853428</v>
          </cell>
          <cell r="AU1789">
            <v>2.651153731</v>
          </cell>
          <cell r="AV1789">
            <v>2.7128989649999999</v>
          </cell>
          <cell r="AW1789">
            <v>2.7761473919999999</v>
          </cell>
          <cell r="AX1789">
            <v>2.8409628329999999</v>
          </cell>
          <cell r="AY1789">
            <v>2.9074118879999999</v>
          </cell>
          <cell r="AZ1789">
            <v>2.9755555509999998</v>
          </cell>
          <cell r="BA1789">
            <v>3.0454851559999998</v>
          </cell>
          <cell r="BB1789">
            <v>3.1172571250000001</v>
          </cell>
          <cell r="BC1789">
            <v>3.1909372029999998</v>
          </cell>
          <cell r="BD1789">
            <v>3.266588155</v>
          </cell>
          <cell r="BE1789">
            <v>2.7865971890000001</v>
          </cell>
          <cell r="BF1789">
            <v>2.8403224690000002</v>
          </cell>
          <cell r="BG1789">
            <v>2.894939376</v>
          </cell>
          <cell r="BH1789">
            <v>2.950470615</v>
          </cell>
          <cell r="BI1789">
            <v>3.0069409239999998</v>
          </cell>
        </row>
      </sheetData>
      <sheetData sheetId="7"/>
      <sheetData sheetId="8">
        <row r="820">
          <cell r="B820">
            <v>350.56780099999997</v>
          </cell>
          <cell r="C820">
            <v>352.95129300000002</v>
          </cell>
          <cell r="D820">
            <v>355.06172720000001</v>
          </cell>
          <cell r="E820">
            <v>357.43533389999999</v>
          </cell>
          <cell r="F820">
            <v>360.22980919999998</v>
          </cell>
          <cell r="G820">
            <v>363.44432999999998</v>
          </cell>
          <cell r="H820">
            <v>366.8496323</v>
          </cell>
          <cell r="I820">
            <v>370.46238840000001</v>
          </cell>
          <cell r="J820">
            <v>374.25175089999999</v>
          </cell>
          <cell r="K820">
            <v>378.1786358</v>
          </cell>
          <cell r="L820">
            <v>382.50815039999998</v>
          </cell>
          <cell r="M820">
            <v>386.76306010000002</v>
          </cell>
          <cell r="N820">
            <v>391.01417249999997</v>
          </cell>
          <cell r="O820">
            <v>395.27655600000003</v>
          </cell>
          <cell r="P820">
            <v>399.54966139999999</v>
          </cell>
          <cell r="Q820">
            <v>403.83108090000002</v>
          </cell>
          <cell r="R820">
            <v>408.12046359999999</v>
          </cell>
          <cell r="S820">
            <v>412.41994299999999</v>
          </cell>
          <cell r="T820">
            <v>416.73419560000002</v>
          </cell>
          <cell r="U820">
            <v>421.06970310000003</v>
          </cell>
          <cell r="V820">
            <v>425.21727750000002</v>
          </cell>
          <cell r="W820">
            <v>429.5089183</v>
          </cell>
          <cell r="X820">
            <v>433.88625400000001</v>
          </cell>
          <cell r="Y820">
            <v>438.33530289999999</v>
          </cell>
          <cell r="Z820">
            <v>442.85611499999999</v>
          </cell>
          <cell r="AA820">
            <v>446.83546280000002</v>
          </cell>
          <cell r="AB820">
            <v>450.90674689999997</v>
          </cell>
          <cell r="AC820">
            <v>455.02475879999997</v>
          </cell>
          <cell r="AD820">
            <v>459.1837587</v>
          </cell>
          <cell r="AE820">
            <v>463.39057889999998</v>
          </cell>
          <cell r="AF820">
            <v>467.65443269999997</v>
          </cell>
          <cell r="AG820">
            <v>471.98342239999999</v>
          </cell>
          <cell r="AH820">
            <v>476.38359070000001</v>
          </cell>
          <cell r="AI820">
            <v>480.85870340000002</v>
          </cell>
          <cell r="AJ820">
            <v>485.41044970000002</v>
          </cell>
          <cell r="AK820">
            <v>490.0388246</v>
          </cell>
          <cell r="AL820">
            <v>494.5979279</v>
          </cell>
          <cell r="AM820">
            <v>499.15612090000002</v>
          </cell>
          <cell r="AN820">
            <v>503.73694490000003</v>
          </cell>
          <cell r="AO820">
            <v>508.35001599999998</v>
          </cell>
          <cell r="AP820">
            <v>513.00082250000003</v>
          </cell>
          <cell r="AQ820">
            <v>517.69358999999997</v>
          </cell>
          <cell r="AR820">
            <v>522.43199570000002</v>
          </cell>
          <cell r="AS820">
            <v>527.2192556</v>
          </cell>
          <cell r="AT820">
            <v>532.05808030000003</v>
          </cell>
          <cell r="AU820">
            <v>536.95065799999998</v>
          </cell>
          <cell r="AV820">
            <v>541.91145100000006</v>
          </cell>
          <cell r="AW820">
            <v>546.93553029999998</v>
          </cell>
          <cell r="AX820">
            <v>552.02165930000001</v>
          </cell>
          <cell r="AY820">
            <v>557.16965679999998</v>
          </cell>
          <cell r="AZ820">
            <v>562.37966830000005</v>
          </cell>
          <cell r="BA820">
            <v>639.6781585</v>
          </cell>
          <cell r="BB820">
            <v>648.44547050000006</v>
          </cell>
          <cell r="BC820">
            <v>657.34065229999999</v>
          </cell>
          <cell r="BD820">
            <v>666.36737129999995</v>
          </cell>
          <cell r="BE820">
            <v>675.52932920000001</v>
          </cell>
        </row>
        <row r="821">
          <cell r="B821">
            <v>215.79568739999999</v>
          </cell>
          <cell r="C821">
            <v>218.19942810000001</v>
          </cell>
          <cell r="D821">
            <v>220.6893202</v>
          </cell>
          <cell r="E821">
            <v>223.37924580000001</v>
          </cell>
          <cell r="F821">
            <v>226.3068103</v>
          </cell>
          <cell r="G821">
            <v>229.4645721</v>
          </cell>
          <cell r="H821">
            <v>232.68840990000001</v>
          </cell>
          <cell r="I821">
            <v>236.0108391</v>
          </cell>
          <cell r="J821">
            <v>239.42293839999999</v>
          </cell>
          <cell r="K821">
            <v>242.90490919999999</v>
          </cell>
          <cell r="L821">
            <v>246.6748892</v>
          </cell>
          <cell r="M821">
            <v>250.35931009999999</v>
          </cell>
          <cell r="N821">
            <v>254.01958250000001</v>
          </cell>
          <cell r="O821">
            <v>257.67107750000002</v>
          </cell>
          <cell r="P821">
            <v>261.31622199999998</v>
          </cell>
          <cell r="Q821">
            <v>264.95596660000001</v>
          </cell>
          <cell r="R821">
            <v>268.59302680000002</v>
          </cell>
          <cell r="S821">
            <v>272.23235019999998</v>
          </cell>
          <cell r="T821">
            <v>275.88070169999997</v>
          </cell>
          <cell r="U821">
            <v>279.54600729999999</v>
          </cell>
          <cell r="V821">
            <v>283.0626762</v>
          </cell>
          <cell r="W821">
            <v>286.70016820000001</v>
          </cell>
          <cell r="X821">
            <v>290.4120613</v>
          </cell>
          <cell r="Y821">
            <v>294.18855589999998</v>
          </cell>
          <cell r="Z821">
            <v>298.03089899999998</v>
          </cell>
          <cell r="AA821">
            <v>301.44505750000002</v>
          </cell>
          <cell r="AB821">
            <v>304.9444125</v>
          </cell>
          <cell r="AC821">
            <v>308.49011259999997</v>
          </cell>
          <cell r="AD821">
            <v>312.07711810000001</v>
          </cell>
          <cell r="AE821">
            <v>315.71101859999999</v>
          </cell>
          <cell r="AF821">
            <v>319.39943479999999</v>
          </cell>
          <cell r="AG821">
            <v>323.14904460000002</v>
          </cell>
          <cell r="AH821">
            <v>326.96459190000002</v>
          </cell>
          <cell r="AI821">
            <v>330.84869420000001</v>
          </cell>
          <cell r="AJ821">
            <v>334.80202759999997</v>
          </cell>
          <cell r="AK821">
            <v>338.82369119999998</v>
          </cell>
          <cell r="AL821">
            <v>342.79362950000001</v>
          </cell>
          <cell r="AM821">
            <v>346.76681389999999</v>
          </cell>
          <cell r="AN821">
            <v>350.76115579999998</v>
          </cell>
          <cell r="AO821">
            <v>354.78334310000002</v>
          </cell>
          <cell r="AP821">
            <v>358.83701430000002</v>
          </cell>
          <cell r="AQ821">
            <v>362.92508220000002</v>
          </cell>
          <cell r="AR821">
            <v>367.05024129999998</v>
          </cell>
          <cell r="AS821">
            <v>371.21494949999999</v>
          </cell>
          <cell r="AT821">
            <v>375.42131260000002</v>
          </cell>
          <cell r="AU821">
            <v>379.67100859999999</v>
          </cell>
          <cell r="AV821">
            <v>383.97579489999998</v>
          </cell>
          <cell r="AW821">
            <v>388.3313698</v>
          </cell>
          <cell r="AX821">
            <v>392.73647130000001</v>
          </cell>
          <cell r="AY821">
            <v>397.19066559999999</v>
          </cell>
          <cell r="AZ821">
            <v>401.69374829999998</v>
          </cell>
          <cell r="BA821">
            <v>474.56909780000001</v>
          </cell>
          <cell r="BB821">
            <v>482.29074939999998</v>
          </cell>
          <cell r="BC821">
            <v>490.12448920000003</v>
          </cell>
          <cell r="BD821">
            <v>498.07311490000001</v>
          </cell>
          <cell r="BE821">
            <v>506.13955979999997</v>
          </cell>
        </row>
        <row r="822">
          <cell r="B822">
            <v>2.7581148100000001E-2</v>
          </cell>
          <cell r="C822">
            <v>2.77458654E-2</v>
          </cell>
          <cell r="D822">
            <v>2.7884312200000001E-2</v>
          </cell>
          <cell r="E822">
            <v>2.80157633E-2</v>
          </cell>
          <cell r="F822">
            <v>2.81485499E-2</v>
          </cell>
          <cell r="G822">
            <v>2.8283961699999999E-2</v>
          </cell>
          <cell r="H822">
            <v>2.8398054499999999E-2</v>
          </cell>
          <cell r="I822">
            <v>2.8501213399999999E-2</v>
          </cell>
          <cell r="J822">
            <v>2.8597037499999998E-2</v>
          </cell>
          <cell r="K822">
            <v>2.8687745800000001E-2</v>
          </cell>
          <cell r="L822">
            <v>2.8811775599999999E-2</v>
          </cell>
          <cell r="M822">
            <v>2.8911757499999999E-2</v>
          </cell>
          <cell r="N822">
            <v>2.9001209199999999E-2</v>
          </cell>
          <cell r="O822">
            <v>2.9085109800000002E-2</v>
          </cell>
          <cell r="P822">
            <v>2.9167037900000001E-2</v>
          </cell>
          <cell r="Q822">
            <v>2.9249601E-2</v>
          </cell>
          <cell r="R822">
            <v>2.9334559499999999E-2</v>
          </cell>
          <cell r="S822">
            <v>2.9422911400000001E-2</v>
          </cell>
          <cell r="T822">
            <v>2.95150117E-2</v>
          </cell>
          <cell r="U822">
            <v>2.9610722400000001E-2</v>
          </cell>
          <cell r="V822">
            <v>2.9685450299999999E-2</v>
          </cell>
          <cell r="W822">
            <v>2.9777030199999999E-2</v>
          </cell>
          <cell r="X822">
            <v>2.9876757899999998E-2</v>
          </cell>
          <cell r="Y822">
            <v>2.9981443999999999E-2</v>
          </cell>
          <cell r="Z822">
            <v>3.00887684E-2</v>
          </cell>
          <cell r="AA822">
            <v>3.0131347700000002E-2</v>
          </cell>
          <cell r="AB822">
            <v>3.018185E-2</v>
          </cell>
          <cell r="AC822">
            <v>3.0236108899999999E-2</v>
          </cell>
          <cell r="AD822">
            <v>3.02950549E-2</v>
          </cell>
          <cell r="AE822">
            <v>3.0358789300000001E-2</v>
          </cell>
          <cell r="AF822">
            <v>3.0426627500000001E-2</v>
          </cell>
          <cell r="AG822">
            <v>3.0497386000000001E-2</v>
          </cell>
          <cell r="AH822">
            <v>3.05697053E-2</v>
          </cell>
          <cell r="AI822">
            <v>3.0642314600000001E-2</v>
          </cell>
          <cell r="AJ822">
            <v>3.0714206399999999E-2</v>
          </cell>
          <cell r="AK822">
            <v>3.0784721099999999E-2</v>
          </cell>
          <cell r="AL822">
            <v>3.0839628000000001E-2</v>
          </cell>
          <cell r="AM822">
            <v>3.08871805E-2</v>
          </cell>
          <cell r="AN822">
            <v>3.0931265600000001E-2</v>
          </cell>
          <cell r="AO822">
            <v>3.0974476399999999E-2</v>
          </cell>
          <cell r="AP822">
            <v>3.10184638E-2</v>
          </cell>
          <cell r="AQ822">
            <v>3.10641192E-2</v>
          </cell>
          <cell r="AR822">
            <v>3.1111737099999998E-2</v>
          </cell>
          <cell r="AS822">
            <v>3.1161184500000001E-2</v>
          </cell>
          <cell r="AT822">
            <v>3.12120673E-2</v>
          </cell>
          <cell r="AU822">
            <v>3.1263876099999997E-2</v>
          </cell>
          <cell r="AV822">
            <v>3.1317215199999998E-2</v>
          </cell>
          <cell r="AW822">
            <v>3.13709946E-2</v>
          </cell>
          <cell r="AX822">
            <v>3.1424610499999998E-2</v>
          </cell>
          <cell r="AY822">
            <v>3.1477704299999999E-2</v>
          </cell>
          <cell r="AZ822">
            <v>3.1530118599999997E-2</v>
          </cell>
          <cell r="BA822">
            <v>6.0566186100000002E-2</v>
          </cell>
          <cell r="BB822">
            <v>6.1565169099999997E-2</v>
          </cell>
          <cell r="BC822">
            <v>6.25808957E-2</v>
          </cell>
          <cell r="BD822">
            <v>6.3613768000000001E-2</v>
          </cell>
          <cell r="BE822">
            <v>6.4664205099999997E-2</v>
          </cell>
        </row>
        <row r="823">
          <cell r="B823">
            <v>15.254046539999999</v>
          </cell>
          <cell r="C823">
            <v>15.4545244</v>
          </cell>
          <cell r="D823">
            <v>15.672255379999999</v>
          </cell>
          <cell r="E823">
            <v>15.90243989</v>
          </cell>
          <cell r="F823">
            <v>16.142899969999998</v>
          </cell>
          <cell r="G823">
            <v>16.392022040000001</v>
          </cell>
          <cell r="H823">
            <v>16.63901053</v>
          </cell>
          <cell r="I823">
            <v>16.88869262</v>
          </cell>
          <cell r="J823">
            <v>17.141808860000001</v>
          </cell>
          <cell r="K823">
            <v>17.398527990000002</v>
          </cell>
          <cell r="L823">
            <v>17.675556159999999</v>
          </cell>
          <cell r="M823">
            <v>17.94621209</v>
          </cell>
          <cell r="N823">
            <v>18.218315749999999</v>
          </cell>
          <cell r="O823">
            <v>18.493359460000001</v>
          </cell>
          <cell r="P823">
            <v>18.771854520000002</v>
          </cell>
          <cell r="Q823">
            <v>19.054168059999999</v>
          </cell>
          <cell r="R823">
            <v>19.340644000000001</v>
          </cell>
          <cell r="S823">
            <v>19.631599649999998</v>
          </cell>
          <cell r="T823">
            <v>19.927309449999999</v>
          </cell>
          <cell r="U823">
            <v>20.227997120000001</v>
          </cell>
          <cell r="V823">
            <v>20.521642400000001</v>
          </cell>
          <cell r="W823">
            <v>20.828022140000002</v>
          </cell>
          <cell r="X823">
            <v>21.141614310000001</v>
          </cell>
          <cell r="Y823">
            <v>21.461506440000001</v>
          </cell>
          <cell r="Z823">
            <v>21.787465950000001</v>
          </cell>
          <cell r="AA823">
            <v>22.084227859999999</v>
          </cell>
          <cell r="AB823">
            <v>22.391442380000001</v>
          </cell>
          <cell r="AC823">
            <v>22.702766789999998</v>
          </cell>
          <cell r="AD823">
            <v>23.01768547</v>
          </cell>
          <cell r="AE823">
            <v>23.336441090000001</v>
          </cell>
          <cell r="AF823">
            <v>23.65922617</v>
          </cell>
          <cell r="AG823">
            <v>23.986063690000002</v>
          </cell>
          <cell r="AH823">
            <v>24.316832699999999</v>
          </cell>
          <cell r="AI823">
            <v>24.651324559999999</v>
          </cell>
          <cell r="AJ823">
            <v>24.989295899999998</v>
          </cell>
          <cell r="AK823">
            <v>25.33050785</v>
          </cell>
          <cell r="AL823">
            <v>25.666296209999999</v>
          </cell>
          <cell r="AM823">
            <v>26.001520240000001</v>
          </cell>
          <cell r="AN823">
            <v>26.337276299999999</v>
          </cell>
          <cell r="AO823">
            <v>26.674051639999998</v>
          </cell>
          <cell r="AP823">
            <v>27.012197180000001</v>
          </cell>
          <cell r="AQ823">
            <v>27.351982710000001</v>
          </cell>
          <cell r="AR823">
            <v>27.693595800000001</v>
          </cell>
          <cell r="AS823">
            <v>28.03714682</v>
          </cell>
          <cell r="AT823">
            <v>28.382685810000002</v>
          </cell>
          <cell r="AU823">
            <v>28.730225059999999</v>
          </cell>
          <cell r="AV823">
            <v>29.08052159</v>
          </cell>
          <cell r="AW823">
            <v>29.433121360000001</v>
          </cell>
          <cell r="AX823">
            <v>29.787927849999999</v>
          </cell>
          <cell r="AY823">
            <v>30.144923500000001</v>
          </cell>
          <cell r="AZ823">
            <v>30.504128260000002</v>
          </cell>
          <cell r="BA823">
            <v>35.991009220000002</v>
          </cell>
          <cell r="BB823">
            <v>36.627511069999997</v>
          </cell>
          <cell r="BC823">
            <v>37.272521689999998</v>
          </cell>
          <cell r="BD823">
            <v>37.926061699999998</v>
          </cell>
          <cell r="BE823">
            <v>38.588168609999997</v>
          </cell>
        </row>
        <row r="824">
          <cell r="B824">
            <v>119.490486</v>
          </cell>
          <cell r="C824">
            <v>119.2695946</v>
          </cell>
          <cell r="D824">
            <v>118.6722673</v>
          </cell>
          <cell r="E824">
            <v>118.1256324</v>
          </cell>
          <cell r="F824">
            <v>117.7519503</v>
          </cell>
          <cell r="G824">
            <v>117.55945180000001</v>
          </cell>
          <cell r="H824">
            <v>117.4938138</v>
          </cell>
          <cell r="I824">
            <v>117.5343555</v>
          </cell>
          <cell r="J824">
            <v>117.65840660000001</v>
          </cell>
          <cell r="K824">
            <v>117.8465109</v>
          </cell>
          <cell r="L824">
            <v>118.1288933</v>
          </cell>
          <cell r="M824">
            <v>118.4286261</v>
          </cell>
          <cell r="N824">
            <v>118.7472731</v>
          </cell>
          <cell r="O824">
            <v>119.083034</v>
          </cell>
          <cell r="P824">
            <v>119.4324179</v>
          </cell>
          <cell r="Q824">
            <v>119.79169659999999</v>
          </cell>
          <cell r="R824">
            <v>120.15745819999999</v>
          </cell>
          <cell r="S824">
            <v>120.52657019999999</v>
          </cell>
          <cell r="T824">
            <v>120.8966695</v>
          </cell>
          <cell r="U824">
            <v>121.2660879</v>
          </cell>
          <cell r="V824">
            <v>121.6032735</v>
          </cell>
          <cell r="W824">
            <v>121.9509509</v>
          </cell>
          <cell r="X824">
            <v>122.30270160000001</v>
          </cell>
          <cell r="Y824">
            <v>122.6552592</v>
          </cell>
          <cell r="Z824">
            <v>123.0076612</v>
          </cell>
          <cell r="AA824">
            <v>123.2760461</v>
          </cell>
          <cell r="AB824">
            <v>123.5407101</v>
          </cell>
          <cell r="AC824">
            <v>123.8016434</v>
          </cell>
          <cell r="AD824">
            <v>124.05866</v>
          </cell>
          <cell r="AE824">
            <v>124.3127605</v>
          </cell>
          <cell r="AF824">
            <v>124.5653451</v>
          </cell>
          <cell r="AG824">
            <v>124.81781669999999</v>
          </cell>
          <cell r="AH824">
            <v>125.0715964</v>
          </cell>
          <cell r="AI824">
            <v>125.32804230000001</v>
          </cell>
          <cell r="AJ824">
            <v>125.58841200000001</v>
          </cell>
          <cell r="AK824">
            <v>125.8538408</v>
          </cell>
          <cell r="AL824">
            <v>126.1071625</v>
          </cell>
          <cell r="AM824">
            <v>126.35689960000001</v>
          </cell>
          <cell r="AN824">
            <v>126.6075816</v>
          </cell>
          <cell r="AO824">
            <v>126.8616468</v>
          </cell>
          <cell r="AP824">
            <v>127.12059259999999</v>
          </cell>
          <cell r="AQ824">
            <v>127.3854609</v>
          </cell>
          <cell r="AR824">
            <v>127.6570469</v>
          </cell>
          <cell r="AS824">
            <v>127.93599810000001</v>
          </cell>
          <cell r="AT824">
            <v>128.22286980000001</v>
          </cell>
          <cell r="AU824">
            <v>128.51816049999999</v>
          </cell>
          <cell r="AV824">
            <v>128.82381720000001</v>
          </cell>
          <cell r="AW824">
            <v>129.13966809999999</v>
          </cell>
          <cell r="AX824">
            <v>129.4658355</v>
          </cell>
          <cell r="AY824">
            <v>129.80259000000001</v>
          </cell>
          <cell r="AZ824">
            <v>130.15026159999999</v>
          </cell>
          <cell r="BA824">
            <v>129.0574852</v>
          </cell>
          <cell r="BB824">
            <v>129.4656449</v>
          </cell>
          <cell r="BC824">
            <v>129.88106049999999</v>
          </cell>
          <cell r="BD824">
            <v>130.30458100000001</v>
          </cell>
          <cell r="BE824">
            <v>130.73693650000001</v>
          </cell>
        </row>
        <row r="825">
          <cell r="B825">
            <v>345.95056140000003</v>
          </cell>
          <cell r="C825">
            <v>346.30684680000002</v>
          </cell>
          <cell r="D825">
            <v>346.8074135</v>
          </cell>
          <cell r="E825">
            <v>347.75810790000003</v>
          </cell>
          <cell r="F825">
            <v>349.33482550000002</v>
          </cell>
          <cell r="G825">
            <v>351.55375700000002</v>
          </cell>
          <cell r="H825">
            <v>354.17438950000002</v>
          </cell>
          <cell r="I825">
            <v>357.17400470000001</v>
          </cell>
          <cell r="J825">
            <v>360.47826789999999</v>
          </cell>
          <cell r="K825">
            <v>364.01000049999999</v>
          </cell>
          <cell r="L825">
            <v>367.98838599999999</v>
          </cell>
          <cell r="M825">
            <v>371.91245989999999</v>
          </cell>
          <cell r="N825">
            <v>375.83453600000001</v>
          </cell>
          <cell r="O825">
            <v>379.75571189999999</v>
          </cell>
          <cell r="P825">
            <v>383.66417689999997</v>
          </cell>
          <cell r="Q825">
            <v>387.5491404</v>
          </cell>
          <cell r="R825">
            <v>391.39071130000002</v>
          </cell>
          <cell r="S825">
            <v>395.19492409999998</v>
          </cell>
          <cell r="T825">
            <v>398.96864649999998</v>
          </cell>
          <cell r="U825">
            <v>402.7206046</v>
          </cell>
          <cell r="V825">
            <v>406.25471229999999</v>
          </cell>
          <cell r="W825">
            <v>409.8916931</v>
          </cell>
          <cell r="X825">
            <v>413.5824758</v>
          </cell>
          <cell r="Y825">
            <v>417.31881700000002</v>
          </cell>
          <cell r="Z825">
            <v>421.1059161</v>
          </cell>
          <cell r="AA825">
            <v>424.36888429999999</v>
          </cell>
          <cell r="AB825">
            <v>427.71445219999998</v>
          </cell>
          <cell r="AC825">
            <v>431.10695240000001</v>
          </cell>
          <cell r="AD825">
            <v>434.54468589999999</v>
          </cell>
          <cell r="AE825">
            <v>438.03730180000002</v>
          </cell>
          <cell r="AF825">
            <v>441.59613899999999</v>
          </cell>
          <cell r="AG825">
            <v>445.23300749999999</v>
          </cell>
          <cell r="AH825">
            <v>448.95465589999998</v>
          </cell>
          <cell r="AI825">
            <v>452.7653459</v>
          </cell>
          <cell r="AJ825">
            <v>456.66733119999998</v>
          </cell>
          <cell r="AK825">
            <v>460.66110179999998</v>
          </cell>
          <cell r="AL825">
            <v>464.62541720000002</v>
          </cell>
          <cell r="AM825">
            <v>468.61998340000002</v>
          </cell>
          <cell r="AN825">
            <v>472.66327990000002</v>
          </cell>
          <cell r="AO825">
            <v>476.76251439999999</v>
          </cell>
          <cell r="AP825">
            <v>480.92132609999999</v>
          </cell>
          <cell r="AQ825">
            <v>485.14380840000001</v>
          </cell>
          <cell r="AR825">
            <v>489.43140440000002</v>
          </cell>
          <cell r="AS825">
            <v>493.78454540000001</v>
          </cell>
          <cell r="AT825">
            <v>498.20347600000002</v>
          </cell>
          <cell r="AU825">
            <v>502.68814500000002</v>
          </cell>
          <cell r="AV825">
            <v>507.25471649999997</v>
          </cell>
          <cell r="AW825">
            <v>511.89796050000001</v>
          </cell>
          <cell r="AX825">
            <v>513.27661069999999</v>
          </cell>
          <cell r="AY825">
            <v>516.72687280000002</v>
          </cell>
          <cell r="AZ825">
            <v>517.12944579999998</v>
          </cell>
          <cell r="BA825">
            <v>638.12864630000001</v>
          </cell>
          <cell r="BB825">
            <v>646.94552759999999</v>
          </cell>
          <cell r="BC825">
            <v>655.8961663</v>
          </cell>
          <cell r="BD825">
            <v>664.98381870000003</v>
          </cell>
          <cell r="BE825">
            <v>674.21214689999999</v>
          </cell>
        </row>
        <row r="826">
          <cell r="B826">
            <v>211.38424509999999</v>
          </cell>
          <cell r="C826">
            <v>211.96264959999999</v>
          </cell>
          <cell r="D826">
            <v>213.2035841</v>
          </cell>
          <cell r="E826">
            <v>214.91079909999999</v>
          </cell>
          <cell r="F826">
            <v>217.08062810000001</v>
          </cell>
          <cell r="G826">
            <v>219.68217250000001</v>
          </cell>
          <cell r="H826">
            <v>222.51925750000001</v>
          </cell>
          <cell r="I826">
            <v>225.58195979999999</v>
          </cell>
          <cell r="J826">
            <v>228.82140720000001</v>
          </cell>
          <cell r="K826">
            <v>232.18289429999999</v>
          </cell>
          <cell r="L826">
            <v>235.8452757</v>
          </cell>
          <cell r="M826">
            <v>239.41895360000001</v>
          </cell>
          <cell r="N826">
            <v>242.9477909</v>
          </cell>
          <cell r="O826">
            <v>246.43517309999999</v>
          </cell>
          <cell r="P826">
            <v>249.87546219999999</v>
          </cell>
          <cell r="Q826">
            <v>253.2649816</v>
          </cell>
          <cell r="R826">
            <v>256.59736220000002</v>
          </cell>
          <cell r="S826">
            <v>259.88111689999999</v>
          </cell>
          <cell r="T826">
            <v>263.12674270000002</v>
          </cell>
          <cell r="U826">
            <v>266.34637459999999</v>
          </cell>
          <cell r="V826">
            <v>269.38772519999998</v>
          </cell>
          <cell r="W826">
            <v>272.51214349999998</v>
          </cell>
          <cell r="X826">
            <v>275.68299710000002</v>
          </cell>
          <cell r="Y826">
            <v>278.89648829999999</v>
          </cell>
          <cell r="Z826">
            <v>282.15898019999997</v>
          </cell>
          <cell r="AA826">
            <v>285.00920059999999</v>
          </cell>
          <cell r="AB826">
            <v>287.93540680000001</v>
          </cell>
          <cell r="AC826">
            <v>290.90914470000001</v>
          </cell>
          <cell r="AD826">
            <v>293.92953920000002</v>
          </cell>
          <cell r="AE826">
            <v>297.00476040000001</v>
          </cell>
          <cell r="AF826">
            <v>300.14414190000002</v>
          </cell>
          <cell r="AG826">
            <v>303.35602069999999</v>
          </cell>
          <cell r="AH826">
            <v>306.64619879999998</v>
          </cell>
          <cell r="AI826">
            <v>310.01770579999999</v>
          </cell>
          <cell r="AJ826">
            <v>313.47152599999998</v>
          </cell>
          <cell r="AK826">
            <v>317.00693710000002</v>
          </cell>
          <cell r="AL826">
            <v>320.51359609999997</v>
          </cell>
          <cell r="AM826">
            <v>324.04572580000001</v>
          </cell>
          <cell r="AN826">
            <v>327.61924219999997</v>
          </cell>
          <cell r="AO826">
            <v>331.23960879999998</v>
          </cell>
          <cell r="AP826">
            <v>334.9090228</v>
          </cell>
          <cell r="AQ826">
            <v>338.62827959999998</v>
          </cell>
          <cell r="AR826">
            <v>342.39887659999999</v>
          </cell>
          <cell r="AS826">
            <v>346.22078520000002</v>
          </cell>
          <cell r="AT826">
            <v>350.09360959999998</v>
          </cell>
          <cell r="AU826">
            <v>354.0166016</v>
          </cell>
          <cell r="AV826">
            <v>357.99633189999997</v>
          </cell>
          <cell r="AW826">
            <v>362.0315688</v>
          </cell>
          <cell r="AX826">
            <v>363.41513170000002</v>
          </cell>
          <cell r="AY826">
            <v>366.85687969999998</v>
          </cell>
          <cell r="AZ826">
            <v>367.25618300000002</v>
          </cell>
          <cell r="BA826">
            <v>475.66387520000001</v>
          </cell>
          <cell r="BB826">
            <v>483.47314180000001</v>
          </cell>
          <cell r="BC826">
            <v>491.39786800000002</v>
          </cell>
          <cell r="BD826">
            <v>499.44100100000003</v>
          </cell>
          <cell r="BE826">
            <v>507.60555479999999</v>
          </cell>
        </row>
        <row r="827">
          <cell r="B827">
            <v>2.7047184799999999E-2</v>
          </cell>
          <cell r="C827">
            <v>2.72398773E-2</v>
          </cell>
          <cell r="D827">
            <v>2.75072879E-2</v>
          </cell>
          <cell r="E827">
            <v>2.7795796300000002E-2</v>
          </cell>
          <cell r="F827">
            <v>2.80702174E-2</v>
          </cell>
          <cell r="G827">
            <v>2.83060802E-2</v>
          </cell>
          <cell r="H827">
            <v>2.8467064399999999E-2</v>
          </cell>
          <cell r="I827">
            <v>2.8563257000000002E-2</v>
          </cell>
          <cell r="J827">
            <v>2.8605469500000001E-2</v>
          </cell>
          <cell r="K827">
            <v>2.8607620399999999E-2</v>
          </cell>
          <cell r="L827">
            <v>2.86212351E-2</v>
          </cell>
          <cell r="M827">
            <v>2.8599825999999998E-2</v>
          </cell>
          <cell r="N827">
            <v>2.8568845200000002E-2</v>
          </cell>
          <cell r="O827">
            <v>2.8541026300000001E-2</v>
          </cell>
          <cell r="P827">
            <v>2.85246548E-2</v>
          </cell>
          <cell r="Q827">
            <v>2.8524324199999999E-2</v>
          </cell>
          <cell r="R827">
            <v>2.8539938399999999E-2</v>
          </cell>
          <cell r="S827">
            <v>2.8571922499999999E-2</v>
          </cell>
          <cell r="T827">
            <v>2.86180503E-2</v>
          </cell>
          <cell r="U827">
            <v>2.8675263699999998E-2</v>
          </cell>
          <cell r="V827">
            <v>2.8716900900000002E-2</v>
          </cell>
          <cell r="W827">
            <v>2.8776747700000001E-2</v>
          </cell>
          <cell r="X827">
            <v>2.8844392199999999E-2</v>
          </cell>
          <cell r="Y827">
            <v>2.8914923499999998E-2</v>
          </cell>
          <cell r="Z827">
            <v>2.89847895E-2</v>
          </cell>
          <cell r="AA827">
            <v>2.8988545300000002E-2</v>
          </cell>
          <cell r="AB827">
            <v>2.8995825999999999E-2</v>
          </cell>
          <cell r="AC827">
            <v>2.9003025000000002E-2</v>
          </cell>
          <cell r="AD827">
            <v>2.9011392E-2</v>
          </cell>
          <cell r="AE827">
            <v>2.90214744E-2</v>
          </cell>
          <cell r="AF827">
            <v>2.9033164300000001E-2</v>
          </cell>
          <cell r="AG827">
            <v>2.9046240099999999E-2</v>
          </cell>
          <cell r="AH827">
            <v>2.9059917599999999E-2</v>
          </cell>
          <cell r="AI827">
            <v>2.90736022E-2</v>
          </cell>
          <cell r="AJ827">
            <v>2.9086852400000002E-2</v>
          </cell>
          <cell r="AK827">
            <v>2.90994431E-2</v>
          </cell>
          <cell r="AL827">
            <v>2.9100688600000001E-2</v>
          </cell>
          <cell r="AM827">
            <v>2.9097562899999999E-2</v>
          </cell>
          <cell r="AN827">
            <v>2.9093925699999999E-2</v>
          </cell>
          <cell r="AO827">
            <v>2.9091943299999999E-2</v>
          </cell>
          <cell r="AP827">
            <v>2.90926317E-2</v>
          </cell>
          <cell r="AQ827">
            <v>2.9096547600000001E-2</v>
          </cell>
          <cell r="AR827">
            <v>2.9103269099999999E-2</v>
          </cell>
          <cell r="AS827">
            <v>2.9112151999999999E-2</v>
          </cell>
          <cell r="AT827">
            <v>2.9122368900000001E-2</v>
          </cell>
          <cell r="AU827">
            <v>2.9133083800000001E-2</v>
          </cell>
          <cell r="AV827">
            <v>2.9145690700000001E-2</v>
          </cell>
          <cell r="AW827">
            <v>2.9158887800000002E-2</v>
          </cell>
          <cell r="AX827">
            <v>2.9158648999999998E-2</v>
          </cell>
          <cell r="AY827">
            <v>2.91580561E-2</v>
          </cell>
          <cell r="AZ827">
            <v>2.9157987900000001E-2</v>
          </cell>
          <cell r="BA827">
            <v>6.0330790299999999E-2</v>
          </cell>
          <cell r="BB827">
            <v>6.1318025399999997E-2</v>
          </cell>
          <cell r="BC827">
            <v>6.2321753899999999E-2</v>
          </cell>
          <cell r="BD827">
            <v>6.3342322300000004E-2</v>
          </cell>
          <cell r="BE827">
            <v>6.4380092700000002E-2</v>
          </cell>
        </row>
        <row r="828">
          <cell r="B828">
            <v>15.048783139999999</v>
          </cell>
          <cell r="C828">
            <v>15.17544163</v>
          </cell>
          <cell r="D828">
            <v>15.3552576</v>
          </cell>
          <cell r="E828">
            <v>15.560884420000001</v>
          </cell>
          <cell r="F828">
            <v>15.780960520000001</v>
          </cell>
          <cell r="G828">
            <v>16.00865396</v>
          </cell>
          <cell r="H828">
            <v>16.230322269999998</v>
          </cell>
          <cell r="I828">
            <v>16.449885439999999</v>
          </cell>
          <cell r="J828">
            <v>16.668399520000001</v>
          </cell>
          <cell r="K828">
            <v>16.886987529999999</v>
          </cell>
          <cell r="L828">
            <v>17.123061580000002</v>
          </cell>
          <cell r="M828">
            <v>17.350561540000001</v>
          </cell>
          <cell r="N828">
            <v>17.5785406</v>
          </cell>
          <cell r="O828">
            <v>17.809086260000001</v>
          </cell>
          <cell r="P828">
            <v>18.042934710000001</v>
          </cell>
          <cell r="Q828">
            <v>18.28042744</v>
          </cell>
          <cell r="R828">
            <v>18.520720390000001</v>
          </cell>
          <cell r="S828">
            <v>18.764524819999998</v>
          </cell>
          <cell r="T828">
            <v>19.012068339999999</v>
          </cell>
          <cell r="U828">
            <v>19.263503740000001</v>
          </cell>
          <cell r="V828">
            <v>19.50727826</v>
          </cell>
          <cell r="W828">
            <v>19.76255402</v>
          </cell>
          <cell r="X828">
            <v>20.02405912</v>
          </cell>
          <cell r="Y828">
            <v>20.291037620000001</v>
          </cell>
          <cell r="Z828">
            <v>20.563413570000002</v>
          </cell>
          <cell r="AA828">
            <v>20.80775401</v>
          </cell>
          <cell r="AB828">
            <v>21.062722449999999</v>
          </cell>
          <cell r="AC828">
            <v>21.32209941</v>
          </cell>
          <cell r="AD828">
            <v>21.585437389999999</v>
          </cell>
          <cell r="AE828">
            <v>21.853012119999999</v>
          </cell>
          <cell r="AF828">
            <v>22.125034370000002</v>
          </cell>
          <cell r="AG828">
            <v>22.40177005</v>
          </cell>
          <cell r="AH828">
            <v>22.682987730000001</v>
          </cell>
          <cell r="AI828">
            <v>22.968457040000001</v>
          </cell>
          <cell r="AJ828">
            <v>23.25792349</v>
          </cell>
          <cell r="AK828">
            <v>23.55113437</v>
          </cell>
          <cell r="AL828">
            <v>23.841954399999999</v>
          </cell>
          <cell r="AM828">
            <v>24.13393142</v>
          </cell>
          <cell r="AN828">
            <v>24.427794779999999</v>
          </cell>
          <cell r="AO828">
            <v>24.723800000000001</v>
          </cell>
          <cell r="AP828">
            <v>25.022089619999999</v>
          </cell>
          <cell r="AQ828">
            <v>25.32307471</v>
          </cell>
          <cell r="AR828">
            <v>25.626620330000002</v>
          </cell>
          <cell r="AS828">
            <v>25.93266187</v>
          </cell>
          <cell r="AT828">
            <v>26.241117469999999</v>
          </cell>
          <cell r="AU828">
            <v>26.5518924</v>
          </cell>
          <cell r="AV828">
            <v>26.866725720000002</v>
          </cell>
          <cell r="AW828">
            <v>27.18457961</v>
          </cell>
          <cell r="AX828">
            <v>27.213911580000001</v>
          </cell>
          <cell r="AY828">
            <v>27.218097060000002</v>
          </cell>
          <cell r="AZ828">
            <v>27.213759639999999</v>
          </cell>
          <cell r="BA828">
            <v>35.928563740000001</v>
          </cell>
          <cell r="BB828">
            <v>36.565780830000001</v>
          </cell>
          <cell r="BC828">
            <v>37.211903579999998</v>
          </cell>
          <cell r="BD828">
            <v>37.866942590000001</v>
          </cell>
          <cell r="BE828">
            <v>38.530919849999997</v>
          </cell>
        </row>
        <row r="829">
          <cell r="B829">
            <v>119.490486</v>
          </cell>
          <cell r="C829">
            <v>119.14151560000001</v>
          </cell>
          <cell r="D829">
            <v>118.2210645</v>
          </cell>
          <cell r="E829">
            <v>117.25862859999999</v>
          </cell>
          <cell r="F829">
            <v>116.44516659999999</v>
          </cell>
          <cell r="G829">
            <v>115.8346245</v>
          </cell>
          <cell r="H829">
            <v>115.39634270000001</v>
          </cell>
          <cell r="I829">
            <v>115.1135963</v>
          </cell>
          <cell r="J829">
            <v>114.95985570000001</v>
          </cell>
          <cell r="K829">
            <v>114.911511</v>
          </cell>
          <cell r="L829">
            <v>114.9914275</v>
          </cell>
          <cell r="M829">
            <v>115.11434490000001</v>
          </cell>
          <cell r="N829">
            <v>115.27963560000001</v>
          </cell>
          <cell r="O829">
            <v>115.4829115</v>
          </cell>
          <cell r="P829">
            <v>115.7172554</v>
          </cell>
          <cell r="Q829">
            <v>115.9752069</v>
          </cell>
          <cell r="R829">
            <v>116.2440888</v>
          </cell>
          <cell r="S829">
            <v>116.52071050000001</v>
          </cell>
          <cell r="T829">
            <v>116.8012174</v>
          </cell>
          <cell r="U829">
            <v>117.08205100000001</v>
          </cell>
          <cell r="V829">
            <v>117.3309919</v>
          </cell>
          <cell r="W829">
            <v>117.5882189</v>
          </cell>
          <cell r="X829">
            <v>117.8465752</v>
          </cell>
          <cell r="Y829">
            <v>118.1023761</v>
          </cell>
          <cell r="Z829">
            <v>118.35453750000001</v>
          </cell>
          <cell r="AA829">
            <v>118.5229411</v>
          </cell>
          <cell r="AB829">
            <v>118.6873271</v>
          </cell>
          <cell r="AC829">
            <v>118.8467052</v>
          </cell>
          <cell r="AD829">
            <v>119.0006978</v>
          </cell>
          <cell r="AE829">
            <v>119.15050789999999</v>
          </cell>
          <cell r="AF829">
            <v>119.2979296</v>
          </cell>
          <cell r="AG829">
            <v>119.44617049999999</v>
          </cell>
          <cell r="AH829">
            <v>119.5964094</v>
          </cell>
          <cell r="AI829">
            <v>119.7501094</v>
          </cell>
          <cell r="AJ829">
            <v>119.9087949</v>
          </cell>
          <cell r="AK829">
            <v>120.07393089999999</v>
          </cell>
          <cell r="AL829">
            <v>120.24076599999999</v>
          </cell>
          <cell r="AM829">
            <v>120.4112286</v>
          </cell>
          <cell r="AN829">
            <v>120.587149</v>
          </cell>
          <cell r="AO829">
            <v>120.77001370000001</v>
          </cell>
          <cell r="AP829">
            <v>120.96112100000001</v>
          </cell>
          <cell r="AQ829">
            <v>121.1633575</v>
          </cell>
          <cell r="AR829">
            <v>121.3768042</v>
          </cell>
          <cell r="AS829">
            <v>121.6019862</v>
          </cell>
          <cell r="AT829">
            <v>121.8396266</v>
          </cell>
          <cell r="AU829">
            <v>122.09051789999999</v>
          </cell>
          <cell r="AV829">
            <v>122.3625132</v>
          </cell>
          <cell r="AW829">
            <v>122.6526532</v>
          </cell>
          <cell r="AX829">
            <v>122.6184088</v>
          </cell>
          <cell r="AY829">
            <v>122.622738</v>
          </cell>
          <cell r="AZ829">
            <v>122.63034519999999</v>
          </cell>
          <cell r="BA829">
            <v>126.47587660000001</v>
          </cell>
          <cell r="BB829">
            <v>126.845287</v>
          </cell>
          <cell r="BC829">
            <v>127.2240729</v>
          </cell>
          <cell r="BD829">
            <v>127.6125328</v>
          </cell>
          <cell r="BE829">
            <v>128.01129209999999</v>
          </cell>
        </row>
        <row r="830">
          <cell r="A830" t="str">
            <v>ems_ci_co2_sagr_2</v>
          </cell>
          <cell r="B830">
            <v>14.035820940000001</v>
          </cell>
          <cell r="C830">
            <v>14.10172073</v>
          </cell>
          <cell r="D830">
            <v>14.209958609999999</v>
          </cell>
          <cell r="E830">
            <v>14.33832859</v>
          </cell>
          <cell r="F830">
            <v>14.47409577</v>
          </cell>
          <cell r="G830">
            <v>14.607061679999999</v>
          </cell>
          <cell r="H830">
            <v>14.719486160000001</v>
          </cell>
          <cell r="I830">
            <v>14.81088999</v>
          </cell>
          <cell r="J830">
            <v>14.88354389</v>
          </cell>
          <cell r="K830">
            <v>14.94119686</v>
          </cell>
          <cell r="L830">
            <v>15.005727970000001</v>
          </cell>
          <cell r="M830">
            <v>15.05846258</v>
          </cell>
          <cell r="N830">
            <v>15.104658049999999</v>
          </cell>
          <cell r="O830">
            <v>15.150131139999999</v>
          </cell>
          <cell r="P830">
            <v>15.19892896</v>
          </cell>
          <cell r="Q830">
            <v>15.25344552</v>
          </cell>
          <cell r="R830">
            <v>15.315581099999999</v>
          </cell>
          <cell r="S830">
            <v>15.384291729999999</v>
          </cell>
          <cell r="T830">
            <v>15.45864783</v>
          </cell>
          <cell r="U830">
            <v>15.537384530000001</v>
          </cell>
          <cell r="V830">
            <v>15.60767074</v>
          </cell>
          <cell r="W830">
            <v>15.68414595</v>
          </cell>
          <cell r="X830">
            <v>15.764631339999999</v>
          </cell>
          <cell r="Y830">
            <v>15.84664482</v>
          </cell>
          <cell r="Z830">
            <v>15.92842856</v>
          </cell>
          <cell r="AA830">
            <v>15.977558760000001</v>
          </cell>
          <cell r="AB830">
            <v>16.02233575</v>
          </cell>
          <cell r="AC830">
            <v>16.066613870000001</v>
          </cell>
          <cell r="AD830">
            <v>16.111415879999999</v>
          </cell>
          <cell r="AE830">
            <v>16.157241590000002</v>
          </cell>
          <cell r="AF830">
            <v>16.204282760000002</v>
          </cell>
          <cell r="AG830">
            <v>16.252214859999999</v>
          </cell>
          <cell r="AH830">
            <v>16.301226620000001</v>
          </cell>
          <cell r="AI830">
            <v>16.351201679999999</v>
          </cell>
          <cell r="AJ830">
            <v>16.402014959999999</v>
          </cell>
          <cell r="AK830">
            <v>16.453595880000002</v>
          </cell>
          <cell r="AL830">
            <v>16.496417869999998</v>
          </cell>
          <cell r="AM830">
            <v>16.536381909999999</v>
          </cell>
          <cell r="AN830">
            <v>16.576219559999998</v>
          </cell>
          <cell r="AO830">
            <v>16.617358899999999</v>
          </cell>
          <cell r="AP830">
            <v>16.660467860000001</v>
          </cell>
          <cell r="AQ830">
            <v>16.705235859999998</v>
          </cell>
          <cell r="AR830">
            <v>16.75202548</v>
          </cell>
          <cell r="AS830">
            <v>16.800561160000001</v>
          </cell>
          <cell r="AT830">
            <v>16.850403490000001</v>
          </cell>
          <cell r="AU830">
            <v>16.901083929999999</v>
          </cell>
          <cell r="AV830">
            <v>16.95103091</v>
          </cell>
          <cell r="AW830">
            <v>17.001521650000001</v>
          </cell>
          <cell r="AX830">
            <v>17.050553140000002</v>
          </cell>
          <cell r="AY830">
            <v>17.168042849999999</v>
          </cell>
          <cell r="AZ830">
            <v>17.18116861</v>
          </cell>
          <cell r="BA830">
            <v>32.314755179999999</v>
          </cell>
          <cell r="BB830">
            <v>32.851295200000003</v>
          </cell>
          <cell r="BC830">
            <v>33.39604851</v>
          </cell>
          <cell r="BD830">
            <v>33.949292190000001</v>
          </cell>
          <cell r="BE830">
            <v>34.511300030000001</v>
          </cell>
        </row>
        <row r="832">
          <cell r="A832" t="str">
            <v>ems_ci_co2_sfor_2</v>
          </cell>
          <cell r="B832">
            <v>0.57820482679999996</v>
          </cell>
          <cell r="C832">
            <v>0.57769101359999997</v>
          </cell>
          <cell r="D832">
            <v>0.57192337810000005</v>
          </cell>
          <cell r="E832">
            <v>0.56683788099999999</v>
          </cell>
          <cell r="F832">
            <v>0.56348412449999996</v>
          </cell>
          <cell r="G832">
            <v>0.56196564169999996</v>
          </cell>
          <cell r="H832">
            <v>0.56190876180000005</v>
          </cell>
          <cell r="I832">
            <v>0.56304429300000003</v>
          </cell>
          <cell r="J832">
            <v>0.56509740210000003</v>
          </cell>
          <cell r="K832">
            <v>0.56779777369999995</v>
          </cell>
          <cell r="L832">
            <v>0.57124524970000001</v>
          </cell>
          <cell r="M832">
            <v>0.57490588030000001</v>
          </cell>
          <cell r="N832">
            <v>0.57852755479999995</v>
          </cell>
          <cell r="O832">
            <v>0.58208095019999995</v>
          </cell>
          <cell r="P832">
            <v>0.58555488879999995</v>
          </cell>
          <cell r="Q832">
            <v>0.58894589379999995</v>
          </cell>
          <cell r="R832">
            <v>0.59243648660000003</v>
          </cell>
          <cell r="S832">
            <v>0.59586033390000004</v>
          </cell>
          <cell r="T832">
            <v>0.59923039450000004</v>
          </cell>
          <cell r="U832">
            <v>0.60257817189999996</v>
          </cell>
          <cell r="V832">
            <v>0.60566934029999997</v>
          </cell>
          <cell r="W832">
            <v>0.60889802250000002</v>
          </cell>
          <cell r="X832">
            <v>0.61225890490000001</v>
          </cell>
          <cell r="Y832">
            <v>0.61573434869999999</v>
          </cell>
          <cell r="Z832">
            <v>0.61932626739999996</v>
          </cell>
          <cell r="AA832">
            <v>0.62228788069999996</v>
          </cell>
          <cell r="AB832">
            <v>0.62524330949999996</v>
          </cell>
          <cell r="AC832">
            <v>0.62834093130000002</v>
          </cell>
          <cell r="AD832">
            <v>0.63157524620000005</v>
          </cell>
          <cell r="AE832">
            <v>0.63494237139999998</v>
          </cell>
          <cell r="AF832">
            <v>0.63844794839999996</v>
          </cell>
          <cell r="AG832">
            <v>0.64204863339999996</v>
          </cell>
          <cell r="AH832">
            <v>0.64580801460000004</v>
          </cell>
          <cell r="AI832">
            <v>0.64973716770000001</v>
          </cell>
          <cell r="AJ832">
            <v>0.65383925610000004</v>
          </cell>
          <cell r="AK832">
            <v>0.65811454140000003</v>
          </cell>
          <cell r="AL832">
            <v>0.66187278329999999</v>
          </cell>
          <cell r="AM832">
            <v>0.66569334040000006</v>
          </cell>
          <cell r="AN832">
            <v>0.66964892440000001</v>
          </cell>
          <cell r="AO832">
            <v>0.67374001589999999</v>
          </cell>
          <cell r="AP832">
            <v>0.67795860640000005</v>
          </cell>
          <cell r="AQ832">
            <v>0.68221129570000005</v>
          </cell>
          <cell r="AR832">
            <v>0.68658054729999995</v>
          </cell>
          <cell r="AS832">
            <v>0.69107033890000003</v>
          </cell>
          <cell r="AT832">
            <v>0.69567753970000001</v>
          </cell>
          <cell r="AU832">
            <v>0.70039941930000005</v>
          </cell>
          <cell r="AV832">
            <v>0.70493578339999996</v>
          </cell>
          <cell r="AW832">
            <v>0.70958595810000002</v>
          </cell>
          <cell r="AX832">
            <v>0.73059433519999994</v>
          </cell>
          <cell r="AY832">
            <v>0.79032875410000003</v>
          </cell>
          <cell r="AZ832">
            <v>0.79837083779999996</v>
          </cell>
          <cell r="BA832">
            <v>0.66328333900000003</v>
          </cell>
          <cell r="BB832">
            <v>0.66823135369999997</v>
          </cell>
          <cell r="BC832">
            <v>0.67327790379999997</v>
          </cell>
          <cell r="BD832">
            <v>0.67842593929999995</v>
          </cell>
          <cell r="BE832">
            <v>0.68367935170000005</v>
          </cell>
        </row>
        <row r="834">
          <cell r="A834" t="str">
            <v>ems_ci_co2_sfoo_2</v>
          </cell>
          <cell r="B834">
            <v>8.595684382</v>
          </cell>
          <cell r="C834">
            <v>8.6036418470000005</v>
          </cell>
          <cell r="D834">
            <v>8.6260107680000004</v>
          </cell>
          <cell r="E834">
            <v>8.6588455129999993</v>
          </cell>
          <cell r="F834">
            <v>8.7016161519999997</v>
          </cell>
          <cell r="G834">
            <v>8.7521886169999998</v>
          </cell>
          <cell r="H834">
            <v>8.8012161090000003</v>
          </cell>
          <cell r="I834">
            <v>8.8482298830000001</v>
          </cell>
          <cell r="J834">
            <v>8.8929850049999999</v>
          </cell>
          <cell r="K834">
            <v>8.9353663440000002</v>
          </cell>
          <cell r="L834">
            <v>8.9859675649999993</v>
          </cell>
          <cell r="M834">
            <v>9.0303521339999993</v>
          </cell>
          <cell r="N834">
            <v>9.0703213030000001</v>
          </cell>
          <cell r="O834">
            <v>9.1078199259999995</v>
          </cell>
          <cell r="P834">
            <v>9.1440737179999996</v>
          </cell>
          <cell r="Q834">
            <v>9.1797959050000006</v>
          </cell>
          <cell r="R834">
            <v>9.2149756249999992</v>
          </cell>
          <cell r="S834">
            <v>9.2499284339999992</v>
          </cell>
          <cell r="T834">
            <v>9.284660637</v>
          </cell>
          <cell r="U834">
            <v>9.3191043929999999</v>
          </cell>
          <cell r="V834">
            <v>9.3463020500000002</v>
          </cell>
          <cell r="W834">
            <v>9.3759546670000002</v>
          </cell>
          <cell r="X834">
            <v>9.4073556010000008</v>
          </cell>
          <cell r="Y834">
            <v>9.4396794019999994</v>
          </cell>
          <cell r="Z834">
            <v>9.4724989040000001</v>
          </cell>
          <cell r="AA834">
            <v>9.4868968729999992</v>
          </cell>
          <cell r="AB834">
            <v>9.5006428150000009</v>
          </cell>
          <cell r="AC834">
            <v>9.5153287990000006</v>
          </cell>
          <cell r="AD834">
            <v>9.5312812529999995</v>
          </cell>
          <cell r="AE834">
            <v>9.5486597700000004</v>
          </cell>
          <cell r="AF834">
            <v>9.5674960920000007</v>
          </cell>
          <cell r="AG834">
            <v>9.5877732130000002</v>
          </cell>
          <cell r="AH834">
            <v>9.6093218930000006</v>
          </cell>
          <cell r="AI834">
            <v>9.6319650679999995</v>
          </cell>
          <cell r="AJ834">
            <v>9.6555258909999999</v>
          </cell>
          <cell r="AK834">
            <v>9.6798469279999999</v>
          </cell>
          <cell r="AL834">
            <v>9.7013161189999995</v>
          </cell>
          <cell r="AM834">
            <v>9.7213257629999994</v>
          </cell>
          <cell r="AN834">
            <v>9.7410241129999999</v>
          </cell>
          <cell r="AO834">
            <v>9.7610461710000003</v>
          </cell>
          <cell r="AP834">
            <v>9.7816976570000005</v>
          </cell>
          <cell r="AQ834">
            <v>9.8031547529999994</v>
          </cell>
          <cell r="AR834">
            <v>9.8253927870000002</v>
          </cell>
          <cell r="AS834">
            <v>9.8483448239999998</v>
          </cell>
          <cell r="AT834">
            <v>9.8719132530000007</v>
          </cell>
          <cell r="AU834">
            <v>9.89599327</v>
          </cell>
          <cell r="AV834">
            <v>9.9210151</v>
          </cell>
          <cell r="AW834">
            <v>9.9467370069999994</v>
          </cell>
          <cell r="AX834">
            <v>10.23461513</v>
          </cell>
          <cell r="AY834">
            <v>10.94418806</v>
          </cell>
          <cell r="AZ834">
            <v>11.02530741</v>
          </cell>
          <cell r="BA834">
            <v>19.880422360000001</v>
          </cell>
          <cell r="BB834">
            <v>20.200756160000001</v>
          </cell>
          <cell r="BC834">
            <v>20.52564692</v>
          </cell>
          <cell r="BD834">
            <v>20.855267479999998</v>
          </cell>
          <cell r="BE834">
            <v>21.189792629999999</v>
          </cell>
        </row>
        <row r="836">
          <cell r="A836" t="str">
            <v>ems_ci_co2_sveh_2</v>
          </cell>
          <cell r="B836">
            <v>1.0380823379999999</v>
          </cell>
          <cell r="C836">
            <v>1.0063240120000001</v>
          </cell>
          <cell r="D836">
            <v>0.98485914100000005</v>
          </cell>
          <cell r="E836">
            <v>0.97698222450000005</v>
          </cell>
          <cell r="F836">
            <v>0.98576075119999995</v>
          </cell>
          <cell r="G836">
            <v>1.011381026</v>
          </cell>
          <cell r="H836">
            <v>1.0514459920000001</v>
          </cell>
          <cell r="I836">
            <v>1.102721751</v>
          </cell>
          <cell r="J836">
            <v>1.1617246020000001</v>
          </cell>
          <cell r="K836">
            <v>1.224632559</v>
          </cell>
          <cell r="L836">
            <v>1.2888791500000001</v>
          </cell>
          <cell r="M836">
            <v>1.3502914349999999</v>
          </cell>
          <cell r="N836">
            <v>1.40547321</v>
          </cell>
          <cell r="O836">
            <v>1.4527811589999999</v>
          </cell>
          <cell r="P836">
            <v>1.491260553</v>
          </cell>
          <cell r="Q836">
            <v>1.520666286</v>
          </cell>
          <cell r="R836">
            <v>1.5412702300000001</v>
          </cell>
          <cell r="S836">
            <v>1.5540008569999999</v>
          </cell>
          <cell r="T836">
            <v>1.5600847819999999</v>
          </cell>
          <cell r="U836">
            <v>1.5608783449999999</v>
          </cell>
          <cell r="V836">
            <v>1.5567551049999999</v>
          </cell>
          <cell r="W836">
            <v>1.5498090330000001</v>
          </cell>
          <cell r="X836">
            <v>1.5415855540000001</v>
          </cell>
          <cell r="Y836">
            <v>1.532824849</v>
          </cell>
          <cell r="Z836">
            <v>1.5242295370000001</v>
          </cell>
          <cell r="AA836">
            <v>1.5137986750000001</v>
          </cell>
          <cell r="AB836">
            <v>1.5031340870000001</v>
          </cell>
          <cell r="AC836">
            <v>1.493484574</v>
          </cell>
          <cell r="AD836">
            <v>1.4849527410000001</v>
          </cell>
          <cell r="AE836">
            <v>1.4777239170000001</v>
          </cell>
          <cell r="AF836">
            <v>1.4720431140000001</v>
          </cell>
          <cell r="AG836">
            <v>1.468147343</v>
          </cell>
          <cell r="AH836">
            <v>1.4661991809999999</v>
          </cell>
          <cell r="AI836">
            <v>1.4662669779999999</v>
          </cell>
          <cell r="AJ836">
            <v>1.4683248280000001</v>
          </cell>
          <cell r="AK836">
            <v>1.472263192</v>
          </cell>
          <cell r="AL836">
            <v>1.4773912739999999</v>
          </cell>
          <cell r="AM836">
            <v>1.4834983820000001</v>
          </cell>
          <cell r="AN836">
            <v>1.490532631</v>
          </cell>
          <cell r="AO836">
            <v>1.498357436</v>
          </cell>
          <cell r="AP836">
            <v>1.506827975</v>
          </cell>
          <cell r="AQ836">
            <v>1.5158309089999999</v>
          </cell>
          <cell r="AR836">
            <v>1.525305862</v>
          </cell>
          <cell r="AS836">
            <v>1.535216243</v>
          </cell>
          <cell r="AT836">
            <v>1.545538675</v>
          </cell>
          <cell r="AU836">
            <v>1.556246587</v>
          </cell>
          <cell r="AV836">
            <v>1.5673210820000001</v>
          </cell>
          <cell r="AW836">
            <v>1.5787556650000001</v>
          </cell>
          <cell r="AX836">
            <v>1.5926415389999999</v>
          </cell>
          <cell r="AY836">
            <v>1.628329752</v>
          </cell>
          <cell r="AZ836">
            <v>1.632624504</v>
          </cell>
          <cell r="BA836">
            <v>2.502649833</v>
          </cell>
          <cell r="BB836">
            <v>2.5424036750000001</v>
          </cell>
          <cell r="BC836">
            <v>2.5831347830000002</v>
          </cell>
          <cell r="BD836">
            <v>2.6249114059999998</v>
          </cell>
          <cell r="BE836">
            <v>2.6677897210000001</v>
          </cell>
        </row>
        <row r="838">
          <cell r="A838" t="str">
            <v>ems_ci_co2_sgla_2</v>
          </cell>
          <cell r="B838">
            <v>7.6843654250000002</v>
          </cell>
          <cell r="C838">
            <v>7.7181301040000001</v>
          </cell>
          <cell r="D838">
            <v>7.7819665220000003</v>
          </cell>
          <cell r="E838">
            <v>7.8637502320000001</v>
          </cell>
          <cell r="F838">
            <v>7.9589643819999996</v>
          </cell>
          <cell r="G838">
            <v>8.0643496910000003</v>
          </cell>
          <cell r="H838">
            <v>8.1732682200000006</v>
          </cell>
          <cell r="I838">
            <v>8.2853503229999994</v>
          </cell>
          <cell r="J838">
            <v>8.3999473939999998</v>
          </cell>
          <cell r="K838">
            <v>8.5165628899999994</v>
          </cell>
          <cell r="L838">
            <v>8.6416021740000009</v>
          </cell>
          <cell r="M838">
            <v>8.7649135870000006</v>
          </cell>
          <cell r="N838">
            <v>8.8882965889999994</v>
          </cell>
          <cell r="O838">
            <v>9.0123600059999998</v>
          </cell>
          <cell r="P838">
            <v>9.1373126899999999</v>
          </cell>
          <cell r="Q838">
            <v>9.2632647719999994</v>
          </cell>
          <cell r="R838">
            <v>9.3897213599999994</v>
          </cell>
          <cell r="S838">
            <v>9.5171767509999992</v>
          </cell>
          <cell r="T838">
            <v>9.6458800779999994</v>
          </cell>
          <cell r="U838">
            <v>9.7760536299999998</v>
          </cell>
          <cell r="V838">
            <v>9.9030729359999992</v>
          </cell>
          <cell r="W838">
            <v>10.03400882</v>
          </cell>
          <cell r="X838">
            <v>10.16801398</v>
          </cell>
          <cell r="Y838">
            <v>10.304932730000001</v>
          </cell>
          <cell r="Z838">
            <v>10.444834139999999</v>
          </cell>
          <cell r="AA838">
            <v>10.574012720000001</v>
          </cell>
          <cell r="AB838">
            <v>10.705580250000001</v>
          </cell>
          <cell r="AC838">
            <v>10.838965829999999</v>
          </cell>
          <cell r="AD838">
            <v>10.97423043</v>
          </cell>
          <cell r="AE838">
            <v>11.11162275</v>
          </cell>
          <cell r="AF838">
            <v>11.25136717</v>
          </cell>
          <cell r="AG838">
            <v>11.393724649999999</v>
          </cell>
          <cell r="AH838">
            <v>11.538664839999999</v>
          </cell>
          <cell r="AI838">
            <v>11.68613568</v>
          </cell>
          <cell r="AJ838">
            <v>11.836042920000001</v>
          </cell>
          <cell r="AK838">
            <v>11.988263870000001</v>
          </cell>
          <cell r="AL838">
            <v>12.140502740000001</v>
          </cell>
          <cell r="AM838">
            <v>12.293266109999999</v>
          </cell>
          <cell r="AN838">
            <v>12.44685739</v>
          </cell>
          <cell r="AO838">
            <v>12.60142643</v>
          </cell>
          <cell r="AP838">
            <v>12.757057550000001</v>
          </cell>
          <cell r="AQ838">
            <v>12.913974230000001</v>
          </cell>
          <cell r="AR838">
            <v>13.07210823</v>
          </cell>
          <cell r="AS838">
            <v>13.23143563</v>
          </cell>
          <cell r="AT838">
            <v>13.391922790000001</v>
          </cell>
          <cell r="AU838">
            <v>13.55352266</v>
          </cell>
          <cell r="AV838">
            <v>13.717053379999999</v>
          </cell>
          <cell r="AW838">
            <v>13.882060770000001</v>
          </cell>
          <cell r="AX838">
            <v>13.92438598</v>
          </cell>
          <cell r="AY838">
            <v>14.02813536</v>
          </cell>
          <cell r="AZ838">
            <v>14.03995085</v>
          </cell>
          <cell r="BA838">
            <v>18.902690150000002</v>
          </cell>
          <cell r="BB838">
            <v>19.241249150000002</v>
          </cell>
          <cell r="BC838">
            <v>19.583814780000001</v>
          </cell>
          <cell r="BD838">
            <v>19.930375250000001</v>
          </cell>
          <cell r="BE838">
            <v>20.28092526</v>
          </cell>
        </row>
        <row r="840">
          <cell r="A840" t="str">
            <v>ems_ci_co2_spap_2</v>
          </cell>
          <cell r="B840">
            <v>2.485814859</v>
          </cell>
          <cell r="C840">
            <v>2.4916417769999999</v>
          </cell>
          <cell r="D840">
            <v>2.5105580120000002</v>
          </cell>
          <cell r="E840">
            <v>2.5356574379999999</v>
          </cell>
          <cell r="F840">
            <v>2.5651953879999998</v>
          </cell>
          <cell r="G840">
            <v>2.5982187649999999</v>
          </cell>
          <cell r="H840">
            <v>2.6322289539999999</v>
          </cell>
          <cell r="I840">
            <v>2.6676635339999999</v>
          </cell>
          <cell r="J840">
            <v>2.704306871</v>
          </cell>
          <cell r="K840">
            <v>2.7418763240000001</v>
          </cell>
          <cell r="L840">
            <v>2.7829972270000001</v>
          </cell>
          <cell r="M840">
            <v>2.822504356</v>
          </cell>
          <cell r="N840">
            <v>2.861744174</v>
          </cell>
          <cell r="O840">
            <v>2.900885481</v>
          </cell>
          <cell r="P840">
            <v>2.9398896140000002</v>
          </cell>
          <cell r="Q840">
            <v>2.9787060420000002</v>
          </cell>
          <cell r="R840">
            <v>3.016999786</v>
          </cell>
          <cell r="S840">
            <v>3.0550195530000002</v>
          </cell>
          <cell r="T840">
            <v>3.0928494500000001</v>
          </cell>
          <cell r="U840">
            <v>3.1305674909999999</v>
          </cell>
          <cell r="V840">
            <v>3.1661982879999999</v>
          </cell>
          <cell r="W840">
            <v>3.2031804959999999</v>
          </cell>
          <cell r="X840">
            <v>3.2407001910000002</v>
          </cell>
          <cell r="Y840">
            <v>3.2786703049999999</v>
          </cell>
          <cell r="Z840">
            <v>3.3171390390000002</v>
          </cell>
          <cell r="AA840">
            <v>3.3503250979999999</v>
          </cell>
          <cell r="AB840">
            <v>3.3850515200000002</v>
          </cell>
          <cell r="AC840">
            <v>3.4203411670000001</v>
          </cell>
          <cell r="AD840">
            <v>3.456129475</v>
          </cell>
          <cell r="AE840">
            <v>3.4925035470000001</v>
          </cell>
          <cell r="AF840">
            <v>3.5295491010000002</v>
          </cell>
          <cell r="AG840">
            <v>3.5673892070000002</v>
          </cell>
          <cell r="AH840">
            <v>3.6060011169999999</v>
          </cell>
          <cell r="AI840">
            <v>3.64538049</v>
          </cell>
          <cell r="AJ840">
            <v>3.6855139320000001</v>
          </cell>
          <cell r="AK840">
            <v>3.7263793280000002</v>
          </cell>
          <cell r="AL840">
            <v>3.767175317</v>
          </cell>
          <cell r="AM840">
            <v>3.8082551119999999</v>
          </cell>
          <cell r="AN840">
            <v>3.8497365700000001</v>
          </cell>
          <cell r="AO840">
            <v>3.8916686550000001</v>
          </cell>
          <cell r="AP840">
            <v>3.9340781140000001</v>
          </cell>
          <cell r="AQ840">
            <v>3.9770734879999998</v>
          </cell>
          <cell r="AR840">
            <v>4.0205934870000002</v>
          </cell>
          <cell r="AS840">
            <v>4.0646231789999998</v>
          </cell>
          <cell r="AT840">
            <v>4.1091494500000003</v>
          </cell>
          <cell r="AU840">
            <v>4.1541564109999998</v>
          </cell>
          <cell r="AV840">
            <v>4.200062269</v>
          </cell>
          <cell r="AW840">
            <v>4.2465584559999998</v>
          </cell>
          <cell r="AX840">
            <v>4.3151276249999997</v>
          </cell>
          <cell r="AY840">
            <v>4.480219033</v>
          </cell>
          <cell r="AZ840">
            <v>4.4987300899999996</v>
          </cell>
          <cell r="BA840">
            <v>5.7686918350000003</v>
          </cell>
          <cell r="BB840">
            <v>5.8662594649999997</v>
          </cell>
          <cell r="BC840">
            <v>5.9654531390000001</v>
          </cell>
          <cell r="BD840">
            <v>6.0663068249999998</v>
          </cell>
          <cell r="BE840">
            <v>6.1688547480000002</v>
          </cell>
        </row>
        <row r="842">
          <cell r="A842" t="str">
            <v>ems_ci_co2_sche_2</v>
          </cell>
          <cell r="B842">
            <v>13.13195664</v>
          </cell>
          <cell r="C842">
            <v>13.189390700000001</v>
          </cell>
          <cell r="D842">
            <v>13.32932993</v>
          </cell>
          <cell r="E842">
            <v>13.49807171</v>
          </cell>
          <cell r="F842">
            <v>13.683960109999999</v>
          </cell>
          <cell r="G842">
            <v>13.88136832</v>
          </cell>
          <cell r="H842">
            <v>14.075183839999999</v>
          </cell>
          <cell r="I842">
            <v>14.269902999999999</v>
          </cell>
          <cell r="J842">
            <v>14.46435524</v>
          </cell>
          <cell r="K842">
            <v>14.657084830000001</v>
          </cell>
          <cell r="L842">
            <v>14.86478631</v>
          </cell>
          <cell r="M842">
            <v>15.053649829999999</v>
          </cell>
          <cell r="N842">
            <v>15.23604053</v>
          </cell>
          <cell r="O842">
            <v>15.413950549999999</v>
          </cell>
          <cell r="P842">
            <v>15.58801525</v>
          </cell>
          <cell r="Q842">
            <v>15.758809490000001</v>
          </cell>
          <cell r="R842">
            <v>15.924855579999999</v>
          </cell>
          <cell r="S842">
            <v>16.088737640000002</v>
          </cell>
          <cell r="T842">
            <v>16.251518969999999</v>
          </cell>
          <cell r="U842">
            <v>16.414054069999999</v>
          </cell>
          <cell r="V842">
            <v>16.564608419999999</v>
          </cell>
          <cell r="W842">
            <v>16.725940120000001</v>
          </cell>
          <cell r="X842">
            <v>16.89105919</v>
          </cell>
          <cell r="Y842">
            <v>17.059366780000001</v>
          </cell>
          <cell r="Z842">
            <v>17.231102440000001</v>
          </cell>
          <cell r="AA842">
            <v>17.371330929999999</v>
          </cell>
          <cell r="AB842">
            <v>17.526114639999999</v>
          </cell>
          <cell r="AC842">
            <v>17.685778339999999</v>
          </cell>
          <cell r="AD842">
            <v>17.84935832</v>
          </cell>
          <cell r="AE842">
            <v>18.017017760000002</v>
          </cell>
          <cell r="AF842">
            <v>18.188934369999998</v>
          </cell>
          <cell r="AG842">
            <v>18.365596579999998</v>
          </cell>
          <cell r="AH842">
            <v>18.54651934</v>
          </cell>
          <cell r="AI842">
            <v>18.731435990000001</v>
          </cell>
          <cell r="AJ842">
            <v>18.92005567</v>
          </cell>
          <cell r="AK842">
            <v>19.11205867</v>
          </cell>
          <cell r="AL842">
            <v>19.302976959999999</v>
          </cell>
          <cell r="AM842">
            <v>19.495261490000001</v>
          </cell>
          <cell r="AN842">
            <v>19.689348800000001</v>
          </cell>
          <cell r="AO842">
            <v>19.885325720000001</v>
          </cell>
          <cell r="AP842">
            <v>20.083202230000001</v>
          </cell>
          <cell r="AQ842">
            <v>20.283584749999999</v>
          </cell>
          <cell r="AR842">
            <v>20.485913979999999</v>
          </cell>
          <cell r="AS842">
            <v>20.690038149999999</v>
          </cell>
          <cell r="AT842">
            <v>20.895839949999999</v>
          </cell>
          <cell r="AU842">
            <v>21.103196409999999</v>
          </cell>
          <cell r="AV842">
            <v>21.314814429999998</v>
          </cell>
          <cell r="AW842">
            <v>21.528391119999998</v>
          </cell>
          <cell r="AX842">
            <v>21.55362307</v>
          </cell>
          <cell r="AY842">
            <v>21.615562619999999</v>
          </cell>
          <cell r="AZ842">
            <v>21.622618899999999</v>
          </cell>
          <cell r="BA842">
            <v>30.561713749999999</v>
          </cell>
          <cell r="BB842">
            <v>31.087305239999999</v>
          </cell>
          <cell r="BC842">
            <v>31.622493739999999</v>
          </cell>
          <cell r="BD842">
            <v>32.167449670000003</v>
          </cell>
          <cell r="BE842">
            <v>32.722338440000001</v>
          </cell>
        </row>
        <row r="844">
          <cell r="A844" t="str">
            <v>ems_ci_co2_spla_2</v>
          </cell>
          <cell r="B844">
            <v>1.4524124140000001</v>
          </cell>
          <cell r="C844">
            <v>1.4532135230000001</v>
          </cell>
          <cell r="D844">
            <v>1.463012795</v>
          </cell>
          <cell r="E844">
            <v>1.477161411</v>
          </cell>
          <cell r="F844">
            <v>1.4948474519999999</v>
          </cell>
          <cell r="G844">
            <v>1.515570547</v>
          </cell>
          <cell r="H844">
            <v>1.537676622</v>
          </cell>
          <cell r="I844">
            <v>1.561085297</v>
          </cell>
          <cell r="J844">
            <v>1.5853012550000001</v>
          </cell>
          <cell r="K844">
            <v>1.609794468</v>
          </cell>
          <cell r="L844">
            <v>1.635836313</v>
          </cell>
          <cell r="M844">
            <v>1.6601387059999999</v>
          </cell>
          <cell r="N844">
            <v>1.6833644910000001</v>
          </cell>
          <cell r="O844">
            <v>1.705619454</v>
          </cell>
          <cell r="P844">
            <v>1.72692884</v>
          </cell>
          <cell r="Q844">
            <v>1.7473498869999999</v>
          </cell>
          <cell r="R844">
            <v>1.766777582</v>
          </cell>
          <cell r="S844">
            <v>1.785509993</v>
          </cell>
          <cell r="T844">
            <v>1.803736529</v>
          </cell>
          <cell r="U844">
            <v>1.821631792</v>
          </cell>
          <cell r="V844">
            <v>1.838133934</v>
          </cell>
          <cell r="W844">
            <v>1.8553835249999999</v>
          </cell>
          <cell r="X844">
            <v>1.8729892909999999</v>
          </cell>
          <cell r="Y844">
            <v>1.8909384490000001</v>
          </cell>
          <cell r="Z844">
            <v>1.9093000419999999</v>
          </cell>
          <cell r="AA844">
            <v>1.924697662</v>
          </cell>
          <cell r="AB844">
            <v>1.9411852919999999</v>
          </cell>
          <cell r="AC844">
            <v>1.9582252529999999</v>
          </cell>
          <cell r="AD844">
            <v>1.9757388250000001</v>
          </cell>
          <cell r="AE844">
            <v>1.993755774</v>
          </cell>
          <cell r="AF844">
            <v>2.0123193669999999</v>
          </cell>
          <cell r="AG844">
            <v>2.0315033040000001</v>
          </cell>
          <cell r="AH844">
            <v>2.051288451</v>
          </cell>
          <cell r="AI844">
            <v>2.0716633180000001</v>
          </cell>
          <cell r="AJ844">
            <v>2.0926048580000001</v>
          </cell>
          <cell r="AK844">
            <v>2.1140784259999998</v>
          </cell>
          <cell r="AL844">
            <v>2.1356137049999999</v>
          </cell>
          <cell r="AM844">
            <v>2.1573668750000001</v>
          </cell>
          <cell r="AN844">
            <v>2.179385124</v>
          </cell>
          <cell r="AO844">
            <v>2.2016712420000002</v>
          </cell>
          <cell r="AP844">
            <v>2.2242160270000002</v>
          </cell>
          <cell r="AQ844">
            <v>2.247066212</v>
          </cell>
          <cell r="AR844">
            <v>2.2701704619999998</v>
          </cell>
          <cell r="AS844">
            <v>2.293512443</v>
          </cell>
          <cell r="AT844">
            <v>2.317080716</v>
          </cell>
          <cell r="AU844">
            <v>2.3408630399999999</v>
          </cell>
          <cell r="AV844">
            <v>2.3651059289999998</v>
          </cell>
          <cell r="AW844">
            <v>2.3896179759999998</v>
          </cell>
          <cell r="AX844">
            <v>2.4651875109999999</v>
          </cell>
          <cell r="AY844">
            <v>2.6682405130000002</v>
          </cell>
          <cell r="AZ844">
            <v>2.6954458290000001</v>
          </cell>
          <cell r="BA844">
            <v>3.4308599389999999</v>
          </cell>
          <cell r="BB844">
            <v>3.489882326</v>
          </cell>
          <cell r="BC844">
            <v>3.5498856779999999</v>
          </cell>
          <cell r="BD844">
            <v>3.6108895250000002</v>
          </cell>
          <cell r="BE844">
            <v>3.6729123210000001</v>
          </cell>
        </row>
        <row r="846">
          <cell r="A846" t="str">
            <v>ems_ci_co2_smet_2</v>
          </cell>
          <cell r="B846">
            <v>19.101965249999999</v>
          </cell>
          <cell r="C846">
            <v>19.182245680000001</v>
          </cell>
          <cell r="D846">
            <v>19.385530599999999</v>
          </cell>
          <cell r="E846">
            <v>19.627749779999998</v>
          </cell>
          <cell r="F846">
            <v>19.887091290000001</v>
          </cell>
          <cell r="G846">
            <v>20.15570331</v>
          </cell>
          <cell r="H846">
            <v>20.416229269999999</v>
          </cell>
          <cell r="I846">
            <v>20.675851300000001</v>
          </cell>
          <cell r="J846">
            <v>20.935889960000001</v>
          </cell>
          <cell r="K846">
            <v>21.196521539999999</v>
          </cell>
          <cell r="L846">
            <v>21.48016269</v>
          </cell>
          <cell r="M846">
            <v>21.746569619999999</v>
          </cell>
          <cell r="N846">
            <v>22.00915741</v>
          </cell>
          <cell r="O846">
            <v>22.27104881</v>
          </cell>
          <cell r="P846">
            <v>22.533065300000001</v>
          </cell>
          <cell r="Q846">
            <v>22.7956307</v>
          </cell>
          <cell r="R846">
            <v>23.0564529</v>
          </cell>
          <cell r="S846">
            <v>23.318331279999999</v>
          </cell>
          <cell r="T846">
            <v>23.582319819999999</v>
          </cell>
          <cell r="U846">
            <v>23.8491702</v>
          </cell>
          <cell r="V846">
            <v>24.103622040000001</v>
          </cell>
          <cell r="W846">
            <v>24.373170089999999</v>
          </cell>
          <cell r="X846">
            <v>24.65046255</v>
          </cell>
          <cell r="Y846">
            <v>24.93423301</v>
          </cell>
          <cell r="Z846">
            <v>25.224535039999999</v>
          </cell>
          <cell r="AA846">
            <v>25.47645687</v>
          </cell>
          <cell r="AB846">
            <v>25.745411499999999</v>
          </cell>
          <cell r="AC846">
            <v>26.022202870000001</v>
          </cell>
          <cell r="AD846">
            <v>26.305152849999999</v>
          </cell>
          <cell r="AE846">
            <v>26.594201649999999</v>
          </cell>
          <cell r="AF846">
            <v>26.889474100000001</v>
          </cell>
          <cell r="AG846">
            <v>27.191557750000001</v>
          </cell>
          <cell r="AH846">
            <v>27.499828480000001</v>
          </cell>
          <cell r="AI846">
            <v>27.813930930000001</v>
          </cell>
          <cell r="AJ846">
            <v>28.133510739999998</v>
          </cell>
          <cell r="AK846">
            <v>28.458192990000001</v>
          </cell>
          <cell r="AL846">
            <v>28.782136789999999</v>
          </cell>
          <cell r="AM846">
            <v>29.107818829999999</v>
          </cell>
          <cell r="AN846">
            <v>29.436008789999999</v>
          </cell>
          <cell r="AO846">
            <v>29.76696579</v>
          </cell>
          <cell r="AP846">
            <v>30.100793079999999</v>
          </cell>
          <cell r="AQ846">
            <v>30.438328519999999</v>
          </cell>
          <cell r="AR846">
            <v>30.778911529999998</v>
          </cell>
          <cell r="AS846">
            <v>31.122367310000001</v>
          </cell>
          <cell r="AT846">
            <v>31.468587920000001</v>
          </cell>
          <cell r="AU846">
            <v>31.81746193</v>
          </cell>
          <cell r="AV846">
            <v>32.17251031</v>
          </cell>
          <cell r="AW846">
            <v>32.530893059999997</v>
          </cell>
          <cell r="AX846">
            <v>32.56909632</v>
          </cell>
          <cell r="AY846">
            <v>32.663035499999999</v>
          </cell>
          <cell r="AZ846">
            <v>32.67377123</v>
          </cell>
          <cell r="BA846">
            <v>45.68449012</v>
          </cell>
          <cell r="BB846">
            <v>46.492077760000001</v>
          </cell>
          <cell r="BC846">
            <v>47.312222509999998</v>
          </cell>
          <cell r="BD846">
            <v>48.1450423</v>
          </cell>
          <cell r="BE846">
            <v>48.99065882</v>
          </cell>
        </row>
        <row r="848">
          <cell r="A848" t="str">
            <v>ems_ci_co2_sigo_2</v>
          </cell>
          <cell r="B848">
            <v>1.1642858869999999</v>
          </cell>
          <cell r="C848">
            <v>1.163447235</v>
          </cell>
          <cell r="D848">
            <v>1.1702641899999999</v>
          </cell>
          <cell r="E848">
            <v>1.1809832979999999</v>
          </cell>
          <cell r="F848">
            <v>1.1958607290000001</v>
          </cell>
          <cell r="G848">
            <v>1.214890676</v>
          </cell>
          <cell r="H848">
            <v>1.2366015589999999</v>
          </cell>
          <cell r="I848">
            <v>1.2607525530000001</v>
          </cell>
          <cell r="J848">
            <v>1.286507367</v>
          </cell>
          <cell r="K848">
            <v>1.3129609120000001</v>
          </cell>
          <cell r="L848">
            <v>1.340903017</v>
          </cell>
          <cell r="M848">
            <v>1.3668627</v>
          </cell>
          <cell r="N848">
            <v>1.3913827569999999</v>
          </cell>
          <cell r="O848">
            <v>1.414385129</v>
          </cell>
          <cell r="P848">
            <v>1.4357892560000001</v>
          </cell>
          <cell r="Q848">
            <v>1.455611945</v>
          </cell>
          <cell r="R848">
            <v>1.4737512180000001</v>
          </cell>
          <cell r="S848">
            <v>1.4905858940000001</v>
          </cell>
          <cell r="T848">
            <v>1.506374283</v>
          </cell>
          <cell r="U848">
            <v>1.521372256</v>
          </cell>
          <cell r="V848">
            <v>1.534659142</v>
          </cell>
          <cell r="W848">
            <v>1.5484389169999999</v>
          </cell>
          <cell r="X848">
            <v>1.562301755</v>
          </cell>
          <cell r="Y848">
            <v>1.5763138969999999</v>
          </cell>
          <cell r="Z848">
            <v>1.5906157359999999</v>
          </cell>
          <cell r="AA848">
            <v>1.6020446909999999</v>
          </cell>
          <cell r="AB848">
            <v>1.6147482630000001</v>
          </cell>
          <cell r="AC848">
            <v>1.627994758</v>
          </cell>
          <cell r="AD848">
            <v>1.6417012559999999</v>
          </cell>
          <cell r="AE848">
            <v>1.6559092870000001</v>
          </cell>
          <cell r="AF848">
            <v>1.6706872230000001</v>
          </cell>
          <cell r="AG848">
            <v>1.6861411799999999</v>
          </cell>
          <cell r="AH848">
            <v>1.702278419</v>
          </cell>
          <cell r="AI848">
            <v>1.7191165269999999</v>
          </cell>
          <cell r="AJ848">
            <v>1.7366529589999999</v>
          </cell>
          <cell r="AK848">
            <v>1.754863697</v>
          </cell>
          <cell r="AL848">
            <v>1.773299124</v>
          </cell>
          <cell r="AM848">
            <v>1.79208466</v>
          </cell>
          <cell r="AN848">
            <v>1.811238997</v>
          </cell>
          <cell r="AO848">
            <v>1.8307436619999999</v>
          </cell>
          <cell r="AP848">
            <v>1.8505739210000001</v>
          </cell>
          <cell r="AQ848">
            <v>1.870764372</v>
          </cell>
          <cell r="AR848">
            <v>1.8912514949999999</v>
          </cell>
          <cell r="AS848">
            <v>1.9120229559999999</v>
          </cell>
          <cell r="AT848">
            <v>1.933073944</v>
          </cell>
          <cell r="AU848">
            <v>1.9543983410000001</v>
          </cell>
          <cell r="AV848">
            <v>1.9762312070000001</v>
          </cell>
          <cell r="AW848">
            <v>1.998347702</v>
          </cell>
          <cell r="AX848">
            <v>2.01464832</v>
          </cell>
          <cell r="AY848">
            <v>2.0554514940000002</v>
          </cell>
          <cell r="AZ848">
            <v>2.0604041880000001</v>
          </cell>
          <cell r="BA848">
            <v>2.8515174139999999</v>
          </cell>
          <cell r="BB848">
            <v>2.9011489689999999</v>
          </cell>
          <cell r="BC848">
            <v>2.9516550380000002</v>
          </cell>
          <cell r="BD848">
            <v>3.0030616079999999</v>
          </cell>
          <cell r="BE848">
            <v>3.0553923369999998</v>
          </cell>
        </row>
        <row r="850">
          <cell r="A850" t="str">
            <v>ems_ci_co2_scgo_2</v>
          </cell>
          <cell r="B850">
            <v>2.2250687180000002</v>
          </cell>
          <cell r="C850">
            <v>2.2148104540000002</v>
          </cell>
          <cell r="D850">
            <v>2.2169686409999998</v>
          </cell>
          <cell r="E850">
            <v>2.2293618149999999</v>
          </cell>
          <cell r="F850">
            <v>2.2514672509999998</v>
          </cell>
          <cell r="G850">
            <v>2.2821847119999998</v>
          </cell>
          <cell r="H850">
            <v>2.3186408159999998</v>
          </cell>
          <cell r="I850">
            <v>2.3595077180000001</v>
          </cell>
          <cell r="J850">
            <v>2.4033321569999999</v>
          </cell>
          <cell r="K850">
            <v>2.4487345519999999</v>
          </cell>
          <cell r="L850">
            <v>2.4967418860000001</v>
          </cell>
          <cell r="M850">
            <v>2.5433134530000001</v>
          </cell>
          <cell r="N850">
            <v>2.5882679899999999</v>
          </cell>
          <cell r="O850">
            <v>2.6314707359999998</v>
          </cell>
          <cell r="P850">
            <v>2.6728140269999998</v>
          </cell>
          <cell r="Q850">
            <v>2.7122967010000001</v>
          </cell>
          <cell r="R850">
            <v>2.7498183809999999</v>
          </cell>
          <cell r="S850">
            <v>2.7856969939999998</v>
          </cell>
          <cell r="T850">
            <v>2.8202348819999998</v>
          </cell>
          <cell r="U850">
            <v>2.8537484850000001</v>
          </cell>
          <cell r="V850">
            <v>2.8849459230000001</v>
          </cell>
          <cell r="W850">
            <v>2.9163401430000002</v>
          </cell>
          <cell r="X850">
            <v>2.9479443700000001</v>
          </cell>
          <cell r="Y850">
            <v>2.9798513619999998</v>
          </cell>
          <cell r="Z850">
            <v>3.012230406</v>
          </cell>
          <cell r="AA850">
            <v>3.0407073840000001</v>
          </cell>
          <cell r="AB850">
            <v>3.0695719889999999</v>
          </cell>
          <cell r="AC850">
            <v>3.0988968130000001</v>
          </cell>
          <cell r="AD850">
            <v>3.1287206250000001</v>
          </cell>
          <cell r="AE850">
            <v>3.1591730070000001</v>
          </cell>
          <cell r="AF850">
            <v>3.1904037129999998</v>
          </cell>
          <cell r="AG850">
            <v>3.222583057</v>
          </cell>
          <cell r="AH850">
            <v>3.2557819549999998</v>
          </cell>
          <cell r="AI850">
            <v>3.2900411059999999</v>
          </cell>
          <cell r="AJ850">
            <v>3.325363796</v>
          </cell>
          <cell r="AK850">
            <v>3.3617203039999999</v>
          </cell>
          <cell r="AL850">
            <v>3.3983569</v>
          </cell>
          <cell r="AM850">
            <v>3.435428248</v>
          </cell>
          <cell r="AN850">
            <v>3.4730143510000002</v>
          </cell>
          <cell r="AO850">
            <v>3.5111169699999998</v>
          </cell>
          <cell r="AP850">
            <v>3.5497170210000002</v>
          </cell>
          <cell r="AQ850">
            <v>3.588852562</v>
          </cell>
          <cell r="AR850">
            <v>3.6284908659999999</v>
          </cell>
          <cell r="AS850">
            <v>3.6686158249999998</v>
          </cell>
          <cell r="AT850">
            <v>3.7092125149999999</v>
          </cell>
          <cell r="AU850">
            <v>3.750261778</v>
          </cell>
          <cell r="AV850">
            <v>3.7920143089999998</v>
          </cell>
          <cell r="AW850">
            <v>3.8343437929999999</v>
          </cell>
          <cell r="AX850">
            <v>3.8881017870000001</v>
          </cell>
          <cell r="AY850">
            <v>4.0606500920000004</v>
          </cell>
          <cell r="AZ850">
            <v>4.0805403250000003</v>
          </cell>
          <cell r="BA850">
            <v>5.2745794760000004</v>
          </cell>
          <cell r="BB850">
            <v>5.3645123290000001</v>
          </cell>
          <cell r="BC850">
            <v>5.4558339399999998</v>
          </cell>
          <cell r="BD850">
            <v>5.5485816579999998</v>
          </cell>
          <cell r="BE850">
            <v>5.642790593</v>
          </cell>
        </row>
        <row r="852">
          <cell r="A852" t="str">
            <v>ems_ci_co2_scon_2</v>
          </cell>
          <cell r="B852">
            <v>7.4919130960000002</v>
          </cell>
          <cell r="C852">
            <v>7.330907442</v>
          </cell>
          <cell r="D852">
            <v>7.1809615879999997</v>
          </cell>
          <cell r="E852">
            <v>7.0931753369999999</v>
          </cell>
          <cell r="F852">
            <v>7.0911645099999996</v>
          </cell>
          <cell r="G852">
            <v>7.1783717759999996</v>
          </cell>
          <cell r="H852">
            <v>7.3460816900000001</v>
          </cell>
          <cell r="I852">
            <v>7.5765685700000001</v>
          </cell>
          <cell r="J852">
            <v>7.8547612920000001</v>
          </cell>
          <cell r="K852">
            <v>8.1654149260000004</v>
          </cell>
          <cell r="L852">
            <v>8.4964482609999994</v>
          </cell>
          <cell r="M852">
            <v>8.8421643630000002</v>
          </cell>
          <cell r="N852">
            <v>9.1837913489999998</v>
          </cell>
          <cell r="O852">
            <v>9.5142519910000001</v>
          </cell>
          <cell r="P852">
            <v>9.8290788039999999</v>
          </cell>
          <cell r="Q852">
            <v>10.12584934</v>
          </cell>
          <cell r="R852">
            <v>10.40469395</v>
          </cell>
          <cell r="S852">
            <v>10.666015740000001</v>
          </cell>
          <cell r="T852">
            <v>10.91210568</v>
          </cell>
          <cell r="U852">
            <v>11.146066279999999</v>
          </cell>
          <cell r="V852">
            <v>11.369228120000001</v>
          </cell>
          <cell r="W852">
            <v>11.5809835</v>
          </cell>
          <cell r="X852">
            <v>11.791422409999999</v>
          </cell>
          <cell r="Y852">
            <v>12.003522909999999</v>
          </cell>
          <cell r="Z852">
            <v>12.21999392</v>
          </cell>
          <cell r="AA852">
            <v>12.43703741</v>
          </cell>
          <cell r="AB852">
            <v>12.64183403</v>
          </cell>
          <cell r="AC852">
            <v>12.847237079999999</v>
          </cell>
          <cell r="AD852">
            <v>13.05473886</v>
          </cell>
          <cell r="AE852">
            <v>13.265622349999999</v>
          </cell>
          <cell r="AF852">
            <v>13.481704179999999</v>
          </cell>
          <cell r="AG852">
            <v>13.704684950000001</v>
          </cell>
          <cell r="AH852">
            <v>13.93657264</v>
          </cell>
          <cell r="AI852">
            <v>14.178752039999999</v>
          </cell>
          <cell r="AJ852">
            <v>14.432060140000001</v>
          </cell>
          <cell r="AK852">
            <v>14.6967921</v>
          </cell>
          <cell r="AL852">
            <v>14.968204950000001</v>
          </cell>
          <cell r="AM852">
            <v>15.2435837</v>
          </cell>
          <cell r="AN852">
            <v>15.52292198</v>
          </cell>
          <cell r="AO852">
            <v>15.805894410000001</v>
          </cell>
          <cell r="AP852">
            <v>16.09205678</v>
          </cell>
          <cell r="AQ852">
            <v>16.380557199999998</v>
          </cell>
          <cell r="AR852">
            <v>16.671679529999999</v>
          </cell>
          <cell r="AS852">
            <v>16.965565460000001</v>
          </cell>
          <cell r="AT852">
            <v>17.262396410000001</v>
          </cell>
          <cell r="AU852">
            <v>17.562307839999999</v>
          </cell>
          <cell r="AV852">
            <v>17.863405279999998</v>
          </cell>
          <cell r="AW852">
            <v>18.167423960000001</v>
          </cell>
          <cell r="AX852">
            <v>18.227909050000001</v>
          </cell>
          <cell r="AY852">
            <v>18.375187069999999</v>
          </cell>
          <cell r="AZ852">
            <v>18.39173868</v>
          </cell>
          <cell r="BA852">
            <v>23.246582029999999</v>
          </cell>
          <cell r="BB852">
            <v>23.652213870000001</v>
          </cell>
          <cell r="BC852">
            <v>24.054386350000001</v>
          </cell>
          <cell r="BD852">
            <v>24.453275439999999</v>
          </cell>
          <cell r="BE852">
            <v>24.84906221</v>
          </cell>
        </row>
        <row r="854">
          <cell r="A854" t="str">
            <v>ems_ci_co2_srai_2</v>
          </cell>
          <cell r="B854">
            <v>1.709079512</v>
          </cell>
          <cell r="C854">
            <v>1.717519727</v>
          </cell>
          <cell r="D854">
            <v>1.7308265300000001</v>
          </cell>
          <cell r="E854">
            <v>1.746806992</v>
          </cell>
          <cell r="F854">
            <v>1.764954149</v>
          </cell>
          <cell r="G854">
            <v>1.7849440940000001</v>
          </cell>
          <cell r="H854">
            <v>1.8054631889999999</v>
          </cell>
          <cell r="I854">
            <v>1.8267675249999999</v>
          </cell>
          <cell r="J854">
            <v>1.8487741559999999</v>
          </cell>
          <cell r="K854">
            <v>1.871334874</v>
          </cell>
          <cell r="L854">
            <v>1.8959639960000001</v>
          </cell>
          <cell r="M854">
            <v>1.9197961809999999</v>
          </cell>
          <cell r="N854">
            <v>1.943436095</v>
          </cell>
          <cell r="O854">
            <v>1.9669723349999999</v>
          </cell>
          <cell r="P854">
            <v>1.990375931</v>
          </cell>
          <cell r="Q854">
            <v>2.0136111579999998</v>
          </cell>
          <cell r="R854">
            <v>2.0365336150000002</v>
          </cell>
          <cell r="S854">
            <v>2.0592375820000002</v>
          </cell>
          <cell r="T854">
            <v>2.0817681060000002</v>
          </cell>
          <cell r="U854">
            <v>2.1041729020000002</v>
          </cell>
          <cell r="V854">
            <v>2.1253222969999999</v>
          </cell>
          <cell r="W854">
            <v>2.147146212</v>
          </cell>
          <cell r="X854">
            <v>2.1692593009999999</v>
          </cell>
          <cell r="Y854">
            <v>2.1916090110000002</v>
          </cell>
          <cell r="Z854">
            <v>2.2142234219999999</v>
          </cell>
          <cell r="AA854">
            <v>2.2337927350000002</v>
          </cell>
          <cell r="AB854">
            <v>2.2540730369999999</v>
          </cell>
          <cell r="AC854">
            <v>2.2746677790000001</v>
          </cell>
          <cell r="AD854">
            <v>2.2955487579999998</v>
          </cell>
          <cell r="AE854">
            <v>2.3167698259999998</v>
          </cell>
          <cell r="AF854">
            <v>2.338382417</v>
          </cell>
          <cell r="AG854">
            <v>2.3604460459999999</v>
          </cell>
          <cell r="AH854">
            <v>2.3829572209999998</v>
          </cell>
          <cell r="AI854">
            <v>2.4059133099999999</v>
          </cell>
          <cell r="AJ854">
            <v>2.429305464</v>
          </cell>
          <cell r="AK854">
            <v>2.453119649</v>
          </cell>
          <cell r="AL854">
            <v>2.4767956359999999</v>
          </cell>
          <cell r="AM854">
            <v>2.500589449</v>
          </cell>
          <cell r="AN854">
            <v>2.524588783</v>
          </cell>
          <cell r="AO854">
            <v>2.5488303779999999</v>
          </cell>
          <cell r="AP854">
            <v>2.5733349950000002</v>
          </cell>
          <cell r="AQ854">
            <v>2.5981517190000001</v>
          </cell>
          <cell r="AR854">
            <v>2.623261313</v>
          </cell>
          <cell r="AS854">
            <v>2.6486579560000001</v>
          </cell>
          <cell r="AT854">
            <v>2.6743356120000001</v>
          </cell>
          <cell r="AU854">
            <v>2.7002865410000001</v>
          </cell>
          <cell r="AV854">
            <v>2.7266934950000001</v>
          </cell>
          <cell r="AW854">
            <v>2.7534283039999998</v>
          </cell>
          <cell r="AX854">
            <v>2.7639216520000001</v>
          </cell>
          <cell r="AY854">
            <v>2.7943457700000001</v>
          </cell>
          <cell r="AZ854">
            <v>2.797969465</v>
          </cell>
          <cell r="BA854">
            <v>3.575424505</v>
          </cell>
          <cell r="BB854">
            <v>3.6299902319999999</v>
          </cell>
          <cell r="BC854">
            <v>3.6854330360000001</v>
          </cell>
          <cell r="BD854">
            <v>3.7417713899999998</v>
          </cell>
          <cell r="BE854">
            <v>3.7990240829999999</v>
          </cell>
        </row>
        <row r="856">
          <cell r="A856" t="str">
            <v>ems_ci_co2_sroa_2</v>
          </cell>
          <cell r="B856">
            <v>17.067713950000002</v>
          </cell>
          <cell r="C856">
            <v>17.156962279999998</v>
          </cell>
          <cell r="D856">
            <v>17.294910770000001</v>
          </cell>
          <cell r="E856">
            <v>17.45833154</v>
          </cell>
          <cell r="F856">
            <v>17.641426549999998</v>
          </cell>
          <cell r="G856">
            <v>17.840787670000001</v>
          </cell>
          <cell r="H856">
            <v>18.043459510000002</v>
          </cell>
          <cell r="I856">
            <v>18.252546519999999</v>
          </cell>
          <cell r="J856">
            <v>18.467717319999998</v>
          </cell>
          <cell r="K856">
            <v>18.687968340000001</v>
          </cell>
          <cell r="L856">
            <v>18.928880299999999</v>
          </cell>
          <cell r="M856">
            <v>19.161884929999999</v>
          </cell>
          <cell r="N856">
            <v>19.393444479999999</v>
          </cell>
          <cell r="O856">
            <v>19.624570039999998</v>
          </cell>
          <cell r="P856">
            <v>19.855022389999998</v>
          </cell>
          <cell r="Q856">
            <v>20.084443239999999</v>
          </cell>
          <cell r="R856">
            <v>20.311332499999999</v>
          </cell>
          <cell r="S856">
            <v>20.536576920000002</v>
          </cell>
          <cell r="T856">
            <v>20.760542510000001</v>
          </cell>
          <cell r="U856">
            <v>20.983614750000001</v>
          </cell>
          <cell r="V856">
            <v>21.194405750000001</v>
          </cell>
          <cell r="W856">
            <v>21.41223755</v>
          </cell>
          <cell r="X856">
            <v>21.63306725</v>
          </cell>
          <cell r="Y856">
            <v>21.856306459999999</v>
          </cell>
          <cell r="Z856">
            <v>22.082180910000002</v>
          </cell>
          <cell r="AA856">
            <v>22.27754264</v>
          </cell>
          <cell r="AB856">
            <v>22.480212680000001</v>
          </cell>
          <cell r="AC856">
            <v>22.686014180000001</v>
          </cell>
          <cell r="AD856">
            <v>22.894640209999999</v>
          </cell>
          <cell r="AE856">
            <v>23.106605800000001</v>
          </cell>
          <cell r="AF856">
            <v>23.322392780000001</v>
          </cell>
          <cell r="AG856">
            <v>23.542567300000002</v>
          </cell>
          <cell r="AH856">
            <v>23.76706124</v>
          </cell>
          <cell r="AI856">
            <v>23.99582672</v>
          </cell>
          <cell r="AJ856">
            <v>24.22876424</v>
          </cell>
          <cell r="AK856">
            <v>24.46573261</v>
          </cell>
          <cell r="AL856">
            <v>24.701190799999999</v>
          </cell>
          <cell r="AM856">
            <v>24.937743390000001</v>
          </cell>
          <cell r="AN856">
            <v>25.176269959999999</v>
          </cell>
          <cell r="AO856">
            <v>25.417144669999999</v>
          </cell>
          <cell r="AP856">
            <v>25.66058271</v>
          </cell>
          <cell r="AQ856">
            <v>25.907088860000002</v>
          </cell>
          <cell r="AR856">
            <v>26.156466170000002</v>
          </cell>
          <cell r="AS856">
            <v>26.408653399999999</v>
          </cell>
          <cell r="AT856">
            <v>26.663586639999998</v>
          </cell>
          <cell r="AU856">
            <v>26.921186030000001</v>
          </cell>
          <cell r="AV856">
            <v>27.18331195</v>
          </cell>
          <cell r="AW856">
            <v>27.448659330000002</v>
          </cell>
          <cell r="AX856">
            <v>27.47939594</v>
          </cell>
          <cell r="AY856">
            <v>27.553412510000001</v>
          </cell>
          <cell r="AZ856">
            <v>27.561689510000001</v>
          </cell>
          <cell r="BA856">
            <v>35.672975299999997</v>
          </cell>
          <cell r="BB856">
            <v>36.217518470000002</v>
          </cell>
          <cell r="BC856">
            <v>36.770833889999999</v>
          </cell>
          <cell r="BD856">
            <v>37.33310058</v>
          </cell>
          <cell r="BE856">
            <v>37.904501580000002</v>
          </cell>
        </row>
        <row r="858">
          <cell r="A858" t="str">
            <v>ems_ci_co2_swat_2</v>
          </cell>
          <cell r="B858">
            <v>3.6239060099999998</v>
          </cell>
          <cell r="C858">
            <v>3.6488680800000002</v>
          </cell>
          <cell r="D858">
            <v>3.7014877749999999</v>
          </cell>
          <cell r="E858">
            <v>3.760613099</v>
          </cell>
          <cell r="F858">
            <v>3.8229962080000002</v>
          </cell>
          <cell r="G858">
            <v>3.887109084</v>
          </cell>
          <cell r="H858">
            <v>3.9479742440000001</v>
          </cell>
          <cell r="I858">
            <v>4.0075274780000001</v>
          </cell>
          <cell r="J858">
            <v>4.065277912</v>
          </cell>
          <cell r="K858">
            <v>4.1206693750000003</v>
          </cell>
          <cell r="L858">
            <v>4.1792264469999996</v>
          </cell>
          <cell r="M858">
            <v>4.2288826679999998</v>
          </cell>
          <cell r="N858">
            <v>4.2749810229999996</v>
          </cell>
          <cell r="O858">
            <v>4.3183896969999997</v>
          </cell>
          <cell r="P858">
            <v>4.3594962009999998</v>
          </cell>
          <cell r="Q858">
            <v>4.3986837599999999</v>
          </cell>
          <cell r="R858">
            <v>4.4354710830000004</v>
          </cell>
          <cell r="S858">
            <v>4.4711272290000004</v>
          </cell>
          <cell r="T858">
            <v>4.5061844569999998</v>
          </cell>
          <cell r="U858">
            <v>4.5410650539999997</v>
          </cell>
          <cell r="V858">
            <v>4.5720311730000001</v>
          </cell>
          <cell r="W858">
            <v>4.6071963550000001</v>
          </cell>
          <cell r="X858">
            <v>4.6436464690000001</v>
          </cell>
          <cell r="Y858">
            <v>4.6811924579999999</v>
          </cell>
          <cell r="Z858">
            <v>4.7199414989999999</v>
          </cell>
          <cell r="AA858">
            <v>4.7485025780000001</v>
          </cell>
          <cell r="AB858">
            <v>4.7835911050000002</v>
          </cell>
          <cell r="AC858">
            <v>4.8207858359999998</v>
          </cell>
          <cell r="AD858">
            <v>4.859549533</v>
          </cell>
          <cell r="AE858">
            <v>4.8998078249999999</v>
          </cell>
          <cell r="AF858">
            <v>4.9415281929999999</v>
          </cell>
          <cell r="AG858">
            <v>4.984850711</v>
          </cell>
          <cell r="AH858">
            <v>5.0295274479999996</v>
          </cell>
          <cell r="AI858">
            <v>5.0754393840000001</v>
          </cell>
          <cell r="AJ858">
            <v>5.1224681639999998</v>
          </cell>
          <cell r="AK858">
            <v>5.1704879420000003</v>
          </cell>
          <cell r="AL858">
            <v>5.2183849430000002</v>
          </cell>
          <cell r="AM858">
            <v>5.2668749740000003</v>
          </cell>
          <cell r="AN858">
            <v>5.3160009070000003</v>
          </cell>
          <cell r="AO858">
            <v>5.3657162039999999</v>
          </cell>
          <cell r="AP858">
            <v>5.4159679900000004</v>
          </cell>
          <cell r="AQ858">
            <v>5.4669717130000004</v>
          </cell>
          <cell r="AR858">
            <v>5.5184587399999998</v>
          </cell>
          <cell r="AS858">
            <v>5.5703716119999998</v>
          </cell>
          <cell r="AT858">
            <v>5.6226786750000004</v>
          </cell>
          <cell r="AU858">
            <v>5.6753510790000004</v>
          </cell>
          <cell r="AV858">
            <v>5.7294638930000001</v>
          </cell>
          <cell r="AW858">
            <v>5.7840243940000002</v>
          </cell>
          <cell r="AX858">
            <v>5.8222943479999998</v>
          </cell>
          <cell r="AY858">
            <v>5.9160024389999997</v>
          </cell>
          <cell r="AZ858">
            <v>5.9264848790000002</v>
          </cell>
          <cell r="BA858">
            <v>8.6662657089999993</v>
          </cell>
          <cell r="BB858">
            <v>8.818578381</v>
          </cell>
          <cell r="BC858">
            <v>8.9739205159999997</v>
          </cell>
          <cell r="BD858">
            <v>9.1323441750000001</v>
          </cell>
          <cell r="BE858">
            <v>9.2938972399999997</v>
          </cell>
        </row>
        <row r="860">
          <cell r="A860" t="str">
            <v>ems_ci_co2_sair_2</v>
          </cell>
          <cell r="B860">
            <v>18.70970672</v>
          </cell>
          <cell r="C860">
            <v>18.841069409999999</v>
          </cell>
          <cell r="D860">
            <v>19.063214299999999</v>
          </cell>
          <cell r="E860">
            <v>19.320519879999999</v>
          </cell>
          <cell r="F860">
            <v>19.605726170000001</v>
          </cell>
          <cell r="G860">
            <v>19.91664127</v>
          </cell>
          <cell r="H860">
            <v>20.235206479999999</v>
          </cell>
          <cell r="I860">
            <v>20.56801016</v>
          </cell>
          <cell r="J860">
            <v>20.913935469999998</v>
          </cell>
          <cell r="K860">
            <v>21.270558860000001</v>
          </cell>
          <cell r="L860">
            <v>21.66127328</v>
          </cell>
          <cell r="M860">
            <v>22.038704540000001</v>
          </cell>
          <cell r="N860">
            <v>22.415028450000001</v>
          </cell>
          <cell r="O860">
            <v>22.790578379999999</v>
          </cell>
          <cell r="P860">
            <v>23.164182449999998</v>
          </cell>
          <cell r="Q860">
            <v>23.534873439999998</v>
          </cell>
          <cell r="R860">
            <v>23.899342730000001</v>
          </cell>
          <cell r="S860">
            <v>24.259801929999998</v>
          </cell>
          <cell r="T860">
            <v>24.617034570000001</v>
          </cell>
          <cell r="U860">
            <v>24.971937019999999</v>
          </cell>
          <cell r="V860">
            <v>25.306405569999999</v>
          </cell>
          <cell r="W860">
            <v>25.652539409999999</v>
          </cell>
          <cell r="X860">
            <v>26.002982639999999</v>
          </cell>
          <cell r="Y860">
            <v>26.35761961</v>
          </cell>
          <cell r="Z860">
            <v>26.717371029999999</v>
          </cell>
          <cell r="AA860">
            <v>27.028236620000001</v>
          </cell>
          <cell r="AB860">
            <v>27.353590860000001</v>
          </cell>
          <cell r="AC860">
            <v>27.683982950000001</v>
          </cell>
          <cell r="AD860">
            <v>28.019486199999999</v>
          </cell>
          <cell r="AE860">
            <v>28.36138849</v>
          </cell>
          <cell r="AF860">
            <v>28.7108059</v>
          </cell>
          <cell r="AG860">
            <v>29.069115830000001</v>
          </cell>
          <cell r="AH860">
            <v>29.43629971</v>
          </cell>
          <cell r="AI860">
            <v>29.812488989999999</v>
          </cell>
          <cell r="AJ860">
            <v>30.197697089999998</v>
          </cell>
          <cell r="AK860">
            <v>30.591829270000002</v>
          </cell>
          <cell r="AL860">
            <v>30.987100030000001</v>
          </cell>
          <cell r="AM860">
            <v>31.386648860000001</v>
          </cell>
          <cell r="AN860">
            <v>31.791478479999999</v>
          </cell>
          <cell r="AO860">
            <v>32.202095790000001</v>
          </cell>
          <cell r="AP860">
            <v>32.618869930000002</v>
          </cell>
          <cell r="AQ860">
            <v>33.042949139999997</v>
          </cell>
          <cell r="AR860">
            <v>33.473886149999998</v>
          </cell>
          <cell r="AS860">
            <v>33.911669580000002</v>
          </cell>
          <cell r="AT860">
            <v>34.356288239999998</v>
          </cell>
          <cell r="AU860">
            <v>34.807696530000001</v>
          </cell>
          <cell r="AV860">
            <v>35.269953090000001</v>
          </cell>
          <cell r="AW860">
            <v>35.740227009999998</v>
          </cell>
          <cell r="AX860">
            <v>35.869393260000002</v>
          </cell>
          <cell r="AY860">
            <v>36.178747319999999</v>
          </cell>
          <cell r="AZ860">
            <v>36.213249380000001</v>
          </cell>
          <cell r="BA860">
            <v>48.979044649999999</v>
          </cell>
          <cell r="BB860">
            <v>49.925197480000001</v>
          </cell>
          <cell r="BC860">
            <v>50.890454120000001</v>
          </cell>
          <cell r="BD860">
            <v>51.87530229</v>
          </cell>
          <cell r="BE860">
            <v>52.880249550000002</v>
          </cell>
        </row>
        <row r="862">
          <cell r="A862" t="str">
            <v>ems_ci_co2_spri_2</v>
          </cell>
          <cell r="B862">
            <v>30.73582974</v>
          </cell>
          <cell r="C862">
            <v>30.742890859999999</v>
          </cell>
          <cell r="D862">
            <v>30.84069289</v>
          </cell>
          <cell r="E862">
            <v>31.039079449999999</v>
          </cell>
          <cell r="F862">
            <v>31.351861830000001</v>
          </cell>
          <cell r="G862">
            <v>31.780359900000001</v>
          </cell>
          <cell r="H862">
            <v>32.299971970000001</v>
          </cell>
          <cell r="I862">
            <v>32.899031950000001</v>
          </cell>
          <cell r="J862">
            <v>33.563134740000002</v>
          </cell>
          <cell r="K862">
            <v>34.27667391</v>
          </cell>
          <cell r="L862">
            <v>35.053560779999998</v>
          </cell>
          <cell r="M862">
            <v>35.847868490000003</v>
          </cell>
          <cell r="N862">
            <v>36.648911179999999</v>
          </cell>
          <cell r="O862">
            <v>37.450899800000002</v>
          </cell>
          <cell r="P862">
            <v>38.248812340000001</v>
          </cell>
          <cell r="Q862">
            <v>39.039083810000001</v>
          </cell>
          <cell r="R862">
            <v>39.822349379999999</v>
          </cell>
          <cell r="S862">
            <v>40.595447059999998</v>
          </cell>
          <cell r="T862">
            <v>41.359063120000002</v>
          </cell>
          <cell r="U862">
            <v>42.114983840000001</v>
          </cell>
          <cell r="V862">
            <v>42.843337660000003</v>
          </cell>
          <cell r="W862">
            <v>43.574615610000002</v>
          </cell>
          <cell r="X862">
            <v>44.310172309999999</v>
          </cell>
          <cell r="Y862">
            <v>45.051257290000002</v>
          </cell>
          <cell r="Z862">
            <v>45.800142649999998</v>
          </cell>
          <cell r="AA862">
            <v>46.494586660000003</v>
          </cell>
          <cell r="AB862">
            <v>47.185450850000002</v>
          </cell>
          <cell r="AC862">
            <v>47.878968479999997</v>
          </cell>
          <cell r="AD862">
            <v>48.577333119999999</v>
          </cell>
          <cell r="AE862">
            <v>49.283491689999998</v>
          </cell>
          <cell r="AF862">
            <v>50.000582889999997</v>
          </cell>
          <cell r="AG862">
            <v>50.73047356</v>
          </cell>
          <cell r="AH862">
            <v>51.4764008</v>
          </cell>
          <cell r="AI862">
            <v>52.240168820000001</v>
          </cell>
          <cell r="AJ862">
            <v>53.022939530000002</v>
          </cell>
          <cell r="AK862">
            <v>53.825361010000002</v>
          </cell>
          <cell r="AL862">
            <v>54.622343389999997</v>
          </cell>
          <cell r="AM862">
            <v>55.426592290000002</v>
          </cell>
          <cell r="AN862">
            <v>56.241363720000003</v>
          </cell>
          <cell r="AO862">
            <v>57.067933859999997</v>
          </cell>
          <cell r="AP862">
            <v>57.907090599999997</v>
          </cell>
          <cell r="AQ862">
            <v>58.757796630000001</v>
          </cell>
          <cell r="AR862">
            <v>59.62214788</v>
          </cell>
          <cell r="AS862">
            <v>60.500759719999998</v>
          </cell>
          <cell r="AT862">
            <v>61.394008220000003</v>
          </cell>
          <cell r="AU862">
            <v>62.30212453</v>
          </cell>
          <cell r="AV862">
            <v>63.220472200000003</v>
          </cell>
          <cell r="AW862">
            <v>64.154242150000002</v>
          </cell>
          <cell r="AX862">
            <v>64.229937789999994</v>
          </cell>
          <cell r="AY862">
            <v>64.412526009999993</v>
          </cell>
          <cell r="AZ862">
            <v>64.432723060000001</v>
          </cell>
          <cell r="BA862">
            <v>72.575607649999995</v>
          </cell>
          <cell r="BB862">
            <v>73.768639559999997</v>
          </cell>
          <cell r="BC862">
            <v>74.977568120000001</v>
          </cell>
          <cell r="BD862">
            <v>76.2029991</v>
          </cell>
          <cell r="BE862">
            <v>77.445539460000006</v>
          </cell>
        </row>
        <row r="864">
          <cell r="A864" t="str">
            <v>ems_ci_co2_spub_2</v>
          </cell>
          <cell r="B864">
            <v>14.246792299999999</v>
          </cell>
          <cell r="C864">
            <v>14.36413342</v>
          </cell>
          <cell r="D864">
            <v>14.49613866</v>
          </cell>
          <cell r="E864">
            <v>14.647475910000001</v>
          </cell>
          <cell r="F864">
            <v>14.827918179999999</v>
          </cell>
          <cell r="G864">
            <v>15.04218861</v>
          </cell>
          <cell r="H864">
            <v>15.27876477</v>
          </cell>
          <cell r="I864">
            <v>15.54273873</v>
          </cell>
          <cell r="J864">
            <v>15.83073313</v>
          </cell>
          <cell r="K864">
            <v>16.13785429</v>
          </cell>
          <cell r="L864">
            <v>16.479831699999998</v>
          </cell>
          <cell r="M864">
            <v>16.817425960000001</v>
          </cell>
          <cell r="N864">
            <v>17.159600829999999</v>
          </cell>
          <cell r="O864">
            <v>17.505582319999998</v>
          </cell>
          <cell r="P864">
            <v>17.853734670000001</v>
          </cell>
          <cell r="Q864">
            <v>18.2028316</v>
          </cell>
          <cell r="R864">
            <v>18.552343329999999</v>
          </cell>
          <cell r="S864">
            <v>18.901965279999999</v>
          </cell>
          <cell r="T864">
            <v>19.25184673</v>
          </cell>
          <cell r="U864">
            <v>19.60239215</v>
          </cell>
          <cell r="V864">
            <v>19.938180190000001</v>
          </cell>
          <cell r="W864">
            <v>20.287341609999999</v>
          </cell>
          <cell r="X864">
            <v>20.640772999999999</v>
          </cell>
          <cell r="Y864">
            <v>20.99779418</v>
          </cell>
          <cell r="Z864">
            <v>21.358972430000001</v>
          </cell>
          <cell r="AA864">
            <v>21.67822765</v>
          </cell>
          <cell r="AB864">
            <v>22.014419279999998</v>
          </cell>
          <cell r="AC864">
            <v>22.355066709999999</v>
          </cell>
          <cell r="AD864">
            <v>22.698857319999998</v>
          </cell>
          <cell r="AE864">
            <v>23.046209600000001</v>
          </cell>
          <cell r="AF864">
            <v>23.397910469999999</v>
          </cell>
          <cell r="AG864">
            <v>23.754733340000001</v>
          </cell>
          <cell r="AH864">
            <v>24.117515449999999</v>
          </cell>
          <cell r="AI864">
            <v>24.486956339999999</v>
          </cell>
          <cell r="AJ864">
            <v>24.8636126</v>
          </cell>
          <cell r="AK864">
            <v>25.24788981</v>
          </cell>
          <cell r="AL864">
            <v>25.627611770000001</v>
          </cell>
          <cell r="AM864">
            <v>26.011502620000002</v>
          </cell>
          <cell r="AN864">
            <v>26.400945419999999</v>
          </cell>
          <cell r="AO864">
            <v>26.796285619999999</v>
          </cell>
          <cell r="AP864">
            <v>27.197715970000001</v>
          </cell>
          <cell r="AQ864">
            <v>27.605263699999998</v>
          </cell>
          <cell r="AR864">
            <v>28.019192650000001</v>
          </cell>
          <cell r="AS864">
            <v>28.43974141</v>
          </cell>
          <cell r="AT864">
            <v>28.867143089999999</v>
          </cell>
          <cell r="AU864">
            <v>29.301601399999999</v>
          </cell>
          <cell r="AV864">
            <v>29.743729470000002</v>
          </cell>
          <cell r="AW864">
            <v>30.19309368</v>
          </cell>
          <cell r="AX864">
            <v>30.28179007</v>
          </cell>
          <cell r="AY864">
            <v>30.499800260000001</v>
          </cell>
          <cell r="AZ864">
            <v>30.5247031</v>
          </cell>
          <cell r="BA864">
            <v>33.704159480000001</v>
          </cell>
          <cell r="BB864">
            <v>34.277441899999999</v>
          </cell>
          <cell r="BC864">
            <v>34.858916180000001</v>
          </cell>
          <cell r="BD864">
            <v>35.448836919999998</v>
          </cell>
          <cell r="BE864">
            <v>36.047462230000001</v>
          </cell>
        </row>
        <row r="866">
          <cell r="A866" t="str">
            <v>ems_ci_co2_smin_2</v>
          </cell>
          <cell r="B866">
            <v>1.0278857850000001</v>
          </cell>
          <cell r="C866">
            <v>1.0309227809999999</v>
          </cell>
          <cell r="D866">
            <v>1.039609818</v>
          </cell>
          <cell r="E866">
            <v>1.051144286</v>
          </cell>
          <cell r="F866">
            <v>1.064467748</v>
          </cell>
          <cell r="G866">
            <v>1.078941583</v>
          </cell>
          <cell r="H866">
            <v>1.093459736</v>
          </cell>
          <cell r="I866">
            <v>1.1080302230000001</v>
          </cell>
          <cell r="J866">
            <v>1.1225652589999999</v>
          </cell>
          <cell r="K866">
            <v>1.136987328</v>
          </cell>
          <cell r="L866">
            <v>1.152309663</v>
          </cell>
          <cell r="M866">
            <v>1.1667653549999999</v>
          </cell>
          <cell r="N866">
            <v>1.180765064</v>
          </cell>
          <cell r="O866">
            <v>1.1944510509999999</v>
          </cell>
          <cell r="P866">
            <v>1.2078772209999999</v>
          </cell>
          <cell r="Q866">
            <v>1.221080089</v>
          </cell>
          <cell r="R866">
            <v>1.2339898199999999</v>
          </cell>
          <cell r="S866">
            <v>1.246722683</v>
          </cell>
          <cell r="T866">
            <v>1.259348082</v>
          </cell>
          <cell r="U866">
            <v>1.2719261500000001</v>
          </cell>
          <cell r="V866">
            <v>1.283768587</v>
          </cell>
          <cell r="W866">
            <v>1.2960885879999999</v>
          </cell>
          <cell r="X866">
            <v>1.3086966179999999</v>
          </cell>
          <cell r="Y866">
            <v>1.321557176</v>
          </cell>
          <cell r="Z866">
            <v>1.3346834970000001</v>
          </cell>
          <cell r="AA866">
            <v>1.3460005390000001</v>
          </cell>
          <cell r="AB866">
            <v>1.357806278</v>
          </cell>
          <cell r="AC866">
            <v>1.369931813</v>
          </cell>
          <cell r="AD866">
            <v>1.3823521059999999</v>
          </cell>
          <cell r="AE866">
            <v>1.3950881580000001</v>
          </cell>
          <cell r="AF866">
            <v>1.408158308</v>
          </cell>
          <cell r="AG866">
            <v>1.421589733</v>
          </cell>
          <cell r="AH866">
            <v>1.4353586359999999</v>
          </cell>
          <cell r="AI866">
            <v>1.4494419300000001</v>
          </cell>
          <cell r="AJ866">
            <v>1.463813397</v>
          </cell>
          <cell r="AK866">
            <v>1.4784449820000001</v>
          </cell>
          <cell r="AL866">
            <v>1.493029875</v>
          </cell>
          <cell r="AM866">
            <v>1.5076739379999999</v>
          </cell>
          <cell r="AN866">
            <v>1.522422459</v>
          </cell>
          <cell r="AO866">
            <v>1.5372917530000001</v>
          </cell>
          <cell r="AP866">
            <v>1.552287714</v>
          </cell>
          <cell r="AQ866">
            <v>1.5674433759999999</v>
          </cell>
          <cell r="AR866">
            <v>1.5827369200000001</v>
          </cell>
          <cell r="AS866">
            <v>1.5981568150000001</v>
          </cell>
          <cell r="AT866">
            <v>1.613692409</v>
          </cell>
          <cell r="AU866">
            <v>1.629332606</v>
          </cell>
          <cell r="AV866">
            <v>1.645217141</v>
          </cell>
          <cell r="AW866">
            <v>1.6612528129999999</v>
          </cell>
          <cell r="AX866">
            <v>1.7046169790000001</v>
          </cell>
          <cell r="AY866">
            <v>1.8132123040000001</v>
          </cell>
          <cell r="AZ866">
            <v>1.8298396990000001</v>
          </cell>
          <cell r="BA866">
            <v>2.3194195799999999</v>
          </cell>
          <cell r="BB866">
            <v>2.3587256729999999</v>
          </cell>
          <cell r="BC866">
            <v>2.398702202</v>
          </cell>
          <cell r="BD866">
            <v>2.4393586269999998</v>
          </cell>
          <cell r="BE866">
            <v>2.4807043590000002</v>
          </cell>
        </row>
        <row r="868">
          <cell r="A868" t="str">
            <v>ems_ci_co2_soil_2</v>
          </cell>
          <cell r="B868">
            <v>16.257918929999999</v>
          </cell>
          <cell r="C868">
            <v>16.27206043</v>
          </cell>
          <cell r="D868">
            <v>16.32207125</v>
          </cell>
          <cell r="E868">
            <v>16.394373980000001</v>
          </cell>
          <cell r="F868">
            <v>16.492076619999999</v>
          </cell>
          <cell r="G868">
            <v>16.614604490000001</v>
          </cell>
          <cell r="H868">
            <v>16.749804839999999</v>
          </cell>
          <cell r="I868">
            <v>16.89864889</v>
          </cell>
          <cell r="J868">
            <v>17.058793210000001</v>
          </cell>
          <cell r="K868">
            <v>17.22766128</v>
          </cell>
          <cell r="L868">
            <v>17.417528570000002</v>
          </cell>
          <cell r="M868">
            <v>17.602056520000001</v>
          </cell>
          <cell r="N868">
            <v>17.787077490000001</v>
          </cell>
          <cell r="O868">
            <v>17.973401679999998</v>
          </cell>
          <cell r="P868">
            <v>18.16070895</v>
          </cell>
          <cell r="Q868">
            <v>18.348551789999998</v>
          </cell>
          <cell r="R868">
            <v>18.535084170000001</v>
          </cell>
          <cell r="S868">
            <v>18.721286970000001</v>
          </cell>
          <cell r="T868">
            <v>18.907374130000001</v>
          </cell>
          <cell r="U868">
            <v>19.09350744</v>
          </cell>
          <cell r="V868">
            <v>19.269610530000001</v>
          </cell>
          <cell r="W868">
            <v>19.45252103</v>
          </cell>
          <cell r="X868">
            <v>19.638273389999998</v>
          </cell>
          <cell r="Y868">
            <v>19.826093350000001</v>
          </cell>
          <cell r="Z868">
            <v>20.01603695</v>
          </cell>
          <cell r="AA868">
            <v>20.179228030000001</v>
          </cell>
          <cell r="AB868">
            <v>20.349420779999999</v>
          </cell>
          <cell r="AC868">
            <v>20.522334520000001</v>
          </cell>
          <cell r="AD868">
            <v>20.6973463</v>
          </cell>
          <cell r="AE868">
            <v>20.874703570000001</v>
          </cell>
          <cell r="AF868">
            <v>21.054784770000001</v>
          </cell>
          <cell r="AG868">
            <v>21.238225719999999</v>
          </cell>
          <cell r="AH868">
            <v>21.425022240000001</v>
          </cell>
          <cell r="AI868">
            <v>21.615274249999999</v>
          </cell>
          <cell r="AJ868">
            <v>21.809047549999999</v>
          </cell>
          <cell r="AK868">
            <v>22.006361930000001</v>
          </cell>
          <cell r="AL868">
            <v>22.203114920000001</v>
          </cell>
          <cell r="AM868">
            <v>22.401249849999999</v>
          </cell>
          <cell r="AN868">
            <v>22.601534860000001</v>
          </cell>
          <cell r="AO868">
            <v>22.804304739999999</v>
          </cell>
          <cell r="AP868">
            <v>23.009742920000001</v>
          </cell>
          <cell r="AQ868">
            <v>23.218386379999998</v>
          </cell>
          <cell r="AR868">
            <v>23.430003150000001</v>
          </cell>
          <cell r="AS868">
            <v>23.64459033</v>
          </cell>
          <cell r="AT868">
            <v>23.862171830000001</v>
          </cell>
          <cell r="AU868">
            <v>24.082765999999999</v>
          </cell>
          <cell r="AV868">
            <v>24.308361349999998</v>
          </cell>
          <cell r="AW868">
            <v>24.537582799999999</v>
          </cell>
          <cell r="AX868">
            <v>24.556553109999999</v>
          </cell>
          <cell r="AY868">
            <v>24.601947299999999</v>
          </cell>
          <cell r="AZ868">
            <v>24.607015050000001</v>
          </cell>
          <cell r="BA868">
            <v>31.883603999999998</v>
          </cell>
          <cell r="BB868">
            <v>32.347674509999997</v>
          </cell>
          <cell r="BC868">
            <v>32.819326539999999</v>
          </cell>
          <cell r="BD868">
            <v>33.298744659999997</v>
          </cell>
          <cell r="BE868">
            <v>33.786124770000001</v>
          </cell>
        </row>
        <row r="870">
          <cell r="A870" t="str">
            <v>ems_ci_co2_sbfu_2</v>
          </cell>
          <cell r="B870">
            <v>3.7951125069999998</v>
          </cell>
          <cell r="C870">
            <v>3.7940902570000001</v>
          </cell>
          <cell r="D870">
            <v>3.7974665230000002</v>
          </cell>
          <cell r="E870">
            <v>3.8064687660000001</v>
          </cell>
          <cell r="F870">
            <v>3.822820187</v>
          </cell>
          <cell r="G870">
            <v>3.8463377209999998</v>
          </cell>
          <cell r="H870">
            <v>3.874252056</v>
          </cell>
          <cell r="I870">
            <v>3.9064773260000001</v>
          </cell>
          <cell r="J870">
            <v>3.9423059789999999</v>
          </cell>
          <cell r="K870">
            <v>3.9810547180000002</v>
          </cell>
          <cell r="L870">
            <v>4.0250629179999997</v>
          </cell>
          <cell r="M870">
            <v>4.0689446150000004</v>
          </cell>
          <cell r="N870">
            <v>4.1137944849999997</v>
          </cell>
          <cell r="O870">
            <v>4.1595818309999997</v>
          </cell>
          <cell r="P870">
            <v>4.2060813110000002</v>
          </cell>
          <cell r="Q870">
            <v>4.2530621450000003</v>
          </cell>
          <cell r="R870">
            <v>4.3000327199999999</v>
          </cell>
          <cell r="S870">
            <v>4.3470849850000004</v>
          </cell>
          <cell r="T870">
            <v>4.3941621560000002</v>
          </cell>
          <cell r="U870">
            <v>4.4412216740000003</v>
          </cell>
          <cell r="V870">
            <v>4.4861634080000004</v>
          </cell>
          <cell r="W870">
            <v>4.5323376480000004</v>
          </cell>
          <cell r="X870">
            <v>4.5788907239999999</v>
          </cell>
          <cell r="Y870">
            <v>4.6256931870000004</v>
          </cell>
          <cell r="Z870">
            <v>4.6727737879999998</v>
          </cell>
          <cell r="AA870">
            <v>4.7142672040000004</v>
          </cell>
          <cell r="AB870">
            <v>4.7569841239999997</v>
          </cell>
          <cell r="AC870">
            <v>4.7999622950000003</v>
          </cell>
          <cell r="AD870">
            <v>4.8431362260000004</v>
          </cell>
          <cell r="AE870">
            <v>4.8866073319999996</v>
          </cell>
          <cell r="AF870">
            <v>4.9304980680000003</v>
          </cell>
          <cell r="AG870">
            <v>4.9749788600000002</v>
          </cell>
          <cell r="AH870">
            <v>5.0200891529999998</v>
          </cell>
          <cell r="AI870">
            <v>5.0658896090000001</v>
          </cell>
          <cell r="AJ870">
            <v>5.1124299740000003</v>
          </cell>
          <cell r="AK870">
            <v>5.1597473110000003</v>
          </cell>
          <cell r="AL870">
            <v>5.2070104270000002</v>
          </cell>
          <cell r="AM870">
            <v>5.2546254299999999</v>
          </cell>
          <cell r="AN870">
            <v>5.3027554290000003</v>
          </cell>
          <cell r="AO870">
            <v>5.3514830010000001</v>
          </cell>
          <cell r="AP870">
            <v>5.4008632639999998</v>
          </cell>
          <cell r="AQ870">
            <v>5.4510218129999997</v>
          </cell>
          <cell r="AR870">
            <v>5.501929606</v>
          </cell>
          <cell r="AS870">
            <v>5.5536070940000002</v>
          </cell>
          <cell r="AT870">
            <v>5.6060775520000004</v>
          </cell>
          <cell r="AU870">
            <v>5.6593616840000003</v>
          </cell>
          <cell r="AV870">
            <v>5.7138725780000001</v>
          </cell>
          <cell r="AW870">
            <v>5.7693427890000004</v>
          </cell>
          <cell r="AX870">
            <v>5.7715271899999996</v>
          </cell>
          <cell r="AY870">
            <v>5.7768704829999997</v>
          </cell>
          <cell r="AZ870">
            <v>5.7774794060000003</v>
          </cell>
          <cell r="BA870">
            <v>7.2498662630000004</v>
          </cell>
          <cell r="BB870">
            <v>7.3506676459999998</v>
          </cell>
          <cell r="BC870">
            <v>7.4530505619999996</v>
          </cell>
          <cell r="BD870">
            <v>7.5570639120000003</v>
          </cell>
          <cell r="BE870">
            <v>7.662759103</v>
          </cell>
        </row>
        <row r="872">
          <cell r="A872" t="str">
            <v>ems_ci_co2_seoi_2</v>
          </cell>
          <cell r="B872">
            <v>3.0574699070000002</v>
          </cell>
          <cell r="C872">
            <v>3.0681844539999998</v>
          </cell>
          <cell r="D872">
            <v>3.0776015590000001</v>
          </cell>
          <cell r="E872">
            <v>3.090601296</v>
          </cell>
          <cell r="F872">
            <v>3.1091182000000002</v>
          </cell>
          <cell r="G872">
            <v>3.1333031039999999</v>
          </cell>
          <cell r="H872">
            <v>3.1608924940000001</v>
          </cell>
          <cell r="I872">
            <v>3.1910431400000001</v>
          </cell>
          <cell r="J872">
            <v>3.2227261600000001</v>
          </cell>
          <cell r="K872">
            <v>3.2549358719999999</v>
          </cell>
          <cell r="L872">
            <v>3.2892647149999998</v>
          </cell>
          <cell r="M872">
            <v>3.3219060699999998</v>
          </cell>
          <cell r="N872">
            <v>3.352619008</v>
          </cell>
          <cell r="O872">
            <v>3.3815207350000001</v>
          </cell>
          <cell r="P872">
            <v>3.4087211449999999</v>
          </cell>
          <cell r="Q872">
            <v>3.4343671360000001</v>
          </cell>
          <cell r="R872">
            <v>3.4589593949999999</v>
          </cell>
          <cell r="S872">
            <v>3.4823852629999998</v>
          </cell>
          <cell r="T872">
            <v>3.5049200150000002</v>
          </cell>
          <cell r="U872">
            <v>3.5268806069999998</v>
          </cell>
          <cell r="V872">
            <v>3.5468498660000001</v>
          </cell>
          <cell r="W872">
            <v>3.5675699820000002</v>
          </cell>
          <cell r="X872">
            <v>3.5889902400000002</v>
          </cell>
          <cell r="Y872">
            <v>3.6110929669999998</v>
          </cell>
          <cell r="Z872">
            <v>3.6339509040000002</v>
          </cell>
          <cell r="AA872">
            <v>3.6528210460000001</v>
          </cell>
          <cell r="AB872">
            <v>3.6722693990000002</v>
          </cell>
          <cell r="AC872">
            <v>3.6926763079999998</v>
          </cell>
          <cell r="AD872">
            <v>3.714030647</v>
          </cell>
          <cell r="AE872">
            <v>3.7363511850000002</v>
          </cell>
          <cell r="AF872">
            <v>3.7596751080000002</v>
          </cell>
          <cell r="AG872">
            <v>3.7839305809999999</v>
          </cell>
          <cell r="AH872">
            <v>3.8092299870000002</v>
          </cell>
          <cell r="AI872">
            <v>3.8355552770000001</v>
          </cell>
          <cell r="AJ872">
            <v>3.8628535770000001</v>
          </cell>
          <cell r="AK872">
            <v>3.8910548399999998</v>
          </cell>
          <cell r="AL872">
            <v>3.9180225690000001</v>
          </cell>
          <cell r="AM872">
            <v>3.9451981530000002</v>
          </cell>
          <cell r="AN872">
            <v>3.9728481699999998</v>
          </cell>
          <cell r="AO872">
            <v>4.000987555</v>
          </cell>
          <cell r="AP872">
            <v>4.0295797440000003</v>
          </cell>
          <cell r="AQ872">
            <v>4.0584226609999998</v>
          </cell>
          <cell r="AR872">
            <v>4.0876591839999996</v>
          </cell>
          <cell r="AS872">
            <v>4.1172729930000003</v>
          </cell>
          <cell r="AT872">
            <v>4.1472288470000001</v>
          </cell>
          <cell r="AU872">
            <v>4.177489724</v>
          </cell>
          <cell r="AV872">
            <v>4.2075319020000004</v>
          </cell>
          <cell r="AW872">
            <v>4.2379059330000004</v>
          </cell>
          <cell r="AX872">
            <v>4.2901456519999996</v>
          </cell>
          <cell r="AY872">
            <v>4.4151974000000003</v>
          </cell>
          <cell r="AZ872">
            <v>4.4291688110000003</v>
          </cell>
          <cell r="BA872">
            <v>4.9407715779999997</v>
          </cell>
          <cell r="BB872">
            <v>5.0032921830000001</v>
          </cell>
          <cell r="BC872">
            <v>5.0669809370000003</v>
          </cell>
          <cell r="BD872">
            <v>5.1318433590000003</v>
          </cell>
          <cell r="BE872">
            <v>5.197886574</v>
          </cell>
        </row>
        <row r="874">
          <cell r="A874" t="str">
            <v>ems_ci_co2_sega_2</v>
          </cell>
          <cell r="B874">
            <v>3.617524279</v>
          </cell>
          <cell r="C874">
            <v>3.6302023750000001</v>
          </cell>
          <cell r="D874">
            <v>3.641345276</v>
          </cell>
          <cell r="E874">
            <v>3.656726736</v>
          </cell>
          <cell r="F874">
            <v>3.678635501</v>
          </cell>
          <cell r="G874">
            <v>3.707249993</v>
          </cell>
          <cell r="H874">
            <v>3.739892137</v>
          </cell>
          <cell r="I874">
            <v>3.7755643810000001</v>
          </cell>
          <cell r="J874">
            <v>3.813049543</v>
          </cell>
          <cell r="K874">
            <v>3.8511578819999999</v>
          </cell>
          <cell r="L874">
            <v>3.8917736619999999</v>
          </cell>
          <cell r="M874">
            <v>3.9303930770000002</v>
          </cell>
          <cell r="N874">
            <v>3.9667311590000001</v>
          </cell>
          <cell r="O874">
            <v>4.0009266270000001</v>
          </cell>
          <cell r="P874">
            <v>4.033109509</v>
          </cell>
          <cell r="Q874">
            <v>4.0634535920000001</v>
          </cell>
          <cell r="R874">
            <v>4.0925512389999996</v>
          </cell>
          <cell r="S874">
            <v>4.1202691099999997</v>
          </cell>
          <cell r="T874">
            <v>4.1469328540000001</v>
          </cell>
          <cell r="U874">
            <v>4.1729174379999998</v>
          </cell>
          <cell r="V874">
            <v>4.1965460630000004</v>
          </cell>
          <cell r="W874">
            <v>4.2210631850000002</v>
          </cell>
          <cell r="X874">
            <v>4.246408755</v>
          </cell>
          <cell r="Y874">
            <v>4.272561831</v>
          </cell>
          <cell r="Z874">
            <v>4.2996084559999996</v>
          </cell>
          <cell r="AA874">
            <v>4.3219368249999999</v>
          </cell>
          <cell r="AB874">
            <v>4.3449493500000003</v>
          </cell>
          <cell r="AC874">
            <v>4.3690960199999997</v>
          </cell>
          <cell r="AD874">
            <v>4.3943636550000003</v>
          </cell>
          <cell r="AE874">
            <v>4.4207744509999998</v>
          </cell>
          <cell r="AF874">
            <v>4.4483723990000001</v>
          </cell>
          <cell r="AG874">
            <v>4.4770724990000001</v>
          </cell>
          <cell r="AH874">
            <v>4.507007722</v>
          </cell>
          <cell r="AI874">
            <v>4.5381567150000004</v>
          </cell>
          <cell r="AJ874">
            <v>4.5704569240000001</v>
          </cell>
          <cell r="AK874">
            <v>4.6038254820000004</v>
          </cell>
          <cell r="AL874">
            <v>4.6357345460000001</v>
          </cell>
          <cell r="AM874">
            <v>4.6678895589999998</v>
          </cell>
          <cell r="AN874">
            <v>4.7006059459999996</v>
          </cell>
          <cell r="AO874">
            <v>4.733901382</v>
          </cell>
          <cell r="AP874">
            <v>4.7677326149999999</v>
          </cell>
          <cell r="AQ874">
            <v>4.801860553</v>
          </cell>
          <cell r="AR874">
            <v>4.8364542540000004</v>
          </cell>
          <cell r="AS874">
            <v>4.8714944100000004</v>
          </cell>
          <cell r="AT874">
            <v>4.906939328</v>
          </cell>
          <cell r="AU874">
            <v>4.9427452110000001</v>
          </cell>
          <cell r="AV874">
            <v>4.9782924020000001</v>
          </cell>
          <cell r="AW874">
            <v>5.0142323109999998</v>
          </cell>
          <cell r="AX874">
            <v>5.0252239650000003</v>
          </cell>
          <cell r="AY874">
            <v>5.0512915070000002</v>
          </cell>
          <cell r="AZ874">
            <v>5.0541758220000004</v>
          </cell>
          <cell r="BA874">
            <v>5.8457940060000002</v>
          </cell>
          <cell r="BB874">
            <v>5.9197668380000001</v>
          </cell>
          <cell r="BC874">
            <v>5.9951217950000002</v>
          </cell>
          <cell r="BD874">
            <v>6.0718654030000003</v>
          </cell>
          <cell r="BE874">
            <v>6.150006093</v>
          </cell>
        </row>
        <row r="876">
          <cell r="A876" t="str">
            <v>ems_ci_co2_seco_2</v>
          </cell>
          <cell r="B876">
            <v>7.4567112519999998</v>
          </cell>
          <cell r="C876">
            <v>7.4828442910000001</v>
          </cell>
          <cell r="D876">
            <v>7.5058128699999997</v>
          </cell>
          <cell r="E876">
            <v>7.5375182839999999</v>
          </cell>
          <cell r="F876">
            <v>7.5826782689999996</v>
          </cell>
          <cell r="G876">
            <v>7.6416605970000004</v>
          </cell>
          <cell r="H876">
            <v>7.7089450209999999</v>
          </cell>
          <cell r="I876">
            <v>7.7824753160000002</v>
          </cell>
          <cell r="J876">
            <v>7.8597425310000002</v>
          </cell>
          <cell r="K876">
            <v>7.9382942859999996</v>
          </cell>
          <cell r="L876">
            <v>8.0220145649999992</v>
          </cell>
          <cell r="M876">
            <v>8.1016197890000008</v>
          </cell>
          <cell r="N876">
            <v>8.1765225580000003</v>
          </cell>
          <cell r="O876">
            <v>8.2470088110000006</v>
          </cell>
          <cell r="P876">
            <v>8.3133465710000003</v>
          </cell>
          <cell r="Q876">
            <v>8.3758940610000003</v>
          </cell>
          <cell r="R876">
            <v>8.4358723040000001</v>
          </cell>
          <cell r="S876">
            <v>8.4930064499999993</v>
          </cell>
          <cell r="T876">
            <v>8.5479677519999999</v>
          </cell>
          <cell r="U876">
            <v>8.6015291170000001</v>
          </cell>
          <cell r="V876">
            <v>8.6502342030000001</v>
          </cell>
          <cell r="W876">
            <v>8.700770726</v>
          </cell>
          <cell r="X876">
            <v>8.7530149080000008</v>
          </cell>
          <cell r="Y876">
            <v>8.8069235829999997</v>
          </cell>
          <cell r="Z876">
            <v>8.8626741070000001</v>
          </cell>
          <cell r="AA876">
            <v>8.9086990089999993</v>
          </cell>
          <cell r="AB876">
            <v>8.9561341429999999</v>
          </cell>
          <cell r="AC876">
            <v>9.0059070630000004</v>
          </cell>
          <cell r="AD876">
            <v>9.0579906010000002</v>
          </cell>
          <cell r="AE876">
            <v>9.1124305060000008</v>
          </cell>
          <cell r="AF876">
            <v>9.1693174580000001</v>
          </cell>
          <cell r="AG876">
            <v>9.2284762479999998</v>
          </cell>
          <cell r="AH876">
            <v>9.2901809649999993</v>
          </cell>
          <cell r="AI876">
            <v>9.3543875960000005</v>
          </cell>
          <cell r="AJ876">
            <v>9.4209671979999996</v>
          </cell>
          <cell r="AK876">
            <v>9.4897489640000003</v>
          </cell>
          <cell r="AL876">
            <v>9.5555223090000005</v>
          </cell>
          <cell r="AM876">
            <v>9.6218026240000007</v>
          </cell>
          <cell r="AN876">
            <v>9.6892400849999998</v>
          </cell>
          <cell r="AO876">
            <v>9.7578711249999994</v>
          </cell>
          <cell r="AP876">
            <v>9.8276065880000001</v>
          </cell>
          <cell r="AQ876">
            <v>9.8979536449999994</v>
          </cell>
          <cell r="AR876">
            <v>9.9692607639999995</v>
          </cell>
          <cell r="AS876">
            <v>10.041488149999999</v>
          </cell>
          <cell r="AT876">
            <v>10.11454986</v>
          </cell>
          <cell r="AU876">
            <v>10.188355619999999</v>
          </cell>
          <cell r="AV876">
            <v>10.26162815</v>
          </cell>
          <cell r="AW876">
            <v>10.33571018</v>
          </cell>
          <cell r="AX876">
            <v>10.36927801</v>
          </cell>
          <cell r="AY876">
            <v>10.44959231</v>
          </cell>
          <cell r="AZ876">
            <v>10.45855177</v>
          </cell>
          <cell r="BA876">
            <v>12.04978725</v>
          </cell>
          <cell r="BB876">
            <v>12.202265580000001</v>
          </cell>
          <cell r="BC876">
            <v>12.35759285</v>
          </cell>
          <cell r="BD876">
            <v>12.5157825</v>
          </cell>
          <cell r="BE876">
            <v>12.67685193</v>
          </cell>
        </row>
        <row r="878">
          <cell r="A878" t="str">
            <v>ems_ci_co2_sech_2</v>
          </cell>
          <cell r="B878">
            <v>9.7660726029999996</v>
          </cell>
          <cell r="C878">
            <v>9.8479715900000002</v>
          </cell>
          <cell r="D878">
            <v>9.9253999230000005</v>
          </cell>
          <cell r="E878">
            <v>10.013445040000001</v>
          </cell>
          <cell r="F878">
            <v>10.11432215</v>
          </cell>
          <cell r="G878">
            <v>10.22692247</v>
          </cell>
          <cell r="H878">
            <v>10.34201912</v>
          </cell>
          <cell r="I878">
            <v>10.45973959</v>
          </cell>
          <cell r="J878">
            <v>10.57960746</v>
          </cell>
          <cell r="K878">
            <v>10.700524919999999</v>
          </cell>
          <cell r="L878">
            <v>10.832861660000001</v>
          </cell>
          <cell r="M878">
            <v>10.95947776</v>
          </cell>
          <cell r="N878">
            <v>11.08068913</v>
          </cell>
          <cell r="O878">
            <v>11.19786248</v>
          </cell>
          <cell r="P878">
            <v>11.31173581</v>
          </cell>
          <cell r="Q878">
            <v>11.422765849999999</v>
          </cell>
          <cell r="R878">
            <v>11.532244499999999</v>
          </cell>
          <cell r="S878">
            <v>11.6395386</v>
          </cell>
          <cell r="T878">
            <v>11.74518202</v>
          </cell>
          <cell r="U878">
            <v>11.84979598</v>
          </cell>
          <cell r="V878">
            <v>11.945985009999999</v>
          </cell>
          <cell r="W878">
            <v>12.0459209</v>
          </cell>
          <cell r="X878">
            <v>12.148738059999999</v>
          </cell>
          <cell r="Y878">
            <v>12.25361816</v>
          </cell>
          <cell r="Z878">
            <v>12.36032241</v>
          </cell>
          <cell r="AA878">
            <v>12.44670065</v>
          </cell>
          <cell r="AB878">
            <v>12.534298039999999</v>
          </cell>
          <cell r="AC878">
            <v>12.62476019</v>
          </cell>
          <cell r="AD878">
            <v>12.71772722</v>
          </cell>
          <cell r="AE878">
            <v>12.81298834</v>
          </cell>
          <cell r="AF878">
            <v>12.91045679</v>
          </cell>
          <cell r="AG878">
            <v>13.0098486</v>
          </cell>
          <cell r="AH878">
            <v>13.111491490000001</v>
          </cell>
          <cell r="AI878">
            <v>13.21535542</v>
          </cell>
          <cell r="AJ878">
            <v>13.321352109999999</v>
          </cell>
          <cell r="AK878">
            <v>13.429368719999999</v>
          </cell>
          <cell r="AL878">
            <v>13.531741650000001</v>
          </cell>
          <cell r="AM878">
            <v>13.633624040000001</v>
          </cell>
          <cell r="AN878">
            <v>13.736279769999999</v>
          </cell>
          <cell r="AO878">
            <v>13.84003006</v>
          </cell>
          <cell r="AP878">
            <v>13.944925420000001</v>
          </cell>
          <cell r="AQ878">
            <v>14.050476979999999</v>
          </cell>
          <cell r="AR878">
            <v>14.157163600000001</v>
          </cell>
          <cell r="AS878">
            <v>14.264955609999999</v>
          </cell>
          <cell r="AT878">
            <v>14.37378535</v>
          </cell>
          <cell r="AU878">
            <v>14.483591029999999</v>
          </cell>
          <cell r="AV878">
            <v>14.593069720000001</v>
          </cell>
          <cell r="AW878">
            <v>14.70382096</v>
          </cell>
          <cell r="AX878">
            <v>14.79520235</v>
          </cell>
          <cell r="AY878">
            <v>15.013477229999999</v>
          </cell>
          <cell r="AZ878">
            <v>15.03780098</v>
          </cell>
          <cell r="BA878">
            <v>14.959048920000001</v>
          </cell>
          <cell r="BB878">
            <v>15.108809000000001</v>
          </cell>
          <cell r="BC878">
            <v>15.2610198</v>
          </cell>
          <cell r="BD878">
            <v>15.41566873</v>
          </cell>
          <cell r="BE878">
            <v>15.57277088</v>
          </cell>
        </row>
        <row r="880">
          <cell r="A880" t="str">
            <v>ems_ci_co2_seot_2</v>
          </cell>
          <cell r="B880">
            <v>1.326946824</v>
          </cell>
          <cell r="C880">
            <v>1.331765163</v>
          </cell>
          <cell r="D880">
            <v>1.3356617719999999</v>
          </cell>
          <cell r="E880">
            <v>1.340788614</v>
          </cell>
          <cell r="F880">
            <v>1.348118454</v>
          </cell>
          <cell r="G880">
            <v>1.357867113</v>
          </cell>
          <cell r="H880">
            <v>1.3691839050000001</v>
          </cell>
          <cell r="I880">
            <v>1.381790345</v>
          </cell>
          <cell r="J880">
            <v>1.395291896</v>
          </cell>
          <cell r="K880">
            <v>1.4092744109999999</v>
          </cell>
          <cell r="L880">
            <v>1.424425601</v>
          </cell>
          <cell r="M880">
            <v>1.439098982</v>
          </cell>
          <cell r="N880">
            <v>1.4531645719999999</v>
          </cell>
          <cell r="O880">
            <v>1.4666419669999999</v>
          </cell>
          <cell r="P880">
            <v>1.479545812</v>
          </cell>
          <cell r="Q880">
            <v>1.4919074919999999</v>
          </cell>
          <cell r="R880">
            <v>1.503921211</v>
          </cell>
          <cell r="S880">
            <v>1.515511593</v>
          </cell>
          <cell r="T880">
            <v>1.52677292</v>
          </cell>
          <cell r="U880">
            <v>1.5378208339999999</v>
          </cell>
          <cell r="V880">
            <v>1.5480188269999999</v>
          </cell>
          <cell r="W880">
            <v>1.5585413960000001</v>
          </cell>
          <cell r="X880">
            <v>1.569358281</v>
          </cell>
          <cell r="Y880">
            <v>1.5804561909999999</v>
          </cell>
          <cell r="Z880">
            <v>1.5918640829999999</v>
          </cell>
          <cell r="AA880">
            <v>1.6015035129999999</v>
          </cell>
          <cell r="AB880">
            <v>1.611353458</v>
          </cell>
          <cell r="AC880">
            <v>1.6215803049999999</v>
          </cell>
          <cell r="AD880">
            <v>1.632181576</v>
          </cell>
          <cell r="AE880">
            <v>1.643169831</v>
          </cell>
          <cell r="AF880">
            <v>1.6545671829999999</v>
          </cell>
          <cell r="AG880">
            <v>1.66634689</v>
          </cell>
          <cell r="AH880">
            <v>1.678565804</v>
          </cell>
          <cell r="AI880">
            <v>1.6912244729999999</v>
          </cell>
          <cell r="AJ880">
            <v>1.7043082789999999</v>
          </cell>
          <cell r="AK880">
            <v>1.717794614</v>
          </cell>
          <cell r="AL880">
            <v>1.7307287</v>
          </cell>
          <cell r="AM880">
            <v>1.74374618</v>
          </cell>
          <cell r="AN880">
            <v>1.7569709630000001</v>
          </cell>
          <cell r="AO880">
            <v>1.7704172460000001</v>
          </cell>
          <cell r="AP880">
            <v>1.7840755509999999</v>
          </cell>
          <cell r="AQ880">
            <v>1.7978583299999999</v>
          </cell>
          <cell r="AR880">
            <v>1.8118320020000001</v>
          </cell>
          <cell r="AS880">
            <v>1.8259925699999999</v>
          </cell>
          <cell r="AT880">
            <v>1.84032726</v>
          </cell>
          <cell r="AU880">
            <v>1.854821974</v>
          </cell>
          <cell r="AV880">
            <v>1.869234531</v>
          </cell>
          <cell r="AW880">
            <v>1.883809048</v>
          </cell>
          <cell r="AX880">
            <v>1.8893676370000001</v>
          </cell>
          <cell r="AY880">
            <v>1.903085795</v>
          </cell>
          <cell r="AZ880">
            <v>1.904660614</v>
          </cell>
          <cell r="BA880">
            <v>2.1598708860000002</v>
          </cell>
          <cell r="BB880">
            <v>2.187238834</v>
          </cell>
          <cell r="BC880">
            <v>2.2150941770000001</v>
          </cell>
          <cell r="BD880">
            <v>2.2434400540000001</v>
          </cell>
          <cell r="BE880">
            <v>2.272280496</v>
          </cell>
        </row>
        <row r="882">
          <cell r="A882" t="str">
            <v>ems_y_co2_sagr_2</v>
          </cell>
          <cell r="B882">
            <v>2.7047184799999999E-2</v>
          </cell>
          <cell r="C882">
            <v>2.72398773E-2</v>
          </cell>
          <cell r="D882">
            <v>2.75072879E-2</v>
          </cell>
          <cell r="E882">
            <v>2.7795796300000002E-2</v>
          </cell>
          <cell r="F882">
            <v>2.80702174E-2</v>
          </cell>
          <cell r="G882">
            <v>2.83060802E-2</v>
          </cell>
          <cell r="H882">
            <v>2.8467064399999999E-2</v>
          </cell>
          <cell r="I882">
            <v>2.8563257000000002E-2</v>
          </cell>
          <cell r="J882">
            <v>2.8605469500000001E-2</v>
          </cell>
          <cell r="K882">
            <v>2.8607620399999999E-2</v>
          </cell>
          <cell r="L882">
            <v>2.86212351E-2</v>
          </cell>
          <cell r="M882">
            <v>2.8599825999999998E-2</v>
          </cell>
          <cell r="N882">
            <v>2.8568845200000002E-2</v>
          </cell>
          <cell r="O882">
            <v>2.8541026300000001E-2</v>
          </cell>
          <cell r="P882">
            <v>2.85246548E-2</v>
          </cell>
          <cell r="Q882">
            <v>2.8524324199999999E-2</v>
          </cell>
          <cell r="R882">
            <v>2.8539938399999999E-2</v>
          </cell>
          <cell r="S882">
            <v>2.8571922499999999E-2</v>
          </cell>
          <cell r="T882">
            <v>2.86180503E-2</v>
          </cell>
          <cell r="U882">
            <v>2.8675263699999998E-2</v>
          </cell>
          <cell r="V882">
            <v>2.8716900900000002E-2</v>
          </cell>
          <cell r="W882">
            <v>2.8776747700000001E-2</v>
          </cell>
          <cell r="X882">
            <v>2.8844392199999999E-2</v>
          </cell>
          <cell r="Y882">
            <v>2.8914923499999998E-2</v>
          </cell>
          <cell r="Z882">
            <v>2.89847895E-2</v>
          </cell>
          <cell r="AA882">
            <v>2.8988545300000002E-2</v>
          </cell>
          <cell r="AB882">
            <v>2.8995825999999999E-2</v>
          </cell>
          <cell r="AC882">
            <v>2.9003025000000002E-2</v>
          </cell>
          <cell r="AD882">
            <v>2.9011392E-2</v>
          </cell>
          <cell r="AE882">
            <v>2.90214744E-2</v>
          </cell>
          <cell r="AF882">
            <v>2.9033164300000001E-2</v>
          </cell>
          <cell r="AG882">
            <v>2.9046240099999999E-2</v>
          </cell>
          <cell r="AH882">
            <v>2.9059917599999999E-2</v>
          </cell>
          <cell r="AI882">
            <v>2.90736022E-2</v>
          </cell>
          <cell r="AJ882">
            <v>2.9086852400000002E-2</v>
          </cell>
          <cell r="AK882">
            <v>2.90994431E-2</v>
          </cell>
          <cell r="AL882">
            <v>2.9100688600000001E-2</v>
          </cell>
          <cell r="AM882">
            <v>2.9097562899999999E-2</v>
          </cell>
          <cell r="AN882">
            <v>2.9093925699999999E-2</v>
          </cell>
          <cell r="AO882">
            <v>2.9091943299999999E-2</v>
          </cell>
          <cell r="AP882">
            <v>2.90926317E-2</v>
          </cell>
          <cell r="AQ882">
            <v>2.9096547600000001E-2</v>
          </cell>
          <cell r="AR882">
            <v>2.9103269099999999E-2</v>
          </cell>
          <cell r="AS882">
            <v>2.9112151999999999E-2</v>
          </cell>
          <cell r="AT882">
            <v>2.9122368900000001E-2</v>
          </cell>
          <cell r="AU882">
            <v>2.9133083800000001E-2</v>
          </cell>
          <cell r="AV882">
            <v>2.9145690700000001E-2</v>
          </cell>
          <cell r="AW882">
            <v>2.9158887800000002E-2</v>
          </cell>
          <cell r="AX882">
            <v>2.9158648999999998E-2</v>
          </cell>
          <cell r="AY882">
            <v>2.91580561E-2</v>
          </cell>
          <cell r="AZ882">
            <v>2.9157987900000001E-2</v>
          </cell>
          <cell r="BA882">
            <v>6.0330790299999999E-2</v>
          </cell>
          <cell r="BB882">
            <v>6.1318025399999997E-2</v>
          </cell>
          <cell r="BC882">
            <v>6.2321753899999999E-2</v>
          </cell>
          <cell r="BD882">
            <v>6.3342322300000004E-2</v>
          </cell>
          <cell r="BE882">
            <v>6.4380092700000002E-2</v>
          </cell>
        </row>
        <row r="883">
          <cell r="A883" t="str">
            <v>ems_mat_co2_spub_2</v>
          </cell>
          <cell r="B883">
            <v>4.2732184740000001</v>
          </cell>
          <cell r="C883">
            <v>4.3286716350000001</v>
          </cell>
          <cell r="D883">
            <v>4.3916949470000004</v>
          </cell>
          <cell r="E883">
            <v>4.4581698019999996</v>
          </cell>
          <cell r="F883">
            <v>4.5272741959999996</v>
          </cell>
          <cell r="G883">
            <v>4.5986720559999998</v>
          </cell>
          <cell r="H883">
            <v>4.6684447459999996</v>
          </cell>
          <cell r="I883">
            <v>4.739449917</v>
          </cell>
          <cell r="J883">
            <v>4.8120222650000004</v>
          </cell>
          <cell r="K883">
            <v>4.8861989159999997</v>
          </cell>
          <cell r="L883">
            <v>4.9684248220000002</v>
          </cell>
          <cell r="M883">
            <v>5.046892422</v>
          </cell>
          <cell r="N883">
            <v>5.1261358330000002</v>
          </cell>
          <cell r="O883">
            <v>5.2066469619999998</v>
          </cell>
          <cell r="P883">
            <v>5.288411054</v>
          </cell>
          <cell r="Q883">
            <v>5.3713553679999997</v>
          </cell>
          <cell r="R883">
            <v>5.4553453789999997</v>
          </cell>
          <cell r="S883">
            <v>5.5403619409999996</v>
          </cell>
          <cell r="T883">
            <v>5.6263833219999997</v>
          </cell>
          <cell r="U883">
            <v>5.7134034150000002</v>
          </cell>
          <cell r="V883">
            <v>5.7966258850000001</v>
          </cell>
          <cell r="W883">
            <v>5.8848013889999997</v>
          </cell>
          <cell r="X883">
            <v>5.9745800459999998</v>
          </cell>
          <cell r="Y883">
            <v>6.0655951650000004</v>
          </cell>
          <cell r="Z883">
            <v>6.1578454989999996</v>
          </cell>
          <cell r="AA883">
            <v>6.2374600830000002</v>
          </cell>
          <cell r="AB883">
            <v>6.3231470720000003</v>
          </cell>
          <cell r="AC883">
            <v>6.4104203970000002</v>
          </cell>
          <cell r="AD883">
            <v>6.4988263919999998</v>
          </cell>
          <cell r="AE883">
            <v>6.5883949839999998</v>
          </cell>
          <cell r="AF883">
            <v>6.679195762</v>
          </cell>
          <cell r="AG883">
            <v>6.7712991489999999</v>
          </cell>
          <cell r="AH883">
            <v>6.8647360490000002</v>
          </cell>
          <cell r="AI883">
            <v>6.9595308779999998</v>
          </cell>
          <cell r="AJ883">
            <v>7.0557025949999996</v>
          </cell>
          <cell r="AK883">
            <v>7.1532674050000002</v>
          </cell>
          <cell r="AL883">
            <v>7.2490073959999997</v>
          </cell>
          <cell r="AM883">
            <v>7.3455836530000003</v>
          </cell>
          <cell r="AN883">
            <v>7.4433486540000002</v>
          </cell>
          <cell r="AO883">
            <v>7.5423751960000001</v>
          </cell>
          <cell r="AP883">
            <v>7.6427027430000001</v>
          </cell>
          <cell r="AQ883">
            <v>7.7443870449999999</v>
          </cell>
          <cell r="AR883">
            <v>7.8474441549999998</v>
          </cell>
          <cell r="AS883">
            <v>7.9518903969999997</v>
          </cell>
          <cell r="AT883">
            <v>8.0577385489999998</v>
          </cell>
          <cell r="AU883">
            <v>8.1649990779999992</v>
          </cell>
          <cell r="AV883">
            <v>8.2740680819999994</v>
          </cell>
          <cell r="AW883">
            <v>8.3846741890000001</v>
          </cell>
          <cell r="AX883">
            <v>8.3936668730000008</v>
          </cell>
          <cell r="AY883">
            <v>8.3921448919999992</v>
          </cell>
          <cell r="AZ883">
            <v>8.3900881090000006</v>
          </cell>
          <cell r="BA883">
            <v>9.7775559039999997</v>
          </cell>
          <cell r="BB883">
            <v>9.9451361689999995</v>
          </cell>
          <cell r="BC883">
            <v>10.115565180000001</v>
          </cell>
          <cell r="BD883">
            <v>10.288894020000001</v>
          </cell>
          <cell r="BE883">
            <v>10.46517543</v>
          </cell>
        </row>
        <row r="884">
          <cell r="A884" t="str">
            <v>ems_mat_co2_sgla_2</v>
          </cell>
          <cell r="B884">
            <v>10.77556467</v>
          </cell>
          <cell r="C884">
            <v>10.84676999</v>
          </cell>
          <cell r="D884">
            <v>10.96356265</v>
          </cell>
          <cell r="E884">
            <v>11.10271462</v>
          </cell>
          <cell r="F884">
            <v>11.25368632</v>
          </cell>
          <cell r="G884">
            <v>11.409981910000001</v>
          </cell>
          <cell r="H884">
            <v>11.56187753</v>
          </cell>
          <cell r="I884">
            <v>11.710435520000001</v>
          </cell>
          <cell r="J884">
            <v>11.85637726</v>
          </cell>
          <cell r="K884">
            <v>12.00078862</v>
          </cell>
          <cell r="L884">
            <v>12.154636760000001</v>
          </cell>
          <cell r="M884">
            <v>12.30366912</v>
          </cell>
          <cell r="N884">
            <v>12.452404769999999</v>
          </cell>
          <cell r="O884">
            <v>12.6024393</v>
          </cell>
          <cell r="P884">
            <v>12.754523649999999</v>
          </cell>
          <cell r="Q884">
            <v>12.90907208</v>
          </cell>
          <cell r="R884">
            <v>13.06537501</v>
          </cell>
          <cell r="S884">
            <v>13.224162870000001</v>
          </cell>
          <cell r="T884">
            <v>13.38568502</v>
          </cell>
          <cell r="U884">
            <v>13.550100329999999</v>
          </cell>
          <cell r="V884">
            <v>13.710652380000001</v>
          </cell>
          <cell r="W884">
            <v>13.87775263</v>
          </cell>
          <cell r="X884">
            <v>14.04947907</v>
          </cell>
          <cell r="Y884">
            <v>14.225442449999999</v>
          </cell>
          <cell r="Z884">
            <v>14.405568069999999</v>
          </cell>
          <cell r="AA884">
            <v>14.57029393</v>
          </cell>
          <cell r="AB884">
            <v>14.73957538</v>
          </cell>
          <cell r="AC884">
            <v>14.91167901</v>
          </cell>
          <cell r="AD884">
            <v>15.086611</v>
          </cell>
          <cell r="AE884">
            <v>15.26461713</v>
          </cell>
          <cell r="AF884">
            <v>15.445838609999999</v>
          </cell>
          <cell r="AG884">
            <v>15.630470900000001</v>
          </cell>
          <cell r="AH884">
            <v>15.818251679999999</v>
          </cell>
          <cell r="AI884">
            <v>16.008926169999999</v>
          </cell>
          <cell r="AJ884">
            <v>16.20222089</v>
          </cell>
          <cell r="AK884">
            <v>16.397866960000002</v>
          </cell>
          <cell r="AL884">
            <v>16.592946999999999</v>
          </cell>
          <cell r="AM884">
            <v>16.788347770000001</v>
          </cell>
          <cell r="AN884">
            <v>16.984446120000001</v>
          </cell>
          <cell r="AO884">
            <v>17.181424799999998</v>
          </cell>
          <cell r="AP884">
            <v>17.379386879999998</v>
          </cell>
          <cell r="AQ884">
            <v>17.57868766</v>
          </cell>
          <cell r="AR884">
            <v>17.77917618</v>
          </cell>
          <cell r="AS884">
            <v>17.980771480000001</v>
          </cell>
          <cell r="AT884">
            <v>18.183378919999999</v>
          </cell>
          <cell r="AU884">
            <v>18.386893319999999</v>
          </cell>
          <cell r="AV884">
            <v>18.592657639999999</v>
          </cell>
          <cell r="AW884">
            <v>18.799905420000002</v>
          </cell>
          <cell r="AX884">
            <v>18.820244710000001</v>
          </cell>
          <cell r="AY884">
            <v>18.825952170000001</v>
          </cell>
          <cell r="AZ884">
            <v>18.823671529999999</v>
          </cell>
          <cell r="BA884">
            <v>26.151007839999998</v>
          </cell>
          <cell r="BB884">
            <v>26.62064466</v>
          </cell>
          <cell r="BC884">
            <v>27.0963384</v>
          </cell>
          <cell r="BD884">
            <v>27.578048559999999</v>
          </cell>
          <cell r="BE884">
            <v>28.065744420000001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7134.4809809999997</v>
          </cell>
          <cell r="D18">
            <v>7213.1529689999998</v>
          </cell>
          <cell r="E18">
            <v>7319.7106309999999</v>
          </cell>
          <cell r="F18">
            <v>7446.2839990000002</v>
          </cell>
          <cell r="G18">
            <v>7588.6828539999997</v>
          </cell>
          <cell r="H18">
            <v>7743.6949729999997</v>
          </cell>
          <cell r="I18">
            <v>7910.3840890000001</v>
          </cell>
          <cell r="J18">
            <v>8088.2644689999997</v>
          </cell>
          <cell r="K18">
            <v>8276.8532589999995</v>
          </cell>
          <cell r="L18">
            <v>8477.5974310000001</v>
          </cell>
          <cell r="M18">
            <v>8687.4329629999993</v>
          </cell>
          <cell r="N18">
            <v>8905.3176530000001</v>
          </cell>
          <cell r="O18">
            <v>9130.1689819999992</v>
          </cell>
          <cell r="P18">
            <v>9360.6275320000004</v>
          </cell>
          <cell r="Q18">
            <v>9595.3635219999996</v>
          </cell>
          <cell r="R18">
            <v>9833.0615820000003</v>
          </cell>
          <cell r="S18">
            <v>10072.583570000001</v>
          </cell>
          <cell r="T18">
            <v>10312.985060000001</v>
          </cell>
          <cell r="U18">
            <v>10553.49496</v>
          </cell>
          <cell r="V18">
            <v>10791.857400000001</v>
          </cell>
          <cell r="W18">
            <v>11029.512549999999</v>
          </cell>
          <cell r="X18">
            <v>11266.230530000001</v>
          </cell>
          <cell r="Y18">
            <v>11501.831179999999</v>
          </cell>
          <cell r="Z18">
            <v>11736.39018</v>
          </cell>
          <cell r="AA18">
            <v>11965.115449999999</v>
          </cell>
          <cell r="AB18">
            <v>12191.34971</v>
          </cell>
          <cell r="AC18">
            <v>12415.57627</v>
          </cell>
          <cell r="AD18">
            <v>12638.04457</v>
          </cell>
          <cell r="AE18">
            <v>12859.301030000001</v>
          </cell>
          <cell r="AF18">
            <v>13079.87298</v>
          </cell>
          <cell r="AG18">
            <v>13300.286529999999</v>
          </cell>
          <cell r="AH18">
            <v>13521.043949999999</v>
          </cell>
          <cell r="AI18">
            <v>13742.63264</v>
          </cell>
          <cell r="AJ18">
            <v>13965.53902</v>
          </cell>
          <cell r="AK18">
            <v>14190.24208</v>
          </cell>
          <cell r="AL18">
            <v>14416.128779999999</v>
          </cell>
          <cell r="AM18">
            <v>14643.78794</v>
          </cell>
          <cell r="AN18">
            <v>14873.68794</v>
          </cell>
          <cell r="AO18">
            <v>15106.246220000001</v>
          </cell>
          <cell r="AP18">
            <v>15341.887559999999</v>
          </cell>
          <cell r="AQ18">
            <v>15581.053110000001</v>
          </cell>
          <cell r="AR18">
            <v>15824.147929999999</v>
          </cell>
          <cell r="AS18">
            <v>16071.54789</v>
          </cell>
          <cell r="AT18">
            <v>16323.626780000001</v>
          </cell>
          <cell r="AU18">
            <v>16580.756789999999</v>
          </cell>
          <cell r="AV18">
            <v>16843.512139999999</v>
          </cell>
          <cell r="AW18">
            <v>17112.270369999998</v>
          </cell>
          <cell r="AX18">
            <v>17250.558850000001</v>
          </cell>
          <cell r="AY18">
            <v>17384.32763</v>
          </cell>
          <cell r="AZ18">
            <v>17512.07358</v>
          </cell>
          <cell r="BA18">
            <v>18081.43362</v>
          </cell>
          <cell r="BB18">
            <v>18357.057929999999</v>
          </cell>
          <cell r="BC18">
            <v>18637.218840000001</v>
          </cell>
          <cell r="BD18">
            <v>18922.18578</v>
          </cell>
          <cell r="BE18">
            <v>19212.253079999999</v>
          </cell>
        </row>
        <row r="19">
          <cell r="A19" t="str">
            <v>auto_ca_cfut_0</v>
          </cell>
          <cell r="B19">
            <v>7095.7005250000002</v>
          </cell>
          <cell r="C19">
            <v>7145.2341619999997</v>
          </cell>
          <cell r="D19">
            <v>7246.5115470000001</v>
          </cell>
          <cell r="E19">
            <v>7383.6018560000002</v>
          </cell>
          <cell r="F19">
            <v>7545.6489709999996</v>
          </cell>
          <cell r="G19">
            <v>7725.8163709999999</v>
          </cell>
          <cell r="H19">
            <v>7918.5884619999997</v>
          </cell>
          <cell r="I19">
            <v>8121.1539030000004</v>
          </cell>
          <cell r="J19">
            <v>8331.5960049999994</v>
          </cell>
          <cell r="K19">
            <v>8548.4583129999992</v>
          </cell>
          <cell r="L19">
            <v>8772.7285090000005</v>
          </cell>
          <cell r="M19">
            <v>9001.1767070000005</v>
          </cell>
          <cell r="N19">
            <v>9232.9389640000009</v>
          </cell>
          <cell r="O19">
            <v>9467.3338370000001</v>
          </cell>
          <cell r="P19">
            <v>9703.5738789999996</v>
          </cell>
          <cell r="Q19">
            <v>9940.9866860000002</v>
          </cell>
          <cell r="R19">
            <v>10178.99755</v>
          </cell>
          <cell r="S19">
            <v>10417.12293</v>
          </cell>
          <cell r="T19">
            <v>10654.97069</v>
          </cell>
          <cell r="U19">
            <v>10892.24199</v>
          </cell>
          <cell r="V19">
            <v>11127.03477</v>
          </cell>
          <cell r="W19">
            <v>11361.08684</v>
          </cell>
          <cell r="X19">
            <v>11594.376120000001</v>
          </cell>
          <cell r="Y19">
            <v>11826.864020000001</v>
          </cell>
          <cell r="Z19">
            <v>12058.70586</v>
          </cell>
          <cell r="AA19">
            <v>12285.08995</v>
          </cell>
          <cell r="AB19">
            <v>12509.31374</v>
          </cell>
          <cell r="AC19">
            <v>12731.817660000001</v>
          </cell>
          <cell r="AD19">
            <v>12952.821169999999</v>
          </cell>
          <cell r="AE19">
            <v>13172.814640000001</v>
          </cell>
          <cell r="AF19">
            <v>13392.256439999999</v>
          </cell>
          <cell r="AG19">
            <v>13611.57581</v>
          </cell>
          <cell r="AH19">
            <v>13831.182580000001</v>
          </cell>
          <cell r="AI19">
            <v>14051.47399</v>
          </cell>
          <cell r="AJ19">
            <v>14272.83669</v>
          </cell>
          <cell r="AK19">
            <v>14495.64481</v>
          </cell>
          <cell r="AL19">
            <v>14719.022199999999</v>
          </cell>
          <cell r="AM19">
            <v>14943.417589999999</v>
          </cell>
          <cell r="AN19">
            <v>15169.25496</v>
          </cell>
          <cell r="AO19">
            <v>15396.877699999999</v>
          </cell>
          <cell r="AP19">
            <v>15626.63284</v>
          </cell>
          <cell r="AQ19">
            <v>15858.848830000001</v>
          </cell>
          <cell r="AR19">
            <v>16093.82799</v>
          </cell>
          <cell r="AS19">
            <v>16331.84859</v>
          </cell>
          <cell r="AT19">
            <v>16573.171139999999</v>
          </cell>
          <cell r="AU19">
            <v>16818.04522</v>
          </cell>
          <cell r="AV19">
            <v>17066.82878</v>
          </cell>
          <cell r="AW19">
            <v>17319.753049999999</v>
          </cell>
          <cell r="AX19">
            <v>17577.04952</v>
          </cell>
          <cell r="AY19">
            <v>17838.955000000002</v>
          </cell>
          <cell r="AZ19">
            <v>18105.704559999998</v>
          </cell>
          <cell r="BA19">
            <v>18012.62011</v>
          </cell>
          <cell r="BB19">
            <v>18282.360379999998</v>
          </cell>
          <cell r="BC19">
            <v>18556.231739999999</v>
          </cell>
          <cell r="BD19">
            <v>18834.476409999999</v>
          </cell>
          <cell r="BE19">
            <v>19117.355759999999</v>
          </cell>
        </row>
        <row r="20">
          <cell r="A20" t="str">
            <v>auto_cb_cfut_2</v>
          </cell>
          <cell r="B20">
            <v>8251.256421</v>
          </cell>
          <cell r="C20">
            <v>8176.0923400000001</v>
          </cell>
          <cell r="D20">
            <v>8147.1622889999999</v>
          </cell>
          <cell r="E20">
            <v>8152.0406929999999</v>
          </cell>
          <cell r="F20">
            <v>8182.3527519999998</v>
          </cell>
          <cell r="G20">
            <v>8233.3208059999997</v>
          </cell>
          <cell r="H20">
            <v>8301.1745530000007</v>
          </cell>
          <cell r="I20">
            <v>8384.3793330000008</v>
          </cell>
          <cell r="J20">
            <v>8481.8917039999997</v>
          </cell>
          <cell r="K20">
            <v>8592.7232999999997</v>
          </cell>
          <cell r="L20">
            <v>8717.7464849999997</v>
          </cell>
          <cell r="M20">
            <v>8853.6309550000005</v>
          </cell>
          <cell r="N20">
            <v>8998.9879550000005</v>
          </cell>
          <cell r="O20">
            <v>9152.4431089999998</v>
          </cell>
          <cell r="P20">
            <v>9312.399958</v>
          </cell>
          <cell r="Q20">
            <v>9477.3253480000003</v>
          </cell>
          <cell r="R20">
            <v>9645.7329669999999</v>
          </cell>
          <cell r="S20">
            <v>9816.3306059999995</v>
          </cell>
          <cell r="T20">
            <v>9988.0328489999993</v>
          </cell>
          <cell r="U20">
            <v>10159.93714</v>
          </cell>
          <cell r="V20">
            <v>10329.81741</v>
          </cell>
          <cell r="W20">
            <v>10498.82423</v>
          </cell>
          <cell r="X20">
            <v>10666.607309999999</v>
          </cell>
          <cell r="Y20">
            <v>10832.861919999999</v>
          </cell>
          <cell r="Z20">
            <v>10997.52267</v>
          </cell>
          <cell r="AA20">
            <v>11156.207560000001</v>
          </cell>
          <cell r="AB20">
            <v>11311.80055</v>
          </cell>
          <cell r="AC20">
            <v>11464.656590000001</v>
          </cell>
          <cell r="AD20">
            <v>11614.903469999999</v>
          </cell>
          <cell r="AE20">
            <v>11762.93008</v>
          </cell>
          <cell r="AF20">
            <v>11909.10404</v>
          </cell>
          <cell r="AG20">
            <v>12053.785879999999</v>
          </cell>
          <cell r="AH20">
            <v>12197.30863</v>
          </cell>
          <cell r="AI20">
            <v>12339.984930000001</v>
          </cell>
          <cell r="AJ20">
            <v>12482.11969</v>
          </cell>
          <cell r="AK20">
            <v>12624.00506</v>
          </cell>
          <cell r="AL20">
            <v>12765.00841</v>
          </cell>
          <cell r="AM20">
            <v>12905.52259</v>
          </cell>
          <cell r="AN20">
            <v>13045.836160000001</v>
          </cell>
          <cell r="AO20">
            <v>13186.18852</v>
          </cell>
          <cell r="AP20">
            <v>13326.81997</v>
          </cell>
          <cell r="AQ20">
            <v>13467.979590000001</v>
          </cell>
          <cell r="AR20">
            <v>13609.88186</v>
          </cell>
          <cell r="AS20">
            <v>13752.71082</v>
          </cell>
          <cell r="AT20">
            <v>13896.64294</v>
          </cell>
          <cell r="AU20">
            <v>14041.84751</v>
          </cell>
          <cell r="AV20">
            <v>14188.65177</v>
          </cell>
          <cell r="AW20">
            <v>14337.22112</v>
          </cell>
          <cell r="AX20">
            <v>14383.82789</v>
          </cell>
          <cell r="AY20">
            <v>14429.8963</v>
          </cell>
          <cell r="AZ20">
            <v>14474.919309999999</v>
          </cell>
          <cell r="BA20">
            <v>14944.95203</v>
          </cell>
          <cell r="BB20">
            <v>15091.13233</v>
          </cell>
          <cell r="BC20">
            <v>15237.753839999999</v>
          </cell>
          <cell r="BD20">
            <v>15384.92359</v>
          </cell>
          <cell r="BE20">
            <v>15532.76332</v>
          </cell>
        </row>
        <row r="21">
          <cell r="A21" t="str">
            <v>auto_cb_cfut_0</v>
          </cell>
          <cell r="B21">
            <v>8251.256421</v>
          </cell>
          <cell r="C21">
            <v>8186.1737659999999</v>
          </cell>
          <cell r="D21">
            <v>8178.3555159999996</v>
          </cell>
          <cell r="E21">
            <v>8211.5537000000004</v>
          </cell>
          <cell r="F21">
            <v>8274.540293</v>
          </cell>
          <cell r="G21">
            <v>8360.052936</v>
          </cell>
          <cell r="H21">
            <v>8462.1884520000003</v>
          </cell>
          <cell r="I21">
            <v>8577.6927809999997</v>
          </cell>
          <cell r="J21">
            <v>8704.2255330000007</v>
          </cell>
          <cell r="K21">
            <v>8839.9317480000009</v>
          </cell>
          <cell r="L21">
            <v>8985.2924750000002</v>
          </cell>
          <cell r="M21">
            <v>9136.8691899999994</v>
          </cell>
          <cell r="N21">
            <v>9293.4765810000008</v>
          </cell>
          <cell r="O21">
            <v>9454.1457869999995</v>
          </cell>
          <cell r="P21">
            <v>9617.8396209999992</v>
          </cell>
          <cell r="Q21">
            <v>9783.6571430000004</v>
          </cell>
          <cell r="R21">
            <v>9950.8147750000007</v>
          </cell>
          <cell r="S21">
            <v>10118.6371</v>
          </cell>
          <cell r="T21">
            <v>10286.553749999999</v>
          </cell>
          <cell r="U21">
            <v>10454.09791</v>
          </cell>
          <cell r="V21">
            <v>10619.36959</v>
          </cell>
          <cell r="W21">
            <v>10783.78198</v>
          </cell>
          <cell r="X21">
            <v>10947.16656</v>
          </cell>
          <cell r="Y21">
            <v>11109.33821</v>
          </cell>
          <cell r="Z21">
            <v>11270.29348</v>
          </cell>
          <cell r="AA21">
            <v>11425.632809999999</v>
          </cell>
          <cell r="AB21">
            <v>11578.183440000001</v>
          </cell>
          <cell r="AC21">
            <v>11728.252130000001</v>
          </cell>
          <cell r="AD21">
            <v>11875.932510000001</v>
          </cell>
          <cell r="AE21">
            <v>12021.557290000001</v>
          </cell>
          <cell r="AF21">
            <v>12165.428529999999</v>
          </cell>
          <cell r="AG21">
            <v>12307.81863</v>
          </cell>
          <cell r="AH21">
            <v>12448.978160000001</v>
          </cell>
          <cell r="AI21">
            <v>12589.141750000001</v>
          </cell>
          <cell r="AJ21">
            <v>12728.530119999999</v>
          </cell>
          <cell r="AK21">
            <v>12867.349029999999</v>
          </cell>
          <cell r="AL21">
            <v>13004.747380000001</v>
          </cell>
          <cell r="AM21">
            <v>13141.000749999999</v>
          </cell>
          <cell r="AN21">
            <v>13276.36779</v>
          </cell>
          <cell r="AO21">
            <v>13411.035519999999</v>
          </cell>
          <cell r="AP21">
            <v>13545.19097</v>
          </cell>
          <cell r="AQ21">
            <v>13679.002500000001</v>
          </cell>
          <cell r="AR21">
            <v>13812.613139999999</v>
          </cell>
          <cell r="AS21">
            <v>13946.14192</v>
          </cell>
          <cell r="AT21">
            <v>14079.68886</v>
          </cell>
          <cell r="AU21">
            <v>14213.340469999999</v>
          </cell>
          <cell r="AV21">
            <v>14347.26478</v>
          </cell>
          <cell r="AW21">
            <v>14481.52304</v>
          </cell>
          <cell r="AX21">
            <v>14616.171710000001</v>
          </cell>
          <cell r="AY21">
            <v>14751.26749</v>
          </cell>
          <cell r="AZ21">
            <v>14886.861730000001</v>
          </cell>
          <cell r="BA21">
            <v>14897.27658</v>
          </cell>
          <cell r="BB21">
            <v>15039.48724</v>
          </cell>
          <cell r="BC21">
            <v>15181.8681</v>
          </cell>
          <cell r="BD21">
            <v>15324.50747</v>
          </cell>
          <cell r="BE21">
            <v>15467.50431</v>
          </cell>
        </row>
        <row r="22">
          <cell r="A22" t="str">
            <v>auto_cc_cfut_2</v>
          </cell>
          <cell r="B22">
            <v>6777.6024520000001</v>
          </cell>
          <cell r="C22">
            <v>6642.3224019999998</v>
          </cell>
          <cell r="D22">
            <v>6544.9672579999997</v>
          </cell>
          <cell r="E22">
            <v>6476.2852430000003</v>
          </cell>
          <cell r="F22">
            <v>6429.8881510000001</v>
          </cell>
          <cell r="G22">
            <v>6401.9260510000004</v>
          </cell>
          <cell r="H22">
            <v>6389.2970079999996</v>
          </cell>
          <cell r="I22">
            <v>6390.4847959999997</v>
          </cell>
          <cell r="J22">
            <v>6404.3565479999997</v>
          </cell>
          <cell r="K22">
            <v>6429.8562910000001</v>
          </cell>
          <cell r="L22">
            <v>6467.2247559999996</v>
          </cell>
          <cell r="M22">
            <v>6513.8827330000004</v>
          </cell>
          <cell r="N22">
            <v>6568.598105</v>
          </cell>
          <cell r="O22">
            <v>6630.1864400000004</v>
          </cell>
          <cell r="P22">
            <v>6697.3410569999996</v>
          </cell>
          <cell r="Q22">
            <v>6768.8243300000004</v>
          </cell>
          <cell r="R22">
            <v>6843.4548290000002</v>
          </cell>
          <cell r="S22">
            <v>6920.2030590000004</v>
          </cell>
          <cell r="T22">
            <v>6998.1979840000004</v>
          </cell>
          <cell r="U22">
            <v>7076.707488</v>
          </cell>
          <cell r="V22">
            <v>7154.1508210000002</v>
          </cell>
          <cell r="W22">
            <v>7231.1746579999999</v>
          </cell>
          <cell r="X22">
            <v>7307.4544489999998</v>
          </cell>
          <cell r="Y22">
            <v>7382.6977589999997</v>
          </cell>
          <cell r="Z22">
            <v>7456.7753750000002</v>
          </cell>
          <cell r="AA22">
            <v>7526.7978270000003</v>
          </cell>
          <cell r="AB22">
            <v>7594.5600809999996</v>
          </cell>
          <cell r="AC22">
            <v>7660.2442890000002</v>
          </cell>
          <cell r="AD22">
            <v>7723.8764579999997</v>
          </cell>
          <cell r="AE22">
            <v>7785.6498099999999</v>
          </cell>
          <cell r="AF22">
            <v>7845.7429240000001</v>
          </cell>
          <cell r="AG22">
            <v>7904.3278749999999</v>
          </cell>
          <cell r="AH22">
            <v>7961.5570909999997</v>
          </cell>
          <cell r="AI22">
            <v>8017.5675220000003</v>
          </cell>
          <cell r="AJ22">
            <v>8072.4890830000004</v>
          </cell>
          <cell r="AK22">
            <v>8126.4419799999996</v>
          </cell>
          <cell r="AL22">
            <v>8178.983185</v>
          </cell>
          <cell r="AM22">
            <v>8230.3032700000003</v>
          </cell>
          <cell r="AN22">
            <v>8280.5297339999997</v>
          </cell>
          <cell r="AO22">
            <v>8329.7585400000007</v>
          </cell>
          <cell r="AP22">
            <v>8378.0852279999999</v>
          </cell>
          <cell r="AQ22">
            <v>8425.6099900000008</v>
          </cell>
          <cell r="AR22">
            <v>8472.4117920000008</v>
          </cell>
          <cell r="AS22">
            <v>8518.5500819999997</v>
          </cell>
          <cell r="AT22">
            <v>8564.0788659999998</v>
          </cell>
          <cell r="AU22">
            <v>8609.0469940000003</v>
          </cell>
          <cell r="AV22">
            <v>8653.594975</v>
          </cell>
          <cell r="AW22">
            <v>8697.7697210000006</v>
          </cell>
          <cell r="AX22">
            <v>8738.5269509999998</v>
          </cell>
          <cell r="AY22">
            <v>8776.1539489999996</v>
          </cell>
          <cell r="AZ22">
            <v>8810.8579630000004</v>
          </cell>
          <cell r="BA22">
            <v>8944.8946360000009</v>
          </cell>
          <cell r="BB22">
            <v>8984.7352420000007</v>
          </cell>
          <cell r="BC22">
            <v>9023.4650409999995</v>
          </cell>
          <cell r="BD22">
            <v>9061.1200069999995</v>
          </cell>
          <cell r="BE22">
            <v>9097.7437040000004</v>
          </cell>
        </row>
        <row r="23">
          <cell r="A23" t="str">
            <v>auto_cc_cfut_0</v>
          </cell>
          <cell r="B23">
            <v>6777.6024520000001</v>
          </cell>
          <cell r="C23">
            <v>6649.1352889999998</v>
          </cell>
          <cell r="D23">
            <v>6565.9913429999997</v>
          </cell>
          <cell r="E23">
            <v>6516.2379019999998</v>
          </cell>
          <cell r="F23">
            <v>6491.5233539999999</v>
          </cell>
          <cell r="G23">
            <v>6486.3181450000002</v>
          </cell>
          <cell r="H23">
            <v>6496.0992059999999</v>
          </cell>
          <cell r="I23">
            <v>6518.2163710000004</v>
          </cell>
          <cell r="J23">
            <v>6550.6919799999996</v>
          </cell>
          <cell r="K23">
            <v>6591.9167100000004</v>
          </cell>
          <cell r="L23">
            <v>6641.8941219999997</v>
          </cell>
          <cell r="M23">
            <v>6698.0041549999996</v>
          </cell>
          <cell r="N23">
            <v>6759.1768480000001</v>
          </cell>
          <cell r="O23">
            <v>6824.521643</v>
          </cell>
          <cell r="P23">
            <v>6893.1251629999997</v>
          </cell>
          <cell r="Q23">
            <v>6964.1875040000004</v>
          </cell>
          <cell r="R23">
            <v>7037.0075210000005</v>
          </cell>
          <cell r="S23">
            <v>7110.9743589999998</v>
          </cell>
          <cell r="T23">
            <v>7185.5630209999999</v>
          </cell>
          <cell r="U23">
            <v>7260.3310680000004</v>
          </cell>
          <cell r="V23">
            <v>7333.9141749999999</v>
          </cell>
          <cell r="W23">
            <v>7407.1257999999998</v>
          </cell>
          <cell r="X23">
            <v>7479.7557939999997</v>
          </cell>
          <cell r="Y23">
            <v>7551.5842220000004</v>
          </cell>
          <cell r="Z23">
            <v>7622.5157939999999</v>
          </cell>
          <cell r="AA23">
            <v>7689.6495839999998</v>
          </cell>
          <cell r="AB23">
            <v>7754.7337699999998</v>
          </cell>
          <cell r="AC23">
            <v>7817.913329</v>
          </cell>
          <cell r="AD23">
            <v>7879.1878649999999</v>
          </cell>
          <cell r="AE23">
            <v>7938.7110030000003</v>
          </cell>
          <cell r="AF23">
            <v>7996.617064</v>
          </cell>
          <cell r="AG23">
            <v>8053.0208949999997</v>
          </cell>
          <cell r="AH23">
            <v>8108.0224680000001</v>
          </cell>
          <cell r="AI23">
            <v>8161.7106530000001</v>
          </cell>
          <cell r="AJ23">
            <v>8214.1648089999999</v>
          </cell>
          <cell r="AK23">
            <v>8265.4545550000003</v>
          </cell>
          <cell r="AL23">
            <v>8315.0066879999995</v>
          </cell>
          <cell r="AM23">
            <v>8362.9417790000007</v>
          </cell>
          <cell r="AN23">
            <v>8409.3744910000005</v>
          </cell>
          <cell r="AO23">
            <v>8454.3757619999997</v>
          </cell>
          <cell r="AP23">
            <v>8498.0168259999991</v>
          </cell>
          <cell r="AQ23">
            <v>8540.3579669999999</v>
          </cell>
          <cell r="AR23">
            <v>8581.4443219999994</v>
          </cell>
          <cell r="AS23">
            <v>8621.3065769999994</v>
          </cell>
          <cell r="AT23">
            <v>8659.963898</v>
          </cell>
          <cell r="AU23">
            <v>8697.4272340000007</v>
          </cell>
          <cell r="AV23">
            <v>8733.7541689999998</v>
          </cell>
          <cell r="AW23">
            <v>8768.9400160000005</v>
          </cell>
          <cell r="AX23">
            <v>8802.9771729999993</v>
          </cell>
          <cell r="AY23">
            <v>8835.8586620000005</v>
          </cell>
          <cell r="AZ23">
            <v>8867.5750650000009</v>
          </cell>
          <cell r="BA23">
            <v>8921.7440729999998</v>
          </cell>
          <cell r="BB23">
            <v>8959.6840950000005</v>
          </cell>
          <cell r="BC23">
            <v>8996.3812340000004</v>
          </cell>
          <cell r="BD23">
            <v>9031.8619600000002</v>
          </cell>
          <cell r="BE23">
            <v>9066.1583840000003</v>
          </cell>
        </row>
        <row r="24">
          <cell r="A24" t="str">
            <v>auto_cd_cfut_2</v>
          </cell>
          <cell r="B24">
            <v>4159.6639080000004</v>
          </cell>
          <cell r="C24">
            <v>4052.5626510000002</v>
          </cell>
          <cell r="D24">
            <v>3967.5371270000001</v>
          </cell>
          <cell r="E24">
            <v>3898.9083519999999</v>
          </cell>
          <cell r="F24">
            <v>3842.6677949999998</v>
          </cell>
          <cell r="G24">
            <v>3796.2726889999999</v>
          </cell>
          <cell r="H24">
            <v>3757.66309</v>
          </cell>
          <cell r="I24">
            <v>3725.6971800000001</v>
          </cell>
          <cell r="J24">
            <v>3699.5006239999998</v>
          </cell>
          <cell r="K24">
            <v>3678.2884479999998</v>
          </cell>
          <cell r="L24">
            <v>3661.971274</v>
          </cell>
          <cell r="M24">
            <v>3649.0712100000001</v>
          </cell>
          <cell r="N24">
            <v>3638.825229</v>
          </cell>
          <cell r="O24">
            <v>3630.5484040000001</v>
          </cell>
          <cell r="P24">
            <v>3623.5278499999999</v>
          </cell>
          <cell r="Q24">
            <v>3617.115573</v>
          </cell>
          <cell r="R24">
            <v>3610.7194829999999</v>
          </cell>
          <cell r="S24">
            <v>3603.8439189999999</v>
          </cell>
          <cell r="T24">
            <v>3596.0896819999998</v>
          </cell>
          <cell r="U24">
            <v>3587.1385829999999</v>
          </cell>
          <cell r="V24">
            <v>3576.327585</v>
          </cell>
          <cell r="W24">
            <v>3563.9679390000001</v>
          </cell>
          <cell r="X24">
            <v>3549.9622319999999</v>
          </cell>
          <cell r="Y24">
            <v>3534.2191560000001</v>
          </cell>
          <cell r="Z24">
            <v>3516.7190959999998</v>
          </cell>
          <cell r="AA24">
            <v>3496.3703580000001</v>
          </cell>
          <cell r="AB24">
            <v>3473.945369</v>
          </cell>
          <cell r="AC24">
            <v>3449.5935760000002</v>
          </cell>
          <cell r="AD24">
            <v>3423.3775759999999</v>
          </cell>
          <cell r="AE24">
            <v>3395.4183509999998</v>
          </cell>
          <cell r="AF24">
            <v>3365.8240380000002</v>
          </cell>
          <cell r="AG24">
            <v>3334.6925679999999</v>
          </cell>
          <cell r="AH24">
            <v>3302.1076280000002</v>
          </cell>
          <cell r="AI24">
            <v>3268.140652</v>
          </cell>
          <cell r="AJ24">
            <v>3232.8555249999999</v>
          </cell>
          <cell r="AK24">
            <v>3196.309107</v>
          </cell>
          <cell r="AL24">
            <v>3158.3851289999998</v>
          </cell>
          <cell r="AM24">
            <v>3119.1738959999998</v>
          </cell>
          <cell r="AN24">
            <v>3078.7461619999999</v>
          </cell>
          <cell r="AO24">
            <v>3037.1603850000001</v>
          </cell>
          <cell r="AP24">
            <v>2994.47343</v>
          </cell>
          <cell r="AQ24">
            <v>2950.7427109999999</v>
          </cell>
          <cell r="AR24">
            <v>2906.0192889999998</v>
          </cell>
          <cell r="AS24">
            <v>2860.3476719999999</v>
          </cell>
          <cell r="AT24">
            <v>2813.7704709999998</v>
          </cell>
          <cell r="AU24">
            <v>2766.3287690000002</v>
          </cell>
          <cell r="AV24">
            <v>2718.086667</v>
          </cell>
          <cell r="AW24">
            <v>2669.086898</v>
          </cell>
          <cell r="AX24">
            <v>2623.9070149999998</v>
          </cell>
          <cell r="AY24">
            <v>2582.2479899999998</v>
          </cell>
          <cell r="AZ24">
            <v>2543.8302709999998</v>
          </cell>
          <cell r="BA24">
            <v>2593.1708560000002</v>
          </cell>
          <cell r="BB24">
            <v>2544.777732</v>
          </cell>
          <cell r="BC24">
            <v>2495.8074900000001</v>
          </cell>
          <cell r="BD24">
            <v>2446.3127749999999</v>
          </cell>
          <cell r="BE24">
            <v>2396.3466669999998</v>
          </cell>
        </row>
        <row r="25">
          <cell r="A25" t="str">
            <v>auto_cd_cfut_0</v>
          </cell>
          <cell r="B25">
            <v>4159.6639080000004</v>
          </cell>
          <cell r="C25">
            <v>4055.9349689999999</v>
          </cell>
          <cell r="D25">
            <v>3977.8089380000001</v>
          </cell>
          <cell r="E25">
            <v>3918.0447410000002</v>
          </cell>
          <cell r="F25">
            <v>3871.5866299999998</v>
          </cell>
          <cell r="G25">
            <v>3835.0720329999999</v>
          </cell>
          <cell r="H25">
            <v>3805.7983949999998</v>
          </cell>
          <cell r="I25">
            <v>3782.1395389999998</v>
          </cell>
          <cell r="J25">
            <v>3762.8852419999998</v>
          </cell>
          <cell r="K25">
            <v>3747.0571409999998</v>
          </cell>
          <cell r="L25">
            <v>3734.5148770000001</v>
          </cell>
          <cell r="M25">
            <v>3723.8354859999999</v>
          </cell>
          <cell r="N25">
            <v>3714.3924109999998</v>
          </cell>
          <cell r="O25">
            <v>3705.6897979999999</v>
          </cell>
          <cell r="P25">
            <v>3697.2420820000002</v>
          </cell>
          <cell r="Q25">
            <v>3688.6391789999998</v>
          </cell>
          <cell r="R25">
            <v>3679.5365940000002</v>
          </cell>
          <cell r="S25">
            <v>3669.647997</v>
          </cell>
          <cell r="T25">
            <v>3658.7396440000002</v>
          </cell>
          <cell r="U25">
            <v>3646.6255059999999</v>
          </cell>
          <cell r="V25">
            <v>3632.740155</v>
          </cell>
          <cell r="W25">
            <v>3617.455766</v>
          </cell>
          <cell r="X25">
            <v>3600.7146910000001</v>
          </cell>
          <cell r="Y25">
            <v>3582.4458020000002</v>
          </cell>
          <cell r="Z25">
            <v>3562.6321389999998</v>
          </cell>
          <cell r="AA25">
            <v>3540.1766990000001</v>
          </cell>
          <cell r="AB25">
            <v>3515.815681</v>
          </cell>
          <cell r="AC25">
            <v>3489.6735650000001</v>
          </cell>
          <cell r="AD25">
            <v>3461.7959900000001</v>
          </cell>
          <cell r="AE25">
            <v>3432.283786</v>
          </cell>
          <cell r="AF25">
            <v>3401.225762</v>
          </cell>
          <cell r="AG25">
            <v>3368.6982269999999</v>
          </cell>
          <cell r="AH25">
            <v>3334.7671009999999</v>
          </cell>
          <cell r="AI25">
            <v>3299.4902390000002</v>
          </cell>
          <cell r="AJ25">
            <v>3262.9192349999998</v>
          </cell>
          <cell r="AK25">
            <v>3225.1006590000002</v>
          </cell>
          <cell r="AL25">
            <v>3185.8841010000001</v>
          </cell>
          <cell r="AM25">
            <v>3145.3425849999999</v>
          </cell>
          <cell r="AN25">
            <v>3103.552522</v>
          </cell>
          <cell r="AO25">
            <v>3060.576035</v>
          </cell>
          <cell r="AP25">
            <v>3016.4752600000002</v>
          </cell>
          <cell r="AQ25">
            <v>2971.309178</v>
          </cell>
          <cell r="AR25">
            <v>2925.1324220000001</v>
          </cell>
          <cell r="AS25">
            <v>2877.9955399999999</v>
          </cell>
          <cell r="AT25">
            <v>2829.9459820000002</v>
          </cell>
          <cell r="AU25">
            <v>2781.0292519999998</v>
          </cell>
          <cell r="AV25">
            <v>2731.3020929999998</v>
          </cell>
          <cell r="AW25">
            <v>2680.806525</v>
          </cell>
          <cell r="AX25">
            <v>2629.5846099999999</v>
          </cell>
          <cell r="AY25">
            <v>2577.6799759999999</v>
          </cell>
          <cell r="AZ25">
            <v>2525.1372040000001</v>
          </cell>
          <cell r="BA25">
            <v>2596.5519389999999</v>
          </cell>
          <cell r="BB25">
            <v>2548.3801870000002</v>
          </cell>
          <cell r="BC25">
            <v>2499.6340030000001</v>
          </cell>
          <cell r="BD25">
            <v>2450.3657029999999</v>
          </cell>
          <cell r="BE25">
            <v>2400.6280200000001</v>
          </cell>
        </row>
        <row r="26">
          <cell r="A26" t="str">
            <v>auto_ce_cfut_2</v>
          </cell>
          <cell r="B26">
            <v>2503.7292430000002</v>
          </cell>
          <cell r="C26">
            <v>2441.7274950000001</v>
          </cell>
          <cell r="D26">
            <v>2392.2188719999999</v>
          </cell>
          <cell r="E26">
            <v>2351.550056</v>
          </cell>
          <cell r="F26">
            <v>2317.1376919999998</v>
          </cell>
          <cell r="G26">
            <v>2287.330833</v>
          </cell>
          <cell r="H26">
            <v>2260.8118239999999</v>
          </cell>
          <cell r="I26">
            <v>2236.84836</v>
          </cell>
          <cell r="J26">
            <v>2214.9005649999999</v>
          </cell>
          <cell r="K26">
            <v>2194.5063639999998</v>
          </cell>
          <cell r="L26">
            <v>2175.6181550000001</v>
          </cell>
          <cell r="M26">
            <v>2157.4200300000002</v>
          </cell>
          <cell r="N26">
            <v>2139.5166850000001</v>
          </cell>
          <cell r="O26">
            <v>2121.5809610000001</v>
          </cell>
          <cell r="P26">
            <v>2103.2832250000001</v>
          </cell>
          <cell r="Q26">
            <v>2084.3412539999999</v>
          </cell>
          <cell r="R26">
            <v>2064.5133310000001</v>
          </cell>
          <cell r="S26">
            <v>2043.6170500000001</v>
          </cell>
          <cell r="T26">
            <v>2021.5273460000001</v>
          </cell>
          <cell r="U26">
            <v>1998.165133</v>
          </cell>
          <cell r="V26">
            <v>1973.2878089999999</v>
          </cell>
          <cell r="W26">
            <v>1947.13319</v>
          </cell>
          <cell r="X26">
            <v>1919.7386939999999</v>
          </cell>
          <cell r="Y26">
            <v>1891.1380059999999</v>
          </cell>
          <cell r="Z26">
            <v>1861.397046</v>
          </cell>
          <cell r="AA26">
            <v>1830.09926</v>
          </cell>
          <cell r="AB26">
            <v>1797.675986</v>
          </cell>
          <cell r="AC26">
            <v>1764.2768739999999</v>
          </cell>
          <cell r="AD26">
            <v>1729.999264</v>
          </cell>
          <cell r="AE26">
            <v>1694.9609049999999</v>
          </cell>
          <cell r="AF26">
            <v>1659.2683730000001</v>
          </cell>
          <cell r="AG26">
            <v>1623.018525</v>
          </cell>
          <cell r="AH26">
            <v>1586.297489</v>
          </cell>
          <cell r="AI26">
            <v>1549.182094</v>
          </cell>
          <cell r="AJ26">
            <v>1511.7427319999999</v>
          </cell>
          <cell r="AK26">
            <v>1474.0443150000001</v>
          </cell>
          <cell r="AL26">
            <v>1436.0873810000001</v>
          </cell>
          <cell r="AM26">
            <v>1397.9498180000001</v>
          </cell>
          <cell r="AN26">
            <v>1359.70063</v>
          </cell>
          <cell r="AO26">
            <v>1321.4019149999999</v>
          </cell>
          <cell r="AP26">
            <v>1283.113155</v>
          </cell>
          <cell r="AQ26">
            <v>1244.8921769999999</v>
          </cell>
          <cell r="AR26">
            <v>1206.792938</v>
          </cell>
          <cell r="AS26">
            <v>1168.865313</v>
          </cell>
          <cell r="AT26">
            <v>1131.1568600000001</v>
          </cell>
          <cell r="AU26">
            <v>1093.7130139999999</v>
          </cell>
          <cell r="AV26">
            <v>1056.5845979999999</v>
          </cell>
          <cell r="AW26">
            <v>1019.814699</v>
          </cell>
          <cell r="AX26">
            <v>985.91651979999995</v>
          </cell>
          <cell r="AY26">
            <v>954.67705009999997</v>
          </cell>
          <cell r="AZ26">
            <v>925.87120519999996</v>
          </cell>
          <cell r="BA26">
            <v>942.4006637</v>
          </cell>
          <cell r="BB26">
            <v>908.72411469999997</v>
          </cell>
          <cell r="BC26">
            <v>875.52158870000005</v>
          </cell>
          <cell r="BD26">
            <v>842.82576189999997</v>
          </cell>
          <cell r="BE26">
            <v>810.66726630000005</v>
          </cell>
        </row>
        <row r="27">
          <cell r="A27" t="str">
            <v>auto_ce_cfut_0</v>
          </cell>
          <cell r="B27">
            <v>2503.7292430000002</v>
          </cell>
          <cell r="C27">
            <v>2443.5739880000001</v>
          </cell>
          <cell r="D27">
            <v>2397.7688050000002</v>
          </cell>
          <cell r="E27">
            <v>2361.6699309999999</v>
          </cell>
          <cell r="F27">
            <v>2332.086033</v>
          </cell>
          <cell r="G27">
            <v>2306.934479</v>
          </cell>
          <cell r="H27">
            <v>2284.5896229999998</v>
          </cell>
          <cell r="I27">
            <v>2264.103908</v>
          </cell>
          <cell r="J27">
            <v>2244.8032880000001</v>
          </cell>
          <cell r="K27">
            <v>2226.1658440000001</v>
          </cell>
          <cell r="L27">
            <v>2208.1525879999999</v>
          </cell>
          <cell r="M27">
            <v>2190.0169729999998</v>
          </cell>
          <cell r="N27">
            <v>2171.4664590000002</v>
          </cell>
          <cell r="O27">
            <v>2152.2977139999998</v>
          </cell>
          <cell r="P27">
            <v>2132.3195999999998</v>
          </cell>
          <cell r="Q27">
            <v>2111.3879029999998</v>
          </cell>
          <cell r="R27">
            <v>2089.3983199999998</v>
          </cell>
          <cell r="S27">
            <v>2066.2806529999998</v>
          </cell>
          <cell r="T27">
            <v>2041.9940919999999</v>
          </cell>
          <cell r="U27">
            <v>2016.523091</v>
          </cell>
          <cell r="V27">
            <v>1989.6702600000001</v>
          </cell>
          <cell r="W27">
            <v>1961.6939319999999</v>
          </cell>
          <cell r="X27">
            <v>1932.6426670000001</v>
          </cell>
          <cell r="Y27">
            <v>1902.5515330000001</v>
          </cell>
          <cell r="Z27">
            <v>1871.4792789999999</v>
          </cell>
          <cell r="AA27">
            <v>1839.0032349999999</v>
          </cell>
          <cell r="AB27">
            <v>1805.527576</v>
          </cell>
          <cell r="AC27">
            <v>1771.183401</v>
          </cell>
          <cell r="AD27">
            <v>1736.055081</v>
          </cell>
          <cell r="AE27">
            <v>1700.2469309999999</v>
          </cell>
          <cell r="AF27">
            <v>1663.8536059999999</v>
          </cell>
          <cell r="AG27">
            <v>1626.9600989999999</v>
          </cell>
          <cell r="AH27">
            <v>1589.64312</v>
          </cell>
          <cell r="AI27">
            <v>1551.972698</v>
          </cell>
          <cell r="AJ27">
            <v>1514.0135749999999</v>
          </cell>
          <cell r="AK27">
            <v>1475.826313</v>
          </cell>
          <cell r="AL27">
            <v>1437.39867</v>
          </cell>
          <cell r="AM27">
            <v>1398.8010569999999</v>
          </cell>
          <cell r="AN27">
            <v>1360.1047860000001</v>
          </cell>
          <cell r="AO27">
            <v>1321.373781</v>
          </cell>
          <cell r="AP27">
            <v>1282.6699719999999</v>
          </cell>
          <cell r="AQ27">
            <v>1244.05222</v>
          </cell>
          <cell r="AR27">
            <v>1205.5759069999999</v>
          </cell>
          <cell r="AS27">
            <v>1167.293052</v>
          </cell>
          <cell r="AT27">
            <v>1129.2526909999999</v>
          </cell>
          <cell r="AU27">
            <v>1091.501317</v>
          </cell>
          <cell r="AV27">
            <v>1054.0867370000001</v>
          </cell>
          <cell r="AW27">
            <v>1017.050535</v>
          </cell>
          <cell r="AX27">
            <v>980.43249149999997</v>
          </cell>
          <cell r="AY27">
            <v>944.27113940000004</v>
          </cell>
          <cell r="AZ27">
            <v>908.60354319999999</v>
          </cell>
          <cell r="BA27">
            <v>945.27267259999996</v>
          </cell>
          <cell r="BB27">
            <v>911.68588090000003</v>
          </cell>
          <cell r="BC27">
            <v>878.5668349</v>
          </cell>
          <cell r="BD27">
            <v>845.94794160000004</v>
          </cell>
          <cell r="BE27">
            <v>813.85963189999995</v>
          </cell>
        </row>
        <row r="28">
          <cell r="A28" t="str">
            <v>auto_cf_cfut_2</v>
          </cell>
          <cell r="B28">
            <v>1243.6668460000001</v>
          </cell>
          <cell r="C28">
            <v>1210.4268050000001</v>
          </cell>
          <cell r="D28">
            <v>1182.1641030000001</v>
          </cell>
          <cell r="E28">
            <v>1156.829377</v>
          </cell>
          <cell r="F28">
            <v>1132.9929030000001</v>
          </cell>
          <cell r="G28">
            <v>1109.75548</v>
          </cell>
          <cell r="H28">
            <v>1086.4620849999999</v>
          </cell>
          <cell r="I28">
            <v>1062.7914029999999</v>
          </cell>
          <cell r="J28">
            <v>1038.5695020000001</v>
          </cell>
          <cell r="K28">
            <v>1013.700867</v>
          </cell>
          <cell r="L28">
            <v>988.27382950000003</v>
          </cell>
          <cell r="M28">
            <v>962.12593719999995</v>
          </cell>
          <cell r="N28">
            <v>935.26508209999997</v>
          </cell>
          <cell r="O28">
            <v>907.74585349999995</v>
          </cell>
          <cell r="P28">
            <v>879.62915980000002</v>
          </cell>
          <cell r="Q28">
            <v>850.99436360000004</v>
          </cell>
          <cell r="R28">
            <v>821.93292699999995</v>
          </cell>
          <cell r="S28">
            <v>792.54957100000001</v>
          </cell>
          <cell r="T28">
            <v>762.9586951</v>
          </cell>
          <cell r="U28">
            <v>733.27784050000002</v>
          </cell>
          <cell r="V28">
            <v>703.58163119999995</v>
          </cell>
          <cell r="W28">
            <v>674.03775940000003</v>
          </cell>
          <cell r="X28">
            <v>644.75857619999999</v>
          </cell>
          <cell r="Y28">
            <v>615.84027700000001</v>
          </cell>
          <cell r="Z28">
            <v>587.37368059999994</v>
          </cell>
          <cell r="AA28">
            <v>559.36342400000001</v>
          </cell>
          <cell r="AB28">
            <v>531.94341880000002</v>
          </cell>
          <cell r="AC28">
            <v>505.19210099999998</v>
          </cell>
          <cell r="AD28">
            <v>479.1648758</v>
          </cell>
          <cell r="AE28">
            <v>453.90999449999998</v>
          </cell>
          <cell r="AF28">
            <v>429.46489439999999</v>
          </cell>
          <cell r="AG28">
            <v>405.85750080000003</v>
          </cell>
          <cell r="AH28">
            <v>383.107257</v>
          </cell>
          <cell r="AI28">
            <v>361.22629910000001</v>
          </cell>
          <cell r="AJ28">
            <v>340.22075269999999</v>
          </cell>
          <cell r="AK28">
            <v>320.0916244</v>
          </cell>
          <cell r="AL28">
            <v>300.83136089999999</v>
          </cell>
          <cell r="AM28">
            <v>282.4354783</v>
          </cell>
          <cell r="AN28">
            <v>264.89545270000002</v>
          </cell>
          <cell r="AO28">
            <v>248.19911909999999</v>
          </cell>
          <cell r="AP28">
            <v>232.33143440000001</v>
          </cell>
          <cell r="AQ28">
            <v>217.2749153</v>
          </cell>
          <cell r="AR28">
            <v>203.0098524</v>
          </cell>
          <cell r="AS28">
            <v>189.51458840000001</v>
          </cell>
          <cell r="AT28">
            <v>176.76592930000001</v>
          </cell>
          <cell r="AU28">
            <v>164.7394291</v>
          </cell>
          <cell r="AV28">
            <v>153.40991450000001</v>
          </cell>
          <cell r="AW28">
            <v>142.751249</v>
          </cell>
          <cell r="AX28">
            <v>132.92131370000001</v>
          </cell>
          <cell r="AY28">
            <v>123.84671400000001</v>
          </cell>
          <cell r="AZ28">
            <v>115.4759471</v>
          </cell>
          <cell r="BA28">
            <v>114.4251134</v>
          </cell>
          <cell r="BB28">
            <v>106.3615669</v>
          </cell>
          <cell r="BC28">
            <v>98.805041329999995</v>
          </cell>
          <cell r="BD28">
            <v>91.7312467</v>
          </cell>
          <cell r="BE28">
            <v>85.116179560000006</v>
          </cell>
        </row>
        <row r="29">
          <cell r="A29" t="str">
            <v>auto_cf_cfut_0</v>
          </cell>
          <cell r="B29">
            <v>1243.6668460000001</v>
          </cell>
          <cell r="C29">
            <v>1210.940433</v>
          </cell>
          <cell r="D29">
            <v>1183.595955</v>
          </cell>
          <cell r="E29">
            <v>1159.0935380000001</v>
          </cell>
          <cell r="F29">
            <v>1135.80629</v>
          </cell>
          <cell r="G29">
            <v>1112.77325</v>
          </cell>
          <cell r="H29">
            <v>1089.3473280000001</v>
          </cell>
          <cell r="I29">
            <v>1065.2392480000001</v>
          </cell>
          <cell r="J29">
            <v>1040.3183260000001</v>
          </cell>
          <cell r="K29">
            <v>1014.538764</v>
          </cell>
          <cell r="L29">
            <v>988.03834080000001</v>
          </cell>
          <cell r="M29">
            <v>960.71967419999999</v>
          </cell>
          <cell r="N29">
            <v>932.64696509999999</v>
          </cell>
          <cell r="O29">
            <v>903.92459210000004</v>
          </cell>
          <cell r="P29">
            <v>874.65859499999999</v>
          </cell>
          <cell r="Q29">
            <v>844.96528279999995</v>
          </cell>
          <cell r="R29">
            <v>814.96636409999996</v>
          </cell>
          <cell r="S29">
            <v>784.78486080000005</v>
          </cell>
          <cell r="T29">
            <v>754.54190670000003</v>
          </cell>
          <cell r="U29">
            <v>724.35431070000004</v>
          </cell>
          <cell r="V29">
            <v>694.29179529999999</v>
          </cell>
          <cell r="W29">
            <v>664.50809960000004</v>
          </cell>
          <cell r="X29">
            <v>635.10185430000001</v>
          </cell>
          <cell r="Y29">
            <v>606.15494020000006</v>
          </cell>
          <cell r="Z29">
            <v>577.74347109999997</v>
          </cell>
          <cell r="AA29">
            <v>549.86135379999996</v>
          </cell>
          <cell r="AB29">
            <v>522.62559780000004</v>
          </cell>
          <cell r="AC29">
            <v>496.1021849</v>
          </cell>
          <cell r="AD29">
            <v>470.33706819999998</v>
          </cell>
          <cell r="AE29">
            <v>445.37026370000001</v>
          </cell>
          <cell r="AF29">
            <v>421.23240340000001</v>
          </cell>
          <cell r="AG29">
            <v>397.94563879999998</v>
          </cell>
          <cell r="AH29">
            <v>375.5247483</v>
          </cell>
          <cell r="AI29">
            <v>353.97820769999998</v>
          </cell>
          <cell r="AJ29">
            <v>333.30913020000003</v>
          </cell>
          <cell r="AK29">
            <v>313.51604980000002</v>
          </cell>
          <cell r="AL29">
            <v>294.58861660000002</v>
          </cell>
          <cell r="AM29">
            <v>276.51998609999998</v>
          </cell>
          <cell r="AN29">
            <v>259.3005172</v>
          </cell>
          <cell r="AO29">
            <v>242.9171087</v>
          </cell>
          <cell r="AP29">
            <v>227.35397219999999</v>
          </cell>
          <cell r="AQ29">
            <v>212.59289999999999</v>
          </cell>
          <cell r="AR29">
            <v>198.61356290000001</v>
          </cell>
          <cell r="AS29">
            <v>185.3938291</v>
          </cell>
          <cell r="AT29">
            <v>172.91008149999999</v>
          </cell>
          <cell r="AU29">
            <v>161.137518</v>
          </cell>
          <cell r="AV29">
            <v>150.0505302</v>
          </cell>
          <cell r="AW29">
            <v>139.62268890000001</v>
          </cell>
          <cell r="AX29">
            <v>129.8271154</v>
          </cell>
          <cell r="AY29">
            <v>120.6366967</v>
          </cell>
          <cell r="AZ29">
            <v>112.0242468</v>
          </cell>
          <cell r="BA29">
            <v>114.9074565</v>
          </cell>
          <cell r="BB29">
            <v>106.8293941</v>
          </cell>
          <cell r="BC29">
            <v>99.257369080000004</v>
          </cell>
          <cell r="BD29">
            <v>92.167277819999995</v>
          </cell>
          <cell r="BE29">
            <v>85.535296729999999</v>
          </cell>
        </row>
        <row r="30">
          <cell r="A30" t="str">
            <v>auto_cg_cfut_2</v>
          </cell>
          <cell r="B30">
            <v>2239.620606</v>
          </cell>
          <cell r="C30">
            <v>2183.4857889999998</v>
          </cell>
          <cell r="D30">
            <v>2134.126503</v>
          </cell>
          <cell r="E30">
            <v>2087.4209850000002</v>
          </cell>
          <cell r="F30">
            <v>2040.618694</v>
          </cell>
          <cell r="G30">
            <v>1992.125446</v>
          </cell>
          <cell r="H30">
            <v>1940.9533819999999</v>
          </cell>
          <cell r="I30">
            <v>1886.821502</v>
          </cell>
          <cell r="J30">
            <v>1829.7917070000001</v>
          </cell>
          <cell r="K30">
            <v>1770.107346</v>
          </cell>
          <cell r="L30">
            <v>1708.308102</v>
          </cell>
          <cell r="M30">
            <v>1644.57701</v>
          </cell>
          <cell r="N30">
            <v>1579.33483</v>
          </cell>
          <cell r="O30">
            <v>1513.0545500000001</v>
          </cell>
          <cell r="P30">
            <v>1446.184718</v>
          </cell>
          <cell r="Q30">
            <v>1379.159721</v>
          </cell>
          <cell r="R30">
            <v>1312.3876319999999</v>
          </cell>
          <cell r="S30">
            <v>1246.2488679999999</v>
          </cell>
          <cell r="T30">
            <v>1181.0914769999999</v>
          </cell>
          <cell r="U30">
            <v>1117.22399</v>
          </cell>
          <cell r="V30">
            <v>1054.8754719999999</v>
          </cell>
          <cell r="W30">
            <v>994.32202329999996</v>
          </cell>
          <cell r="X30">
            <v>935.75248060000001</v>
          </cell>
          <cell r="Y30">
            <v>879.3074335</v>
          </cell>
          <cell r="Z30">
            <v>825.09465560000001</v>
          </cell>
          <cell r="AA30">
            <v>773.13634460000003</v>
          </cell>
          <cell r="AB30">
            <v>723.52612590000001</v>
          </cell>
          <cell r="AC30">
            <v>676.29809739999996</v>
          </cell>
          <cell r="AD30">
            <v>631.45185279999998</v>
          </cell>
          <cell r="AE30">
            <v>588.96832119999999</v>
          </cell>
          <cell r="AF30">
            <v>548.81039080000005</v>
          </cell>
          <cell r="AG30">
            <v>510.92643249999998</v>
          </cell>
          <cell r="AH30">
            <v>475.25330330000003</v>
          </cell>
          <cell r="AI30">
            <v>441.71903209999999</v>
          </cell>
          <cell r="AJ30">
            <v>410.2452313</v>
          </cell>
          <cell r="AK30">
            <v>380.74897170000003</v>
          </cell>
          <cell r="AL30">
            <v>353.14287619999999</v>
          </cell>
          <cell r="AM30">
            <v>327.34047420000002</v>
          </cell>
          <cell r="AN30">
            <v>303.25412249999999</v>
          </cell>
          <cell r="AO30">
            <v>280.79588000000001</v>
          </cell>
          <cell r="AP30">
            <v>259.87843049999998</v>
          </cell>
          <cell r="AQ30">
            <v>240.41576040000001</v>
          </cell>
          <cell r="AR30">
            <v>222.3236656</v>
          </cell>
          <cell r="AS30">
            <v>205.52018430000001</v>
          </cell>
          <cell r="AT30">
            <v>189.9259874</v>
          </cell>
          <cell r="AU30">
            <v>175.46465799999999</v>
          </cell>
          <cell r="AV30">
            <v>162.06294700000001</v>
          </cell>
          <cell r="AW30">
            <v>149.6508274</v>
          </cell>
          <cell r="AX30">
            <v>138.16231329999999</v>
          </cell>
          <cell r="AY30">
            <v>127.5455539</v>
          </cell>
          <cell r="AZ30">
            <v>117.7512636</v>
          </cell>
          <cell r="BA30">
            <v>112.4660597</v>
          </cell>
          <cell r="BB30">
            <v>103.8162528</v>
          </cell>
          <cell r="BC30">
            <v>95.817794160000005</v>
          </cell>
          <cell r="BD30">
            <v>88.424316970000007</v>
          </cell>
          <cell r="BE30">
            <v>81.592274309999993</v>
          </cell>
        </row>
        <row r="31">
          <cell r="A31" t="str">
            <v>auto_cg_cfut_0</v>
          </cell>
          <cell r="B31">
            <v>2239.620606</v>
          </cell>
          <cell r="C31">
            <v>2183.8449820000001</v>
          </cell>
          <cell r="D31">
            <v>2134.8819269999999</v>
          </cell>
          <cell r="E31">
            <v>2087.7524910000002</v>
          </cell>
          <cell r="F31">
            <v>2039.560287</v>
          </cell>
          <cell r="G31">
            <v>1988.8672750000001</v>
          </cell>
          <cell r="H31">
            <v>1934.95093</v>
          </cell>
          <cell r="I31">
            <v>1877.7781990000001</v>
          </cell>
          <cell r="J31">
            <v>1817.614558</v>
          </cell>
          <cell r="K31">
            <v>1754.8614789999999</v>
          </cell>
          <cell r="L31">
            <v>1690.1650529999999</v>
          </cell>
          <cell r="M31">
            <v>1623.8170339999999</v>
          </cell>
          <cell r="N31">
            <v>1556.3021699999999</v>
          </cell>
          <cell r="O31">
            <v>1488.1288239999999</v>
          </cell>
          <cell r="P31">
            <v>1419.7641189999999</v>
          </cell>
          <cell r="Q31">
            <v>1351.6437739999999</v>
          </cell>
          <cell r="R31">
            <v>1284.1654329999999</v>
          </cell>
          <cell r="S31">
            <v>1217.6843610000001</v>
          </cell>
          <cell r="T31">
            <v>1152.5114269999999</v>
          </cell>
          <cell r="U31">
            <v>1088.9129370000001</v>
          </cell>
          <cell r="V31">
            <v>1027.076315</v>
          </cell>
          <cell r="W31">
            <v>967.22940149999999</v>
          </cell>
          <cell r="X31">
            <v>909.51924840000004</v>
          </cell>
          <cell r="Y31">
            <v>854.04929059999995</v>
          </cell>
          <cell r="Z31">
            <v>800.89426879999996</v>
          </cell>
          <cell r="AA31">
            <v>750.05177590000005</v>
          </cell>
          <cell r="AB31">
            <v>701.58745580000004</v>
          </cell>
          <cell r="AC31">
            <v>655.5148997</v>
          </cell>
          <cell r="AD31">
            <v>611.81855410000003</v>
          </cell>
          <cell r="AE31">
            <v>570.46735120000005</v>
          </cell>
          <cell r="AF31">
            <v>531.4150664</v>
          </cell>
          <cell r="AG31">
            <v>494.60319140000001</v>
          </cell>
          <cell r="AH31">
            <v>459.96362219999997</v>
          </cell>
          <cell r="AI31">
            <v>427.42100979999998</v>
          </cell>
          <cell r="AJ31">
            <v>396.89474289999998</v>
          </cell>
          <cell r="AK31">
            <v>368.30058639999999</v>
          </cell>
          <cell r="AL31">
            <v>341.55030779999998</v>
          </cell>
          <cell r="AM31">
            <v>316.55714</v>
          </cell>
          <cell r="AN31">
            <v>293.23403059999998</v>
          </cell>
          <cell r="AO31">
            <v>271.493989</v>
          </cell>
          <cell r="AP31">
            <v>251.25093330000001</v>
          </cell>
          <cell r="AQ31">
            <v>232.42025899999999</v>
          </cell>
          <cell r="AR31">
            <v>214.91932650000001</v>
          </cell>
          <cell r="AS31">
            <v>198.66787020000001</v>
          </cell>
          <cell r="AT31">
            <v>183.58833060000001</v>
          </cell>
          <cell r="AU31">
            <v>169.6061095</v>
          </cell>
          <cell r="AV31">
            <v>156.64977450000001</v>
          </cell>
          <cell r="AW31">
            <v>144.65113779999999</v>
          </cell>
          <cell r="AX31">
            <v>133.5453578</v>
          </cell>
          <cell r="AY31">
            <v>123.27097019999999</v>
          </cell>
          <cell r="AZ31">
            <v>113.7698747</v>
          </cell>
          <cell r="BA31">
            <v>112.71163730000001</v>
          </cell>
          <cell r="BB31">
            <v>104.0471179</v>
          </cell>
          <cell r="BC31">
            <v>96.034357119999996</v>
          </cell>
          <cell r="BD31">
            <v>88.627060349999994</v>
          </cell>
          <cell r="BE31">
            <v>81.781736309999999</v>
          </cell>
        </row>
        <row r="32">
          <cell r="A32" t="str">
            <v>auto_ca_cele_2</v>
          </cell>
          <cell r="B32">
            <v>9.8427898650000003</v>
          </cell>
          <cell r="C32">
            <v>14.88336791</v>
          </cell>
          <cell r="D32">
            <v>20.099707800000001</v>
          </cell>
          <cell r="E32">
            <v>25.410254470000002</v>
          </cell>
          <cell r="F32">
            <v>30.768277340000001</v>
          </cell>
          <cell r="G32">
            <v>36.155382359999997</v>
          </cell>
          <cell r="H32">
            <v>41.556219800000001</v>
          </cell>
          <cell r="I32">
            <v>46.970321409999997</v>
          </cell>
          <cell r="J32">
            <v>52.396808010000001</v>
          </cell>
          <cell r="K32">
            <v>57.831013230000003</v>
          </cell>
          <cell r="L32">
            <v>63.282903930000003</v>
          </cell>
          <cell r="M32">
            <v>68.718922910000003</v>
          </cell>
          <cell r="N32">
            <v>74.120493769999996</v>
          </cell>
          <cell r="O32">
            <v>79.466858029999997</v>
          </cell>
          <cell r="P32">
            <v>84.733191550000001</v>
          </cell>
          <cell r="Q32">
            <v>89.893597150000005</v>
          </cell>
          <cell r="R32">
            <v>94.921029649999994</v>
          </cell>
          <cell r="S32">
            <v>99.788711280000001</v>
          </cell>
          <cell r="T32">
            <v>104.47053219999999</v>
          </cell>
          <cell r="U32">
            <v>108.94094440000001</v>
          </cell>
          <cell r="V32">
            <v>113.1614769</v>
          </cell>
          <cell r="W32">
            <v>117.1224361</v>
          </cell>
          <cell r="X32">
            <v>120.7998923</v>
          </cell>
          <cell r="Y32">
            <v>124.1688133</v>
          </cell>
          <cell r="Z32">
            <v>127.20434760000001</v>
          </cell>
          <cell r="AA32">
            <v>129.8466018</v>
          </cell>
          <cell r="AB32">
            <v>132.08966520000001</v>
          </cell>
          <cell r="AC32">
            <v>133.90643560000001</v>
          </cell>
          <cell r="AD32">
            <v>135.2656514</v>
          </cell>
          <cell r="AE32">
            <v>136.13465199999999</v>
          </cell>
          <cell r="AF32">
            <v>136.47694369999999</v>
          </cell>
          <cell r="AG32">
            <v>136.2518178</v>
          </cell>
          <cell r="AH32">
            <v>135.4137422</v>
          </cell>
          <cell r="AI32">
            <v>133.91177400000001</v>
          </cell>
          <cell r="AJ32">
            <v>131.68896119999999</v>
          </cell>
          <cell r="AK32">
            <v>128.68164039999999</v>
          </cell>
          <cell r="AL32">
            <v>124.8180886</v>
          </cell>
          <cell r="AM32">
            <v>120.0221133</v>
          </cell>
          <cell r="AN32">
            <v>114.209063</v>
          </cell>
          <cell r="AO32">
            <v>107.2849411</v>
          </cell>
          <cell r="AP32">
            <v>99.145378789999995</v>
          </cell>
          <cell r="AQ32">
            <v>89.674567600000003</v>
          </cell>
          <cell r="AR32">
            <v>78.744357739999998</v>
          </cell>
          <cell r="AS32">
            <v>66.213028850000001</v>
          </cell>
          <cell r="AT32">
            <v>51.923813930000001</v>
          </cell>
          <cell r="AU32">
            <v>35.703363230000001</v>
          </cell>
          <cell r="AV32">
            <v>17.35810889</v>
          </cell>
          <cell r="AW32">
            <v>-3.3238272530000001</v>
          </cell>
          <cell r="AX32">
            <v>-23.170735709999999</v>
          </cell>
          <cell r="AY32">
            <v>-42.198028059999999</v>
          </cell>
          <cell r="AZ32">
            <v>-60.459617180000002</v>
          </cell>
          <cell r="BA32">
            <v>99.339215170000003</v>
          </cell>
          <cell r="BB32">
            <v>86.987539580000004</v>
          </cell>
          <cell r="BC32">
            <v>73.015126519999995</v>
          </cell>
          <cell r="BD32">
            <v>57.267535199999998</v>
          </cell>
          <cell r="BE32">
            <v>39.574651529999997</v>
          </cell>
        </row>
        <row r="33">
          <cell r="A33" t="str">
            <v>auto_ca_cele_0</v>
          </cell>
          <cell r="B33">
            <v>9.8427898650000003</v>
          </cell>
          <cell r="C33">
            <v>15.012846529999999</v>
          </cell>
          <cell r="D33">
            <v>20.495887110000002</v>
          </cell>
          <cell r="E33">
            <v>26.173650670000001</v>
          </cell>
          <cell r="F33">
            <v>31.967420669999999</v>
          </cell>
          <cell r="G33">
            <v>37.829624279999997</v>
          </cell>
          <cell r="H33">
            <v>43.720048660000003</v>
          </cell>
          <cell r="I33">
            <v>49.619364349999998</v>
          </cell>
          <cell r="J33">
            <v>55.513836750000003</v>
          </cell>
          <cell r="K33">
            <v>61.391881150000003</v>
          </cell>
          <cell r="L33">
            <v>67.263167420000002</v>
          </cell>
          <cell r="M33">
            <v>73.097341909999997</v>
          </cell>
          <cell r="N33">
            <v>78.883928679999997</v>
          </cell>
          <cell r="O33">
            <v>84.613441350000002</v>
          </cell>
          <cell r="P33">
            <v>90.274762789999997</v>
          </cell>
          <cell r="Q33">
            <v>95.857279469999995</v>
          </cell>
          <cell r="R33">
            <v>101.3508339</v>
          </cell>
          <cell r="S33">
            <v>106.7457395</v>
          </cell>
          <cell r="T33">
            <v>112.0328227</v>
          </cell>
          <cell r="U33">
            <v>117.20344919999999</v>
          </cell>
          <cell r="V33">
            <v>122.2342481</v>
          </cell>
          <cell r="W33">
            <v>127.1337372</v>
          </cell>
          <cell r="X33">
            <v>131.89501000000001</v>
          </cell>
          <cell r="Y33">
            <v>136.51044379999999</v>
          </cell>
          <cell r="Z33">
            <v>140.97348579999999</v>
          </cell>
          <cell r="AA33">
            <v>145.23458389999999</v>
          </cell>
          <cell r="AB33">
            <v>149.31155570000001</v>
          </cell>
          <cell r="AC33">
            <v>153.19849160000001</v>
          </cell>
          <cell r="AD33">
            <v>156.8868343</v>
          </cell>
          <cell r="AE33">
            <v>160.36931279999999</v>
          </cell>
          <cell r="AF33">
            <v>163.63731989999999</v>
          </cell>
          <cell r="AG33">
            <v>166.68073000000001</v>
          </cell>
          <cell r="AH33">
            <v>169.4877539</v>
          </cell>
          <cell r="AI33">
            <v>172.0447594</v>
          </cell>
          <cell r="AJ33">
            <v>174.33604869999999</v>
          </cell>
          <cell r="AK33">
            <v>176.34360649999999</v>
          </cell>
          <cell r="AL33">
            <v>178.0388342</v>
          </cell>
          <cell r="AM33">
            <v>179.39938240000001</v>
          </cell>
          <cell r="AN33">
            <v>180.40003519999999</v>
          </cell>
          <cell r="AO33">
            <v>181.0120919</v>
          </cell>
          <cell r="AP33">
            <v>181.20359400000001</v>
          </cell>
          <cell r="AQ33">
            <v>180.93888559999999</v>
          </cell>
          <cell r="AR33">
            <v>180.1782369</v>
          </cell>
          <cell r="AS33">
            <v>178.87748590000001</v>
          </cell>
          <cell r="AT33">
            <v>176.98765499999999</v>
          </cell>
          <cell r="AU33">
            <v>174.45451929999999</v>
          </cell>
          <cell r="AV33">
            <v>171.21838869999999</v>
          </cell>
          <cell r="AW33">
            <v>167.21285270000001</v>
          </cell>
          <cell r="AX33">
            <v>162.364566</v>
          </cell>
          <cell r="AY33">
            <v>156.59257310000001</v>
          </cell>
          <cell r="AZ33">
            <v>149.8075485</v>
          </cell>
          <cell r="BA33">
            <v>124.0450032</v>
          </cell>
          <cell r="BB33">
            <v>114.81711970000001</v>
          </cell>
          <cell r="BC33">
            <v>104.3082737</v>
          </cell>
          <cell r="BD33">
            <v>92.398095470000001</v>
          </cell>
          <cell r="BE33">
            <v>78.954133470000002</v>
          </cell>
        </row>
        <row r="34">
          <cell r="A34" t="str">
            <v>auto_cb_cele_2</v>
          </cell>
          <cell r="B34">
            <v>11.44571741</v>
          </cell>
          <cell r="C34">
            <v>16.199269149999999</v>
          </cell>
          <cell r="D34">
            <v>21.11632749</v>
          </cell>
          <cell r="E34">
            <v>26.117229989999998</v>
          </cell>
          <cell r="F34">
            <v>31.156065389999998</v>
          </cell>
          <cell r="G34">
            <v>36.21396163</v>
          </cell>
          <cell r="H34">
            <v>41.274722590000003</v>
          </cell>
          <cell r="I34">
            <v>46.33606674</v>
          </cell>
          <cell r="J34">
            <v>51.395145679999999</v>
          </cell>
          <cell r="K34">
            <v>56.445373109999998</v>
          </cell>
          <cell r="L34">
            <v>61.493856940000001</v>
          </cell>
          <cell r="M34">
            <v>66.506663840000002</v>
          </cell>
          <cell r="N34">
            <v>71.464005080000007</v>
          </cell>
          <cell r="O34">
            <v>76.344319470000002</v>
          </cell>
          <cell r="P34">
            <v>81.122453739999997</v>
          </cell>
          <cell r="Q34">
            <v>85.772520040000003</v>
          </cell>
          <cell r="R34">
            <v>90.267848959999995</v>
          </cell>
          <cell r="S34">
            <v>94.58230562</v>
          </cell>
          <cell r="T34">
            <v>98.690689599999999</v>
          </cell>
          <cell r="U34">
            <v>102.56862719999999</v>
          </cell>
          <cell r="V34">
            <v>106.18043659999999</v>
          </cell>
          <cell r="W34">
            <v>109.51671210000001</v>
          </cell>
          <cell r="X34">
            <v>112.5554925</v>
          </cell>
          <cell r="Y34">
            <v>115.2739998</v>
          </cell>
          <cell r="Z34">
            <v>117.64985129999999</v>
          </cell>
          <cell r="AA34">
            <v>119.63054200000001</v>
          </cell>
          <cell r="AB34">
            <v>121.2109411</v>
          </cell>
          <cell r="AC34">
            <v>122.3677934</v>
          </cell>
          <cell r="AD34">
            <v>123.0743445</v>
          </cell>
          <cell r="AE34">
            <v>123.30282219999999</v>
          </cell>
          <cell r="AF34">
            <v>123.022374</v>
          </cell>
          <cell r="AG34">
            <v>122.1987817</v>
          </cell>
          <cell r="AH34">
            <v>120.794009</v>
          </cell>
          <cell r="AI34">
            <v>118.76576710000001</v>
          </cell>
          <cell r="AJ34">
            <v>116.0670927</v>
          </cell>
          <cell r="AK34">
            <v>112.64586060000001</v>
          </cell>
          <cell r="AL34">
            <v>108.4444396</v>
          </cell>
          <cell r="AM34">
            <v>103.4016817</v>
          </cell>
          <cell r="AN34">
            <v>97.450256809999999</v>
          </cell>
          <cell r="AO34">
            <v>90.516027109999996</v>
          </cell>
          <cell r="AP34">
            <v>82.51733222</v>
          </cell>
          <cell r="AQ34">
            <v>73.364301150000003</v>
          </cell>
          <cell r="AR34">
            <v>62.958387010000003</v>
          </cell>
          <cell r="AS34">
            <v>51.19162231</v>
          </cell>
          <cell r="AT34">
            <v>37.945677940000003</v>
          </cell>
          <cell r="AU34">
            <v>23.09094009</v>
          </cell>
          <cell r="AV34">
            <v>6.4836569050000001</v>
          </cell>
          <cell r="AW34">
            <v>-12.03163674</v>
          </cell>
          <cell r="AX34">
            <v>-29.798937240000001</v>
          </cell>
          <cell r="AY34">
            <v>-46.831033050000002</v>
          </cell>
          <cell r="AZ34">
            <v>-63.17745266</v>
          </cell>
          <cell r="BA34">
            <v>75.420396510000003</v>
          </cell>
          <cell r="BB34">
            <v>63.977383179999997</v>
          </cell>
          <cell r="BC34">
            <v>51.223632559999999</v>
          </cell>
          <cell r="BD34">
            <v>37.049375359999999</v>
          </cell>
          <cell r="BE34">
            <v>21.33479221</v>
          </cell>
        </row>
        <row r="35">
          <cell r="A35" t="str">
            <v>auto_cb_cele_0</v>
          </cell>
          <cell r="B35">
            <v>11.44571741</v>
          </cell>
          <cell r="C35">
            <v>16.323730309999998</v>
          </cell>
          <cell r="D35">
            <v>21.495372360000001</v>
          </cell>
          <cell r="E35">
            <v>26.844395469999998</v>
          </cell>
          <cell r="F35">
            <v>32.293212560000001</v>
          </cell>
          <cell r="G35">
            <v>37.794458220000003</v>
          </cell>
          <cell r="H35">
            <v>43.308041549999999</v>
          </cell>
          <cell r="I35">
            <v>48.813864809999998</v>
          </cell>
          <cell r="J35">
            <v>54.297240909999999</v>
          </cell>
          <cell r="K35">
            <v>59.745552689999997</v>
          </cell>
          <cell r="L35">
            <v>65.166178430000002</v>
          </cell>
          <cell r="M35">
            <v>70.52892568</v>
          </cell>
          <cell r="N35">
            <v>75.822305610000001</v>
          </cell>
          <cell r="O35">
            <v>81.035972360000002</v>
          </cell>
          <cell r="P35">
            <v>86.158170999999996</v>
          </cell>
          <cell r="Q35">
            <v>91.177749009999999</v>
          </cell>
          <cell r="R35">
            <v>96.084115170000004</v>
          </cell>
          <cell r="S35">
            <v>100.8672476</v>
          </cell>
          <cell r="T35">
            <v>105.5177214</v>
          </cell>
          <cell r="U35">
            <v>110.0267166</v>
          </cell>
          <cell r="V35">
            <v>114.3722558</v>
          </cell>
          <cell r="W35">
            <v>118.561244</v>
          </cell>
          <cell r="X35">
            <v>122.5867628</v>
          </cell>
          <cell r="Y35">
            <v>126.4412107</v>
          </cell>
          <cell r="Z35">
            <v>130.1179803</v>
          </cell>
          <cell r="AA35">
            <v>133.57287030000001</v>
          </cell>
          <cell r="AB35">
            <v>136.8210503</v>
          </cell>
          <cell r="AC35">
            <v>139.85702689999999</v>
          </cell>
          <cell r="AD35">
            <v>142.6728674</v>
          </cell>
          <cell r="AE35">
            <v>145.26176369999999</v>
          </cell>
          <cell r="AF35">
            <v>147.61574160000001</v>
          </cell>
          <cell r="AG35">
            <v>149.72550390000001</v>
          </cell>
          <cell r="AH35">
            <v>151.5803129</v>
          </cell>
          <cell r="AI35">
            <v>153.16785340000001</v>
          </cell>
          <cell r="AJ35">
            <v>154.47406799999999</v>
          </cell>
          <cell r="AK35">
            <v>155.48297529999999</v>
          </cell>
          <cell r="AL35">
            <v>156.17017139999999</v>
          </cell>
          <cell r="AM35">
            <v>156.51635200000001</v>
          </cell>
          <cell r="AN35">
            <v>156.50000349999999</v>
          </cell>
          <cell r="AO35">
            <v>156.09690900000001</v>
          </cell>
          <cell r="AP35">
            <v>155.28036850000001</v>
          </cell>
          <cell r="AQ35">
            <v>154.02089989999999</v>
          </cell>
          <cell r="AR35">
            <v>152.28599840000001</v>
          </cell>
          <cell r="AS35">
            <v>150.0399161</v>
          </cell>
          <cell r="AT35">
            <v>147.2434307</v>
          </cell>
          <cell r="AU35">
            <v>143.85358669999999</v>
          </cell>
          <cell r="AV35">
            <v>139.82352710000001</v>
          </cell>
          <cell r="AW35">
            <v>135.1017774</v>
          </cell>
          <cell r="AX35">
            <v>129.6321265</v>
          </cell>
          <cell r="AY35">
            <v>123.3532342</v>
          </cell>
          <cell r="AZ35">
            <v>116.19820249999999</v>
          </cell>
          <cell r="BA35">
            <v>97.441447859999997</v>
          </cell>
          <cell r="BB35">
            <v>88.643995919999995</v>
          </cell>
          <cell r="BC35">
            <v>78.802633589999999</v>
          </cell>
          <cell r="BD35">
            <v>67.831831030000004</v>
          </cell>
          <cell r="BE35">
            <v>55.638347830000001</v>
          </cell>
        </row>
        <row r="36">
          <cell r="A36" t="str">
            <v>auto_cc_cele_2</v>
          </cell>
          <cell r="B36">
            <v>9.4015406210000005</v>
          </cell>
          <cell r="C36">
            <v>12.6288404</v>
          </cell>
          <cell r="D36">
            <v>15.96597843</v>
          </cell>
          <cell r="E36">
            <v>19.35688656</v>
          </cell>
          <cell r="F36">
            <v>22.769081629999999</v>
          </cell>
          <cell r="G36">
            <v>26.188695639999999</v>
          </cell>
          <cell r="H36">
            <v>29.60356131</v>
          </cell>
          <cell r="I36">
            <v>33.010911559999997</v>
          </cell>
          <cell r="J36">
            <v>36.407493150000001</v>
          </cell>
          <cell r="K36">
            <v>39.787422290000002</v>
          </cell>
          <cell r="L36">
            <v>43.15408437</v>
          </cell>
          <cell r="M36">
            <v>46.482982370000002</v>
          </cell>
          <cell r="N36">
            <v>49.75928304</v>
          </cell>
          <cell r="O36">
            <v>52.967166829999996</v>
          </cell>
          <cell r="P36">
            <v>56.088561310000003</v>
          </cell>
          <cell r="Q36">
            <v>59.105106399999997</v>
          </cell>
          <cell r="R36">
            <v>61.998136580000001</v>
          </cell>
          <cell r="S36">
            <v>64.74956272</v>
          </cell>
          <cell r="T36">
            <v>67.342155969999993</v>
          </cell>
          <cell r="U36">
            <v>69.759467430000001</v>
          </cell>
          <cell r="V36">
            <v>71.977942720000001</v>
          </cell>
          <cell r="W36">
            <v>73.991374120000003</v>
          </cell>
          <cell r="X36">
            <v>75.785591190000005</v>
          </cell>
          <cell r="Y36">
            <v>77.346036679999997</v>
          </cell>
          <cell r="Z36">
            <v>78.658591529999995</v>
          </cell>
          <cell r="AA36">
            <v>79.69047295</v>
          </cell>
          <cell r="AB36">
            <v>80.438964080000005</v>
          </cell>
          <cell r="AC36">
            <v>80.890183300000004</v>
          </cell>
          <cell r="AD36">
            <v>81.028163860000006</v>
          </cell>
          <cell r="AE36">
            <v>80.836463170000002</v>
          </cell>
          <cell r="AF36">
            <v>80.296903240000006</v>
          </cell>
          <cell r="AG36">
            <v>79.389423859999994</v>
          </cell>
          <cell r="AH36">
            <v>78.091847970000003</v>
          </cell>
          <cell r="AI36">
            <v>76.379659250000003</v>
          </cell>
          <cell r="AJ36">
            <v>74.225798920000003</v>
          </cell>
          <cell r="AK36">
            <v>71.600435509999997</v>
          </cell>
          <cell r="AL36">
            <v>68.471217260000003</v>
          </cell>
          <cell r="AM36">
            <v>64.803872240000004</v>
          </cell>
          <cell r="AN36">
            <v>60.560997659999998</v>
          </cell>
          <cell r="AO36">
            <v>55.701752910000003</v>
          </cell>
          <cell r="AP36">
            <v>50.181510809999999</v>
          </cell>
          <cell r="AQ36">
            <v>43.951557970000003</v>
          </cell>
          <cell r="AR36">
            <v>36.958974990000002</v>
          </cell>
          <cell r="AS36">
            <v>29.146344620000001</v>
          </cell>
          <cell r="AT36">
            <v>20.451341249999999</v>
          </cell>
          <cell r="AU36">
            <v>10.806366239999999</v>
          </cell>
          <cell r="AV36">
            <v>0.13692159079999999</v>
          </cell>
          <cell r="AW36">
            <v>-11.63650223</v>
          </cell>
          <cell r="AX36">
            <v>-22.931901790000001</v>
          </cell>
          <cell r="AY36">
            <v>-33.752109320000002</v>
          </cell>
          <cell r="AZ36">
            <v>-44.135334190000002</v>
          </cell>
          <cell r="BA36">
            <v>41.767990060000002</v>
          </cell>
          <cell r="BB36">
            <v>34.301015939999999</v>
          </cell>
          <cell r="BC36">
            <v>26.084829039999999</v>
          </cell>
          <cell r="BD36">
            <v>17.065230100000001</v>
          </cell>
          <cell r="BE36">
            <v>7.1835929309999997</v>
          </cell>
        </row>
        <row r="37">
          <cell r="A37" t="str">
            <v>auto_cc_cele_0</v>
          </cell>
          <cell r="B37">
            <v>9.4015406210000005</v>
          </cell>
          <cell r="C37">
            <v>12.714995419999999</v>
          </cell>
          <cell r="D37">
            <v>16.227163950000001</v>
          </cell>
          <cell r="E37">
            <v>19.855741089999999</v>
          </cell>
          <cell r="F37">
            <v>23.54567797</v>
          </cell>
          <cell r="G37">
            <v>27.263081230000001</v>
          </cell>
          <cell r="H37">
            <v>30.97925107</v>
          </cell>
          <cell r="I37">
            <v>34.67930475</v>
          </cell>
          <cell r="J37">
            <v>38.352146740000002</v>
          </cell>
          <cell r="K37">
            <v>41.988134979999998</v>
          </cell>
          <cell r="L37">
            <v>45.591209220000003</v>
          </cell>
          <cell r="M37">
            <v>49.139896550000003</v>
          </cell>
          <cell r="N37">
            <v>52.625435600000003</v>
          </cell>
          <cell r="O37">
            <v>56.03999984</v>
          </cell>
          <cell r="P37">
            <v>59.374909469999999</v>
          </cell>
          <cell r="Q37">
            <v>62.621997450000002</v>
          </cell>
          <cell r="R37">
            <v>65.773583290000005</v>
          </cell>
          <cell r="S37">
            <v>68.822473979999998</v>
          </cell>
          <cell r="T37">
            <v>71.761973999999995</v>
          </cell>
          <cell r="U37">
            <v>74.585880299999999</v>
          </cell>
          <cell r="V37">
            <v>77.279539130000003</v>
          </cell>
          <cell r="W37">
            <v>79.847183259999994</v>
          </cell>
          <cell r="X37">
            <v>82.284129419999999</v>
          </cell>
          <cell r="Y37">
            <v>84.585249700000006</v>
          </cell>
          <cell r="Z37">
            <v>86.746104729999999</v>
          </cell>
          <cell r="AA37">
            <v>88.738577969999994</v>
          </cell>
          <cell r="AB37">
            <v>90.572309469999993</v>
          </cell>
          <cell r="AC37">
            <v>92.243979820000007</v>
          </cell>
          <cell r="AD37">
            <v>93.748680879999995</v>
          </cell>
          <cell r="AE37">
            <v>95.082238700000005</v>
          </cell>
          <cell r="AF37">
            <v>96.239774819999994</v>
          </cell>
          <cell r="AG37">
            <v>97.215610979999994</v>
          </cell>
          <cell r="AH37">
            <v>98.003205120000004</v>
          </cell>
          <cell r="AI37">
            <v>98.595080679999995</v>
          </cell>
          <cell r="AJ37">
            <v>98.982744310000001</v>
          </cell>
          <cell r="AK37">
            <v>99.156598340000002</v>
          </cell>
          <cell r="AL37">
            <v>99.102280300000004</v>
          </cell>
          <cell r="AM37">
            <v>98.80847129</v>
          </cell>
          <cell r="AN37">
            <v>98.262683710000005</v>
          </cell>
          <cell r="AO37">
            <v>97.450983570000005</v>
          </cell>
          <cell r="AP37">
            <v>96.358142709999996</v>
          </cell>
          <cell r="AQ37">
            <v>94.967501889999994</v>
          </cell>
          <cell r="AR37">
            <v>93.260870830000002</v>
          </cell>
          <cell r="AS37">
            <v>91.21844394</v>
          </cell>
          <cell r="AT37">
            <v>88.818714229999998</v>
          </cell>
          <cell r="AU37">
            <v>86.038375880000004</v>
          </cell>
          <cell r="AV37">
            <v>82.852232330000007</v>
          </cell>
          <cell r="AW37">
            <v>79.23295229</v>
          </cell>
          <cell r="AX37">
            <v>75.151028359999998</v>
          </cell>
          <cell r="AY37">
            <v>70.574631749999995</v>
          </cell>
          <cell r="AZ37">
            <v>65.46946165</v>
          </cell>
          <cell r="BA37">
            <v>55.764968279999998</v>
          </cell>
          <cell r="BB37">
            <v>49.894204240000001</v>
          </cell>
          <cell r="BC37">
            <v>43.422705530000002</v>
          </cell>
          <cell r="BD37">
            <v>36.308326579999999</v>
          </cell>
          <cell r="BE37">
            <v>28.50554975</v>
          </cell>
        </row>
        <row r="38">
          <cell r="A38" t="str">
            <v>auto_cd_cele_2</v>
          </cell>
          <cell r="B38">
            <v>5.770071272</v>
          </cell>
          <cell r="C38">
            <v>7.5346235500000001</v>
          </cell>
          <cell r="D38">
            <v>9.3507542739999998</v>
          </cell>
          <cell r="E38">
            <v>11.180976680000001</v>
          </cell>
          <cell r="F38">
            <v>13.001033420000001</v>
          </cell>
          <cell r="G38">
            <v>14.79792436</v>
          </cell>
          <cell r="H38">
            <v>16.56111645</v>
          </cell>
          <cell r="I38">
            <v>18.286688389999998</v>
          </cell>
          <cell r="J38">
            <v>19.971868319999999</v>
          </cell>
          <cell r="K38">
            <v>21.613657740000001</v>
          </cell>
          <cell r="L38">
            <v>23.214578289999999</v>
          </cell>
          <cell r="M38">
            <v>24.763989760000001</v>
          </cell>
          <cell r="N38">
            <v>26.256870960000001</v>
          </cell>
          <cell r="O38">
            <v>27.688469690000002</v>
          </cell>
          <cell r="P38">
            <v>29.053440009999999</v>
          </cell>
          <cell r="Q38">
            <v>30.346743740000001</v>
          </cell>
          <cell r="R38">
            <v>31.56361661</v>
          </cell>
          <cell r="S38">
            <v>32.699956159999999</v>
          </cell>
          <cell r="T38">
            <v>33.75239655</v>
          </cell>
          <cell r="U38">
            <v>34.718215219999998</v>
          </cell>
          <cell r="V38">
            <v>35.591758929999997</v>
          </cell>
          <cell r="W38">
            <v>36.375491629999999</v>
          </cell>
          <cell r="X38">
            <v>37.068554050000003</v>
          </cell>
          <cell r="Y38">
            <v>37.670114050000002</v>
          </cell>
          <cell r="Z38">
            <v>38.179887690000001</v>
          </cell>
          <cell r="AA38">
            <v>38.58935589</v>
          </cell>
          <cell r="AB38">
            <v>38.904202840000004</v>
          </cell>
          <cell r="AC38">
            <v>39.125482099999999</v>
          </cell>
          <cell r="AD38">
            <v>39.253578109999999</v>
          </cell>
          <cell r="AE38">
            <v>39.289235249999997</v>
          </cell>
          <cell r="AF38">
            <v>39.233036140000003</v>
          </cell>
          <cell r="AG38">
            <v>39.085416090000002</v>
          </cell>
          <cell r="AH38">
            <v>38.84663947</v>
          </cell>
          <cell r="AI38">
            <v>38.516808830000002</v>
          </cell>
          <cell r="AJ38">
            <v>38.095895710000001</v>
          </cell>
          <cell r="AK38">
            <v>37.58375118</v>
          </cell>
          <cell r="AL38">
            <v>36.979448099999999</v>
          </cell>
          <cell r="AM38">
            <v>36.283067340000002</v>
          </cell>
          <cell r="AN38">
            <v>35.494574610000001</v>
          </cell>
          <cell r="AO38">
            <v>34.613853370000001</v>
          </cell>
          <cell r="AP38">
            <v>33.64075304</v>
          </cell>
          <cell r="AQ38">
            <v>32.575111280000002</v>
          </cell>
          <cell r="AR38">
            <v>31.416764969999999</v>
          </cell>
          <cell r="AS38">
            <v>30.165574110000001</v>
          </cell>
          <cell r="AT38">
            <v>28.821452659999999</v>
          </cell>
          <cell r="AU38">
            <v>27.384393339999999</v>
          </cell>
          <cell r="AV38">
            <v>25.854448090000002</v>
          </cell>
          <cell r="AW38">
            <v>24.231829279999999</v>
          </cell>
          <cell r="AX38">
            <v>22.680865699999998</v>
          </cell>
          <cell r="AY38">
            <v>21.214328170000002</v>
          </cell>
          <cell r="AZ38">
            <v>19.81046091</v>
          </cell>
          <cell r="BA38">
            <v>33.875114490000001</v>
          </cell>
          <cell r="BB38">
            <v>32.826666979999999</v>
          </cell>
          <cell r="BC38">
            <v>31.723283139999999</v>
          </cell>
          <cell r="BD38">
            <v>30.565733399999999</v>
          </cell>
          <cell r="BE38">
            <v>29.35484288</v>
          </cell>
        </row>
        <row r="39">
          <cell r="A39" t="str">
            <v>auto_cd_cele_0</v>
          </cell>
          <cell r="B39">
            <v>5.770071272</v>
          </cell>
          <cell r="C39">
            <v>7.5726187009999997</v>
          </cell>
          <cell r="D39">
            <v>9.4661408490000003</v>
          </cell>
          <cell r="E39">
            <v>11.399278860000001</v>
          </cell>
          <cell r="F39">
            <v>13.337587989999999</v>
          </cell>
          <cell r="G39">
            <v>15.25976245</v>
          </cell>
          <cell r="H39">
            <v>17.148708150000001</v>
          </cell>
          <cell r="I39">
            <v>18.995728400000001</v>
          </cell>
          <cell r="J39">
            <v>20.794940660000002</v>
          </cell>
          <cell r="K39">
            <v>22.541804620000001</v>
          </cell>
          <cell r="L39">
            <v>24.238946670000001</v>
          </cell>
          <cell r="M39">
            <v>25.876780069999999</v>
          </cell>
          <cell r="N39">
            <v>27.452377389999999</v>
          </cell>
          <cell r="O39">
            <v>28.963700100000001</v>
          </cell>
          <cell r="P39">
            <v>30.40853684</v>
          </cell>
          <cell r="Q39">
            <v>31.785141500000002</v>
          </cell>
          <cell r="R39">
            <v>33.092188059999998</v>
          </cell>
          <cell r="S39">
            <v>34.328738389999998</v>
          </cell>
          <cell r="T39">
            <v>35.494218600000004</v>
          </cell>
          <cell r="U39">
            <v>36.588395429999998</v>
          </cell>
          <cell r="V39">
            <v>37.607459419999998</v>
          </cell>
          <cell r="W39">
            <v>38.556015270000003</v>
          </cell>
          <cell r="X39">
            <v>39.434850449999999</v>
          </cell>
          <cell r="Y39">
            <v>40.244564500000003</v>
          </cell>
          <cell r="Z39">
            <v>40.986187280000003</v>
          </cell>
          <cell r="AA39">
            <v>41.650919979999998</v>
          </cell>
          <cell r="AB39">
            <v>42.246165859999998</v>
          </cell>
          <cell r="AC39">
            <v>42.774068020000001</v>
          </cell>
          <cell r="AD39">
            <v>43.236054780000003</v>
          </cell>
          <cell r="AE39">
            <v>43.634023800000001</v>
          </cell>
          <cell r="AF39">
            <v>43.969750580000003</v>
          </cell>
          <cell r="AG39">
            <v>44.24487474</v>
          </cell>
          <cell r="AH39">
            <v>44.460910269999999</v>
          </cell>
          <cell r="AI39">
            <v>44.619259640000003</v>
          </cell>
          <cell r="AJ39">
            <v>44.72122607</v>
          </cell>
          <cell r="AK39">
            <v>44.768023370000002</v>
          </cell>
          <cell r="AL39">
            <v>44.759161140000003</v>
          </cell>
          <cell r="AM39">
            <v>44.695955480000002</v>
          </cell>
          <cell r="AN39">
            <v>44.579736660000002</v>
          </cell>
          <cell r="AO39">
            <v>44.411703129999999</v>
          </cell>
          <cell r="AP39">
            <v>44.193040379999999</v>
          </cell>
          <cell r="AQ39">
            <v>43.924898779999999</v>
          </cell>
          <cell r="AR39">
            <v>43.608387149999999</v>
          </cell>
          <cell r="AS39">
            <v>43.244578079999997</v>
          </cell>
          <cell r="AT39">
            <v>42.83451882</v>
          </cell>
          <cell r="AU39">
            <v>42.379243719999998</v>
          </cell>
          <cell r="AV39">
            <v>41.879873230000001</v>
          </cell>
          <cell r="AW39">
            <v>41.337431240000001</v>
          </cell>
          <cell r="AX39">
            <v>40.752955729999996</v>
          </cell>
          <cell r="AY39">
            <v>40.127514789999999</v>
          </cell>
          <cell r="AZ39">
            <v>39.462207929999998</v>
          </cell>
          <cell r="BA39">
            <v>35.485589879999999</v>
          </cell>
          <cell r="BB39">
            <v>34.573697099999997</v>
          </cell>
          <cell r="BC39">
            <v>33.613691600000003</v>
          </cell>
          <cell r="BD39">
            <v>32.606383600000001</v>
          </cell>
          <cell r="BE39">
            <v>31.552621970000001</v>
          </cell>
        </row>
        <row r="40">
          <cell r="A40" t="str">
            <v>auto_ce_cele_2</v>
          </cell>
          <cell r="B40">
            <v>3.4730440960000002</v>
          </cell>
          <cell r="C40">
            <v>4.5571132990000001</v>
          </cell>
          <cell r="D40">
            <v>5.6652505800000004</v>
          </cell>
          <cell r="E40">
            <v>6.7726735219999998</v>
          </cell>
          <cell r="F40">
            <v>7.8631185180000003</v>
          </cell>
          <cell r="G40">
            <v>8.9274366080000007</v>
          </cell>
          <cell r="H40">
            <v>9.9582218709999992</v>
          </cell>
          <cell r="I40">
            <v>10.952239000000001</v>
          </cell>
          <cell r="J40">
            <v>11.907174850000001</v>
          </cell>
          <cell r="K40">
            <v>12.82078802</v>
          </cell>
          <cell r="L40">
            <v>13.69414617</v>
          </cell>
          <cell r="M40">
            <v>14.521062150000001</v>
          </cell>
          <cell r="N40">
            <v>15.29872333</v>
          </cell>
          <cell r="O40">
            <v>16.024766639999999</v>
          </cell>
          <cell r="P40">
            <v>16.69671074</v>
          </cell>
          <cell r="Q40">
            <v>17.31244873</v>
          </cell>
          <cell r="R40">
            <v>17.87021391</v>
          </cell>
          <cell r="S40">
            <v>18.368760569999999</v>
          </cell>
          <cell r="T40">
            <v>18.807387039999998</v>
          </cell>
          <cell r="U40">
            <v>19.185855400000001</v>
          </cell>
          <cell r="V40">
            <v>19.50265418</v>
          </cell>
          <cell r="W40">
            <v>19.760306459999999</v>
          </cell>
          <cell r="X40">
            <v>19.959807130000002</v>
          </cell>
          <cell r="Y40">
            <v>20.102182880000001</v>
          </cell>
          <cell r="Z40">
            <v>20.188767049999999</v>
          </cell>
          <cell r="AA40">
            <v>20.21738255</v>
          </cell>
          <cell r="AB40">
            <v>20.1921611</v>
          </cell>
          <cell r="AC40">
            <v>20.115255090000002</v>
          </cell>
          <cell r="AD40">
            <v>19.988477719999999</v>
          </cell>
          <cell r="AE40">
            <v>19.813794909999999</v>
          </cell>
          <cell r="AF40">
            <v>19.593104520000001</v>
          </cell>
          <cell r="AG40">
            <v>19.328246499999999</v>
          </cell>
          <cell r="AH40">
            <v>19.021001290000001</v>
          </cell>
          <cell r="AI40">
            <v>18.673100120000001</v>
          </cell>
          <cell r="AJ40">
            <v>18.286245300000001</v>
          </cell>
          <cell r="AK40">
            <v>17.86212184</v>
          </cell>
          <cell r="AL40">
            <v>17.402228019999999</v>
          </cell>
          <cell r="AM40">
            <v>16.908419469999998</v>
          </cell>
          <cell r="AN40">
            <v>16.382542579999999</v>
          </cell>
          <cell r="AO40">
            <v>15.82644206</v>
          </cell>
          <cell r="AP40">
            <v>15.24197582</v>
          </cell>
          <cell r="AQ40">
            <v>14.631021840000001</v>
          </cell>
          <cell r="AR40">
            <v>13.995484230000001</v>
          </cell>
          <cell r="AS40">
            <v>13.33729975</v>
          </cell>
          <cell r="AT40">
            <v>12.65844324</v>
          </cell>
          <cell r="AU40">
            <v>11.960931520000001</v>
          </cell>
          <cell r="AV40">
            <v>11.246796399999999</v>
          </cell>
          <cell r="AW40">
            <v>10.51813437</v>
          </cell>
          <cell r="AX40">
            <v>9.8250644180000002</v>
          </cell>
          <cell r="AY40">
            <v>9.1808625050000003</v>
          </cell>
          <cell r="AZ40">
            <v>8.5661940689999998</v>
          </cell>
          <cell r="BA40">
            <v>13.85018971</v>
          </cell>
          <cell r="BB40">
            <v>13.3144727</v>
          </cell>
          <cell r="BC40">
            <v>12.772281039999999</v>
          </cell>
          <cell r="BD40">
            <v>12.22493592</v>
          </cell>
          <cell r="BE40">
            <v>11.673745009999999</v>
          </cell>
        </row>
        <row r="41">
          <cell r="A41" t="str">
            <v>auto_ce_cele_0</v>
          </cell>
          <cell r="B41">
            <v>3.4730440960000002</v>
          </cell>
          <cell r="C41">
            <v>4.5791602720000002</v>
          </cell>
          <cell r="D41">
            <v>5.7311770729999996</v>
          </cell>
          <cell r="E41">
            <v>6.8952222089999999</v>
          </cell>
          <cell r="F41">
            <v>8.048750879</v>
          </cell>
          <cell r="G41">
            <v>9.1778728909999998</v>
          </cell>
          <cell r="H41">
            <v>10.271736900000001</v>
          </cell>
          <cell r="I41">
            <v>11.324814079999999</v>
          </cell>
          <cell r="J41">
            <v>12.33349904</v>
          </cell>
          <cell r="K41">
            <v>13.295145290000001</v>
          </cell>
          <cell r="L41">
            <v>14.211273439999999</v>
          </cell>
          <cell r="M41">
            <v>15.07668621</v>
          </cell>
          <cell r="N41">
            <v>15.89003357</v>
          </cell>
          <cell r="O41">
            <v>16.650663470000001</v>
          </cell>
          <cell r="P41">
            <v>17.35794271</v>
          </cell>
          <cell r="Q41">
            <v>18.011599749999998</v>
          </cell>
          <cell r="R41">
            <v>18.611685269999999</v>
          </cell>
          <cell r="S41">
            <v>19.158537039999999</v>
          </cell>
          <cell r="T41">
            <v>19.652749020000002</v>
          </cell>
          <cell r="U41">
            <v>20.095141600000002</v>
          </cell>
          <cell r="V41">
            <v>20.484863650000001</v>
          </cell>
          <cell r="W41">
            <v>20.82518202</v>
          </cell>
          <cell r="X41">
            <v>21.11753817</v>
          </cell>
          <cell r="Y41">
            <v>21.36324793</v>
          </cell>
          <cell r="Z41">
            <v>21.56383572</v>
          </cell>
          <cell r="AA41">
            <v>21.71649846</v>
          </cell>
          <cell r="AB41">
            <v>21.825711070000001</v>
          </cell>
          <cell r="AC41">
            <v>21.89363792</v>
          </cell>
          <cell r="AD41">
            <v>21.92204091</v>
          </cell>
          <cell r="AE41">
            <v>21.91285925</v>
          </cell>
          <cell r="AF41">
            <v>21.867949360000001</v>
          </cell>
          <cell r="AG41">
            <v>21.789079350000002</v>
          </cell>
          <cell r="AH41">
            <v>21.677936389999999</v>
          </cell>
          <cell r="AI41">
            <v>21.53613739</v>
          </cell>
          <cell r="AJ41">
            <v>21.3652394</v>
          </cell>
          <cell r="AK41">
            <v>21.16674883</v>
          </cell>
          <cell r="AL41">
            <v>20.941564110000002</v>
          </cell>
          <cell r="AM41">
            <v>20.691235349999999</v>
          </cell>
          <cell r="AN41">
            <v>20.417316679999999</v>
          </cell>
          <cell r="AO41">
            <v>20.121300099999999</v>
          </cell>
          <cell r="AP41">
            <v>19.804658199999999</v>
          </cell>
          <cell r="AQ41">
            <v>19.468836400000001</v>
          </cell>
          <cell r="AR41">
            <v>19.115250360000001</v>
          </cell>
          <cell r="AS41">
            <v>18.745287260000001</v>
          </cell>
          <cell r="AT41">
            <v>18.36030882</v>
          </cell>
          <cell r="AU41">
            <v>17.961654790000001</v>
          </cell>
          <cell r="AV41">
            <v>17.550668160000001</v>
          </cell>
          <cell r="AW41">
            <v>17.128645909999999</v>
          </cell>
          <cell r="AX41">
            <v>16.696868169999998</v>
          </cell>
          <cell r="AY41">
            <v>16.256601499999999</v>
          </cell>
          <cell r="AZ41">
            <v>15.80909722</v>
          </cell>
          <cell r="BA41">
            <v>14.46660228</v>
          </cell>
          <cell r="BB41">
            <v>13.96919132</v>
          </cell>
          <cell r="BC41">
            <v>13.465731549999999</v>
          </cell>
          <cell r="BD41">
            <v>12.95742368</v>
          </cell>
          <cell r="BE41">
            <v>12.44545143</v>
          </cell>
        </row>
        <row r="42">
          <cell r="A42" t="str">
            <v>auto_cf_cele_2</v>
          </cell>
          <cell r="B42">
            <v>1.7251505170000001</v>
          </cell>
          <cell r="C42">
            <v>2.2415230159999999</v>
          </cell>
          <cell r="D42">
            <v>2.7579179319999998</v>
          </cell>
          <cell r="E42">
            <v>3.2592348590000002</v>
          </cell>
          <cell r="F42">
            <v>3.7353287630000001</v>
          </cell>
          <cell r="G42">
            <v>4.1802496639999998</v>
          </cell>
          <cell r="H42">
            <v>4.589753483</v>
          </cell>
          <cell r="I42">
            <v>4.9622219830000001</v>
          </cell>
          <cell r="J42">
            <v>5.297130718</v>
          </cell>
          <cell r="K42">
            <v>5.5945180360000002</v>
          </cell>
          <cell r="L42">
            <v>5.8560113019999998</v>
          </cell>
          <cell r="M42">
            <v>6.0809690429999996</v>
          </cell>
          <cell r="N42">
            <v>6.2702279689999996</v>
          </cell>
          <cell r="O42">
            <v>6.4250667049999999</v>
          </cell>
          <cell r="P42">
            <v>6.5468597669999999</v>
          </cell>
          <cell r="Q42">
            <v>6.6371882490000003</v>
          </cell>
          <cell r="R42">
            <v>6.6977815879999998</v>
          </cell>
          <cell r="S42">
            <v>6.7305222049999998</v>
          </cell>
          <cell r="T42">
            <v>6.7374129700000003</v>
          </cell>
          <cell r="U42">
            <v>6.7205146759999996</v>
          </cell>
          <cell r="V42">
            <v>6.6815499159999998</v>
          </cell>
          <cell r="W42">
            <v>6.6230265209999999</v>
          </cell>
          <cell r="X42">
            <v>6.5470057190000004</v>
          </cell>
          <cell r="Y42">
            <v>6.4554103229999997</v>
          </cell>
          <cell r="Z42">
            <v>6.3501046910000003</v>
          </cell>
          <cell r="AA42">
            <v>6.2322651960000002</v>
          </cell>
          <cell r="AB42">
            <v>6.1040281460000001</v>
          </cell>
          <cell r="AC42">
            <v>5.9670794950000001</v>
          </cell>
          <cell r="AD42">
            <v>5.8228944550000001</v>
          </cell>
          <cell r="AE42">
            <v>5.6728513669999998</v>
          </cell>
          <cell r="AF42">
            <v>5.5182042359999999</v>
          </cell>
          <cell r="AG42">
            <v>5.3600918919999998</v>
          </cell>
          <cell r="AH42">
            <v>5.1995457370000002</v>
          </cell>
          <cell r="AI42">
            <v>5.0374982839999998</v>
          </cell>
          <cell r="AJ42">
            <v>4.8747925439999999</v>
          </cell>
          <cell r="AK42">
            <v>4.7121888539999999</v>
          </cell>
          <cell r="AL42">
            <v>4.5503518400000003</v>
          </cell>
          <cell r="AM42">
            <v>4.3899095399999997</v>
          </cell>
          <cell r="AN42">
            <v>4.2314167930000002</v>
          </cell>
          <cell r="AO42">
            <v>4.0753590270000002</v>
          </cell>
          <cell r="AP42">
            <v>3.9221578340000001</v>
          </cell>
          <cell r="AQ42">
            <v>3.7721751960000001</v>
          </cell>
          <cell r="AR42">
            <v>3.6257170470000002</v>
          </cell>
          <cell r="AS42">
            <v>3.4830370230000001</v>
          </cell>
          <cell r="AT42">
            <v>3.344340453</v>
          </cell>
          <cell r="AU42">
            <v>3.2097879790000001</v>
          </cell>
          <cell r="AV42">
            <v>3.079498869</v>
          </cell>
          <cell r="AW42">
            <v>2.953554537</v>
          </cell>
          <cell r="AX42">
            <v>2.8388650599999998</v>
          </cell>
          <cell r="AY42">
            <v>2.7493522370000001</v>
          </cell>
          <cell r="AZ42">
            <v>2.6671038469999999</v>
          </cell>
          <cell r="BA42">
            <v>2.8822763779999998</v>
          </cell>
          <cell r="BB42">
            <v>2.7701985680000001</v>
          </cell>
          <cell r="BC42">
            <v>2.6618247959999999</v>
          </cell>
          <cell r="BD42">
            <v>2.5571370870000001</v>
          </cell>
          <cell r="BE42">
            <v>2.456102048</v>
          </cell>
        </row>
        <row r="43">
          <cell r="A43" t="str">
            <v>auto_cf_cele_0</v>
          </cell>
          <cell r="B43">
            <v>1.7251505170000001</v>
          </cell>
          <cell r="C43">
            <v>2.2481862339999998</v>
          </cell>
          <cell r="D43">
            <v>2.776725066</v>
          </cell>
          <cell r="E43">
            <v>3.291104867</v>
          </cell>
          <cell r="F43">
            <v>3.779018668</v>
          </cell>
          <cell r="G43">
            <v>4.2335719000000003</v>
          </cell>
          <cell r="H43">
            <v>4.6502863400000001</v>
          </cell>
          <cell r="I43">
            <v>5.0276518530000001</v>
          </cell>
          <cell r="J43">
            <v>5.3654489310000004</v>
          </cell>
          <cell r="K43">
            <v>5.6641437889999997</v>
          </cell>
          <cell r="L43">
            <v>5.9258567979999999</v>
          </cell>
          <cell r="M43">
            <v>6.1505426139999999</v>
          </cell>
          <cell r="N43">
            <v>6.3395910320000004</v>
          </cell>
          <cell r="O43">
            <v>6.4947738260000003</v>
          </cell>
          <cell r="P43">
            <v>6.6178982240000002</v>
          </cell>
          <cell r="Q43">
            <v>6.7108867639999996</v>
          </cell>
          <cell r="R43">
            <v>6.7757336869999998</v>
          </cell>
          <cell r="S43">
            <v>6.8144662379999996</v>
          </cell>
          <cell r="T43">
            <v>6.8291124749999996</v>
          </cell>
          <cell r="U43">
            <v>6.8216750619999997</v>
          </cell>
          <cell r="V43">
            <v>6.7937286549999998</v>
          </cell>
          <cell r="W43">
            <v>6.7476215909999997</v>
          </cell>
          <cell r="X43">
            <v>6.6852121359999996</v>
          </cell>
          <cell r="Y43">
            <v>6.6082002830000004</v>
          </cell>
          <cell r="Z43">
            <v>6.518223871</v>
          </cell>
          <cell r="AA43">
            <v>6.4161454039999999</v>
          </cell>
          <cell r="AB43">
            <v>6.3039303120000003</v>
          </cell>
          <cell r="AC43">
            <v>6.1830786360000003</v>
          </cell>
          <cell r="AD43">
            <v>6.0548904270000001</v>
          </cell>
          <cell r="AE43">
            <v>5.9205904809999996</v>
          </cell>
          <cell r="AF43">
            <v>5.78129487</v>
          </cell>
          <cell r="AG43">
            <v>5.638016812</v>
          </cell>
          <cell r="AH43">
            <v>5.4916749319999996</v>
          </cell>
          <cell r="AI43">
            <v>5.3431017379999997</v>
          </cell>
          <cell r="AJ43">
            <v>5.1930513869999997</v>
          </cell>
          <cell r="AK43">
            <v>5.0422064129999997</v>
          </cell>
          <cell r="AL43">
            <v>4.8911376610000001</v>
          </cell>
          <cell r="AM43">
            <v>4.7404171960000001</v>
          </cell>
          <cell r="AN43">
            <v>4.5905629399999999</v>
          </cell>
          <cell r="AO43">
            <v>4.4420327129999997</v>
          </cell>
          <cell r="AP43">
            <v>4.2952313709999999</v>
          </cell>
          <cell r="AQ43">
            <v>4.1505135309999996</v>
          </cell>
          <cell r="AR43">
            <v>4.0081866369999997</v>
          </cell>
          <cell r="AS43">
            <v>3.8685142950000002</v>
          </cell>
          <cell r="AT43">
            <v>3.7317196859999999</v>
          </cell>
          <cell r="AU43">
            <v>3.5979889119999999</v>
          </cell>
          <cell r="AV43">
            <v>3.4674751499999998</v>
          </cell>
          <cell r="AW43">
            <v>3.3402992779999998</v>
          </cell>
          <cell r="AX43">
            <v>3.2165540209999999</v>
          </cell>
          <cell r="AY43">
            <v>3.0963067720000002</v>
          </cell>
          <cell r="AZ43">
            <v>2.9796019409999999</v>
          </cell>
          <cell r="BA43">
            <v>2.9073723610000002</v>
          </cell>
          <cell r="BB43">
            <v>2.7952765500000001</v>
          </cell>
          <cell r="BC43">
            <v>2.686812464</v>
          </cell>
          <cell r="BD43">
            <v>2.581966531</v>
          </cell>
          <cell r="BE43">
            <v>2.480710094</v>
          </cell>
        </row>
        <row r="44">
          <cell r="A44" t="str">
            <v>auto_cg_cele_2</v>
          </cell>
          <cell r="B44">
            <v>3.1066862139999998</v>
          </cell>
          <cell r="C44">
            <v>4.0702997060000001</v>
          </cell>
          <cell r="D44">
            <v>5.0146665319999997</v>
          </cell>
          <cell r="E44">
            <v>5.9080665940000001</v>
          </cell>
          <cell r="F44">
            <v>6.7299439889999997</v>
          </cell>
          <cell r="G44">
            <v>7.4690442250000002</v>
          </cell>
          <cell r="H44">
            <v>8.118683313</v>
          </cell>
          <cell r="I44">
            <v>8.6779325360000001</v>
          </cell>
          <cell r="J44">
            <v>9.1486723449999996</v>
          </cell>
          <cell r="K44">
            <v>9.534343003</v>
          </cell>
          <cell r="L44">
            <v>9.8411255270000009</v>
          </cell>
          <cell r="M44">
            <v>10.07216139</v>
          </cell>
          <cell r="N44">
            <v>10.232821639999999</v>
          </cell>
          <cell r="O44">
            <v>10.32913297</v>
          </cell>
          <cell r="P44">
            <v>10.367088170000001</v>
          </cell>
          <cell r="Q44">
            <v>10.35270869</v>
          </cell>
          <cell r="R44">
            <v>10.29190268</v>
          </cell>
          <cell r="S44">
            <v>10.190416799999999</v>
          </cell>
          <cell r="T44">
            <v>10.053767349999999</v>
          </cell>
          <cell r="U44">
            <v>9.8871487719999998</v>
          </cell>
          <cell r="V44">
            <v>9.6950737240000002</v>
          </cell>
          <cell r="W44">
            <v>9.4823868079999993</v>
          </cell>
          <cell r="X44">
            <v>9.2531530449999995</v>
          </cell>
          <cell r="Y44">
            <v>9.0109546470000002</v>
          </cell>
          <cell r="Z44">
            <v>8.7590032170000001</v>
          </cell>
          <cell r="AA44">
            <v>8.49974059</v>
          </cell>
          <cell r="AB44">
            <v>8.2360030369999997</v>
          </cell>
          <cell r="AC44">
            <v>7.9700530250000003</v>
          </cell>
          <cell r="AD44">
            <v>7.703764981</v>
          </cell>
          <cell r="AE44">
            <v>7.4387420970000004</v>
          </cell>
          <cell r="AF44">
            <v>7.1763273649999997</v>
          </cell>
          <cell r="AG44">
            <v>6.91763525</v>
          </cell>
          <cell r="AH44">
            <v>6.6635798709999996</v>
          </cell>
          <cell r="AI44">
            <v>6.4149006120000003</v>
          </cell>
          <cell r="AJ44">
            <v>6.1721855440000004</v>
          </cell>
          <cell r="AK44">
            <v>5.9358911279999997</v>
          </cell>
          <cell r="AL44">
            <v>5.7063541569999998</v>
          </cell>
          <cell r="AM44">
            <v>5.4838235900000001</v>
          </cell>
          <cell r="AN44">
            <v>5.2684594010000003</v>
          </cell>
          <cell r="AO44">
            <v>5.0603450350000001</v>
          </cell>
          <cell r="AP44">
            <v>4.8594993689999999</v>
          </cell>
          <cell r="AQ44">
            <v>4.6658870969999997</v>
          </cell>
          <cell r="AR44">
            <v>4.4794279079999999</v>
          </cell>
          <cell r="AS44">
            <v>4.3000047009999998</v>
          </cell>
          <cell r="AT44">
            <v>4.1274708990000004</v>
          </cell>
          <cell r="AU44">
            <v>3.9616568189999999</v>
          </cell>
          <cell r="AV44">
            <v>3.802375101</v>
          </cell>
          <cell r="AW44">
            <v>3.6494256840000001</v>
          </cell>
          <cell r="AX44">
            <v>3.5085714860000001</v>
          </cell>
          <cell r="AY44">
            <v>3.3931506210000002</v>
          </cell>
          <cell r="AZ44">
            <v>3.285889595</v>
          </cell>
          <cell r="BA44">
            <v>3.284762427</v>
          </cell>
          <cell r="BB44">
            <v>3.1536470840000002</v>
          </cell>
          <cell r="BC44">
            <v>3.0276746650000002</v>
          </cell>
          <cell r="BD44">
            <v>2.9066671610000001</v>
          </cell>
          <cell r="BE44">
            <v>2.790447458</v>
          </cell>
        </row>
        <row r="45">
          <cell r="A45" t="str">
            <v>auto_cg_cele_0</v>
          </cell>
          <cell r="B45">
            <v>3.1066862139999998</v>
          </cell>
          <cell r="C45">
            <v>4.0778187849999998</v>
          </cell>
          <cell r="D45">
            <v>5.0334414509999998</v>
          </cell>
          <cell r="E45">
            <v>5.9333714459999998</v>
          </cell>
          <cell r="F45">
            <v>6.7545791250000002</v>
          </cell>
          <cell r="G45">
            <v>7.4861950249999998</v>
          </cell>
          <cell r="H45">
            <v>8.1232160400000009</v>
          </cell>
          <cell r="I45">
            <v>8.6665965820000004</v>
          </cell>
          <cell r="J45">
            <v>9.1199531999999994</v>
          </cell>
          <cell r="K45">
            <v>9.4882032190000007</v>
          </cell>
          <cell r="L45">
            <v>9.7786557270000003</v>
          </cell>
          <cell r="M45">
            <v>9.9955283880000003</v>
          </cell>
          <cell r="N45">
            <v>10.14490249</v>
          </cell>
          <cell r="O45">
            <v>10.233232989999999</v>
          </cell>
          <cell r="P45">
            <v>10.266739299999999</v>
          </cell>
          <cell r="Q45">
            <v>10.25147188</v>
          </cell>
          <cell r="R45">
            <v>10.193228339999999</v>
          </cell>
          <cell r="S45">
            <v>10.09748971</v>
          </cell>
          <cell r="T45">
            <v>9.9693779080000002</v>
          </cell>
          <cell r="U45">
            <v>9.8136313099999999</v>
          </cell>
          <cell r="V45">
            <v>9.6342636899999992</v>
          </cell>
          <cell r="W45">
            <v>9.4356433860000006</v>
          </cell>
          <cell r="X45">
            <v>9.2213802109999996</v>
          </cell>
          <cell r="Y45">
            <v>8.9946381609999992</v>
          </cell>
          <cell r="Z45">
            <v>8.7582600179999996</v>
          </cell>
          <cell r="AA45">
            <v>8.5143095639999995</v>
          </cell>
          <cell r="AB45">
            <v>8.2653924790000008</v>
          </cell>
          <cell r="AC45">
            <v>8.0135738340000007</v>
          </cell>
          <cell r="AD45">
            <v>7.7605717089999997</v>
          </cell>
          <cell r="AE45">
            <v>7.507876843</v>
          </cell>
          <cell r="AF45">
            <v>7.2567541789999996</v>
          </cell>
          <cell r="AG45">
            <v>7.0082679289999996</v>
          </cell>
          <cell r="AH45">
            <v>6.7633060279999997</v>
          </cell>
          <cell r="AI45">
            <v>6.5226024269999998</v>
          </cell>
          <cell r="AJ45">
            <v>6.2867567710000003</v>
          </cell>
          <cell r="AK45">
            <v>6.05625152</v>
          </cell>
          <cell r="AL45">
            <v>5.831451081</v>
          </cell>
          <cell r="AM45">
            <v>5.612654</v>
          </cell>
          <cell r="AN45">
            <v>5.4000810220000002</v>
          </cell>
          <cell r="AO45">
            <v>5.1938813750000001</v>
          </cell>
          <cell r="AP45">
            <v>4.9941436289999999</v>
          </cell>
          <cell r="AQ45">
            <v>4.8009041379999999</v>
          </cell>
          <cell r="AR45">
            <v>4.6141547870000004</v>
          </cell>
          <cell r="AS45">
            <v>4.4338500410000004</v>
          </cell>
          <cell r="AT45">
            <v>4.2599132769999999</v>
          </cell>
          <cell r="AU45">
            <v>4.09224239</v>
          </cell>
          <cell r="AV45">
            <v>3.9307148650000001</v>
          </cell>
          <cell r="AW45">
            <v>3.7751916539999999</v>
          </cell>
          <cell r="AX45">
            <v>3.6255211329999999</v>
          </cell>
          <cell r="AY45">
            <v>3.4815423239999999</v>
          </cell>
          <cell r="AZ45">
            <v>3.3430875979999999</v>
          </cell>
          <cell r="BA45">
            <v>3.2957326619999998</v>
          </cell>
          <cell r="BB45">
            <v>3.16432365</v>
          </cell>
          <cell r="BC45">
            <v>3.0380470530000001</v>
          </cell>
          <cell r="BD45">
            <v>2.9167280400000002</v>
          </cell>
          <cell r="BE45">
            <v>2.8001923290000001</v>
          </cell>
        </row>
        <row r="46">
          <cell r="A46" t="str">
            <v>auto_ca_cgas_2</v>
          </cell>
          <cell r="B46">
            <v>0.42568169729999999</v>
          </cell>
          <cell r="C46">
            <v>0.44872499329999999</v>
          </cell>
          <cell r="D46">
            <v>0.47393295019999998</v>
          </cell>
          <cell r="E46">
            <v>0.50042245649999995</v>
          </cell>
          <cell r="F46">
            <v>0.52763456289999999</v>
          </cell>
          <cell r="G46">
            <v>0.55530294150000004</v>
          </cell>
          <cell r="H46">
            <v>0.58323267739999995</v>
          </cell>
          <cell r="I46">
            <v>0.61141124250000001</v>
          </cell>
          <cell r="J46">
            <v>0.63985862000000004</v>
          </cell>
          <cell r="K46">
            <v>0.66859061060000002</v>
          </cell>
          <cell r="L46">
            <v>0.69778099719999997</v>
          </cell>
          <cell r="M46">
            <v>0.72722318819999998</v>
          </cell>
          <cell r="N46">
            <v>0.7568733272</v>
          </cell>
          <cell r="O46">
            <v>0.78668009790000004</v>
          </cell>
          <cell r="P46">
            <v>0.81656505109999999</v>
          </cell>
          <cell r="Q46">
            <v>0.84644824350000003</v>
          </cell>
          <cell r="R46">
            <v>0.87624724460000003</v>
          </cell>
          <cell r="S46">
            <v>0.9058910657</v>
          </cell>
          <cell r="T46">
            <v>0.93532198720000004</v>
          </cell>
          <cell r="U46">
            <v>0.96449428559999995</v>
          </cell>
          <cell r="V46">
            <v>0.99323531580000002</v>
          </cell>
          <cell r="W46">
            <v>1.0216789829999999</v>
          </cell>
          <cell r="X46">
            <v>1.0498199340000001</v>
          </cell>
          <cell r="Y46">
            <v>1.0776558279999999</v>
          </cell>
          <cell r="Z46">
            <v>1.105204783</v>
          </cell>
          <cell r="AA46">
            <v>1.1320753349999999</v>
          </cell>
          <cell r="AB46">
            <v>1.158552571</v>
          </cell>
          <cell r="AC46">
            <v>1.1846853900000001</v>
          </cell>
          <cell r="AD46">
            <v>1.2105031470000001</v>
          </cell>
          <cell r="AE46">
            <v>1.236059945</v>
          </cell>
          <cell r="AF46">
            <v>1.2614084699999999</v>
          </cell>
          <cell r="AG46">
            <v>1.2866014670000001</v>
          </cell>
          <cell r="AH46">
            <v>1.3116898130000001</v>
          </cell>
          <cell r="AI46">
            <v>1.3367232469999999</v>
          </cell>
          <cell r="AJ46">
            <v>1.3617514980000001</v>
          </cell>
          <cell r="AK46">
            <v>1.3868237459999999</v>
          </cell>
          <cell r="AL46">
            <v>1.4118974870000001</v>
          </cell>
          <cell r="AM46">
            <v>1.43702983</v>
          </cell>
          <cell r="AN46">
            <v>1.4622680530000001</v>
          </cell>
          <cell r="AO46">
            <v>1.487655256</v>
          </cell>
          <cell r="AP46">
            <v>1.513235195</v>
          </cell>
          <cell r="AQ46">
            <v>1.53905304</v>
          </cell>
          <cell r="AR46">
            <v>1.565150993</v>
          </cell>
          <cell r="AS46">
            <v>1.5915688139999999</v>
          </cell>
          <cell r="AT46">
            <v>1.6183460590000001</v>
          </cell>
          <cell r="AU46">
            <v>1.6455221229999999</v>
          </cell>
          <cell r="AV46">
            <v>1.6731533430000001</v>
          </cell>
          <cell r="AW46">
            <v>1.7012797669999999</v>
          </cell>
          <cell r="AX46">
            <v>1.7184444889999999</v>
          </cell>
          <cell r="AY46">
            <v>1.7350608160000001</v>
          </cell>
          <cell r="AZ46">
            <v>1.751007196</v>
          </cell>
          <cell r="BA46">
            <v>1.8039206699999999</v>
          </cell>
          <cell r="BB46">
            <v>1.8325442700000001</v>
          </cell>
          <cell r="BC46">
            <v>1.861562003</v>
          </cell>
          <cell r="BD46">
            <v>1.8910015280000001</v>
          </cell>
          <cell r="BE46">
            <v>1.9208926319999999</v>
          </cell>
        </row>
        <row r="47">
          <cell r="A47" t="str">
            <v>auto_ca_cgas_0</v>
          </cell>
          <cell r="B47">
            <v>0.42568169729999999</v>
          </cell>
          <cell r="C47">
            <v>0.4496283787</v>
          </cell>
          <cell r="D47">
            <v>0.47674927839999998</v>
          </cell>
          <cell r="E47">
            <v>0.50584593460000005</v>
          </cell>
          <cell r="F47">
            <v>0.53611696769999995</v>
          </cell>
          <cell r="G47">
            <v>0.56707779940000003</v>
          </cell>
          <cell r="H47">
            <v>0.59834041400000004</v>
          </cell>
          <cell r="I47">
            <v>0.62973217349999999</v>
          </cell>
          <cell r="J47">
            <v>0.66114801069999996</v>
          </cell>
          <cell r="K47">
            <v>0.69251555870000003</v>
          </cell>
          <cell r="L47">
            <v>0.72396278599999997</v>
          </cell>
          <cell r="M47">
            <v>0.75526179790000003</v>
          </cell>
          <cell r="N47">
            <v>0.7863765922</v>
          </cell>
          <cell r="O47">
            <v>0.8172831008</v>
          </cell>
          <cell r="P47">
            <v>0.84794539859999996</v>
          </cell>
          <cell r="Q47">
            <v>0.87833432310000004</v>
          </cell>
          <cell r="R47">
            <v>0.90842634519999998</v>
          </cell>
          <cell r="S47">
            <v>0.93820330929999995</v>
          </cell>
          <cell r="T47">
            <v>0.96765271100000005</v>
          </cell>
          <cell r="U47">
            <v>0.99676810159999996</v>
          </cell>
          <cell r="V47">
            <v>1.0254067950000001</v>
          </cell>
          <cell r="W47">
            <v>1.0537283749999999</v>
          </cell>
          <cell r="X47">
            <v>1.081745964</v>
          </cell>
          <cell r="Y47">
            <v>1.1094703340000001</v>
          </cell>
          <cell r="Z47">
            <v>1.136927617</v>
          </cell>
          <cell r="AA47">
            <v>1.16372605</v>
          </cell>
          <cell r="AB47">
            <v>1.19014815</v>
          </cell>
          <cell r="AC47">
            <v>1.2162403159999999</v>
          </cell>
          <cell r="AD47">
            <v>1.2420303619999999</v>
          </cell>
          <cell r="AE47">
            <v>1.2675685560000001</v>
          </cell>
          <cell r="AF47">
            <v>1.292902545</v>
          </cell>
          <cell r="AG47">
            <v>1.318077545</v>
          </cell>
          <cell r="AH47">
            <v>1.343137123</v>
          </cell>
          <cell r="AI47">
            <v>1.368123744</v>
          </cell>
          <cell r="AJ47">
            <v>1.393078928</v>
          </cell>
          <cell r="AK47">
            <v>1.418043073</v>
          </cell>
          <cell r="AL47">
            <v>1.442951463</v>
          </cell>
          <cell r="AM47">
            <v>1.4678490049999999</v>
          </cell>
          <cell r="AN47">
            <v>1.492778648</v>
          </cell>
          <cell r="AO47">
            <v>1.5177766640000001</v>
          </cell>
          <cell r="AP47">
            <v>1.542879605</v>
          </cell>
          <cell r="AQ47">
            <v>1.5681224490000001</v>
          </cell>
          <cell r="AR47">
            <v>1.593537939</v>
          </cell>
          <cell r="AS47">
            <v>1.6191567259999999</v>
          </cell>
          <cell r="AT47">
            <v>1.6450078749999999</v>
          </cell>
          <cell r="AU47">
            <v>1.671119418</v>
          </cell>
          <cell r="AV47">
            <v>1.6975283720000001</v>
          </cell>
          <cell r="AW47">
            <v>1.724261134</v>
          </cell>
          <cell r="AX47">
            <v>1.7513439850000001</v>
          </cell>
          <cell r="AY47">
            <v>1.7788035230000001</v>
          </cell>
          <cell r="AZ47">
            <v>1.806666087</v>
          </cell>
          <cell r="BA47">
            <v>1.797599926</v>
          </cell>
          <cell r="BB47">
            <v>1.825674359</v>
          </cell>
          <cell r="BC47">
            <v>1.8541047100000001</v>
          </cell>
          <cell r="BD47">
            <v>1.8829160920000001</v>
          </cell>
          <cell r="BE47">
            <v>1.9121352410000001</v>
          </cell>
        </row>
        <row r="48">
          <cell r="A48" t="str">
            <v>auto_cb_cgas_2</v>
          </cell>
          <cell r="B48">
            <v>0.49500522540000003</v>
          </cell>
          <cell r="C48">
            <v>0.51169802409999998</v>
          </cell>
          <cell r="D48">
            <v>0.5307402806</v>
          </cell>
          <cell r="E48">
            <v>0.55124353839999995</v>
          </cell>
          <cell r="F48">
            <v>0.57263394339999996</v>
          </cell>
          <cell r="G48">
            <v>0.5946209536</v>
          </cell>
          <cell r="H48">
            <v>0.6169855796</v>
          </cell>
          <cell r="I48">
            <v>0.6396856876</v>
          </cell>
          <cell r="J48">
            <v>0.66271301179999997</v>
          </cell>
          <cell r="K48">
            <v>0.68605760790000003</v>
          </cell>
          <cell r="L48">
            <v>0.70986001340000005</v>
          </cell>
          <cell r="M48">
            <v>0.73390461500000004</v>
          </cell>
          <cell r="N48">
            <v>0.75813061410000004</v>
          </cell>
          <cell r="O48">
            <v>0.78247314010000002</v>
          </cell>
          <cell r="P48">
            <v>0.80684373450000002</v>
          </cell>
          <cell r="Q48">
            <v>0.83115434789999998</v>
          </cell>
          <cell r="R48">
            <v>0.85531634619999997</v>
          </cell>
          <cell r="S48">
            <v>0.87925322409999995</v>
          </cell>
          <cell r="T48">
            <v>0.90290218280000001</v>
          </cell>
          <cell r="U48">
            <v>0.92621261450000003</v>
          </cell>
          <cell r="V48">
            <v>0.9490199829</v>
          </cell>
          <cell r="W48">
            <v>0.97143915859999996</v>
          </cell>
          <cell r="X48">
            <v>0.99345926470000001</v>
          </cell>
          <cell r="Y48">
            <v>1.015071641</v>
          </cell>
          <cell r="Z48">
            <v>1.0362862859999999</v>
          </cell>
          <cell r="AA48">
            <v>1.0567494989999999</v>
          </cell>
          <cell r="AB48">
            <v>1.0767114609999999</v>
          </cell>
          <cell r="AC48">
            <v>1.096213106</v>
          </cell>
          <cell r="AD48">
            <v>1.115276046</v>
          </cell>
          <cell r="AE48">
            <v>1.133943312</v>
          </cell>
          <cell r="AF48">
            <v>1.152256001</v>
          </cell>
          <cell r="AG48">
            <v>1.1702544530000001</v>
          </cell>
          <cell r="AH48">
            <v>1.1879765280000001</v>
          </cell>
          <cell r="AI48">
            <v>1.2054581900000001</v>
          </cell>
          <cell r="AJ48">
            <v>1.2227345439999999</v>
          </cell>
          <cell r="AK48">
            <v>1.2398394260000001</v>
          </cell>
          <cell r="AL48">
            <v>1.256728775</v>
          </cell>
          <cell r="AM48">
            <v>1.2734432979999999</v>
          </cell>
          <cell r="AN48">
            <v>1.290014966</v>
          </cell>
          <cell r="AO48">
            <v>1.3064715090000001</v>
          </cell>
          <cell r="AP48">
            <v>1.322840563</v>
          </cell>
          <cell r="AQ48">
            <v>1.3391503469999999</v>
          </cell>
          <cell r="AR48">
            <v>1.355426037</v>
          </cell>
          <cell r="AS48">
            <v>1.371690079</v>
          </cell>
          <cell r="AT48">
            <v>1.387964086</v>
          </cell>
          <cell r="AU48">
            <v>1.4042688699999999</v>
          </cell>
          <cell r="AV48">
            <v>1.420638319</v>
          </cell>
          <cell r="AW48">
            <v>1.437092743</v>
          </cell>
          <cell r="AX48">
            <v>1.4449241079999999</v>
          </cell>
          <cell r="AY48">
            <v>1.4525254910000001</v>
          </cell>
          <cell r="AZ48">
            <v>1.4598651499999999</v>
          </cell>
          <cell r="BA48">
            <v>1.5039197900000001</v>
          </cell>
          <cell r="BB48">
            <v>1.519912972</v>
          </cell>
          <cell r="BC48">
            <v>1.5358993460000001</v>
          </cell>
          <cell r="BD48">
            <v>1.551891216</v>
          </cell>
          <cell r="BE48">
            <v>1.567902049</v>
          </cell>
        </row>
        <row r="49">
          <cell r="A49" t="str">
            <v>auto_cb_cgas_0</v>
          </cell>
          <cell r="B49">
            <v>0.49500522540000003</v>
          </cell>
          <cell r="C49">
            <v>0.51254497480000005</v>
          </cell>
          <cell r="D49">
            <v>0.5333738307</v>
          </cell>
          <cell r="E49">
            <v>0.55629560030000003</v>
          </cell>
          <cell r="F49">
            <v>0.58050435700000003</v>
          </cell>
          <cell r="G49">
            <v>0.60550429719999999</v>
          </cell>
          <cell r="H49">
            <v>0.63089731169999996</v>
          </cell>
          <cell r="I49">
            <v>0.65649413369999998</v>
          </cell>
          <cell r="J49">
            <v>0.68217280970000005</v>
          </cell>
          <cell r="K49">
            <v>0.70784448870000005</v>
          </cell>
          <cell r="L49">
            <v>0.73360999579999997</v>
          </cell>
          <cell r="M49">
            <v>0.75923771230000003</v>
          </cell>
          <cell r="N49">
            <v>0.78467731009999997</v>
          </cell>
          <cell r="O49">
            <v>0.80989204120000002</v>
          </cell>
          <cell r="P49">
            <v>0.83483538000000002</v>
          </cell>
          <cell r="Q49">
            <v>0.8594683742</v>
          </cell>
          <cell r="R49">
            <v>0.88375847559999998</v>
          </cell>
          <cell r="S49">
            <v>0.90767913369999997</v>
          </cell>
          <cell r="T49">
            <v>0.93120986729999999</v>
          </cell>
          <cell r="U49">
            <v>0.95433644539999996</v>
          </cell>
          <cell r="V49">
            <v>0.97692207330000003</v>
          </cell>
          <cell r="W49">
            <v>0.99910442570000002</v>
          </cell>
          <cell r="X49">
            <v>1.0208889329999999</v>
          </cell>
          <cell r="Y49">
            <v>1.042278188</v>
          </cell>
          <cell r="Z49">
            <v>1.063288674</v>
          </cell>
          <cell r="AA49">
            <v>1.083566501</v>
          </cell>
          <cell r="AB49">
            <v>1.1033582630000001</v>
          </cell>
          <cell r="AC49">
            <v>1.1227018790000001</v>
          </cell>
          <cell r="AD49">
            <v>1.1416169949999999</v>
          </cell>
          <cell r="AE49">
            <v>1.160142733</v>
          </cell>
          <cell r="AF49">
            <v>1.1783153630000001</v>
          </cell>
          <cell r="AG49">
            <v>1.196168377</v>
          </cell>
          <cell r="AH49">
            <v>1.2137331170000001</v>
          </cell>
          <cell r="AI49">
            <v>1.231039266</v>
          </cell>
          <cell r="AJ49">
            <v>1.2481150190000001</v>
          </cell>
          <cell r="AK49">
            <v>1.264986991</v>
          </cell>
          <cell r="AL49">
            <v>1.281592697</v>
          </cell>
          <cell r="AM49">
            <v>1.297962641</v>
          </cell>
          <cell r="AN49">
            <v>1.3141258010000001</v>
          </cell>
          <cell r="AO49">
            <v>1.33010502</v>
          </cell>
          <cell r="AP49">
            <v>1.3459229340000001</v>
          </cell>
          <cell r="AQ49">
            <v>1.361600419</v>
          </cell>
          <cell r="AR49">
            <v>1.377156021</v>
          </cell>
          <cell r="AS49">
            <v>1.392606043</v>
          </cell>
          <cell r="AT49">
            <v>1.4079649510000001</v>
          </cell>
          <cell r="AU49">
            <v>1.4232458269999999</v>
          </cell>
          <cell r="AV49">
            <v>1.438468348</v>
          </cell>
          <cell r="AW49">
            <v>1.4536430899999999</v>
          </cell>
          <cell r="AX49">
            <v>1.468779966</v>
          </cell>
          <cell r="AY49">
            <v>1.4838886579999999</v>
          </cell>
          <cell r="AZ49">
            <v>1.4989781659999999</v>
          </cell>
          <cell r="BA49">
            <v>1.49953493</v>
          </cell>
          <cell r="BB49">
            <v>1.515156978</v>
          </cell>
          <cell r="BC49">
            <v>1.5307466949999999</v>
          </cell>
          <cell r="BD49">
            <v>1.5463146320000001</v>
          </cell>
          <cell r="BE49">
            <v>1.561872156</v>
          </cell>
        </row>
        <row r="50">
          <cell r="A50" t="str">
            <v>auto_cc_cgas_2</v>
          </cell>
          <cell r="B50">
            <v>0.40659851759999999</v>
          </cell>
          <cell r="C50">
            <v>0.41413184790000002</v>
          </cell>
          <cell r="D50">
            <v>0.42349601739999998</v>
          </cell>
          <cell r="E50">
            <v>0.43404729390000002</v>
          </cell>
          <cell r="F50">
            <v>0.44536226359999997</v>
          </cell>
          <cell r="G50">
            <v>0.4572154537</v>
          </cell>
          <cell r="H50">
            <v>0.46943315369999999</v>
          </cell>
          <cell r="I50">
            <v>0.48196544670000002</v>
          </cell>
          <cell r="J50">
            <v>0.49478782939999999</v>
          </cell>
          <cell r="K50">
            <v>0.50787638329999996</v>
          </cell>
          <cell r="L50">
            <v>0.52131071849999999</v>
          </cell>
          <cell r="M50">
            <v>0.53493013710000004</v>
          </cell>
          <cell r="N50">
            <v>0.54868029350000003</v>
          </cell>
          <cell r="O50">
            <v>0.56250618870000002</v>
          </cell>
          <cell r="P50">
            <v>0.57633824789999999</v>
          </cell>
          <cell r="Q50">
            <v>0.59010850299999995</v>
          </cell>
          <cell r="R50">
            <v>0.60374986350000004</v>
          </cell>
          <cell r="S50">
            <v>0.61720447239999998</v>
          </cell>
          <cell r="T50">
            <v>0.63042467059999996</v>
          </cell>
          <cell r="U50">
            <v>0.64337175349999998</v>
          </cell>
          <cell r="V50">
            <v>0.65593335470000003</v>
          </cell>
          <cell r="W50">
            <v>0.66818092409999996</v>
          </cell>
          <cell r="X50">
            <v>0.68010408050000004</v>
          </cell>
          <cell r="Y50">
            <v>0.69169366740000005</v>
          </cell>
          <cell r="Z50">
            <v>0.70295290119999998</v>
          </cell>
          <cell r="AA50">
            <v>0.71365206079999999</v>
          </cell>
          <cell r="AB50">
            <v>0.72395043560000005</v>
          </cell>
          <cell r="AC50">
            <v>0.73387360079999997</v>
          </cell>
          <cell r="AD50">
            <v>0.74343360579999995</v>
          </cell>
          <cell r="AE50">
            <v>0.7526559652</v>
          </cell>
          <cell r="AF50">
            <v>0.76156463169999999</v>
          </cell>
          <cell r="AG50">
            <v>0.77018268239999998</v>
          </cell>
          <cell r="AH50">
            <v>0.77853122610000003</v>
          </cell>
          <cell r="AI50">
            <v>0.78662974870000002</v>
          </cell>
          <cell r="AJ50">
            <v>0.79449682290000001</v>
          </cell>
          <cell r="AK50">
            <v>0.80214989380000001</v>
          </cell>
          <cell r="AL50">
            <v>0.80955878459999997</v>
          </cell>
          <cell r="AM50">
            <v>0.81674553699999997</v>
          </cell>
          <cell r="AN50">
            <v>0.82372676290000002</v>
          </cell>
          <cell r="AO50">
            <v>0.83051621939999998</v>
          </cell>
          <cell r="AP50">
            <v>0.83712739619999998</v>
          </cell>
          <cell r="AQ50">
            <v>0.84357395499999999</v>
          </cell>
          <cell r="AR50">
            <v>0.84986757570000004</v>
          </cell>
          <cell r="AS50">
            <v>0.85601808469999996</v>
          </cell>
          <cell r="AT50">
            <v>0.86203462539999998</v>
          </cell>
          <cell r="AU50">
            <v>0.86792569009999998</v>
          </cell>
          <cell r="AV50">
            <v>0.87370725989999998</v>
          </cell>
          <cell r="AW50">
            <v>0.87938737229999997</v>
          </cell>
          <cell r="AX50">
            <v>0.88471417539999997</v>
          </cell>
          <cell r="AY50">
            <v>0.88971154289999999</v>
          </cell>
          <cell r="AZ50">
            <v>0.89439701069999999</v>
          </cell>
          <cell r="BA50">
            <v>0.90839681500000002</v>
          </cell>
          <cell r="BB50">
            <v>0.91344917969999995</v>
          </cell>
          <cell r="BC50">
            <v>0.9183529225</v>
          </cell>
          <cell r="BD50">
            <v>0.92311309210000003</v>
          </cell>
          <cell r="BE50">
            <v>0.92773529450000003</v>
          </cell>
        </row>
        <row r="51">
          <cell r="A51" t="str">
            <v>auto_cc_cgas_0</v>
          </cell>
          <cell r="B51">
            <v>0.40659851759999999</v>
          </cell>
          <cell r="C51">
            <v>0.41470420530000002</v>
          </cell>
          <cell r="D51">
            <v>0.4252710408</v>
          </cell>
          <cell r="E51">
            <v>0.43743903839999998</v>
          </cell>
          <cell r="F51">
            <v>0.4506247994</v>
          </cell>
          <cell r="G51">
            <v>0.46446387</v>
          </cell>
          <cell r="H51">
            <v>0.47866297949999997</v>
          </cell>
          <cell r="I51">
            <v>0.49307495979999999</v>
          </cell>
          <cell r="J51">
            <v>0.50760101260000001</v>
          </cell>
          <cell r="K51">
            <v>0.52216652919999995</v>
          </cell>
          <cell r="L51">
            <v>0.53682654240000005</v>
          </cell>
          <cell r="M51">
            <v>0.55141225569999996</v>
          </cell>
          <cell r="N51">
            <v>0.56587851840000003</v>
          </cell>
          <cell r="O51">
            <v>0.58019107820000004</v>
          </cell>
          <cell r="P51">
            <v>0.59431008429999999</v>
          </cell>
          <cell r="Q51">
            <v>0.60820173799999999</v>
          </cell>
          <cell r="R51">
            <v>0.6218374203</v>
          </cell>
          <cell r="S51">
            <v>0.63519330220000003</v>
          </cell>
          <cell r="T51">
            <v>0.64825026350000003</v>
          </cell>
          <cell r="U51">
            <v>0.66099388240000001</v>
          </cell>
          <cell r="V51">
            <v>0.67333029710000003</v>
          </cell>
          <cell r="W51">
            <v>0.68534555050000001</v>
          </cell>
          <cell r="X51">
            <v>0.69703963170000005</v>
          </cell>
          <cell r="Y51">
            <v>0.70841033419999999</v>
          </cell>
          <cell r="Z51">
            <v>0.71946462359999996</v>
          </cell>
          <cell r="AA51">
            <v>0.72997270219999999</v>
          </cell>
          <cell r="AB51">
            <v>0.74009074539999997</v>
          </cell>
          <cell r="AC51">
            <v>0.74984190989999999</v>
          </cell>
          <cell r="AD51">
            <v>0.75923664049999995</v>
          </cell>
          <cell r="AE51">
            <v>0.76829766560000001</v>
          </cell>
          <cell r="AF51">
            <v>0.77704567599999996</v>
          </cell>
          <cell r="AG51">
            <v>0.78549931129999995</v>
          </cell>
          <cell r="AH51">
            <v>0.79367554750000002</v>
          </cell>
          <cell r="AI51">
            <v>0.80159002030000004</v>
          </cell>
          <cell r="AJ51">
            <v>0.80925717029999999</v>
          </cell>
          <cell r="AK51">
            <v>0.81669023600000001</v>
          </cell>
          <cell r="AL51">
            <v>0.82384807969999996</v>
          </cell>
          <cell r="AM51">
            <v>0.83074667179999995</v>
          </cell>
          <cell r="AN51">
            <v>0.83740127659999997</v>
          </cell>
          <cell r="AO51">
            <v>0.84382328049999999</v>
          </cell>
          <cell r="AP51">
            <v>0.85002384710000001</v>
          </cell>
          <cell r="AQ51">
            <v>0.85601298790000002</v>
          </cell>
          <cell r="AR51">
            <v>0.86179921029999995</v>
          </cell>
          <cell r="AS51">
            <v>0.86738957130000005</v>
          </cell>
          <cell r="AT51">
            <v>0.87278991920000004</v>
          </cell>
          <cell r="AU51">
            <v>0.87800517209999995</v>
          </cell>
          <cell r="AV51">
            <v>0.88304393020000005</v>
          </cell>
          <cell r="AW51">
            <v>0.88790940080000003</v>
          </cell>
          <cell r="AX51">
            <v>0.89260431579999999</v>
          </cell>
          <cell r="AY51">
            <v>0.89713123849999998</v>
          </cell>
          <cell r="AZ51">
            <v>0.90149232189999995</v>
          </cell>
          <cell r="BA51">
            <v>0.90626562889999995</v>
          </cell>
          <cell r="BB51">
            <v>0.91114016870000003</v>
          </cell>
          <cell r="BC51">
            <v>0.91585367900000003</v>
          </cell>
          <cell r="BD51">
            <v>0.92041032209999996</v>
          </cell>
          <cell r="BE51">
            <v>0.92481464719999995</v>
          </cell>
        </row>
        <row r="52">
          <cell r="A52" t="str">
            <v>auto_cd_cgas_2</v>
          </cell>
          <cell r="B52">
            <v>0.2495444651</v>
          </cell>
          <cell r="C52">
            <v>0.25214538939999998</v>
          </cell>
          <cell r="D52">
            <v>0.25573815150000001</v>
          </cell>
          <cell r="E52">
            <v>0.25992799150000001</v>
          </cell>
          <cell r="F52">
            <v>0.26444803030000003</v>
          </cell>
          <cell r="G52">
            <v>0.26914500229999999</v>
          </cell>
          <cell r="H52">
            <v>0.27389915869999998</v>
          </cell>
          <cell r="I52">
            <v>0.27866190070000002</v>
          </cell>
          <cell r="J52">
            <v>0.2834026731</v>
          </cell>
          <cell r="K52">
            <v>0.28809462159999999</v>
          </cell>
          <cell r="L52">
            <v>0.29276587580000002</v>
          </cell>
          <cell r="M52">
            <v>0.29732557279999999</v>
          </cell>
          <cell r="N52">
            <v>0.30173892250000001</v>
          </cell>
          <cell r="O52">
            <v>0.30597488229999997</v>
          </cell>
          <cell r="P52">
            <v>0.30999752270000003</v>
          </cell>
          <cell r="Q52">
            <v>0.31377395089999999</v>
          </cell>
          <cell r="R52">
            <v>0.31727379</v>
          </cell>
          <cell r="S52">
            <v>0.32047279150000002</v>
          </cell>
          <cell r="T52">
            <v>0.32335308600000001</v>
          </cell>
          <cell r="U52">
            <v>0.32590211679999997</v>
          </cell>
          <cell r="V52">
            <v>0.32807706040000001</v>
          </cell>
          <cell r="W52">
            <v>0.32991528640000001</v>
          </cell>
          <cell r="X52">
            <v>0.33141953070000002</v>
          </cell>
          <cell r="Y52">
            <v>0.33259223490000001</v>
          </cell>
          <cell r="Z52">
            <v>0.33344111380000002</v>
          </cell>
          <cell r="AA52">
            <v>0.33388320510000002</v>
          </cell>
          <cell r="AB52">
            <v>0.33399020149999997</v>
          </cell>
          <cell r="AC52">
            <v>0.3337820272</v>
          </cell>
          <cell r="AD52">
            <v>0.33327104239999999</v>
          </cell>
          <cell r="AE52">
            <v>0.33247414850000001</v>
          </cell>
          <cell r="AF52">
            <v>0.33140690280000001</v>
          </cell>
          <cell r="AG52">
            <v>0.33008373940000002</v>
          </cell>
          <cell r="AH52">
            <v>0.32851763439999998</v>
          </cell>
          <cell r="AI52">
            <v>0.32672027009999999</v>
          </cell>
          <cell r="AJ52">
            <v>0.32470243209999999</v>
          </cell>
          <cell r="AK52">
            <v>0.32247405870000001</v>
          </cell>
          <cell r="AL52">
            <v>0.32003029459999999</v>
          </cell>
          <cell r="AM52">
            <v>0.31738318189999998</v>
          </cell>
          <cell r="AN52">
            <v>0.31454295840000002</v>
          </cell>
          <cell r="AO52">
            <v>0.3115186512</v>
          </cell>
          <cell r="AP52">
            <v>0.30831897180000001</v>
          </cell>
          <cell r="AQ52">
            <v>0.30495250499999998</v>
          </cell>
          <cell r="AR52">
            <v>0.30142714079999999</v>
          </cell>
          <cell r="AS52">
            <v>0.29775005939999999</v>
          </cell>
          <cell r="AT52">
            <v>0.2939281238</v>
          </cell>
          <cell r="AU52">
            <v>0.2899679181</v>
          </cell>
          <cell r="AV52">
            <v>0.28587781759999997</v>
          </cell>
          <cell r="AW52">
            <v>0.28166429770000001</v>
          </cell>
          <cell r="AX52">
            <v>0.27771468360000001</v>
          </cell>
          <cell r="AY52">
            <v>0.27401233320000001</v>
          </cell>
          <cell r="AZ52">
            <v>0.27054132580000001</v>
          </cell>
          <cell r="BA52">
            <v>0.27581100089999999</v>
          </cell>
          <cell r="BB52">
            <v>0.27146094479999999</v>
          </cell>
          <cell r="BC52">
            <v>0.26701789739999998</v>
          </cell>
          <cell r="BD52">
            <v>0.26248832030000002</v>
          </cell>
          <cell r="BE52">
            <v>0.25787865199999999</v>
          </cell>
        </row>
        <row r="53">
          <cell r="A53" t="str">
            <v>auto_cd_cgas_0</v>
          </cell>
          <cell r="B53">
            <v>0.2495444651</v>
          </cell>
          <cell r="C53">
            <v>0.25242870119999999</v>
          </cell>
          <cell r="D53">
            <v>0.25660543720000001</v>
          </cell>
          <cell r="E53">
            <v>0.26155294909999999</v>
          </cell>
          <cell r="F53">
            <v>0.26691837140000002</v>
          </cell>
          <cell r="G53">
            <v>0.2724800845</v>
          </cell>
          <cell r="H53">
            <v>0.2780637849</v>
          </cell>
          <cell r="I53">
            <v>0.28357882159999998</v>
          </cell>
          <cell r="J53">
            <v>0.2889645226</v>
          </cell>
          <cell r="K53">
            <v>0.29417557420000001</v>
          </cell>
          <cell r="L53">
            <v>0.2992335002</v>
          </cell>
          <cell r="M53">
            <v>0.30404980869999998</v>
          </cell>
          <cell r="N53">
            <v>0.30859914199999999</v>
          </cell>
          <cell r="O53">
            <v>0.31286461189999998</v>
          </cell>
          <cell r="P53">
            <v>0.31682800779999998</v>
          </cell>
          <cell r="Q53">
            <v>0.32047542449999999</v>
          </cell>
          <cell r="R53">
            <v>0.32379665460000001</v>
          </cell>
          <cell r="S53">
            <v>0.32678476319999999</v>
          </cell>
          <cell r="T53">
            <v>0.32943579429999997</v>
          </cell>
          <cell r="U53">
            <v>0.33174851999999999</v>
          </cell>
          <cell r="V53">
            <v>0.33368869880000002</v>
          </cell>
          <cell r="W53">
            <v>0.33529930200000002</v>
          </cell>
          <cell r="X53">
            <v>0.33658693820000002</v>
          </cell>
          <cell r="Y53">
            <v>0.33755629390000003</v>
          </cell>
          <cell r="Z53">
            <v>0.33821584809999999</v>
          </cell>
          <cell r="AA53">
            <v>0.33848270359999999</v>
          </cell>
          <cell r="AB53">
            <v>0.33842598159999998</v>
          </cell>
          <cell r="AC53">
            <v>0.33806390489999999</v>
          </cell>
          <cell r="AD53">
            <v>0.3374077479</v>
          </cell>
          <cell r="AE53">
            <v>0.33647301530000001</v>
          </cell>
          <cell r="AF53">
            <v>0.33527389210000003</v>
          </cell>
          <cell r="AG53">
            <v>0.33382320729999998</v>
          </cell>
          <cell r="AH53">
            <v>0.33213261399999999</v>
          </cell>
          <cell r="AI53">
            <v>0.33021279050000002</v>
          </cell>
          <cell r="AJ53">
            <v>0.32807360009999997</v>
          </cell>
          <cell r="AK53">
            <v>0.32572420460000001</v>
          </cell>
          <cell r="AL53">
            <v>0.3231569494</v>
          </cell>
          <cell r="AM53">
            <v>0.32038244580000003</v>
          </cell>
          <cell r="AN53">
            <v>0.31741140379999999</v>
          </cell>
          <cell r="AO53">
            <v>0.31425316339999998</v>
          </cell>
          <cell r="AP53">
            <v>0.31091688789999999</v>
          </cell>
          <cell r="AQ53">
            <v>0.30741130909999997</v>
          </cell>
          <cell r="AR53">
            <v>0.30374463350000003</v>
          </cell>
          <cell r="AS53">
            <v>0.2999245687</v>
          </cell>
          <cell r="AT53">
            <v>0.2959584106</v>
          </cell>
          <cell r="AU53">
            <v>0.29185314610000002</v>
          </cell>
          <cell r="AV53">
            <v>0.28761656670000002</v>
          </cell>
          <cell r="AW53">
            <v>0.2832551116</v>
          </cell>
          <cell r="AX53">
            <v>0.2787750953</v>
          </cell>
          <cell r="AY53">
            <v>0.27418284450000002</v>
          </cell>
          <cell r="AZ53">
            <v>0.2694846555</v>
          </cell>
          <cell r="BA53">
            <v>0.27612346450000003</v>
          </cell>
          <cell r="BB53">
            <v>0.2717945819</v>
          </cell>
          <cell r="BC53">
            <v>0.26737305779999998</v>
          </cell>
          <cell r="BD53">
            <v>0.26286532150000003</v>
          </cell>
          <cell r="BE53">
            <v>0.25827777819999997</v>
          </cell>
        </row>
        <row r="54">
          <cell r="A54" t="str">
            <v>auto_ce_cgas_2</v>
          </cell>
          <cell r="B54">
            <v>0.15020246549999999</v>
          </cell>
          <cell r="C54">
            <v>0.15197491560000001</v>
          </cell>
          <cell r="D54">
            <v>0.15428079110000001</v>
          </cell>
          <cell r="E54">
            <v>0.1568615119</v>
          </cell>
          <cell r="F54">
            <v>0.159540663</v>
          </cell>
          <cell r="G54">
            <v>0.1622142983</v>
          </cell>
          <cell r="H54">
            <v>0.1648021751</v>
          </cell>
          <cell r="I54">
            <v>0.16726962679999999</v>
          </cell>
          <cell r="J54">
            <v>0.16959553250000001</v>
          </cell>
          <cell r="K54">
            <v>0.17176309719999999</v>
          </cell>
          <cell r="L54">
            <v>0.1737883754</v>
          </cell>
          <cell r="M54">
            <v>0.1756215606</v>
          </cell>
          <cell r="N54">
            <v>0.17724596049999999</v>
          </cell>
          <cell r="O54">
            <v>0.17864906629999999</v>
          </cell>
          <cell r="P54">
            <v>0.1798168044</v>
          </cell>
          <cell r="Q54">
            <v>0.18073780880000001</v>
          </cell>
          <cell r="R54">
            <v>0.1814029815</v>
          </cell>
          <cell r="S54">
            <v>0.1818071956</v>
          </cell>
          <cell r="T54">
            <v>0.1819492697</v>
          </cell>
          <cell r="U54">
            <v>0.1818311407</v>
          </cell>
          <cell r="V54">
            <v>0.18144037090000001</v>
          </cell>
          <cell r="W54">
            <v>0.1808040739</v>
          </cell>
          <cell r="X54">
            <v>0.179932388</v>
          </cell>
          <cell r="Y54">
            <v>0.17883474869999999</v>
          </cell>
          <cell r="Z54">
            <v>0.1775229304</v>
          </cell>
          <cell r="AA54">
            <v>0.17596786919999999</v>
          </cell>
          <cell r="AB54">
            <v>0.1742108265</v>
          </cell>
          <cell r="AC54">
            <v>0.17226964040000001</v>
          </cell>
          <cell r="AD54">
            <v>0.1701576175</v>
          </cell>
          <cell r="AE54">
            <v>0.1678895839</v>
          </cell>
          <cell r="AF54">
            <v>0.1654792702</v>
          </cell>
          <cell r="AG54">
            <v>0.162939429</v>
          </cell>
          <cell r="AH54">
            <v>0.16028174789999999</v>
          </cell>
          <cell r="AI54">
            <v>0.1575169659</v>
          </cell>
          <cell r="AJ54">
            <v>0.15465511209999999</v>
          </cell>
          <cell r="AK54">
            <v>0.15170558889999999</v>
          </cell>
          <cell r="AL54">
            <v>0.14867222720000001</v>
          </cell>
          <cell r="AM54">
            <v>0.14556511999999999</v>
          </cell>
          <cell r="AN54">
            <v>0.1423934929</v>
          </cell>
          <cell r="AO54">
            <v>0.1391658653</v>
          </cell>
          <cell r="AP54">
            <v>0.13589041060000001</v>
          </cell>
          <cell r="AQ54">
            <v>0.13257504119999999</v>
          </cell>
          <cell r="AR54">
            <v>0.12922722789999999</v>
          </cell>
          <cell r="AS54">
            <v>0.12585398440000001</v>
          </cell>
          <cell r="AT54">
            <v>0.12246201750000001</v>
          </cell>
          <cell r="AU54">
            <v>0.1190577473</v>
          </cell>
          <cell r="AV54">
            <v>0.1156479425</v>
          </cell>
          <cell r="AW54">
            <v>0.1122386308</v>
          </cell>
          <cell r="AX54">
            <v>0.1090432622</v>
          </cell>
          <cell r="AY54">
            <v>0.1060493448</v>
          </cell>
          <cell r="AZ54">
            <v>0.1032427603</v>
          </cell>
          <cell r="BA54">
            <v>0.1050646423</v>
          </cell>
          <cell r="BB54">
            <v>0.1018301482</v>
          </cell>
          <cell r="BC54">
            <v>9.8617462000000003E-2</v>
          </cell>
          <cell r="BD54">
            <v>9.5431064800000007E-2</v>
          </cell>
          <cell r="BE54">
            <v>9.2275199700000005E-2</v>
          </cell>
        </row>
        <row r="55">
          <cell r="A55" t="str">
            <v>auto_ce_cgas_0</v>
          </cell>
          <cell r="B55">
            <v>0.15020246549999999</v>
          </cell>
          <cell r="C55">
            <v>0.1521300414</v>
          </cell>
          <cell r="D55">
            <v>0.15474942320000001</v>
          </cell>
          <cell r="E55">
            <v>0.15772106429999999</v>
          </cell>
          <cell r="F55">
            <v>0.16081829950000001</v>
          </cell>
          <cell r="G55">
            <v>0.1639009089</v>
          </cell>
          <cell r="H55">
            <v>0.16686221239999999</v>
          </cell>
          <cell r="I55">
            <v>0.16964853599999999</v>
          </cell>
          <cell r="J55">
            <v>0.17222634340000001</v>
          </cell>
          <cell r="K55">
            <v>0.17457256809999999</v>
          </cell>
          <cell r="L55">
            <v>0.17670274399999999</v>
          </cell>
          <cell r="M55">
            <v>0.17857173700000001</v>
          </cell>
          <cell r="N55">
            <v>0.18017049439999999</v>
          </cell>
          <cell r="O55">
            <v>0.1814961115</v>
          </cell>
          <cell r="P55">
            <v>0.1825455597</v>
          </cell>
          <cell r="Q55">
            <v>0.1833186926</v>
          </cell>
          <cell r="R55">
            <v>0.18381778300000001</v>
          </cell>
          <cell r="S55">
            <v>0.18404714480000001</v>
          </cell>
          <cell r="T55">
            <v>0.18401283239999999</v>
          </cell>
          <cell r="U55">
            <v>0.1837223774</v>
          </cell>
          <cell r="V55">
            <v>0.18316746210000001</v>
          </cell>
          <cell r="W55">
            <v>0.18237728380000001</v>
          </cell>
          <cell r="X55">
            <v>0.18136328099999999</v>
          </cell>
          <cell r="Y55">
            <v>0.18013536090000001</v>
          </cell>
          <cell r="Z55">
            <v>0.1787050305</v>
          </cell>
          <cell r="AA55">
            <v>0.17704301720000001</v>
          </cell>
          <cell r="AB55">
            <v>0.1751885785</v>
          </cell>
          <cell r="AC55">
            <v>0.17315821949999999</v>
          </cell>
          <cell r="AD55">
            <v>0.1709643451</v>
          </cell>
          <cell r="AE55">
            <v>0.1686208119</v>
          </cell>
          <cell r="AF55">
            <v>0.1661404812</v>
          </cell>
          <cell r="AG55">
            <v>0.16353521730000001</v>
          </cell>
          <cell r="AH55">
            <v>0.16081600300000001</v>
          </cell>
          <cell r="AI55">
            <v>0.15799307479999999</v>
          </cell>
          <cell r="AJ55">
            <v>0.15507604310000001</v>
          </cell>
          <cell r="AK55">
            <v>0.1520739897</v>
          </cell>
          <cell r="AL55">
            <v>0.14898970850000001</v>
          </cell>
          <cell r="AM55">
            <v>0.14583268260000001</v>
          </cell>
          <cell r="AN55">
            <v>0.14261233810000001</v>
          </cell>
          <cell r="AO55">
            <v>0.13933735780000001</v>
          </cell>
          <cell r="AP55">
            <v>0.13601613230000001</v>
          </cell>
          <cell r="AQ55">
            <v>0.13265667440000001</v>
          </cell>
          <cell r="AR55">
            <v>0.1292665892</v>
          </cell>
          <cell r="AS55">
            <v>0.12585308570000001</v>
          </cell>
          <cell r="AT55">
            <v>0.1224230118</v>
          </cell>
          <cell r="AU55">
            <v>0.11898289469999999</v>
          </cell>
          <cell r="AV55">
            <v>0.1155392675</v>
          </cell>
          <cell r="AW55">
            <v>0.1120980451</v>
          </cell>
          <cell r="AX55">
            <v>0.108664893</v>
          </cell>
          <cell r="AY55">
            <v>0.10524527779999999</v>
          </cell>
          <cell r="AZ55">
            <v>0.101844453</v>
          </cell>
          <cell r="BA55">
            <v>0.1053358968</v>
          </cell>
          <cell r="BB55">
            <v>0.1021107666</v>
          </cell>
          <cell r="BC55">
            <v>9.8906918499999996E-2</v>
          </cell>
          <cell r="BD55">
            <v>9.5728802700000004E-2</v>
          </cell>
          <cell r="BE55">
            <v>9.2580637699999996E-2</v>
          </cell>
        </row>
        <row r="56">
          <cell r="A56" t="str">
            <v>auto_cf_cgas_2</v>
          </cell>
          <cell r="B56">
            <v>7.4609436000000001E-2</v>
          </cell>
          <cell r="C56">
            <v>7.5284688099999997E-2</v>
          </cell>
          <cell r="D56">
            <v>7.6118570699999999E-2</v>
          </cell>
          <cell r="E56">
            <v>7.6961541300000005E-2</v>
          </cell>
          <cell r="F56">
            <v>7.7712061999999998E-2</v>
          </cell>
          <cell r="G56">
            <v>7.8310163599999996E-2</v>
          </cell>
          <cell r="H56">
            <v>7.8714259300000006E-2</v>
          </cell>
          <cell r="I56">
            <v>7.8909114799999999E-2</v>
          </cell>
          <cell r="J56">
            <v>7.8890728699999996E-2</v>
          </cell>
          <cell r="K56">
            <v>7.8660800500000003E-2</v>
          </cell>
          <cell r="L56">
            <v>7.8235744199999999E-2</v>
          </cell>
          <cell r="M56">
            <v>7.7610456800000005E-2</v>
          </cell>
          <cell r="N56">
            <v>7.6793402900000002E-2</v>
          </cell>
          <cell r="O56">
            <v>7.5796492800000004E-2</v>
          </cell>
          <cell r="P56">
            <v>7.4631780100000003E-2</v>
          </cell>
          <cell r="Q56">
            <v>7.3312513800000007E-2</v>
          </cell>
          <cell r="R56">
            <v>7.1852650000000004E-2</v>
          </cell>
          <cell r="S56">
            <v>7.0266984500000004E-2</v>
          </cell>
          <cell r="T56">
            <v>6.8570885999999998E-2</v>
          </cell>
          <cell r="U56">
            <v>6.67797745E-2</v>
          </cell>
          <cell r="V56">
            <v>6.4905269500000001E-2</v>
          </cell>
          <cell r="W56">
            <v>6.2966570599999994E-2</v>
          </cell>
          <cell r="X56">
            <v>6.0978124600000003E-2</v>
          </cell>
          <cell r="Y56">
            <v>5.8952852700000002E-2</v>
          </cell>
          <cell r="Z56">
            <v>5.69030456E-2</v>
          </cell>
          <cell r="AA56">
            <v>5.48335795E-2</v>
          </cell>
          <cell r="AB56">
            <v>5.2759916599999998E-2</v>
          </cell>
          <cell r="AC56">
            <v>5.0692767600000001E-2</v>
          </cell>
          <cell r="AD56">
            <v>4.8640751900000001E-2</v>
          </cell>
          <cell r="AE56">
            <v>4.6611711200000003E-2</v>
          </cell>
          <cell r="AF56">
            <v>4.4612404199999997E-2</v>
          </cell>
          <cell r="AG56">
            <v>4.2648612699999998E-2</v>
          </cell>
          <cell r="AH56">
            <v>4.0725227400000001E-2</v>
          </cell>
          <cell r="AI56">
            <v>3.8846346099999998E-2</v>
          </cell>
          <cell r="AJ56">
            <v>3.7015385400000003E-2</v>
          </cell>
          <cell r="AK56">
            <v>3.5235158000000003E-2</v>
          </cell>
          <cell r="AL56">
            <v>3.3507588300000002E-2</v>
          </cell>
          <cell r="AM56">
            <v>3.1834689100000001E-2</v>
          </cell>
          <cell r="AN56">
            <v>3.0217978600000001E-2</v>
          </cell>
          <cell r="AO56">
            <v>2.86585182E-2</v>
          </cell>
          <cell r="AP56">
            <v>2.7156982199999999E-2</v>
          </cell>
          <cell r="AQ56">
            <v>2.5713698900000002E-2</v>
          </cell>
          <cell r="AR56">
            <v>2.4328675000000001E-2</v>
          </cell>
          <cell r="AS56">
            <v>2.3001624299999999E-2</v>
          </cell>
          <cell r="AT56">
            <v>2.1732007599999999E-2</v>
          </cell>
          <cell r="AU56">
            <v>2.0519062800000001E-2</v>
          </cell>
          <cell r="AV56">
            <v>1.93618544E-2</v>
          </cell>
          <cell r="AW56">
            <v>1.8259259900000002E-2</v>
          </cell>
          <cell r="AX56">
            <v>1.7225515600000001E-2</v>
          </cell>
          <cell r="AY56">
            <v>1.6255570399999999E-2</v>
          </cell>
          <cell r="AZ56">
            <v>1.5346048399999999E-2</v>
          </cell>
          <cell r="BA56">
            <v>1.5214498E-2</v>
          </cell>
          <cell r="BB56">
            <v>1.4334256199999999E-2</v>
          </cell>
          <cell r="BC56">
            <v>1.34989068E-2</v>
          </cell>
          <cell r="BD56">
            <v>1.27069182E-2</v>
          </cell>
          <cell r="BE56">
            <v>1.1956719899999999E-2</v>
          </cell>
        </row>
        <row r="57">
          <cell r="A57" t="str">
            <v>auto_cf_cgas_0</v>
          </cell>
          <cell r="B57">
            <v>7.4609436000000001E-2</v>
          </cell>
          <cell r="C57">
            <v>7.5327838499999994E-2</v>
          </cell>
          <cell r="D57">
            <v>7.6239523099999998E-2</v>
          </cell>
          <cell r="E57">
            <v>7.7154218499999996E-2</v>
          </cell>
          <cell r="F57">
            <v>7.7953640599999999E-2</v>
          </cell>
          <cell r="G57">
            <v>7.8572207300000002E-2</v>
          </cell>
          <cell r="H57">
            <v>7.8968521299999997E-2</v>
          </cell>
          <cell r="I57">
            <v>7.9129602300000004E-2</v>
          </cell>
          <cell r="J57">
            <v>7.9054713799999995E-2</v>
          </cell>
          <cell r="K57">
            <v>7.8749442200000005E-2</v>
          </cell>
          <cell r="L57">
            <v>7.8234147599999998E-2</v>
          </cell>
          <cell r="M57">
            <v>7.7509062500000003E-2</v>
          </cell>
          <cell r="N57">
            <v>7.6587342799999999E-2</v>
          </cell>
          <cell r="O57">
            <v>7.5485117300000001E-2</v>
          </cell>
          <cell r="P57">
            <v>7.4218328799999997E-2</v>
          </cell>
          <cell r="Q57">
            <v>7.2803479500000004E-2</v>
          </cell>
          <cell r="R57">
            <v>7.1257254500000006E-2</v>
          </cell>
          <cell r="S57">
            <v>6.9596201900000002E-2</v>
          </cell>
          <cell r="T57">
            <v>6.7836481300000001E-2</v>
          </cell>
          <cell r="U57">
            <v>6.5993670899999995E-2</v>
          </cell>
          <cell r="V57">
            <v>6.4079183200000001E-2</v>
          </cell>
          <cell r="W57">
            <v>6.2111231500000003E-2</v>
          </cell>
          <cell r="X57">
            <v>6.0103266400000001E-2</v>
          </cell>
          <cell r="Y57">
            <v>5.8067135200000002E-2</v>
          </cell>
          <cell r="Z57">
            <v>5.6013995699999999E-2</v>
          </cell>
          <cell r="AA57">
            <v>5.3947899799999997E-2</v>
          </cell>
          <cell r="AB57">
            <v>5.1882947999999998E-2</v>
          </cell>
          <cell r="AC57">
            <v>4.9828837799999998E-2</v>
          </cell>
          <cell r="AD57">
            <v>4.7793409500000002E-2</v>
          </cell>
          <cell r="AE57">
            <v>4.5783814700000001E-2</v>
          </cell>
          <cell r="AF57">
            <v>4.3806231500000001E-2</v>
          </cell>
          <cell r="AG57">
            <v>4.18659397E-2</v>
          </cell>
          <cell r="AH57">
            <v>3.9967414299999997E-2</v>
          </cell>
          <cell r="AI57">
            <v>3.8114418099999998E-2</v>
          </cell>
          <cell r="AJ57">
            <v>3.6310083200000003E-2</v>
          </cell>
          <cell r="AK57">
            <v>3.4556981899999999E-2</v>
          </cell>
          <cell r="AL57">
            <v>3.2856769700000003E-2</v>
          </cell>
          <cell r="AM57">
            <v>3.1211225499999998E-2</v>
          </cell>
          <cell r="AN57">
            <v>2.9621737299999999E-2</v>
          </cell>
          <cell r="AO57">
            <v>2.8089252499999998E-2</v>
          </cell>
          <cell r="AP57">
            <v>2.6614348199999999E-2</v>
          </cell>
          <cell r="AQ57">
            <v>2.51972585E-2</v>
          </cell>
          <cell r="AR57">
            <v>2.38379061E-2</v>
          </cell>
          <cell r="AS57">
            <v>2.2535933800000001E-2</v>
          </cell>
          <cell r="AT57">
            <v>2.12907375E-2</v>
          </cell>
          <cell r="AU57">
            <v>2.0101496699999999E-2</v>
          </cell>
          <cell r="AV57">
            <v>1.89672125E-2</v>
          </cell>
          <cell r="AW57">
            <v>1.78867118E-2</v>
          </cell>
          <cell r="AX57">
            <v>1.68586846E-2</v>
          </cell>
          <cell r="AY57">
            <v>1.5881706999999998E-2</v>
          </cell>
          <cell r="AZ57">
            <v>1.49542609E-2</v>
          </cell>
          <cell r="BA57">
            <v>1.52630786E-2</v>
          </cell>
          <cell r="BB57">
            <v>1.43817345E-2</v>
          </cell>
          <cell r="BC57">
            <v>1.35451741E-2</v>
          </cell>
          <cell r="BD57">
            <v>1.2751882000000001E-2</v>
          </cell>
          <cell r="BE57">
            <v>1.20003032E-2</v>
          </cell>
        </row>
        <row r="58">
          <cell r="A58" t="str">
            <v>auto_cg_cgas_2</v>
          </cell>
          <cell r="B58">
            <v>0.13435819299999999</v>
          </cell>
          <cell r="C58">
            <v>0.13588710200000001</v>
          </cell>
          <cell r="D58">
            <v>0.13752267379999999</v>
          </cell>
          <cell r="E58">
            <v>0.13895626589999999</v>
          </cell>
          <cell r="F58">
            <v>0.1399867763</v>
          </cell>
          <cell r="G58">
            <v>0.14050483580000001</v>
          </cell>
          <cell r="H58">
            <v>0.14044842639999999</v>
          </cell>
          <cell r="I58">
            <v>0.13981233169999999</v>
          </cell>
          <cell r="J58">
            <v>0.13861863169999999</v>
          </cell>
          <cell r="K58">
            <v>0.13690367470000001</v>
          </cell>
          <cell r="L58">
            <v>0.13472802340000001</v>
          </cell>
          <cell r="M58">
            <v>0.1321220213</v>
          </cell>
          <cell r="N58">
            <v>0.1291352841</v>
          </cell>
          <cell r="O58">
            <v>0.1258214644</v>
          </cell>
          <cell r="P58">
            <v>0.122231901</v>
          </cell>
          <cell r="Q58">
            <v>0.11841646679999999</v>
          </cell>
          <cell r="R58">
            <v>0.11442254690000001</v>
          </cell>
          <cell r="S58">
            <v>0.11029490929999999</v>
          </cell>
          <cell r="T58">
            <v>0.1060752917</v>
          </cell>
          <cell r="U58">
            <v>0.1018017791</v>
          </cell>
          <cell r="V58">
            <v>9.7505416900000003E-2</v>
          </cell>
          <cell r="W58">
            <v>9.32207595E-2</v>
          </cell>
          <cell r="X58">
            <v>8.8974675500000003E-2</v>
          </cell>
          <cell r="Y58">
            <v>8.4789535599999993E-2</v>
          </cell>
          <cell r="Z58">
            <v>8.0684474500000006E-2</v>
          </cell>
          <cell r="AA58">
            <v>7.6670946300000001E-2</v>
          </cell>
          <cell r="AB58">
            <v>7.2765835000000001E-2</v>
          </cell>
          <cell r="AC58">
            <v>6.8980580700000002E-2</v>
          </cell>
          <cell r="AD58">
            <v>6.53232324E-2</v>
          </cell>
          <cell r="AE58">
            <v>6.1799765600000001E-2</v>
          </cell>
          <cell r="AF58">
            <v>5.84141418E-2</v>
          </cell>
          <cell r="AG58">
            <v>5.5168612800000003E-2</v>
          </cell>
          <cell r="AH58">
            <v>5.2063984799999997E-2</v>
          </cell>
          <cell r="AI58">
            <v>4.9099859099999997E-2</v>
          </cell>
          <cell r="AJ58">
            <v>4.6274852399999997E-2</v>
          </cell>
          <cell r="AK58">
            <v>4.3586773699999998E-2</v>
          </cell>
          <cell r="AL58">
            <v>4.1032653299999999E-2</v>
          </cell>
          <cell r="AM58">
            <v>3.8609211800000001E-2</v>
          </cell>
          <cell r="AN58">
            <v>3.6312710999999998E-2</v>
          </cell>
          <cell r="AO58">
            <v>3.4139048300000002E-2</v>
          </cell>
          <cell r="AP58">
            <v>3.2083855100000003E-2</v>
          </cell>
          <cell r="AQ58">
            <v>3.0142574500000002E-2</v>
          </cell>
          <cell r="AR58">
            <v>2.8310523800000001E-2</v>
          </cell>
          <cell r="AS58">
            <v>2.6582951099999998E-2</v>
          </cell>
          <cell r="AT58">
            <v>2.4955086800000002E-2</v>
          </cell>
          <cell r="AU58">
            <v>2.3422185200000001E-2</v>
          </cell>
          <cell r="AV58">
            <v>2.1979564E-2</v>
          </cell>
          <cell r="AW58">
            <v>2.0622625200000001E-2</v>
          </cell>
          <cell r="AX58">
            <v>1.9346939899999999E-2</v>
          </cell>
          <cell r="AY58">
            <v>1.81491121E-2</v>
          </cell>
          <cell r="AZ58">
            <v>1.7025834399999999E-2</v>
          </cell>
          <cell r="BA58">
            <v>1.63579495E-2</v>
          </cell>
          <cell r="BB58">
            <v>1.5344181700000001E-2</v>
          </cell>
          <cell r="BC58">
            <v>1.4391943900000001E-2</v>
          </cell>
          <cell r="BD58">
            <v>1.3497753600000001E-2</v>
          </cell>
          <cell r="BE58">
            <v>1.2658279600000001E-2</v>
          </cell>
        </row>
        <row r="59">
          <cell r="A59" t="str">
            <v>auto_cg_cgas_0</v>
          </cell>
          <cell r="B59">
            <v>0.13435819299999999</v>
          </cell>
          <cell r="C59">
            <v>0.13591727810000001</v>
          </cell>
          <cell r="D59">
            <v>0.13758660010000001</v>
          </cell>
          <cell r="E59">
            <v>0.13898552189999999</v>
          </cell>
          <cell r="F59">
            <v>0.13989960309999999</v>
          </cell>
          <cell r="G59">
            <v>0.1402313868</v>
          </cell>
          <cell r="H59">
            <v>0.1399402169</v>
          </cell>
          <cell r="I59">
            <v>0.1390411775</v>
          </cell>
          <cell r="J59">
            <v>0.13757327359999999</v>
          </cell>
          <cell r="K59">
            <v>0.1355862333</v>
          </cell>
          <cell r="L59">
            <v>0.1331498522</v>
          </cell>
          <cell r="M59">
            <v>0.13030401929999999</v>
          </cell>
          <cell r="N59">
            <v>0.1271042517</v>
          </cell>
          <cell r="O59">
            <v>0.12360774970000001</v>
          </cell>
          <cell r="P59">
            <v>0.1198679979</v>
          </cell>
          <cell r="Q59">
            <v>0.1159355532</v>
          </cell>
          <cell r="R59">
            <v>0.1118574631</v>
          </cell>
          <cell r="S59">
            <v>0.1076768739</v>
          </cell>
          <cell r="T59">
            <v>0.1034328281</v>
          </cell>
          <cell r="U59">
            <v>9.9160216999999995E-2</v>
          </cell>
          <cell r="V59">
            <v>9.4886864700000004E-2</v>
          </cell>
          <cell r="W59">
            <v>9.0643477599999994E-2</v>
          </cell>
          <cell r="X59">
            <v>8.6453545199999995E-2</v>
          </cell>
          <cell r="Y59">
            <v>8.2336385999999998E-2</v>
          </cell>
          <cell r="Z59">
            <v>7.8308376700000001E-2</v>
          </cell>
          <cell r="AA59">
            <v>7.4378877800000007E-2</v>
          </cell>
          <cell r="AB59">
            <v>7.0562366200000004E-2</v>
          </cell>
          <cell r="AC59">
            <v>6.6868469900000005E-2</v>
          </cell>
          <cell r="AD59">
            <v>6.3303855899999997E-2</v>
          </cell>
          <cell r="AE59">
            <v>5.9873369199999998E-2</v>
          </cell>
          <cell r="AF59">
            <v>5.65800755E-2</v>
          </cell>
          <cell r="AG59">
            <v>5.3425514899999998E-2</v>
          </cell>
          <cell r="AH59">
            <v>5.0409942499999999E-2</v>
          </cell>
          <cell r="AI59">
            <v>4.7532543500000003E-2</v>
          </cell>
          <cell r="AJ59">
            <v>4.4791619400000003E-2</v>
          </cell>
          <cell r="AK59">
            <v>4.2184746299999999E-2</v>
          </cell>
          <cell r="AL59">
            <v>3.9708765299999997E-2</v>
          </cell>
          <cell r="AM59">
            <v>3.7360261200000001E-2</v>
          </cell>
          <cell r="AN59">
            <v>3.5135441099999998E-2</v>
          </cell>
          <cell r="AO59">
            <v>3.3030184999999997E-2</v>
          </cell>
          <cell r="AP59">
            <v>3.10401381E-2</v>
          </cell>
          <cell r="AQ59">
            <v>2.91607794E-2</v>
          </cell>
          <cell r="AR59">
            <v>2.73874819E-2</v>
          </cell>
          <cell r="AS59">
            <v>2.5715567200000001E-2</v>
          </cell>
          <cell r="AT59">
            <v>2.4140352100000002E-2</v>
          </cell>
          <cell r="AU59">
            <v>2.2657187299999999E-2</v>
          </cell>
          <cell r="AV59">
            <v>2.12614928E-2</v>
          </cell>
          <cell r="AW59">
            <v>1.99487803E-2</v>
          </cell>
          <cell r="AX59">
            <v>1.87146771E-2</v>
          </cell>
          <cell r="AY59">
            <v>1.75549438E-2</v>
          </cell>
          <cell r="AZ59">
            <v>1.6465486800000002E-2</v>
          </cell>
          <cell r="BA59">
            <v>1.6384401199999999E-2</v>
          </cell>
          <cell r="BB59">
            <v>1.53693497E-2</v>
          </cell>
          <cell r="BC59">
            <v>1.44158467E-2</v>
          </cell>
          <cell r="BD59">
            <v>1.35204174E-2</v>
          </cell>
          <cell r="BE59">
            <v>1.26797366E-2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136.39123499999999</v>
          </cell>
          <cell r="C100">
            <v>136.70826930000001</v>
          </cell>
          <cell r="D100">
            <v>137.1256276</v>
          </cell>
          <cell r="E100">
            <v>137.7084548</v>
          </cell>
          <cell r="F100">
            <v>138.50254960000001</v>
          </cell>
          <cell r="G100">
            <v>139.4994111</v>
          </cell>
          <cell r="H100">
            <v>140.58395909999999</v>
          </cell>
          <cell r="I100">
            <v>141.76402770000001</v>
          </cell>
          <cell r="J100">
            <v>143.01036909999999</v>
          </cell>
          <cell r="K100">
            <v>144.2951338</v>
          </cell>
          <cell r="L100">
            <v>145.72627779999999</v>
          </cell>
          <cell r="M100">
            <v>147.05778269999999</v>
          </cell>
          <cell r="N100">
            <v>148.35449560000001</v>
          </cell>
          <cell r="O100">
            <v>149.62132020000001</v>
          </cell>
          <cell r="P100">
            <v>150.85924209999999</v>
          </cell>
          <cell r="Q100">
            <v>152.0696738</v>
          </cell>
          <cell r="R100">
            <v>153.24334619999999</v>
          </cell>
          <cell r="S100">
            <v>154.39320459999999</v>
          </cell>
          <cell r="T100">
            <v>155.52599129999999</v>
          </cell>
          <cell r="U100">
            <v>156.64843619999999</v>
          </cell>
          <cell r="V100">
            <v>157.6752668</v>
          </cell>
          <cell r="W100">
            <v>158.76595940000001</v>
          </cell>
          <cell r="X100">
            <v>159.87894729999999</v>
          </cell>
          <cell r="Y100">
            <v>161.0122045</v>
          </cell>
          <cell r="Z100">
            <v>162.1676531</v>
          </cell>
          <cell r="AA100">
            <v>163.0906559</v>
          </cell>
          <cell r="AB100">
            <v>164.095133</v>
          </cell>
          <cell r="AC100">
            <v>165.1260522</v>
          </cell>
          <cell r="AD100">
            <v>166.18166289999999</v>
          </cell>
          <cell r="AE100">
            <v>167.26361420000001</v>
          </cell>
          <cell r="AF100">
            <v>168.37397910000001</v>
          </cell>
          <cell r="AG100">
            <v>169.51672139999999</v>
          </cell>
          <cell r="AH100">
            <v>170.69096160000001</v>
          </cell>
          <cell r="AI100">
            <v>171.89635129999999</v>
          </cell>
          <cell r="AJ100">
            <v>173.1319752</v>
          </cell>
          <cell r="AK100">
            <v>174.39649080000001</v>
          </cell>
          <cell r="AL100">
            <v>175.65009910000001</v>
          </cell>
          <cell r="AM100">
            <v>176.916324</v>
          </cell>
          <cell r="AN100">
            <v>178.1995058</v>
          </cell>
          <cell r="AO100">
            <v>179.50041569999999</v>
          </cell>
          <cell r="AP100">
            <v>180.8189342</v>
          </cell>
          <cell r="AQ100">
            <v>182.15794270000001</v>
          </cell>
          <cell r="AR100">
            <v>183.5152028</v>
          </cell>
          <cell r="AS100">
            <v>184.89012840000001</v>
          </cell>
          <cell r="AT100">
            <v>186.2821793</v>
          </cell>
          <cell r="AU100">
            <v>187.6908171</v>
          </cell>
          <cell r="AV100">
            <v>189.13083119999999</v>
          </cell>
          <cell r="AW100">
            <v>190.59201970000001</v>
          </cell>
          <cell r="AX100">
            <v>191.1605964</v>
          </cell>
          <cell r="AY100">
            <v>192.65550970000001</v>
          </cell>
          <cell r="AZ100">
            <v>192.82796819999999</v>
          </cell>
          <cell r="BA100">
            <v>246.2616218</v>
          </cell>
          <cell r="BB100">
            <v>249.59194579999999</v>
          </cell>
          <cell r="BC100">
            <v>252.97991350000001</v>
          </cell>
          <cell r="BD100">
            <v>256.42639680000002</v>
          </cell>
          <cell r="BE100">
            <v>259.93237049999999</v>
          </cell>
        </row>
        <row r="101">
          <cell r="A101" t="str">
            <v>m_toe_2</v>
          </cell>
          <cell r="B101">
            <v>148.17094499999999</v>
          </cell>
          <cell r="C101">
            <v>148.50112050000001</v>
          </cell>
          <cell r="D101">
            <v>149.03016550000001</v>
          </cell>
          <cell r="E101">
            <v>149.73636619999999</v>
          </cell>
          <cell r="F101">
            <v>150.6684052</v>
          </cell>
          <cell r="G101">
            <v>151.83021550000001</v>
          </cell>
          <cell r="H101">
            <v>153.11058840000001</v>
          </cell>
          <cell r="I101">
            <v>154.5216054</v>
          </cell>
          <cell r="J101">
            <v>156.03910579999999</v>
          </cell>
          <cell r="K101">
            <v>157.63656689999999</v>
          </cell>
          <cell r="L101">
            <v>159.4329098</v>
          </cell>
          <cell r="M101">
            <v>161.1707064</v>
          </cell>
          <cell r="N101">
            <v>162.90529699999999</v>
          </cell>
          <cell r="O101">
            <v>164.64131230000001</v>
          </cell>
          <cell r="P101">
            <v>166.37576390000001</v>
          </cell>
          <cell r="Q101">
            <v>168.10531700000001</v>
          </cell>
          <cell r="R101">
            <v>169.8169547</v>
          </cell>
          <cell r="S101">
            <v>171.5189335</v>
          </cell>
          <cell r="T101">
            <v>173.21421770000001</v>
          </cell>
          <cell r="U101">
            <v>174.90592419999999</v>
          </cell>
          <cell r="V101">
            <v>176.4963028</v>
          </cell>
          <cell r="W101">
            <v>178.15241660000001</v>
          </cell>
          <cell r="X101">
            <v>179.8348743</v>
          </cell>
          <cell r="Y101">
            <v>181.53838020000001</v>
          </cell>
          <cell r="Z101">
            <v>183.26415119999999</v>
          </cell>
          <cell r="AA101">
            <v>184.7284397</v>
          </cell>
          <cell r="AB101">
            <v>186.262159</v>
          </cell>
          <cell r="AC101">
            <v>187.82094570000001</v>
          </cell>
          <cell r="AD101">
            <v>189.40160760000001</v>
          </cell>
          <cell r="AE101">
            <v>191.00700380000001</v>
          </cell>
          <cell r="AF101">
            <v>192.64088269999999</v>
          </cell>
          <cell r="AG101">
            <v>194.30855489999999</v>
          </cell>
          <cell r="AH101">
            <v>196.01078219999999</v>
          </cell>
          <cell r="AI101">
            <v>197.74870129999999</v>
          </cell>
          <cell r="AJ101">
            <v>199.5228769</v>
          </cell>
          <cell r="AK101">
            <v>201.33331989999999</v>
          </cell>
          <cell r="AL101">
            <v>203.13077000000001</v>
          </cell>
          <cell r="AM101">
            <v>204.94119660000001</v>
          </cell>
          <cell r="AN101">
            <v>206.77244289999999</v>
          </cell>
          <cell r="AO101">
            <v>208.6276834</v>
          </cell>
          <cell r="AP101">
            <v>210.50850829999999</v>
          </cell>
          <cell r="AQ101">
            <v>212.41848870000001</v>
          </cell>
          <cell r="AR101">
            <v>214.3562982</v>
          </cell>
          <cell r="AS101">
            <v>216.32194949999999</v>
          </cell>
          <cell r="AT101">
            <v>218.31549759999999</v>
          </cell>
          <cell r="AU101">
            <v>220.33690569999999</v>
          </cell>
          <cell r="AV101">
            <v>222.40031329999999</v>
          </cell>
          <cell r="AW101">
            <v>224.49608380000001</v>
          </cell>
          <cell r="AX101">
            <v>224.49609190000001</v>
          </cell>
          <cell r="AY101">
            <v>224.49620390000001</v>
          </cell>
          <cell r="AZ101">
            <v>224.4962385</v>
          </cell>
          <cell r="BA101">
            <v>288.74522830000001</v>
          </cell>
          <cell r="BB101">
            <v>292.93593909999998</v>
          </cell>
          <cell r="BC101">
            <v>297.19389749999999</v>
          </cell>
          <cell r="BD101">
            <v>301.52066719999999</v>
          </cell>
          <cell r="BE101">
            <v>305.91793699999999</v>
          </cell>
        </row>
        <row r="102">
          <cell r="A102" t="str">
            <v>ci_toe_2</v>
          </cell>
          <cell r="B102">
            <v>188.8449219</v>
          </cell>
          <cell r="C102">
            <v>189.21487909999999</v>
          </cell>
          <cell r="D102">
            <v>190.16668910000001</v>
          </cell>
          <cell r="E102">
            <v>191.5007919</v>
          </cell>
          <cell r="F102">
            <v>193.20806469999999</v>
          </cell>
          <cell r="G102">
            <v>195.25299440000001</v>
          </cell>
          <cell r="H102">
            <v>197.4621425</v>
          </cell>
          <cell r="I102">
            <v>199.82676409999999</v>
          </cell>
          <cell r="J102">
            <v>202.30540819999999</v>
          </cell>
          <cell r="K102">
            <v>204.8548428</v>
          </cell>
          <cell r="L102">
            <v>207.6274094</v>
          </cell>
          <cell r="M102">
            <v>210.2926358</v>
          </cell>
          <cell r="N102">
            <v>212.90279459999999</v>
          </cell>
          <cell r="O102">
            <v>215.4671271</v>
          </cell>
          <cell r="P102">
            <v>217.9852396</v>
          </cell>
          <cell r="Q102">
            <v>220.4573201</v>
          </cell>
          <cell r="R102">
            <v>222.8754825</v>
          </cell>
          <cell r="S102">
            <v>225.25192820000001</v>
          </cell>
          <cell r="T102">
            <v>227.59688550000001</v>
          </cell>
          <cell r="U102">
            <v>229.9208495</v>
          </cell>
          <cell r="V102">
            <v>232.0996772</v>
          </cell>
          <cell r="W102">
            <v>234.35279180000001</v>
          </cell>
          <cell r="X102">
            <v>236.6435894</v>
          </cell>
          <cell r="Y102">
            <v>238.9670983</v>
          </cell>
          <cell r="Z102">
            <v>241.32719520000001</v>
          </cell>
          <cell r="AA102">
            <v>243.34895359999999</v>
          </cell>
          <cell r="AB102">
            <v>245.4483754</v>
          </cell>
          <cell r="AC102">
            <v>247.59105360000001</v>
          </cell>
          <cell r="AD102">
            <v>249.77309210000001</v>
          </cell>
          <cell r="AE102">
            <v>251.99905150000001</v>
          </cell>
          <cell r="AF102">
            <v>254.2744342</v>
          </cell>
          <cell r="AG102">
            <v>256.60528340000002</v>
          </cell>
          <cell r="AH102">
            <v>258.99337259999999</v>
          </cell>
          <cell r="AI102">
            <v>261.43923569999998</v>
          </cell>
          <cell r="AJ102">
            <v>263.94218819999998</v>
          </cell>
          <cell r="AK102">
            <v>266.50055500000002</v>
          </cell>
          <cell r="AL102">
            <v>269.03798019999999</v>
          </cell>
          <cell r="AM102">
            <v>271.59347889999998</v>
          </cell>
          <cell r="AN102">
            <v>274.1782675</v>
          </cell>
          <cell r="AO102">
            <v>276.79571249999998</v>
          </cell>
          <cell r="AP102">
            <v>279.4468756</v>
          </cell>
          <cell r="AQ102">
            <v>282.13405460000001</v>
          </cell>
          <cell r="AR102">
            <v>284.85667339999998</v>
          </cell>
          <cell r="AS102">
            <v>287.61416530000002</v>
          </cell>
          <cell r="AT102">
            <v>290.40590459999999</v>
          </cell>
          <cell r="AU102">
            <v>293.2311206</v>
          </cell>
          <cell r="AV102">
            <v>296.10253319999998</v>
          </cell>
          <cell r="AW102">
            <v>299.01381859999998</v>
          </cell>
          <cell r="AX102">
            <v>299.61505720000002</v>
          </cell>
          <cell r="AY102">
            <v>301.1130392</v>
          </cell>
          <cell r="AZ102">
            <v>301.28539000000001</v>
          </cell>
          <cell r="BA102">
            <v>394.43394949999998</v>
          </cell>
          <cell r="BB102">
            <v>400.53157679999998</v>
          </cell>
          <cell r="BC102">
            <v>406.72715749999998</v>
          </cell>
          <cell r="BD102">
            <v>413.02284150000003</v>
          </cell>
          <cell r="BE102">
            <v>419.4208261</v>
          </cell>
        </row>
        <row r="103">
          <cell r="A103" t="str">
            <v>ch_toe_2</v>
          </cell>
          <cell r="B103">
            <v>64.301440170000006</v>
          </cell>
          <cell r="C103">
            <v>64.227304559999993</v>
          </cell>
          <cell r="D103">
            <v>63.820862990000002</v>
          </cell>
          <cell r="E103">
            <v>63.358257729999998</v>
          </cell>
          <cell r="F103">
            <v>62.946980420000003</v>
          </cell>
          <cell r="G103">
            <v>62.622310910000003</v>
          </cell>
          <cell r="H103">
            <v>62.369722279999998</v>
          </cell>
          <cell r="I103">
            <v>62.186632269999997</v>
          </cell>
          <cell r="J103">
            <v>62.06258347</v>
          </cell>
          <cell r="K103">
            <v>61.987047750000002</v>
          </cell>
          <cell r="L103">
            <v>61.978960389999997</v>
          </cell>
          <cell r="M103">
            <v>61.984500670000003</v>
          </cell>
          <cell r="N103">
            <v>62.006944820000001</v>
          </cell>
          <cell r="O103">
            <v>62.045609810000002</v>
          </cell>
          <cell r="P103">
            <v>62.097860490000002</v>
          </cell>
          <cell r="Q103">
            <v>62.16057137</v>
          </cell>
          <cell r="R103">
            <v>62.22720881</v>
          </cell>
          <cell r="S103">
            <v>62.297110230000001</v>
          </cell>
          <cell r="T103">
            <v>62.368933779999999</v>
          </cell>
          <cell r="U103">
            <v>62.441298410000002</v>
          </cell>
          <cell r="V103">
            <v>62.494288220000001</v>
          </cell>
          <cell r="W103">
            <v>62.555176330000002</v>
          </cell>
          <cell r="X103">
            <v>62.618819909999999</v>
          </cell>
          <cell r="Y103">
            <v>62.682597180000002</v>
          </cell>
          <cell r="Z103">
            <v>62.74558021</v>
          </cell>
          <cell r="AA103">
            <v>62.756465300000002</v>
          </cell>
          <cell r="AB103">
            <v>62.769005110000002</v>
          </cell>
          <cell r="AC103">
            <v>62.781473820000002</v>
          </cell>
          <cell r="AD103">
            <v>62.792820460000002</v>
          </cell>
          <cell r="AE103">
            <v>62.803041919999998</v>
          </cell>
          <cell r="AF103">
            <v>62.812554159999998</v>
          </cell>
          <cell r="AG103">
            <v>62.822765990000001</v>
          </cell>
          <cell r="AH103">
            <v>62.833868150000001</v>
          </cell>
          <cell r="AI103">
            <v>62.846304549999999</v>
          </cell>
          <cell r="AJ103">
            <v>62.860606079999997</v>
          </cell>
          <cell r="AK103">
            <v>62.877302049999997</v>
          </cell>
          <cell r="AL103">
            <v>62.893009399999997</v>
          </cell>
          <cell r="AM103">
            <v>62.909134600000002</v>
          </cell>
          <cell r="AN103">
            <v>62.926745189999998</v>
          </cell>
          <cell r="AO103">
            <v>62.946549259999998</v>
          </cell>
          <cell r="AP103">
            <v>62.969059340000001</v>
          </cell>
          <cell r="AQ103">
            <v>62.995751550000001</v>
          </cell>
          <cell r="AR103">
            <v>63.026311909999997</v>
          </cell>
          <cell r="AS103">
            <v>63.060746819999999</v>
          </cell>
          <cell r="AT103">
            <v>63.099198639999997</v>
          </cell>
          <cell r="AU103">
            <v>63.141851930000001</v>
          </cell>
          <cell r="AV103">
            <v>63.193298929999997</v>
          </cell>
          <cell r="AW103">
            <v>63.251170569999999</v>
          </cell>
          <cell r="AX103">
            <v>63.218519120000003</v>
          </cell>
          <cell r="AY103">
            <v>63.215735860000002</v>
          </cell>
          <cell r="AZ103">
            <v>63.215936220000003</v>
          </cell>
          <cell r="BA103">
            <v>64.419719540000003</v>
          </cell>
          <cell r="BB103">
            <v>64.521376770000003</v>
          </cell>
          <cell r="BC103">
            <v>64.626029189999997</v>
          </cell>
          <cell r="BD103">
            <v>64.733579050000003</v>
          </cell>
          <cell r="BE103">
            <v>64.844110799999996</v>
          </cell>
        </row>
        <row r="104">
          <cell r="A104" t="str">
            <v>x_toe_2</v>
          </cell>
          <cell r="B104">
            <v>31.415817919999999</v>
          </cell>
          <cell r="C104">
            <v>31.767206099999999</v>
          </cell>
          <cell r="D104">
            <v>32.168241049999999</v>
          </cell>
          <cell r="E104">
            <v>32.585771340000001</v>
          </cell>
          <cell r="F104">
            <v>33.01590959</v>
          </cell>
          <cell r="G104">
            <v>33.454321309999997</v>
          </cell>
          <cell r="H104">
            <v>33.862682679999999</v>
          </cell>
          <cell r="I104">
            <v>34.272236790000001</v>
          </cell>
          <cell r="J104">
            <v>34.681483270000001</v>
          </cell>
          <cell r="K104">
            <v>35.08981017</v>
          </cell>
          <cell r="L104">
            <v>35.552817820000001</v>
          </cell>
          <cell r="M104">
            <v>35.951352530000001</v>
          </cell>
          <cell r="N104">
            <v>36.350053260000003</v>
          </cell>
          <cell r="O104">
            <v>36.749895510000002</v>
          </cell>
          <cell r="P104">
            <v>37.151905849999999</v>
          </cell>
          <cell r="Q104">
            <v>37.557099229999999</v>
          </cell>
          <cell r="R104">
            <v>37.957609589999997</v>
          </cell>
          <cell r="S104">
            <v>38.363099650000002</v>
          </cell>
          <cell r="T104">
            <v>38.774389720000002</v>
          </cell>
          <cell r="U104">
            <v>39.192212470000001</v>
          </cell>
          <cell r="V104">
            <v>39.577604190000002</v>
          </cell>
          <cell r="W104">
            <v>40.010407909999998</v>
          </cell>
          <cell r="X104">
            <v>40.451412249999997</v>
          </cell>
          <cell r="Y104">
            <v>40.900889239999998</v>
          </cell>
          <cell r="Z104">
            <v>41.359028889999998</v>
          </cell>
          <cell r="AA104">
            <v>41.713676769999999</v>
          </cell>
          <cell r="AB104">
            <v>42.139911570000002</v>
          </cell>
          <cell r="AC104">
            <v>42.574470470000001</v>
          </cell>
          <cell r="AD104">
            <v>43.0173579</v>
          </cell>
          <cell r="AE104">
            <v>43.46852458</v>
          </cell>
          <cell r="AF104">
            <v>43.927873529999999</v>
          </cell>
          <cell r="AG104">
            <v>44.397226889999999</v>
          </cell>
          <cell r="AH104">
            <v>44.874503089999997</v>
          </cell>
          <cell r="AI104">
            <v>45.35951232</v>
          </cell>
          <cell r="AJ104">
            <v>45.852057879999997</v>
          </cell>
          <cell r="AK104">
            <v>46.351953649999999</v>
          </cell>
          <cell r="AL104">
            <v>46.849879540000003</v>
          </cell>
          <cell r="AM104">
            <v>47.35490712</v>
          </cell>
          <cell r="AN104">
            <v>47.866936010000003</v>
          </cell>
          <cell r="AO104">
            <v>48.385837330000001</v>
          </cell>
          <cell r="AP104">
            <v>48.9115076</v>
          </cell>
          <cell r="AQ104">
            <v>49.446625269999998</v>
          </cell>
          <cell r="AR104">
            <v>49.988515640000003</v>
          </cell>
          <cell r="AS104">
            <v>50.537165880000003</v>
          </cell>
          <cell r="AT104">
            <v>51.092573639999998</v>
          </cell>
          <cell r="AU104">
            <v>51.654750249999999</v>
          </cell>
          <cell r="AV104">
            <v>52.235312370000003</v>
          </cell>
          <cell r="AW104">
            <v>52.823114330000003</v>
          </cell>
          <cell r="AX104">
            <v>52.823112010000003</v>
          </cell>
          <cell r="AY104">
            <v>52.822938520000001</v>
          </cell>
          <cell r="AZ104">
            <v>52.822880480000002</v>
          </cell>
          <cell r="BA104">
            <v>76.153181029999999</v>
          </cell>
          <cell r="BB104">
            <v>77.474931299999994</v>
          </cell>
          <cell r="BC104">
            <v>78.820624289999998</v>
          </cell>
          <cell r="BD104">
            <v>80.190643519999995</v>
          </cell>
          <cell r="BE104">
            <v>81.585370549999993</v>
          </cell>
        </row>
        <row r="105">
          <cell r="A105" t="str">
            <v>y_toe_0</v>
          </cell>
          <cell r="B105">
            <v>139.60077770000001</v>
          </cell>
          <cell r="C105">
            <v>140.71618230000001</v>
          </cell>
          <cell r="D105">
            <v>141.74253709999999</v>
          </cell>
          <cell r="E105">
            <v>142.83931670000001</v>
          </cell>
          <cell r="F105">
            <v>144.05908700000001</v>
          </cell>
          <cell r="G105">
            <v>145.39965509999999</v>
          </cell>
          <cell r="H105">
            <v>146.76027690000001</v>
          </cell>
          <cell r="I105">
            <v>148.16949529999999</v>
          </cell>
          <cell r="J105">
            <v>149.61749839999999</v>
          </cell>
          <cell r="K105">
            <v>151.09248439999999</v>
          </cell>
          <cell r="L105">
            <v>152.72301390000001</v>
          </cell>
          <cell r="M105">
            <v>154.27125100000001</v>
          </cell>
          <cell r="N105">
            <v>155.80489969999999</v>
          </cell>
          <cell r="O105">
            <v>157.33190529999999</v>
          </cell>
          <cell r="P105">
            <v>158.854962</v>
          </cell>
          <cell r="Q105">
            <v>160.37596600000001</v>
          </cell>
          <cell r="R105">
            <v>161.89729030000001</v>
          </cell>
          <cell r="S105">
            <v>163.42189949999999</v>
          </cell>
          <cell r="T105">
            <v>164.9532897</v>
          </cell>
          <cell r="U105">
            <v>166.49521709999999</v>
          </cell>
          <cell r="V105">
            <v>167.9520109</v>
          </cell>
          <cell r="W105">
            <v>169.4934749</v>
          </cell>
          <cell r="X105">
            <v>171.0701277</v>
          </cell>
          <cell r="Y105">
            <v>172.67746460000001</v>
          </cell>
          <cell r="Z105">
            <v>174.3153877</v>
          </cell>
          <cell r="AA105">
            <v>175.70227420000001</v>
          </cell>
          <cell r="AB105">
            <v>177.17815440000001</v>
          </cell>
          <cell r="AC105">
            <v>178.68123270000001</v>
          </cell>
          <cell r="AD105">
            <v>180.2092169</v>
          </cell>
          <cell r="AE105">
            <v>181.76363839999999</v>
          </cell>
          <cell r="AF105">
            <v>183.34667089999999</v>
          </cell>
          <cell r="AG105">
            <v>184.9600173</v>
          </cell>
          <cell r="AH105">
            <v>186.60462849999999</v>
          </cell>
          <cell r="AI105">
            <v>188.28068830000001</v>
          </cell>
          <cell r="AJ105">
            <v>189.98773399999999</v>
          </cell>
          <cell r="AK105">
            <v>191.7248257</v>
          </cell>
          <cell r="AL105">
            <v>193.42447089999999</v>
          </cell>
          <cell r="AM105">
            <v>195.12974500000001</v>
          </cell>
          <cell r="AN105">
            <v>196.8480471</v>
          </cell>
          <cell r="AO105">
            <v>198.5822311</v>
          </cell>
          <cell r="AP105">
            <v>200.33378189999999</v>
          </cell>
          <cell r="AQ105">
            <v>202.10375959999999</v>
          </cell>
          <cell r="AR105">
            <v>203.89302950000001</v>
          </cell>
          <cell r="AS105">
            <v>205.70228560000001</v>
          </cell>
          <cell r="AT105">
            <v>207.53203809999999</v>
          </cell>
          <cell r="AU105">
            <v>209.3826134</v>
          </cell>
          <cell r="AV105">
            <v>211.26001969999999</v>
          </cell>
          <cell r="AW105">
            <v>213.16033880000001</v>
          </cell>
          <cell r="AX105">
            <v>215.08276979999999</v>
          </cell>
          <cell r="AY105">
            <v>217.02687460000001</v>
          </cell>
          <cell r="AZ105">
            <v>218.9923431</v>
          </cell>
          <cell r="BA105">
            <v>248.76068989999999</v>
          </cell>
          <cell r="BB105">
            <v>252.16318720000001</v>
          </cell>
          <cell r="BC105">
            <v>255.6227614</v>
          </cell>
          <cell r="BD105">
            <v>259.14068689999999</v>
          </cell>
          <cell r="BE105">
            <v>262.7181764</v>
          </cell>
        </row>
        <row r="106">
          <cell r="A106" t="str">
            <v>m_toe_0</v>
          </cell>
          <cell r="B106">
            <v>151.3951486</v>
          </cell>
          <cell r="C106">
            <v>152.65470619999999</v>
          </cell>
          <cell r="D106">
            <v>153.82855459999999</v>
          </cell>
          <cell r="E106">
            <v>155.10700890000001</v>
          </cell>
          <cell r="F106">
            <v>156.5516753</v>
          </cell>
          <cell r="G106">
            <v>158.16103910000001</v>
          </cell>
          <cell r="H106">
            <v>159.82501250000001</v>
          </cell>
          <cell r="I106">
            <v>161.5676187</v>
          </cell>
          <cell r="J106">
            <v>163.37821049999999</v>
          </cell>
          <cell r="K106">
            <v>165.2420936</v>
          </cell>
          <cell r="L106">
            <v>167.2966006</v>
          </cell>
          <cell r="M106">
            <v>169.2900171</v>
          </cell>
          <cell r="N106">
            <v>171.2807426</v>
          </cell>
          <cell r="O106">
            <v>173.27796190000001</v>
          </cell>
          <cell r="P106">
            <v>175.28271710000001</v>
          </cell>
          <cell r="Q106">
            <v>177.29483959999999</v>
          </cell>
          <cell r="R106">
            <v>179.31474370000001</v>
          </cell>
          <cell r="S106">
            <v>181.3437204</v>
          </cell>
          <cell r="T106">
            <v>183.38381079999999</v>
          </cell>
          <cell r="U106">
            <v>185.4375727</v>
          </cell>
          <cell r="V106">
            <v>187.3986037</v>
          </cell>
          <cell r="W106">
            <v>189.4458774</v>
          </cell>
          <cell r="X106">
            <v>191.5336289</v>
          </cell>
          <cell r="Y106">
            <v>193.6543226</v>
          </cell>
          <cell r="Z106">
            <v>195.80737669999999</v>
          </cell>
          <cell r="AA106">
            <v>197.68192930000001</v>
          </cell>
          <cell r="AB106">
            <v>199.63463609999999</v>
          </cell>
          <cell r="AC106">
            <v>201.61543019999999</v>
          </cell>
          <cell r="AD106">
            <v>203.61954420000001</v>
          </cell>
          <cell r="AE106">
            <v>205.6488775</v>
          </cell>
          <cell r="AF106">
            <v>207.70653490000001</v>
          </cell>
          <cell r="AG106">
            <v>209.79526229999999</v>
          </cell>
          <cell r="AH106">
            <v>211.9170331</v>
          </cell>
          <cell r="AI106">
            <v>214.07301440000001</v>
          </cell>
          <cell r="AJ106">
            <v>216.26367569999999</v>
          </cell>
          <cell r="AK106">
            <v>218.48894490000001</v>
          </cell>
          <cell r="AL106">
            <v>220.6746368</v>
          </cell>
          <cell r="AM106">
            <v>222.8649465</v>
          </cell>
          <cell r="AN106">
            <v>225.0707166</v>
          </cell>
          <cell r="AO106">
            <v>227.29607590000001</v>
          </cell>
          <cell r="AP106">
            <v>229.54327499999999</v>
          </cell>
          <cell r="AQ106">
            <v>231.81396820000001</v>
          </cell>
          <cell r="AR106">
            <v>234.10952320000001</v>
          </cell>
          <cell r="AS106">
            <v>236.43107610000001</v>
          </cell>
          <cell r="AT106">
            <v>238.77953919999999</v>
          </cell>
          <cell r="AU106">
            <v>241.15561700000001</v>
          </cell>
          <cell r="AV106">
            <v>243.56638380000001</v>
          </cell>
          <cell r="AW106">
            <v>246.00821920000001</v>
          </cell>
          <cell r="AX106">
            <v>248.4804226</v>
          </cell>
          <cell r="AY106">
            <v>250.9828469</v>
          </cell>
          <cell r="AZ106">
            <v>253.51551380000001</v>
          </cell>
          <cell r="BA106">
            <v>289.18244320000002</v>
          </cell>
          <cell r="BB106">
            <v>293.36051500000002</v>
          </cell>
          <cell r="BC106">
            <v>297.60425559999999</v>
          </cell>
          <cell r="BD106">
            <v>301.9153384</v>
          </cell>
          <cell r="BE106">
            <v>306.29544920000001</v>
          </cell>
        </row>
        <row r="107">
          <cell r="A107" t="str">
            <v>ci_toe_0</v>
          </cell>
          <cell r="B107">
            <v>193.1972403</v>
          </cell>
          <cell r="C107">
            <v>195.11029049999999</v>
          </cell>
          <cell r="D107">
            <v>197.00817409999999</v>
          </cell>
          <cell r="E107">
            <v>199.0664314</v>
          </cell>
          <cell r="F107">
            <v>201.33639009999999</v>
          </cell>
          <cell r="G107">
            <v>203.807188</v>
          </cell>
          <cell r="H107">
            <v>206.33165</v>
          </cell>
          <cell r="I107">
            <v>208.9336629</v>
          </cell>
          <cell r="J107">
            <v>211.60125210000001</v>
          </cell>
          <cell r="K107">
            <v>214.31579629999999</v>
          </cell>
          <cell r="L107">
            <v>217.25886969999999</v>
          </cell>
          <cell r="M107">
            <v>220.11127669999999</v>
          </cell>
          <cell r="N107">
            <v>222.93419470000001</v>
          </cell>
          <cell r="O107">
            <v>225.74345400000001</v>
          </cell>
          <cell r="P107">
            <v>228.5430278</v>
          </cell>
          <cell r="Q107">
            <v>231.33535939999999</v>
          </cell>
          <cell r="R107">
            <v>234.1240009</v>
          </cell>
          <cell r="S107">
            <v>236.9139175</v>
          </cell>
          <cell r="T107">
            <v>239.71113</v>
          </cell>
          <cell r="U107">
            <v>242.52221919999999</v>
          </cell>
          <cell r="V107">
            <v>245.21013360000001</v>
          </cell>
          <cell r="W107">
            <v>248.00419070000001</v>
          </cell>
          <cell r="X107">
            <v>250.8587307</v>
          </cell>
          <cell r="Y107">
            <v>253.76392870000001</v>
          </cell>
          <cell r="Z107">
            <v>256.71981520000003</v>
          </cell>
          <cell r="AA107">
            <v>259.31871319999999</v>
          </cell>
          <cell r="AB107">
            <v>262.00403469999998</v>
          </cell>
          <cell r="AC107">
            <v>264.73365000000001</v>
          </cell>
          <cell r="AD107">
            <v>267.50106890000001</v>
          </cell>
          <cell r="AE107">
            <v>270.3095806</v>
          </cell>
          <cell r="AF107">
            <v>273.16404720000003</v>
          </cell>
          <cell r="AG107">
            <v>276.06844289999998</v>
          </cell>
          <cell r="AH107">
            <v>279.0252031</v>
          </cell>
          <cell r="AI107">
            <v>282.03521519999998</v>
          </cell>
          <cell r="AJ107">
            <v>285.09806120000002</v>
          </cell>
          <cell r="AK107">
            <v>288.21234720000001</v>
          </cell>
          <cell r="AL107">
            <v>291.2793661</v>
          </cell>
          <cell r="AM107">
            <v>294.34947060000002</v>
          </cell>
          <cell r="AN107">
            <v>297.43792980000001</v>
          </cell>
          <cell r="AO107">
            <v>300.55024170000002</v>
          </cell>
          <cell r="AP107">
            <v>303.6893172</v>
          </cell>
          <cell r="AQ107">
            <v>306.85734530000002</v>
          </cell>
          <cell r="AR107">
            <v>310.05617869999998</v>
          </cell>
          <cell r="AS107">
            <v>313.28734509999998</v>
          </cell>
          <cell r="AT107">
            <v>316.55200880000001</v>
          </cell>
          <cell r="AU107">
            <v>319.85096879999998</v>
          </cell>
          <cell r="AV107">
            <v>323.19327879999997</v>
          </cell>
          <cell r="AW107">
            <v>326.5744535</v>
          </cell>
          <cell r="AX107">
            <v>329.99301009999999</v>
          </cell>
          <cell r="AY107">
            <v>333.44826870000003</v>
          </cell>
          <cell r="AZ107">
            <v>336.93979739999997</v>
          </cell>
          <cell r="BA107">
            <v>395.34974249999999</v>
          </cell>
          <cell r="BB107">
            <v>401.4616911</v>
          </cell>
          <cell r="BC107">
            <v>407.67003840000001</v>
          </cell>
          <cell r="BD107">
            <v>413.97701210000002</v>
          </cell>
          <cell r="BE107">
            <v>420.38488769999998</v>
          </cell>
        </row>
        <row r="108">
          <cell r="A108" t="str">
            <v>ch_toe_0</v>
          </cell>
          <cell r="B108">
            <v>64.301440170000006</v>
          </cell>
          <cell r="C108">
            <v>64.244024929999995</v>
          </cell>
          <cell r="D108">
            <v>63.982248079999998</v>
          </cell>
          <cell r="E108">
            <v>63.72514254</v>
          </cell>
          <cell r="F108">
            <v>63.53697923</v>
          </cell>
          <cell r="G108">
            <v>63.426275009999998</v>
          </cell>
          <cell r="H108">
            <v>63.365622969999997</v>
          </cell>
          <cell r="I108">
            <v>63.350087309999999</v>
          </cell>
          <cell r="J108">
            <v>63.371333589999999</v>
          </cell>
          <cell r="K108">
            <v>63.421355740000003</v>
          </cell>
          <cell r="L108">
            <v>63.522829950000002</v>
          </cell>
          <cell r="M108">
            <v>63.626901910000001</v>
          </cell>
          <cell r="N108">
            <v>63.737479450000002</v>
          </cell>
          <cell r="O108">
            <v>63.855223940000002</v>
          </cell>
          <cell r="P108">
            <v>63.979252729999999</v>
          </cell>
          <cell r="Q108">
            <v>64.108204509999993</v>
          </cell>
          <cell r="R108">
            <v>64.240684529999996</v>
          </cell>
          <cell r="S108">
            <v>64.375384780000005</v>
          </cell>
          <cell r="T108">
            <v>64.511268920000006</v>
          </cell>
          <cell r="U108">
            <v>64.647573420000001</v>
          </cell>
          <cell r="V108">
            <v>64.764230429999998</v>
          </cell>
          <cell r="W108">
            <v>64.890013049999993</v>
          </cell>
          <cell r="X108">
            <v>65.019803429999996</v>
          </cell>
          <cell r="Y108">
            <v>65.151152490000001</v>
          </cell>
          <cell r="Z108">
            <v>65.283161359999994</v>
          </cell>
          <cell r="AA108">
            <v>65.361966609999996</v>
          </cell>
          <cell r="AB108">
            <v>65.442220669999998</v>
          </cell>
          <cell r="AC108">
            <v>65.522678790000001</v>
          </cell>
          <cell r="AD108">
            <v>65.60263861</v>
          </cell>
          <cell r="AE108">
            <v>65.682140590000003</v>
          </cell>
          <cell r="AF108">
            <v>65.761544090000001</v>
          </cell>
          <cell r="AG108">
            <v>65.841314069999996</v>
          </cell>
          <cell r="AH108">
            <v>65.921969439999998</v>
          </cell>
          <cell r="AI108">
            <v>66.004030689999993</v>
          </cell>
          <cell r="AJ108">
            <v>66.087991020000004</v>
          </cell>
          <cell r="AK108">
            <v>66.17429842</v>
          </cell>
          <cell r="AL108">
            <v>66.251785139999996</v>
          </cell>
          <cell r="AM108">
            <v>66.326376199999999</v>
          </cell>
          <cell r="AN108">
            <v>66.400971200000001</v>
          </cell>
          <cell r="AO108">
            <v>66.476971899999995</v>
          </cell>
          <cell r="AP108">
            <v>66.555108160000003</v>
          </cell>
          <cell r="AQ108">
            <v>66.63580288</v>
          </cell>
          <cell r="AR108">
            <v>66.719333079999998</v>
          </cell>
          <cell r="AS108">
            <v>66.805902720000006</v>
          </cell>
          <cell r="AT108">
            <v>66.895677340000006</v>
          </cell>
          <cell r="AU108">
            <v>66.988801039999998</v>
          </cell>
          <cell r="AV108">
            <v>67.086344080000003</v>
          </cell>
          <cell r="AW108">
            <v>67.187976689999999</v>
          </cell>
          <cell r="AX108">
            <v>67.293597660000003</v>
          </cell>
          <cell r="AY108">
            <v>67.403212069999995</v>
          </cell>
          <cell r="AZ108">
            <v>67.516865170000003</v>
          </cell>
          <cell r="BA108">
            <v>66.181774820000001</v>
          </cell>
          <cell r="BB108">
            <v>66.315964530000002</v>
          </cell>
          <cell r="BC108">
            <v>66.452371409999998</v>
          </cell>
          <cell r="BD108">
            <v>66.591310300000004</v>
          </cell>
          <cell r="BE108">
            <v>66.732995119999998</v>
          </cell>
        </row>
        <row r="109">
          <cell r="A109" t="str">
            <v>x_toe_0</v>
          </cell>
          <cell r="B109">
            <v>33.497245829999997</v>
          </cell>
          <cell r="C109">
            <v>34.016573080000001</v>
          </cell>
          <cell r="D109">
            <v>34.580669499999999</v>
          </cell>
          <cell r="E109">
            <v>35.154751709999999</v>
          </cell>
          <cell r="F109">
            <v>35.737392880000002</v>
          </cell>
          <cell r="G109">
            <v>36.327231079999997</v>
          </cell>
          <cell r="H109">
            <v>36.888016350000001</v>
          </cell>
          <cell r="I109">
            <v>37.453363830000001</v>
          </cell>
          <cell r="J109">
            <v>38.023123210000001</v>
          </cell>
          <cell r="K109">
            <v>38.597425889999997</v>
          </cell>
          <cell r="L109">
            <v>39.237914789999998</v>
          </cell>
          <cell r="M109">
            <v>39.823089490000001</v>
          </cell>
          <cell r="N109">
            <v>40.413968169999997</v>
          </cell>
          <cell r="O109">
            <v>41.011189219999999</v>
          </cell>
          <cell r="P109">
            <v>41.615398509999999</v>
          </cell>
          <cell r="Q109">
            <v>42.227241589999998</v>
          </cell>
          <cell r="R109">
            <v>42.84734855</v>
          </cell>
          <cell r="S109">
            <v>43.47631767</v>
          </cell>
          <cell r="T109">
            <v>44.114701480000001</v>
          </cell>
          <cell r="U109">
            <v>44.76299719</v>
          </cell>
          <cell r="V109">
            <v>45.376250579999997</v>
          </cell>
          <cell r="W109">
            <v>46.045148490000003</v>
          </cell>
          <cell r="X109">
            <v>46.725222580000001</v>
          </cell>
          <cell r="Y109">
            <v>47.416705960000002</v>
          </cell>
          <cell r="Z109">
            <v>48.119787809999998</v>
          </cell>
          <cell r="AA109">
            <v>48.703523699999998</v>
          </cell>
          <cell r="AB109">
            <v>49.366535089999999</v>
          </cell>
          <cell r="AC109">
            <v>50.040334139999999</v>
          </cell>
          <cell r="AD109">
            <v>50.725053559999999</v>
          </cell>
          <cell r="AE109">
            <v>51.42079476</v>
          </cell>
          <cell r="AF109">
            <v>52.127614530000002</v>
          </cell>
          <cell r="AG109">
            <v>52.845522649999999</v>
          </cell>
          <cell r="AH109">
            <v>53.574489020000001</v>
          </cell>
          <cell r="AI109">
            <v>54.314456800000002</v>
          </cell>
          <cell r="AJ109">
            <v>55.065357470000002</v>
          </cell>
          <cell r="AK109">
            <v>55.827124980000001</v>
          </cell>
          <cell r="AL109">
            <v>56.567956510000002</v>
          </cell>
          <cell r="AM109">
            <v>57.318844720000001</v>
          </cell>
          <cell r="AN109">
            <v>58.079862769999998</v>
          </cell>
          <cell r="AO109">
            <v>58.851093300000002</v>
          </cell>
          <cell r="AP109">
            <v>59.632631439999997</v>
          </cell>
          <cell r="AQ109">
            <v>60.424579629999997</v>
          </cell>
          <cell r="AR109">
            <v>61.227040860000002</v>
          </cell>
          <cell r="AS109">
            <v>62.040113830000003</v>
          </cell>
          <cell r="AT109">
            <v>62.863891209999998</v>
          </cell>
          <cell r="AU109">
            <v>63.698460560000001</v>
          </cell>
          <cell r="AV109">
            <v>64.546780609999999</v>
          </cell>
          <cell r="AW109">
            <v>65.406127799999993</v>
          </cell>
          <cell r="AX109">
            <v>66.276584580000005</v>
          </cell>
          <cell r="AY109">
            <v>67.158240719999995</v>
          </cell>
          <cell r="AZ109">
            <v>68.051194339999995</v>
          </cell>
          <cell r="BA109">
            <v>76.411615780000005</v>
          </cell>
          <cell r="BB109">
            <v>77.746046530000001</v>
          </cell>
          <cell r="BC109">
            <v>79.104607090000002</v>
          </cell>
          <cell r="BD109">
            <v>80.487702900000002</v>
          </cell>
          <cell r="BE109">
            <v>81.895742740000003</v>
          </cell>
        </row>
      </sheetData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BF529"/>
  <sheetViews>
    <sheetView zoomScale="77" workbookViewId="0">
      <pane xSplit="2" ySplit="4" topLeftCell="C5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10" defaultRowHeight="14.5" x14ac:dyDescent="0.35"/>
  <cols>
    <col min="1" max="1" width="26.90625" customWidth="1"/>
    <col min="2" max="2" width="43.08984375" customWidth="1"/>
    <col min="3" max="3" width="12.7265625" bestFit="1" customWidth="1"/>
    <col min="4" max="26" width="11.1796875" bestFit="1" customWidth="1"/>
    <col min="27" max="36" width="11.81640625" bestFit="1" customWidth="1"/>
    <col min="37" max="58" width="12.81640625" bestFit="1" customWidth="1"/>
  </cols>
  <sheetData>
    <row r="1" spans="1:58" x14ac:dyDescent="0.35">
      <c r="A1" t="s">
        <v>5</v>
      </c>
      <c r="B1" t="s">
        <v>6</v>
      </c>
    </row>
    <row r="4" spans="1:58" x14ac:dyDescent="0.35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  <c r="AM4" s="2">
        <v>55154</v>
      </c>
      <c r="AN4" s="2">
        <v>55519</v>
      </c>
      <c r="AO4" s="2">
        <v>55885</v>
      </c>
      <c r="AP4" s="2">
        <v>56250</v>
      </c>
      <c r="AQ4" s="2">
        <v>56615</v>
      </c>
      <c r="AR4" s="2">
        <v>56980</v>
      </c>
      <c r="AS4" s="2">
        <v>57346</v>
      </c>
      <c r="AT4" s="2">
        <v>57711</v>
      </c>
      <c r="AU4" s="2">
        <v>58076</v>
      </c>
      <c r="AV4" s="2">
        <v>58441</v>
      </c>
      <c r="AW4" s="2">
        <v>58807</v>
      </c>
      <c r="AX4" s="2">
        <v>59172</v>
      </c>
      <c r="AY4" s="2">
        <v>59537</v>
      </c>
      <c r="AZ4" s="2">
        <v>59902</v>
      </c>
      <c r="BA4" s="2">
        <v>60268</v>
      </c>
      <c r="BB4" s="2">
        <v>60633</v>
      </c>
      <c r="BC4" s="2">
        <v>60998</v>
      </c>
      <c r="BD4" s="2">
        <v>61363</v>
      </c>
      <c r="BE4" s="2">
        <v>61729</v>
      </c>
      <c r="BF4" s="2">
        <v>62094</v>
      </c>
    </row>
    <row r="5" spans="1:58" x14ac:dyDescent="0.35">
      <c r="A5" s="3" t="str">
        <f>[1]Results!E1365</f>
        <v>100*(GDP_2/GDP_0-1)</v>
      </c>
      <c r="B5" t="s">
        <v>18</v>
      </c>
      <c r="C5" s="1">
        <f>[1]Results!F1365</f>
        <v>-1.6067303558553236</v>
      </c>
      <c r="D5" s="1">
        <f>[1]Results!G1365</f>
        <v>-1.902483018882839</v>
      </c>
      <c r="E5" s="1">
        <f>[1]Results!H1365</f>
        <v>-2.1558306156040485</v>
      </c>
      <c r="F5" s="1">
        <f>[1]Results!I1365</f>
        <v>-2.3668989777662186</v>
      </c>
      <c r="G5" s="1">
        <f>[1]Results!J1365</f>
        <v>-2.5588951664954895</v>
      </c>
      <c r="H5" s="1">
        <f>[1]Results!K1365</f>
        <v>-2.7478737325347891</v>
      </c>
      <c r="I5" s="1">
        <f>[1]Results!L1365</f>
        <v>-2.9421662747726174</v>
      </c>
      <c r="J5" s="1">
        <f>[1]Results!M1365</f>
        <v>-3.1379616627873141</v>
      </c>
      <c r="K5" s="1">
        <f>[1]Results!N1365</f>
        <v>-3.3293756589845125</v>
      </c>
      <c r="L5" s="1">
        <f>[1]Results!O1365</f>
        <v>-3.5098636089915258</v>
      </c>
      <c r="M5" s="1">
        <f>[1]Results!P1365</f>
        <v>-3.6735097518259985</v>
      </c>
      <c r="N5" s="1">
        <f>[1]Results!Q1365</f>
        <v>-3.8264912830596853</v>
      </c>
      <c r="O5" s="1">
        <f>[1]Results!R1365</f>
        <v>-3.9612572174839378</v>
      </c>
      <c r="P5" s="1">
        <f>[1]Results!S1365</f>
        <v>-4.0793034961981061</v>
      </c>
      <c r="Q5" s="1">
        <f>[1]Results!T1365</f>
        <v>-4.183714968296071</v>
      </c>
      <c r="R5" s="1">
        <f>[1]Results!U1365</f>
        <v>-4.2784482869998808</v>
      </c>
      <c r="S5" s="1">
        <f>[1]Results!V1365</f>
        <v>-4.3743854390281722</v>
      </c>
      <c r="T5" s="1">
        <f>[1]Results!W1365</f>
        <v>-4.4694790147092434</v>
      </c>
      <c r="U5" s="1">
        <f>[1]Results!X1365</f>
        <v>-4.5663898822306699</v>
      </c>
      <c r="V5" s="1">
        <f>[1]Results!Y1365</f>
        <v>-4.6667731204004141</v>
      </c>
      <c r="W5" s="1">
        <f>[1]Results!Z1365</f>
        <v>-4.771896225973304</v>
      </c>
      <c r="X5" s="1">
        <f>[1]Results!AA1365</f>
        <v>-4.8807912908404028</v>
      </c>
      <c r="Y5" s="1">
        <f>[1]Results!AB1365</f>
        <v>-4.9937305248788588</v>
      </c>
      <c r="Z5" s="1">
        <f>[1]Results!AC1365</f>
        <v>-5.1101204976063963</v>
      </c>
      <c r="AA5" s="1">
        <f>[1]Results!AD1365</f>
        <v>-5.2291601435226598</v>
      </c>
      <c r="AB5" s="1">
        <f>[1]Results!AE1365</f>
        <v>-5.3508425988491481</v>
      </c>
      <c r="AC5" s="1">
        <f>[1]Results!AF1365</f>
        <v>-5.4698862233867445</v>
      </c>
      <c r="AD5" s="1">
        <f>[1]Results!AG1365</f>
        <v>-5.5880643877905145</v>
      </c>
      <c r="AE5" s="1">
        <f>[1]Results!AH1365</f>
        <v>-5.7048290050325967</v>
      </c>
      <c r="AF5" s="1">
        <f>[1]Results!AI1365</f>
        <v>-5.8198241319642356</v>
      </c>
      <c r="AG5" s="1">
        <f>[1]Results!AJ1365</f>
        <v>-5.9327881740333659</v>
      </c>
      <c r="AH5" s="1">
        <f>[1]Results!AK1365</f>
        <v>-6.0422472064345367</v>
      </c>
      <c r="AI5" s="1">
        <f>[1]Results!AL1365</f>
        <v>-6.149066506308321</v>
      </c>
      <c r="AJ5" s="1">
        <f>[1]Results!AM1365</f>
        <v>-6.2532118620604376</v>
      </c>
      <c r="AK5" s="1">
        <f>[1]Results!AN1365</f>
        <v>-6.3547143506894059</v>
      </c>
      <c r="AL5" s="1">
        <f>[1]Results!AO1365</f>
        <v>-6.4536349186979152</v>
      </c>
      <c r="AM5" s="1">
        <f>[1]Results!AP1365</f>
        <v>-6.5394863043749085</v>
      </c>
      <c r="AN5" s="1">
        <f>[1]Results!AQ1365</f>
        <v>-6.6204159253455241</v>
      </c>
      <c r="AO5" s="1">
        <f>[1]Results!AR1365</f>
        <v>-6.6969952377598618</v>
      </c>
      <c r="AP5" s="1">
        <f>[1]Results!AS1365</f>
        <v>-6.7700400308956858</v>
      </c>
      <c r="AQ5" s="1">
        <f>[1]Results!AT1365</f>
        <v>-6.8403135701467281</v>
      </c>
      <c r="AR5" s="1">
        <f>[1]Results!AU1365</f>
        <v>-6.9068240731531727</v>
      </c>
      <c r="AS5" s="1">
        <f>[1]Results!AV1365</f>
        <v>-6.9713071107987297</v>
      </c>
      <c r="AT5" s="1">
        <f>[1]Results!AW1365</f>
        <v>-7.0342346761380847</v>
      </c>
      <c r="AU5" s="1">
        <f>[1]Results!AX1365</f>
        <v>-7.096009163470784</v>
      </c>
      <c r="AV5" s="1">
        <f>[1]Results!AY1365</f>
        <v>-7.1569443855093233</v>
      </c>
      <c r="AW5" s="1">
        <f>[1]Results!AZ1365</f>
        <v>-7.2120205807341131</v>
      </c>
      <c r="AX5" s="1">
        <f>[1]Results!BA1365</f>
        <v>-7.2653276586598476</v>
      </c>
      <c r="AY5" s="1">
        <f>[1]Results!BB1365</f>
        <v>-7.8141825640598572</v>
      </c>
      <c r="AZ5" s="1">
        <f>[1]Results!BC1365</f>
        <v>-8.5505203810644979</v>
      </c>
      <c r="BA5" s="1">
        <f>[1]Results!BD1365</f>
        <v>-9.3436617288755741</v>
      </c>
      <c r="BB5" s="1">
        <f>[1]Results!BE1365</f>
        <v>-0.17309504926293906</v>
      </c>
      <c r="BC5" s="1">
        <f>[1]Results!BF1365</f>
        <v>-0.17504737969170625</v>
      </c>
      <c r="BD5" s="1">
        <f>[1]Results!BG1365</f>
        <v>-0.17671713472687811</v>
      </c>
      <c r="BE5" s="1">
        <f>[1]Results!BH1365</f>
        <v>-0.17817411467598854</v>
      </c>
      <c r="BF5" s="1">
        <f>[1]Results!BI1365</f>
        <v>-0.17947550510799548</v>
      </c>
    </row>
    <row r="6" spans="1:58" x14ac:dyDescent="0.35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-2.0185282324067244</v>
      </c>
      <c r="D6" s="1">
        <f>[1]Results!G1366</f>
        <v>-2.3124539959079371</v>
      </c>
      <c r="E6" s="1">
        <f>[1]Results!H1366</f>
        <v>-2.5643404424622318</v>
      </c>
      <c r="F6" s="1">
        <f>[1]Results!I1366</f>
        <v>-2.7684327490958172</v>
      </c>
      <c r="G6" s="1">
        <f>[1]Results!J1366</f>
        <v>-2.9538419969539986</v>
      </c>
      <c r="H6" s="1">
        <f>[1]Results!K1366</f>
        <v>-3.1413055203020512</v>
      </c>
      <c r="I6" s="1">
        <f>[1]Results!L1366</f>
        <v>-3.3417396111298014</v>
      </c>
      <c r="J6" s="1">
        <f>[1]Results!M1366</f>
        <v>-3.5514048617491634</v>
      </c>
      <c r="K6" s="1">
        <f>[1]Results!N1366</f>
        <v>-3.7635138280640246</v>
      </c>
      <c r="L6" s="1">
        <f>[1]Results!O1366</f>
        <v>-3.9700932356226182</v>
      </c>
      <c r="M6" s="1">
        <f>[1]Results!P1366</f>
        <v>-4.1639701547823371</v>
      </c>
      <c r="N6" s="1">
        <f>[1]Results!Q1366</f>
        <v>-4.3510404676169401</v>
      </c>
      <c r="O6" s="1">
        <f>[1]Results!R1366</f>
        <v>-4.5213945554181461</v>
      </c>
      <c r="P6" s="1">
        <f>[1]Results!S1366</f>
        <v>-4.6757470451406764</v>
      </c>
      <c r="Q6" s="1">
        <f>[1]Results!T1366</f>
        <v>-4.8166742177361161</v>
      </c>
      <c r="R6" s="1">
        <f>[1]Results!U1366</f>
        <v>-4.9478586280080066</v>
      </c>
      <c r="S6" s="1">
        <f>[1]Results!V1366</f>
        <v>-5.0817508809005263</v>
      </c>
      <c r="T6" s="1">
        <f>[1]Results!W1366</f>
        <v>-5.2146167209634946</v>
      </c>
      <c r="U6" s="1">
        <f>[1]Results!X1366</f>
        <v>-5.3491510972718643</v>
      </c>
      <c r="V6" s="1">
        <f>[1]Results!Y1366</f>
        <v>-5.4869792560557684</v>
      </c>
      <c r="W6" s="1">
        <f>[1]Results!Z1366</f>
        <v>-5.6290596325680902</v>
      </c>
      <c r="X6" s="1">
        <f>[1]Results!AA1366</f>
        <v>-5.7749698325131771</v>
      </c>
      <c r="Y6" s="1">
        <f>[1]Results!AB1366</f>
        <v>-5.9244620397690184</v>
      </c>
      <c r="Z6" s="1">
        <f>[1]Results!AC1366</f>
        <v>-6.0768841174547061</v>
      </c>
      <c r="AA6" s="1">
        <f>[1]Results!AD1366</f>
        <v>-6.231357293876572</v>
      </c>
      <c r="AB6" s="1">
        <f>[1]Results!AE1366</f>
        <v>-6.3869663582979186</v>
      </c>
      <c r="AC6" s="1">
        <f>[1]Results!AF1366</f>
        <v>-6.5394516295275595</v>
      </c>
      <c r="AD6" s="1">
        <f>[1]Results!AG1366</f>
        <v>-6.690278264734129</v>
      </c>
      <c r="AE6" s="1">
        <f>[1]Results!AH1366</f>
        <v>-6.8388616296649829</v>
      </c>
      <c r="AF6" s="1">
        <f>[1]Results!AI1366</f>
        <v>-6.9848323264043444</v>
      </c>
      <c r="AG6" s="1">
        <f>[1]Results!AJ1366</f>
        <v>-7.1279402849155904</v>
      </c>
      <c r="AH6" s="1">
        <f>[1]Results!AK1366</f>
        <v>-7.2664288223141416</v>
      </c>
      <c r="AI6" s="1">
        <f>[1]Results!AL1366</f>
        <v>-7.4014944626251804</v>
      </c>
      <c r="AJ6" s="1">
        <f>[1]Results!AM1366</f>
        <v>-7.5331503164076885</v>
      </c>
      <c r="AK6" s="1">
        <f>[1]Results!AN1366</f>
        <v>-7.6614915826388907</v>
      </c>
      <c r="AL6" s="1">
        <f>[1]Results!AO1366</f>
        <v>-7.7866466309074678</v>
      </c>
      <c r="AM6" s="1">
        <f>[1]Results!AP1366</f>
        <v>-7.8953532785280949</v>
      </c>
      <c r="AN6" s="1">
        <f>[1]Results!AQ1366</f>
        <v>-7.9985368547715758</v>
      </c>
      <c r="AO6" s="1">
        <f>[1]Results!AR1366</f>
        <v>-8.0967424521962368</v>
      </c>
      <c r="AP6" s="1">
        <f>[1]Results!AS1366</f>
        <v>-8.1908845704127486</v>
      </c>
      <c r="AQ6" s="1">
        <f>[1]Results!AT1366</f>
        <v>-8.2818372173258048</v>
      </c>
      <c r="AR6" s="1">
        <f>[1]Results!AU1366</f>
        <v>-8.368313395226302</v>
      </c>
      <c r="AS6" s="1">
        <f>[1]Results!AV1366</f>
        <v>-8.4524855840895636</v>
      </c>
      <c r="AT6" s="1">
        <f>[1]Results!AW1366</f>
        <v>-8.5348936788492757</v>
      </c>
      <c r="AU6" s="1">
        <f>[1]Results!AX1366</f>
        <v>-8.6160078557593778</v>
      </c>
      <c r="AV6" s="1">
        <f>[1]Results!AY1366</f>
        <v>-8.6961961847667801</v>
      </c>
      <c r="AW6" s="1">
        <f>[1]Results!AZ1366</f>
        <v>-8.7692221528212766</v>
      </c>
      <c r="AX6" s="1">
        <f>[1]Results!BA1366</f>
        <v>-8.8402716886527557</v>
      </c>
      <c r="AY6" s="1">
        <f>[1]Results!BB1366</f>
        <v>-9.9802132146582512</v>
      </c>
      <c r="AZ6" s="1">
        <f>[1]Results!BC1366</f>
        <v>-11.045969750613294</v>
      </c>
      <c r="BA6" s="1">
        <f>[1]Results!BD1366</f>
        <v>-12.052518107159738</v>
      </c>
      <c r="BB6" s="1">
        <f>[1]Results!BE1366</f>
        <v>-0.23572931163051702</v>
      </c>
      <c r="BC6" s="1">
        <f>[1]Results!BF1366</f>
        <v>-0.23913277799035848</v>
      </c>
      <c r="BD6" s="1">
        <f>[1]Results!BG1366</f>
        <v>-0.24217281316902817</v>
      </c>
      <c r="BE6" s="1">
        <f>[1]Results!BH1366</f>
        <v>-0.24492995704027409</v>
      </c>
      <c r="BF6" s="1">
        <f>[1]Results!BI1366</f>
        <v>-0.24747210843392153</v>
      </c>
    </row>
    <row r="7" spans="1:58" x14ac:dyDescent="0.35">
      <c r="A7" s="3" t="str">
        <f>[1]Results!E1367</f>
        <v>100*((CH_2-CH_0)/GDP_0)</v>
      </c>
      <c r="B7" t="s">
        <v>19</v>
      </c>
      <c r="C7" s="1">
        <f>[1]Results!F1367</f>
        <v>-0.22865022750476488</v>
      </c>
      <c r="D7" s="1">
        <f>[1]Results!G1367</f>
        <v>-0.56532103615386065</v>
      </c>
      <c r="E7" s="1">
        <f>[1]Results!H1367</f>
        <v>-0.89467593571698389</v>
      </c>
      <c r="F7" s="1">
        <f>[1]Results!I1367</f>
        <v>-1.2029682420186654</v>
      </c>
      <c r="G7" s="1">
        <f>[1]Results!J1367</f>
        <v>-1.4903520259974274</v>
      </c>
      <c r="H7" s="1">
        <f>[1]Results!K1367</f>
        <v>-1.7563557432359549</v>
      </c>
      <c r="I7" s="1">
        <f>[1]Results!L1367</f>
        <v>-1.9987923965879415</v>
      </c>
      <c r="J7" s="1">
        <f>[1]Results!M1367</f>
        <v>-2.2107726689349296</v>
      </c>
      <c r="K7" s="1">
        <f>[1]Results!N1367</f>
        <v>-2.3865683887135622</v>
      </c>
      <c r="L7" s="1">
        <f>[1]Results!O1367</f>
        <v>-2.5223894982665227</v>
      </c>
      <c r="M7" s="1">
        <f>[1]Results!P1367</f>
        <v>-2.6159192828216127</v>
      </c>
      <c r="N7" s="1">
        <f>[1]Results!Q1367</f>
        <v>-2.6745563786150619</v>
      </c>
      <c r="O7" s="1">
        <f>[1]Results!R1367</f>
        <v>-2.6997875458519802</v>
      </c>
      <c r="P7" s="1">
        <f>[1]Results!S1367</f>
        <v>-2.6975045714891932</v>
      </c>
      <c r="Q7" s="1">
        <f>[1]Results!T1367</f>
        <v>-2.6746219093811887</v>
      </c>
      <c r="R7" s="1">
        <f>[1]Results!U1367</f>
        <v>-2.638236301623178</v>
      </c>
      <c r="S7" s="1">
        <f>[1]Results!V1367</f>
        <v>-2.5969061428103504</v>
      </c>
      <c r="T7" s="1">
        <f>[1]Results!W1367</f>
        <v>-2.5554002748119373</v>
      </c>
      <c r="U7" s="1">
        <f>[1]Results!X1367</f>
        <v>-2.5176938509247626</v>
      </c>
      <c r="V7" s="1">
        <f>[1]Results!Y1367</f>
        <v>-2.4864418162195969</v>
      </c>
      <c r="W7" s="1">
        <f>[1]Results!Z1367</f>
        <v>-2.464090487480842</v>
      </c>
      <c r="X7" s="1">
        <f>[1]Results!AA1367</f>
        <v>-2.4490068906321349</v>
      </c>
      <c r="Y7" s="1">
        <f>[1]Results!AB1367</f>
        <v>-2.4425003936813146</v>
      </c>
      <c r="Z7" s="1">
        <f>[1]Results!AC1367</f>
        <v>-2.4441291519028545</v>
      </c>
      <c r="AA7" s="1">
        <f>[1]Results!AD1367</f>
        <v>-2.4531493973614662</v>
      </c>
      <c r="AB7" s="1">
        <f>[1]Results!AE1367</f>
        <v>-2.4709651688430534</v>
      </c>
      <c r="AC7" s="1">
        <f>[1]Results!AF1367</f>
        <v>-2.4908107341052514</v>
      </c>
      <c r="AD7" s="1">
        <f>[1]Results!AG1367</f>
        <v>-2.5139540157852194</v>
      </c>
      <c r="AE7" s="1">
        <f>[1]Results!AH1367</f>
        <v>-2.5397644421668981</v>
      </c>
      <c r="AF7" s="1">
        <f>[1]Results!AI1367</f>
        <v>-2.5677364265709599</v>
      </c>
      <c r="AG7" s="1">
        <f>[1]Results!AJ1367</f>
        <v>-2.5974106789083349</v>
      </c>
      <c r="AH7" s="1">
        <f>[1]Results!AK1367</f>
        <v>-2.6279187291667094</v>
      </c>
      <c r="AI7" s="1">
        <f>[1]Results!AL1367</f>
        <v>-2.6590882399618696</v>
      </c>
      <c r="AJ7" s="1">
        <f>[1]Results!AM1367</f>
        <v>-2.6906721994977882</v>
      </c>
      <c r="AK7" s="1">
        <f>[1]Results!AN1367</f>
        <v>-2.7224728239552816</v>
      </c>
      <c r="AL7" s="1">
        <f>[1]Results!AO1367</f>
        <v>-2.7543235862370103</v>
      </c>
      <c r="AM7" s="1">
        <f>[1]Results!AP1367</f>
        <v>-2.7826561965768142</v>
      </c>
      <c r="AN7" s="1">
        <f>[1]Results!AQ1367</f>
        <v>-2.8082932924431447</v>
      </c>
      <c r="AO7" s="1">
        <f>[1]Results!AR1367</f>
        <v>-2.8318235221312484</v>
      </c>
      <c r="AP7" s="1">
        <f>[1]Results!AS1367</f>
        <v>-2.8538866208917648</v>
      </c>
      <c r="AQ7" s="1">
        <f>[1]Results!AT1367</f>
        <v>-2.8750322759276128</v>
      </c>
      <c r="AR7" s="1">
        <f>[1]Results!AU1367</f>
        <v>-2.8950577987482533</v>
      </c>
      <c r="AS7" s="1">
        <f>[1]Results!AV1367</f>
        <v>-2.9145454844105712</v>
      </c>
      <c r="AT7" s="1">
        <f>[1]Results!AW1367</f>
        <v>-2.9338104515648693</v>
      </c>
      <c r="AU7" s="1">
        <f>[1]Results!AX1367</f>
        <v>-2.9531030401527554</v>
      </c>
      <c r="AV7" s="1">
        <f>[1]Results!AY1367</f>
        <v>-2.9726150482023681</v>
      </c>
      <c r="AW7" s="1">
        <f>[1]Results!AZ1367</f>
        <v>-2.9903944901770609</v>
      </c>
      <c r="AX7" s="1">
        <f>[1]Results!BA1367</f>
        <v>-3.0076084670299159</v>
      </c>
      <c r="AY7" s="1">
        <f>[1]Results!BB1367</f>
        <v>-3.4639076848637491</v>
      </c>
      <c r="AZ7" s="1">
        <f>[1]Results!BC1367</f>
        <v>-4.0743808944875068</v>
      </c>
      <c r="BA7" s="1">
        <f>[1]Results!BD1367</f>
        <v>-4.732733609705166</v>
      </c>
      <c r="BB7" s="1">
        <f>[1]Results!BE1367</f>
        <v>2.4627260846567238E-2</v>
      </c>
      <c r="BC7" s="1">
        <f>[1]Results!BF1367</f>
        <v>2.6598171712759654E-2</v>
      </c>
      <c r="BD7" s="1">
        <f>[1]Results!BG1367</f>
        <v>2.8484324639781216E-2</v>
      </c>
      <c r="BE7" s="1">
        <f>[1]Results!BH1367</f>
        <v>3.0234981441569546E-2</v>
      </c>
      <c r="BF7" s="1">
        <f>[1]Results!BI1367</f>
        <v>3.1819722090826522E-2</v>
      </c>
    </row>
    <row r="8" spans="1:58" x14ac:dyDescent="0.35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-2.5968107634626074E-4</v>
      </c>
      <c r="D8" s="1">
        <f>[1]Results!G1368</f>
        <v>-2.5837884155434164E-2</v>
      </c>
      <c r="E8" s="1">
        <f>[1]Results!H1368</f>
        <v>-6.5894864722789312E-2</v>
      </c>
      <c r="F8" s="1">
        <f>[1]Results!I1368</f>
        <v>-0.10296652425204897</v>
      </c>
      <c r="G8" s="1">
        <f>[1]Results!J1368</f>
        <v>-0.13149391880112415</v>
      </c>
      <c r="H8" s="1">
        <f>[1]Results!K1368</f>
        <v>-0.15029326941273186</v>
      </c>
      <c r="I8" s="1">
        <f>[1]Results!L1368</f>
        <v>-0.16017754947607554</v>
      </c>
      <c r="J8" s="1">
        <f>[1]Results!M1368</f>
        <v>-0.16249780791135635</v>
      </c>
      <c r="K8" s="1">
        <f>[1]Results!N1368</f>
        <v>-0.15885154725587955</v>
      </c>
      <c r="L8" s="1">
        <f>[1]Results!O1368</f>
        <v>-0.15082810510551389</v>
      </c>
      <c r="M8" s="1">
        <f>[1]Results!P1368</f>
        <v>-0.13990095609095612</v>
      </c>
      <c r="N8" s="1">
        <f>[1]Results!Q1368</f>
        <v>-0.1276200472871607</v>
      </c>
      <c r="O8" s="1">
        <f>[1]Results!R1368</f>
        <v>-0.11498184375198688</v>
      </c>
      <c r="P8" s="1">
        <f>[1]Results!S1368</f>
        <v>-0.10282548091257887</v>
      </c>
      <c r="Q8" s="1">
        <f>[1]Results!T1368</f>
        <v>-9.1786589283603698E-2</v>
      </c>
      <c r="R8" s="1">
        <f>[1]Results!U1368</f>
        <v>-8.2259606284784875E-2</v>
      </c>
      <c r="S8" s="1">
        <f>[1]Results!V1368</f>
        <v>-7.4545606178293672E-2</v>
      </c>
      <c r="T8" s="1">
        <f>[1]Results!W1368</f>
        <v>-6.8603470327828972E-2</v>
      </c>
      <c r="U8" s="1">
        <f>[1]Results!X1368</f>
        <v>-6.4220938468147817E-2</v>
      </c>
      <c r="V8" s="1">
        <f>[1]Results!Y1368</f>
        <v>-6.1169864701632652E-2</v>
      </c>
      <c r="W8" s="1">
        <f>[1]Results!Z1368</f>
        <v>-5.9215807981299454E-2</v>
      </c>
      <c r="X8" s="1">
        <f>[1]Results!AA1368</f>
        <v>-5.8056593543687605E-2</v>
      </c>
      <c r="Y8" s="1">
        <f>[1]Results!AB1368</f>
        <v>-5.7513307583110164E-2</v>
      </c>
      <c r="Z8" s="1">
        <f>[1]Results!AC1368</f>
        <v>-5.7410920776524016E-2</v>
      </c>
      <c r="AA8" s="1">
        <f>[1]Results!AD1368</f>
        <v>-5.7595956961284292E-2</v>
      </c>
      <c r="AB8" s="1">
        <f>[1]Results!AE1368</f>
        <v>-5.7996219504455229E-2</v>
      </c>
      <c r="AC8" s="1">
        <f>[1]Results!AF1368</f>
        <v>-5.8331411594478882E-2</v>
      </c>
      <c r="AD8" s="1">
        <f>[1]Results!AG1368</f>
        <v>-5.8612414388080382E-2</v>
      </c>
      <c r="AE8" s="1">
        <f>[1]Results!AH1368</f>
        <v>-5.8859937242467991E-2</v>
      </c>
      <c r="AF8" s="1">
        <f>[1]Results!AI1368</f>
        <v>-5.905663416971383E-2</v>
      </c>
      <c r="AG8" s="1">
        <f>[1]Results!AJ1368</f>
        <v>-5.9186161939550945E-2</v>
      </c>
      <c r="AH8" s="1">
        <f>[1]Results!AK1368</f>
        <v>-5.9210350725384747E-2</v>
      </c>
      <c r="AI8" s="1">
        <f>[1]Results!AL1368</f>
        <v>-5.9124125156704614E-2</v>
      </c>
      <c r="AJ8" s="1">
        <f>[1]Results!AM1368</f>
        <v>-5.8934896050953894E-2</v>
      </c>
      <c r="AK8" s="1">
        <f>[1]Results!AN1368</f>
        <v>-5.8639098109820938E-2</v>
      </c>
      <c r="AL8" s="1">
        <f>[1]Results!AO1368</f>
        <v>-5.8233714879561478E-2</v>
      </c>
      <c r="AM8" s="1">
        <f>[1]Results!AP1368</f>
        <v>-5.7540227607165463E-2</v>
      </c>
      <c r="AN8" s="1">
        <f>[1]Results!AQ1368</f>
        <v>-5.6600048901768091E-2</v>
      </c>
      <c r="AO8" s="1">
        <f>[1]Results!AR1368</f>
        <v>-5.5563878274751982E-2</v>
      </c>
      <c r="AP8" s="1">
        <f>[1]Results!AS1368</f>
        <v>-5.4470501725756466E-2</v>
      </c>
      <c r="AQ8" s="1">
        <f>[1]Results!AT1368</f>
        <v>-5.3338521426471615E-2</v>
      </c>
      <c r="AR8" s="1">
        <f>[1]Results!AU1368</f>
        <v>-5.2142479250427295E-2</v>
      </c>
      <c r="AS8" s="1">
        <f>[1]Results!AV1368</f>
        <v>-5.0887063690775836E-2</v>
      </c>
      <c r="AT8" s="1">
        <f>[1]Results!AW1368</f>
        <v>-4.9587968119249495E-2</v>
      </c>
      <c r="AU8" s="1">
        <f>[1]Results!AX1368</f>
        <v>-4.8243770900085817E-2</v>
      </c>
      <c r="AV8" s="1">
        <f>[1]Results!AY1368</f>
        <v>-4.685276630768035E-2</v>
      </c>
      <c r="AW8" s="1">
        <f>[1]Results!AZ1368</f>
        <v>-4.5326050662120594E-2</v>
      </c>
      <c r="AX8" s="1">
        <f>[1]Results!BA1368</f>
        <v>-4.3699618451538975E-2</v>
      </c>
      <c r="AY8" s="1">
        <f>[1]Results!BB1368</f>
        <v>-0.16554008590513336</v>
      </c>
      <c r="AZ8" s="1">
        <f>[1]Results!BC1368</f>
        <v>-0.22160565411345018</v>
      </c>
      <c r="BA8" s="1">
        <f>[1]Results!BD1368</f>
        <v>-0.25015777676765266</v>
      </c>
      <c r="BB8" s="1">
        <f>[1]Results!BE1368</f>
        <v>6.2562576488679683E-3</v>
      </c>
      <c r="BC8" s="1">
        <f>[1]Results!BF1368</f>
        <v>6.4977563843595931E-3</v>
      </c>
      <c r="BD8" s="1">
        <f>[1]Results!BG1368</f>
        <v>6.7405093711651069E-3</v>
      </c>
      <c r="BE8" s="1">
        <f>[1]Results!BH1368</f>
        <v>6.9831096687923509E-3</v>
      </c>
      <c r="BF8" s="1">
        <f>[1]Results!BI1368</f>
        <v>7.2267607524996134E-3</v>
      </c>
    </row>
    <row r="9" spans="1:58" x14ac:dyDescent="0.35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  <c r="AM9" s="1">
        <f>[1]Results!AP1369</f>
        <v>0</v>
      </c>
      <c r="AN9" s="1">
        <f>[1]Results!AQ1369</f>
        <v>0</v>
      </c>
      <c r="AO9" s="1">
        <f>[1]Results!AR1369</f>
        <v>0</v>
      </c>
      <c r="AP9" s="1">
        <f>[1]Results!AS1369</f>
        <v>0</v>
      </c>
      <c r="AQ9" s="1">
        <f>[1]Results!AT1369</f>
        <v>0</v>
      </c>
      <c r="AR9" s="1">
        <f>[1]Results!AU1369</f>
        <v>0</v>
      </c>
      <c r="AS9" s="1">
        <f>[1]Results!AV1369</f>
        <v>0</v>
      </c>
      <c r="AT9" s="1">
        <f>[1]Results!AW1369</f>
        <v>0</v>
      </c>
      <c r="AU9" s="1">
        <f>[1]Results!AX1369</f>
        <v>0</v>
      </c>
      <c r="AV9" s="1">
        <f>[1]Results!AY1369</f>
        <v>0</v>
      </c>
      <c r="AW9" s="1">
        <f>[1]Results!AZ1369</f>
        <v>0</v>
      </c>
      <c r="AX9" s="1">
        <f>[1]Results!BA1369</f>
        <v>0</v>
      </c>
      <c r="AY9" s="1">
        <f>[1]Results!BB1369</f>
        <v>0</v>
      </c>
      <c r="AZ9" s="1">
        <f>[1]Results!BC1369</f>
        <v>0</v>
      </c>
      <c r="BA9" s="1">
        <f>[1]Results!BD1369</f>
        <v>0</v>
      </c>
      <c r="BB9" s="1">
        <f>[1]Results!BE1369</f>
        <v>0</v>
      </c>
      <c r="BC9" s="1">
        <f>[1]Results!BF1369</f>
        <v>0</v>
      </c>
      <c r="BD9" s="1">
        <f>[1]Results!BG1369</f>
        <v>0</v>
      </c>
      <c r="BE9" s="1">
        <f>[1]Results!BH1369</f>
        <v>0</v>
      </c>
      <c r="BF9" s="1">
        <f>[1]Results!BI1369</f>
        <v>0</v>
      </c>
    </row>
    <row r="10" spans="1:58" x14ac:dyDescent="0.35">
      <c r="A10" s="3" t="str">
        <f>[1]Results!E1370</f>
        <v>100*((I_2-I_0)/GDP_0)</v>
      </c>
      <c r="B10" t="s">
        <v>21</v>
      </c>
      <c r="C10" s="1">
        <f>[1]Results!F1370</f>
        <v>-0.21438918413539168</v>
      </c>
      <c r="D10" s="1">
        <f>[1]Results!G1370</f>
        <v>-0.33320621412426371</v>
      </c>
      <c r="E10" s="1">
        <f>[1]Results!H1370</f>
        <v>-0.3969262066320649</v>
      </c>
      <c r="F10" s="1">
        <f>[1]Results!I1370</f>
        <v>-0.43933265590599158</v>
      </c>
      <c r="G10" s="1">
        <f>[1]Results!J1370</f>
        <v>-0.48002468926697645</v>
      </c>
      <c r="H10" s="1">
        <f>[1]Results!K1370</f>
        <v>-0.5293808316661428</v>
      </c>
      <c r="I10" s="1">
        <f>[1]Results!L1370</f>
        <v>-0.59188169262972801</v>
      </c>
      <c r="J10" s="1">
        <f>[1]Results!M1370</f>
        <v>-0.66681177249908841</v>
      </c>
      <c r="K10" s="1">
        <f>[1]Results!N1370</f>
        <v>-0.75126117377509405</v>
      </c>
      <c r="L10" s="1">
        <f>[1]Results!O1370</f>
        <v>-0.84130317008747191</v>
      </c>
      <c r="M10" s="1">
        <f>[1]Results!P1370</f>
        <v>-0.93253917796288277</v>
      </c>
      <c r="N10" s="1">
        <f>[1]Results!Q1370</f>
        <v>-1.0239403059804131</v>
      </c>
      <c r="O10" s="1">
        <f>[1]Results!R1370</f>
        <v>-1.1119851618819068</v>
      </c>
      <c r="P10" s="1">
        <f>[1]Results!S1370</f>
        <v>-1.195030154926366</v>
      </c>
      <c r="Q10" s="1">
        <f>[1]Results!T1370</f>
        <v>-1.2723615948502485</v>
      </c>
      <c r="R10" s="1">
        <f>[1]Results!U1370</f>
        <v>-1.343959692526872</v>
      </c>
      <c r="S10" s="1">
        <f>[1]Results!V1370</f>
        <v>-1.4113152614651867</v>
      </c>
      <c r="T10" s="1">
        <f>[1]Results!W1370</f>
        <v>-1.4746343689938617</v>
      </c>
      <c r="U10" s="1">
        <f>[1]Results!X1370</f>
        <v>-1.5344242437775817</v>
      </c>
      <c r="V10" s="1">
        <f>[1]Results!Y1370</f>
        <v>-1.5912268011205564</v>
      </c>
      <c r="W10" s="1">
        <f>[1]Results!Z1370</f>
        <v>-1.6460385406796538</v>
      </c>
      <c r="X10" s="1">
        <f>[1]Results!AA1370</f>
        <v>-1.6979610200583459</v>
      </c>
      <c r="Y10" s="1">
        <f>[1]Results!AB1370</f>
        <v>-1.7479759734778031</v>
      </c>
      <c r="Z10" s="1">
        <f>[1]Results!AC1370</f>
        <v>-1.7961927870115382</v>
      </c>
      <c r="AA10" s="1">
        <f>[1]Results!AD1370</f>
        <v>-1.842674053671066</v>
      </c>
      <c r="AB10" s="1">
        <f>[1]Results!AE1370</f>
        <v>-1.8890327560554456</v>
      </c>
      <c r="AC10" s="1">
        <f>[1]Results!AF1370</f>
        <v>-1.9318382531669553</v>
      </c>
      <c r="AD10" s="1">
        <f>[1]Results!AG1370</f>
        <v>-1.9724674915266032</v>
      </c>
      <c r="AE10" s="1">
        <f>[1]Results!AH1370</f>
        <v>-2.0108938920126866</v>
      </c>
      <c r="AF10" s="1">
        <f>[1]Results!AI1370</f>
        <v>-2.0471198161281725</v>
      </c>
      <c r="AG10" s="1">
        <f>[1]Results!AJ1370</f>
        <v>-2.0811638496348728</v>
      </c>
      <c r="AH10" s="1">
        <f>[1]Results!AK1370</f>
        <v>-2.1128407901325459</v>
      </c>
      <c r="AI10" s="1">
        <f>[1]Results!AL1370</f>
        <v>-2.1422541293343156</v>
      </c>
      <c r="AJ10" s="1">
        <f>[1]Results!AM1370</f>
        <v>-2.1694709206298812</v>
      </c>
      <c r="AK10" s="1">
        <f>[1]Results!AN1370</f>
        <v>-2.1945521590753714</v>
      </c>
      <c r="AL10" s="1">
        <f>[1]Results!AO1370</f>
        <v>-2.2175601195224526</v>
      </c>
      <c r="AM10" s="1">
        <f>[1]Results!AP1370</f>
        <v>-2.2371582829687595</v>
      </c>
      <c r="AN10" s="1">
        <f>[1]Results!AQ1370</f>
        <v>-2.2535055779504982</v>
      </c>
      <c r="AO10" s="1">
        <f>[1]Results!AR1370</f>
        <v>-2.2670167330591724</v>
      </c>
      <c r="AP10" s="1">
        <f>[1]Results!AS1370</f>
        <v>-2.2780114455939766</v>
      </c>
      <c r="AQ10" s="1">
        <f>[1]Results!AT1370</f>
        <v>-2.2867714711268783</v>
      </c>
      <c r="AR10" s="1">
        <f>[1]Results!AU1370</f>
        <v>-2.2932731561786821</v>
      </c>
      <c r="AS10" s="1">
        <f>[1]Results!AV1370</f>
        <v>-2.2978283834194713</v>
      </c>
      <c r="AT10" s="1">
        <f>[1]Results!AW1370</f>
        <v>-2.3006736796311529</v>
      </c>
      <c r="AU10" s="1">
        <f>[1]Results!AX1370</f>
        <v>-2.3020080003303174</v>
      </c>
      <c r="AV10" s="1">
        <f>[1]Results!AY1370</f>
        <v>-2.3020013095706173</v>
      </c>
      <c r="AW10" s="1">
        <f>[1]Results!AZ1370</f>
        <v>-2.2998702817862924</v>
      </c>
      <c r="AX10" s="1">
        <f>[1]Results!BA1370</f>
        <v>-2.2960687188745132</v>
      </c>
      <c r="AY10" s="1">
        <f>[1]Results!BB1370</f>
        <v>-2.4758539895929408</v>
      </c>
      <c r="AZ10" s="1">
        <f>[1]Results!BC1370</f>
        <v>-2.6896053336652104</v>
      </c>
      <c r="BA10" s="1">
        <f>[1]Results!BD1370</f>
        <v>-2.9134177166302933</v>
      </c>
      <c r="BB10" s="1">
        <f>[1]Results!BE1370</f>
        <v>-4.521236430945175E-3</v>
      </c>
      <c r="BC10" s="1">
        <f>[1]Results!BF1370</f>
        <v>7.2949558812879342E-4</v>
      </c>
      <c r="BD10" s="1">
        <f>[1]Results!BG1370</f>
        <v>6.3874356486643144E-3</v>
      </c>
      <c r="BE10" s="1">
        <f>[1]Results!BH1370</f>
        <v>1.2419202628000638E-2</v>
      </c>
      <c r="BF10" s="1">
        <f>[1]Results!BI1370</f>
        <v>1.8789179124359609E-2</v>
      </c>
    </row>
    <row r="11" spans="1:58" x14ac:dyDescent="0.35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  <c r="AM11" s="1">
        <f>[1]Results!AP1371</f>
        <v>0</v>
      </c>
      <c r="AN11" s="1">
        <f>[1]Results!AQ1371</f>
        <v>0</v>
      </c>
      <c r="AO11" s="1">
        <f>[1]Results!AR1371</f>
        <v>0</v>
      </c>
      <c r="AP11" s="1">
        <f>[1]Results!AS1371</f>
        <v>0</v>
      </c>
      <c r="AQ11" s="1">
        <f>[1]Results!AT1371</f>
        <v>0</v>
      </c>
      <c r="AR11" s="1">
        <f>[1]Results!AU1371</f>
        <v>0</v>
      </c>
      <c r="AS11" s="1">
        <f>[1]Results!AV1371</f>
        <v>0</v>
      </c>
      <c r="AT11" s="1">
        <f>[1]Results!AW1371</f>
        <v>0</v>
      </c>
      <c r="AU11" s="1">
        <f>[1]Results!AX1371</f>
        <v>0</v>
      </c>
      <c r="AV11" s="1">
        <f>[1]Results!AY1371</f>
        <v>0</v>
      </c>
      <c r="AW11" s="1">
        <f>[1]Results!AZ1371</f>
        <v>0</v>
      </c>
      <c r="AX11" s="1">
        <f>[1]Results!BA1371</f>
        <v>0</v>
      </c>
      <c r="AY11" s="1">
        <f>[1]Results!BB1371</f>
        <v>0</v>
      </c>
      <c r="AZ11" s="1">
        <f>[1]Results!BC1371</f>
        <v>0</v>
      </c>
      <c r="BA11" s="1">
        <f>[1]Results!BD1371</f>
        <v>0</v>
      </c>
      <c r="BB11" s="1">
        <f>[1]Results!BE1371</f>
        <v>0</v>
      </c>
      <c r="BC11" s="1">
        <f>[1]Results!BF1371</f>
        <v>0</v>
      </c>
      <c r="BD11" s="1">
        <f>[1]Results!BG1371</f>
        <v>0</v>
      </c>
      <c r="BE11" s="1">
        <f>[1]Results!BH1371</f>
        <v>0</v>
      </c>
      <c r="BF11" s="1">
        <f>[1]Results!BI1371</f>
        <v>0</v>
      </c>
    </row>
    <row r="12" spans="1:58" x14ac:dyDescent="0.35">
      <c r="A12" s="3" t="str">
        <f>[1]Results!E1372</f>
        <v>100*((X_2-X_0)/GDP_0)-100*((M_2-M_0)/GDP_0)</v>
      </c>
      <c r="B12" t="s">
        <v>20</v>
      </c>
      <c r="C12" s="1">
        <f>[1]Results!F1372</f>
        <v>-1.1636909578457058</v>
      </c>
      <c r="D12" s="1">
        <f>[1]Results!G1372</f>
        <v>-1.0039557865570834</v>
      </c>
      <c r="E12" s="1">
        <f>[1]Results!H1372</f>
        <v>-0.8642285042534319</v>
      </c>
      <c r="F12" s="1">
        <f>[1]Results!I1372</f>
        <v>-0.72459805363879659</v>
      </c>
      <c r="G12" s="1">
        <f>[1]Results!J1372</f>
        <v>-0.58851838665808454</v>
      </c>
      <c r="H12" s="1">
        <f>[1]Results!K1372</f>
        <v>-0.46213717884236449</v>
      </c>
      <c r="I12" s="1">
        <f>[1]Results!L1372</f>
        <v>-0.35149216464736521</v>
      </c>
      <c r="J12" s="1">
        <f>[1]Results!M1372</f>
        <v>-0.26037724196107148</v>
      </c>
      <c r="K12" s="1">
        <f>[1]Results!N1372</f>
        <v>-0.19154612493083301</v>
      </c>
      <c r="L12" s="1">
        <f>[1]Results!O1372</f>
        <v>-0.14617088859397787</v>
      </c>
      <c r="M12" s="1">
        <f>[1]Results!P1372</f>
        <v>-0.12505127133726401</v>
      </c>
      <c r="N12" s="1">
        <f>[1]Results!Q1372</f>
        <v>-0.1279946062294719</v>
      </c>
      <c r="O12" s="1">
        <f>[1]Results!R1372</f>
        <v>-0.14948448679743609</v>
      </c>
      <c r="P12" s="1">
        <f>[1]Results!S1372</f>
        <v>-0.18676872831966862</v>
      </c>
      <c r="Q12" s="1">
        <f>[1]Results!T1372</f>
        <v>-0.23673146406463341</v>
      </c>
      <c r="R12" s="1">
        <f>[1]Results!U1372</f>
        <v>-0.29625230017067761</v>
      </c>
      <c r="S12" s="1">
        <f>[1]Results!V1372</f>
        <v>-0.36616404557521509</v>
      </c>
      <c r="T12" s="1">
        <f>[1]Results!W1372</f>
        <v>-0.43944439223708898</v>
      </c>
      <c r="U12" s="1">
        <f>[1]Results!X1372</f>
        <v>-0.51427177350978548</v>
      </c>
      <c r="V12" s="1">
        <f>[1]Results!Y1372</f>
        <v>-0.58910451687858023</v>
      </c>
      <c r="W12" s="1">
        <f>[1]Results!Z1372</f>
        <v>-0.66176721485181433</v>
      </c>
      <c r="X12" s="1">
        <f>[1]Results!AA1372</f>
        <v>-0.73382333311046244</v>
      </c>
      <c r="Y12" s="1">
        <f>[1]Results!AB1372</f>
        <v>-0.80325419084777527</v>
      </c>
      <c r="Z12" s="1">
        <f>[1]Results!AC1372</f>
        <v>-0.86979854889311659</v>
      </c>
      <c r="AA12" s="1">
        <f>[1]Results!AD1372</f>
        <v>-0.93333670859223306</v>
      </c>
      <c r="AB12" s="1">
        <f>[1]Results!AE1372</f>
        <v>-0.99084467713184443</v>
      </c>
      <c r="AC12" s="1">
        <f>[1]Results!AF1372</f>
        <v>-1.0472372172708875</v>
      </c>
      <c r="AD12" s="1">
        <f>[1]Results!AG1372</f>
        <v>-1.1016429052857122</v>
      </c>
      <c r="AE12" s="1">
        <f>[1]Results!AH1372</f>
        <v>-1.154170670853004</v>
      </c>
      <c r="AF12" s="1">
        <f>[1]Results!AI1372</f>
        <v>-1.2049678801952433</v>
      </c>
      <c r="AG12" s="1">
        <f>[1]Results!AJ1372</f>
        <v>-1.2542136514606552</v>
      </c>
      <c r="AH12" s="1">
        <f>[1]Results!AK1372</f>
        <v>-1.3014876871352854</v>
      </c>
      <c r="AI12" s="1">
        <f>[1]Results!AL1372</f>
        <v>-1.3477241137277174</v>
      </c>
      <c r="AJ12" s="1">
        <f>[1]Results!AM1372</f>
        <v>-1.3930687333111096</v>
      </c>
      <c r="AK12" s="1">
        <f>[1]Results!AN1372</f>
        <v>-1.4376893619833937</v>
      </c>
      <c r="AL12" s="1">
        <f>[1]Results!AO1372</f>
        <v>-1.4817512241461617</v>
      </c>
      <c r="AM12" s="1">
        <f>[1]Results!AP1372</f>
        <v>-1.5196718303647958</v>
      </c>
      <c r="AN12" s="1">
        <f>[1]Results!AQ1372</f>
        <v>-1.5586170248755482</v>
      </c>
      <c r="AO12" s="1">
        <f>[1]Results!AR1372</f>
        <v>-1.5981549933746715</v>
      </c>
      <c r="AP12" s="1">
        <f>[1]Results!AS1372</f>
        <v>-1.6381419724168049</v>
      </c>
      <c r="AQ12" s="1">
        <f>[1]Results!AT1372</f>
        <v>-1.6785098521001562</v>
      </c>
      <c r="AR12" s="1">
        <f>[1]Results!AU1372</f>
        <v>-1.7184930947752837</v>
      </c>
      <c r="AS12" s="1">
        <f>[1]Results!AV1372</f>
        <v>-1.7589332558419875</v>
      </c>
      <c r="AT12" s="1">
        <f>[1]Results!AW1372</f>
        <v>-1.7997505271336536</v>
      </c>
      <c r="AU12" s="1">
        <f>[1]Results!AX1372</f>
        <v>-1.8408980752243904</v>
      </c>
      <c r="AV12" s="1">
        <f>[1]Results!AY1372</f>
        <v>-1.8823280451246873</v>
      </c>
      <c r="AW12" s="1">
        <f>[1]Results!AZ1372</f>
        <v>-1.9217558406799617</v>
      </c>
      <c r="AX12" s="1">
        <f>[1]Results!BA1372</f>
        <v>-1.9616504994351618</v>
      </c>
      <c r="AY12" s="1">
        <f>[1]Results!BB1372</f>
        <v>-1.8744208728263851</v>
      </c>
      <c r="AZ12" s="1">
        <f>[1]Results!BC1372</f>
        <v>-1.7865341576483873</v>
      </c>
      <c r="BA12" s="1">
        <f>[1]Results!BD1372</f>
        <v>-1.697510386157961</v>
      </c>
      <c r="BB12" s="1">
        <f>[1]Results!BE1372</f>
        <v>-0.19320109391079338</v>
      </c>
      <c r="BC12" s="1">
        <f>[1]Results!BF1372</f>
        <v>-0.20237502709255517</v>
      </c>
      <c r="BD12" s="1">
        <f>[1]Results!BG1372</f>
        <v>-0.21158891458899307</v>
      </c>
      <c r="BE12" s="1">
        <f>[1]Results!BH1372</f>
        <v>-0.22082829874555396</v>
      </c>
      <c r="BF12" s="1">
        <f>[1]Results!BI1372</f>
        <v>-0.23008438738529277</v>
      </c>
    </row>
    <row r="13" spans="1:58" x14ac:dyDescent="0.35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-0.22559165446958893</v>
      </c>
      <c r="D13" s="1">
        <f>[1]Results!G1373</f>
        <v>-0.55787574712803656</v>
      </c>
      <c r="E13" s="1">
        <f>[1]Results!H1373</f>
        <v>-0.88322885772807269</v>
      </c>
      <c r="F13" s="1">
        <f>[1]Results!I1373</f>
        <v>-1.1873830582686888</v>
      </c>
      <c r="G13" s="1">
        <f>[1]Results!J1373</f>
        <v>-1.4701085348174776</v>
      </c>
      <c r="H13" s="1">
        <f>[1]Results!K1373</f>
        <v>-1.7309149978562726</v>
      </c>
      <c r="I13" s="1">
        <f>[1]Results!L1373</f>
        <v>-1.9678735240683889</v>
      </c>
      <c r="J13" s="1">
        <f>[1]Results!M1373</f>
        <v>-2.1745347745431314</v>
      </c>
      <c r="K13" s="1">
        <f>[1]Results!N1373</f>
        <v>-2.3455781160150031</v>
      </c>
      <c r="L13" s="1">
        <f>[1]Results!O1373</f>
        <v>-2.4775113167322123</v>
      </c>
      <c r="M13" s="1">
        <f>[1]Results!P1373</f>
        <v>-2.5681997630999187</v>
      </c>
      <c r="N13" s="1">
        <f>[1]Results!Q1373</f>
        <v>-2.6249667564990427</v>
      </c>
      <c r="O13" s="1">
        <f>[1]Results!R1373</f>
        <v>-2.6492706903800047</v>
      </c>
      <c r="P13" s="1">
        <f>[1]Results!S1373</f>
        <v>-2.6468567624796124</v>
      </c>
      <c r="Q13" s="1">
        <f>[1]Results!T1373</f>
        <v>-2.6244527264185598</v>
      </c>
      <c r="R13" s="1">
        <f>[1]Results!U1373</f>
        <v>-2.5889576445305731</v>
      </c>
      <c r="S13" s="1">
        <f>[1]Results!V1373</f>
        <v>-2.5487070578211921</v>
      </c>
      <c r="T13" s="1">
        <f>[1]Results!W1373</f>
        <v>-2.5083293396292028</v>
      </c>
      <c r="U13" s="1">
        <f>[1]Results!X1373</f>
        <v>-2.4716863202176085</v>
      </c>
      <c r="V13" s="1">
        <f>[1]Results!Y1373</f>
        <v>-2.4413560522287603</v>
      </c>
      <c r="W13" s="1">
        <f>[1]Results!Z1373</f>
        <v>-2.4197219828308176</v>
      </c>
      <c r="X13" s="1">
        <f>[1]Results!AA1373</f>
        <v>-2.4051691062904932</v>
      </c>
      <c r="Y13" s="1">
        <f>[1]Results!AB1373</f>
        <v>-2.3989788391319493</v>
      </c>
      <c r="Z13" s="1">
        <f>[1]Results!AC1373</f>
        <v>-2.4007173666077208</v>
      </c>
      <c r="AA13" s="1">
        <f>[1]Results!AD1373</f>
        <v>-2.4096564445249808</v>
      </c>
      <c r="AB13" s="1">
        <f>[1]Results!AE1373</f>
        <v>-2.4271783435486949</v>
      </c>
      <c r="AC13" s="1">
        <f>[1]Results!AF1373</f>
        <v>-2.4466418868193029</v>
      </c>
      <c r="AD13" s="1">
        <f>[1]Results!AG1373</f>
        <v>-2.4692941997712192</v>
      </c>
      <c r="AE13" s="1">
        <f>[1]Results!AH1373</f>
        <v>-2.4945189378000316</v>
      </c>
      <c r="AF13" s="1">
        <f>[1]Results!AI1373</f>
        <v>-2.5218223681023284</v>
      </c>
      <c r="AG13" s="1">
        <f>[1]Results!AJ1373</f>
        <v>-2.5507572439964847</v>
      </c>
      <c r="AH13" s="1">
        <f>[1]Results!AK1373</f>
        <v>-2.5804766906331111</v>
      </c>
      <c r="AI13" s="1">
        <f>[1]Results!AL1373</f>
        <v>-2.6108155517362981</v>
      </c>
      <c r="AJ13" s="1">
        <f>[1]Results!AM1373</f>
        <v>-2.6415352879964731</v>
      </c>
      <c r="AK13" s="1">
        <f>[1]Results!AN1373</f>
        <v>-2.6724454337379826</v>
      </c>
      <c r="AL13" s="1">
        <f>[1]Results!AO1373</f>
        <v>-2.7033861052400154</v>
      </c>
      <c r="AM13" s="1">
        <f>[1]Results!AP1373</f>
        <v>-2.730871454475277</v>
      </c>
      <c r="AN13" s="1">
        <f>[1]Results!AQ1373</f>
        <v>-2.755705422136987</v>
      </c>
      <c r="AO13" s="1">
        <f>[1]Results!AR1373</f>
        <v>-2.7784613522806567</v>
      </c>
      <c r="AP13" s="1">
        <f>[1]Results!AS1373</f>
        <v>-2.799763268730636</v>
      </c>
      <c r="AQ13" s="1">
        <f>[1]Results!AT1373</f>
        <v>-2.820149912041916</v>
      </c>
      <c r="AR13" s="1">
        <f>[1]Results!AU1373</f>
        <v>-2.8394269327052388</v>
      </c>
      <c r="AS13" s="1">
        <f>[1]Results!AV1373</f>
        <v>-2.8581688916372667</v>
      </c>
      <c r="AT13" s="1">
        <f>[1]Results!AW1373</f>
        <v>-2.8766890920069144</v>
      </c>
      <c r="AU13" s="1">
        <f>[1]Results!AX1373</f>
        <v>-2.8952374689208882</v>
      </c>
      <c r="AV13" s="1">
        <f>[1]Results!AY1373</f>
        <v>-2.9140065319641177</v>
      </c>
      <c r="AW13" s="1">
        <f>[1]Results!AZ1373</f>
        <v>-2.9310938342717114</v>
      </c>
      <c r="AX13" s="1">
        <f>[1]Results!BA1373</f>
        <v>-2.9476439509225822</v>
      </c>
      <c r="AY13" s="1">
        <f>[1]Results!BB1373</f>
        <v>-3.3961686429704243</v>
      </c>
      <c r="AZ13" s="1">
        <f>[1]Results!BC1373</f>
        <v>-3.9939932315416096</v>
      </c>
      <c r="BA13" s="1">
        <f>[1]Results!BD1373</f>
        <v>-4.6380477494217631</v>
      </c>
      <c r="BB13" s="1">
        <f>[1]Results!BE1373</f>
        <v>2.6026198978007193E-2</v>
      </c>
      <c r="BC13" s="1">
        <f>[1]Results!BF1373</f>
        <v>2.8054577078108104E-2</v>
      </c>
      <c r="BD13" s="1">
        <f>[1]Results!BG1373</f>
        <v>2.9998808361020476E-2</v>
      </c>
      <c r="BE13" s="1">
        <f>[1]Results!BH1373</f>
        <v>3.1809355117782684E-2</v>
      </c>
      <c r="BF13" s="1">
        <f>[1]Results!BI1373</f>
        <v>3.3456583928692905E-2</v>
      </c>
    </row>
    <row r="14" spans="1:58" x14ac:dyDescent="0.35">
      <c r="A14" s="3" t="str">
        <f>[1]Results!E1374</f>
        <v>100*((I_2+CH_ccon_2-(I_0+CH_ccon_0))/GDP_0)</v>
      </c>
      <c r="B14" t="s">
        <v>21</v>
      </c>
      <c r="C14" s="1">
        <f>[1]Results!F1374</f>
        <v>-0.21744775717056763</v>
      </c>
      <c r="D14" s="1">
        <f>[1]Results!G1374</f>
        <v>-0.34065150315009041</v>
      </c>
      <c r="E14" s="1">
        <f>[1]Results!H1374</f>
        <v>-0.4083732846209735</v>
      </c>
      <c r="F14" s="1">
        <f>[1]Results!I1374</f>
        <v>-0.45491783965596305</v>
      </c>
      <c r="G14" s="1">
        <f>[1]Results!J1374</f>
        <v>-0.50026818044693633</v>
      </c>
      <c r="H14" s="1">
        <f>[1]Results!K1374</f>
        <v>-0.55482157704582735</v>
      </c>
      <c r="I14" s="1">
        <f>[1]Results!L1374</f>
        <v>-0.6228005651492784</v>
      </c>
      <c r="J14" s="1">
        <f>[1]Results!M1374</f>
        <v>-0.70304966689088921</v>
      </c>
      <c r="K14" s="1">
        <f>[1]Results!N1374</f>
        <v>-0.79225144647365098</v>
      </c>
      <c r="L14" s="1">
        <f>[1]Results!O1374</f>
        <v>-0.88618135162178246</v>
      </c>
      <c r="M14" s="1">
        <f>[1]Results!P1374</f>
        <v>-0.98025869768457485</v>
      </c>
      <c r="N14" s="1">
        <f>[1]Results!Q1374</f>
        <v>-1.0735299280964321</v>
      </c>
      <c r="O14" s="1">
        <f>[1]Results!R1374</f>
        <v>-1.1625020173538825</v>
      </c>
      <c r="P14" s="1">
        <f>[1]Results!S1374</f>
        <v>-1.2456779639359508</v>
      </c>
      <c r="Q14" s="1">
        <f>[1]Results!T1374</f>
        <v>-1.3225307778128816</v>
      </c>
      <c r="R14" s="1">
        <f>[1]Results!U1374</f>
        <v>-1.3932383496194773</v>
      </c>
      <c r="S14" s="1">
        <f>[1]Results!V1374</f>
        <v>-1.459514346454345</v>
      </c>
      <c r="T14" s="1">
        <f>[1]Results!W1374</f>
        <v>-1.5217053041765924</v>
      </c>
      <c r="U14" s="1">
        <f>[1]Results!X1374</f>
        <v>-1.58043177448474</v>
      </c>
      <c r="V14" s="1">
        <f>[1]Results!Y1374</f>
        <v>-1.6363125651113846</v>
      </c>
      <c r="W14" s="1">
        <f>[1]Results!Z1374</f>
        <v>-1.6904070453296782</v>
      </c>
      <c r="X14" s="1">
        <f>[1]Results!AA1374</f>
        <v>-1.7417988043999872</v>
      </c>
      <c r="Y14" s="1">
        <f>[1]Results!AB1374</f>
        <v>-1.7914975280271723</v>
      </c>
      <c r="Z14" s="1">
        <f>[1]Results!AC1374</f>
        <v>-1.8396045723066758</v>
      </c>
      <c r="AA14" s="1">
        <f>[1]Results!AD1374</f>
        <v>-1.8861670065075549</v>
      </c>
      <c r="AB14" s="1">
        <f>[1]Results!AE1374</f>
        <v>-1.9328195813498115</v>
      </c>
      <c r="AC14" s="1">
        <f>[1]Results!AF1374</f>
        <v>-1.9760071004529076</v>
      </c>
      <c r="AD14" s="1">
        <f>[1]Results!AG1374</f>
        <v>-2.0171273075406106</v>
      </c>
      <c r="AE14" s="1">
        <f>[1]Results!AH1374</f>
        <v>-2.0561393963795567</v>
      </c>
      <c r="AF14" s="1">
        <f>[1]Results!AI1374</f>
        <v>-2.0930338745968036</v>
      </c>
      <c r="AG14" s="1">
        <f>[1]Results!AJ1374</f>
        <v>-2.127817284546726</v>
      </c>
      <c r="AH14" s="1">
        <f>[1]Results!AK1374</f>
        <v>-2.1602828286661442</v>
      </c>
      <c r="AI14" s="1">
        <f>[1]Results!AL1374</f>
        <v>-2.1905268175598871</v>
      </c>
      <c r="AJ14" s="1">
        <f>[1]Results!AM1374</f>
        <v>-2.2186078321311933</v>
      </c>
      <c r="AK14" s="1">
        <f>[1]Results!AN1374</f>
        <v>-2.2445795492926668</v>
      </c>
      <c r="AL14" s="1">
        <f>[1]Results!AO1374</f>
        <v>-2.268497600519447</v>
      </c>
      <c r="AM14" s="1">
        <f>[1]Results!AP1374</f>
        <v>-2.2889430250702998</v>
      </c>
      <c r="AN14" s="1">
        <f>[1]Results!AQ1374</f>
        <v>-2.3060934482566595</v>
      </c>
      <c r="AO14" s="1">
        <f>[1]Results!AR1374</f>
        <v>-2.3203789029097708</v>
      </c>
      <c r="AP14" s="1">
        <f>[1]Results!AS1374</f>
        <v>-2.3321347977551055</v>
      </c>
      <c r="AQ14" s="1">
        <f>[1]Results!AT1374</f>
        <v>-2.341653835012572</v>
      </c>
      <c r="AR14" s="1">
        <f>[1]Results!AU1374</f>
        <v>-2.3489040222216997</v>
      </c>
      <c r="AS14" s="1">
        <f>[1]Results!AV1374</f>
        <v>-2.3542049761927792</v>
      </c>
      <c r="AT14" s="1">
        <f>[1]Results!AW1374</f>
        <v>-2.3577950391891043</v>
      </c>
      <c r="AU14" s="1">
        <f>[1]Results!AX1374</f>
        <v>-2.3598735715621846</v>
      </c>
      <c r="AV14" s="1">
        <f>[1]Results!AY1374</f>
        <v>-2.3606098258088708</v>
      </c>
      <c r="AW14" s="1">
        <f>[1]Results!AZ1374</f>
        <v>-2.3591709376916392</v>
      </c>
      <c r="AX14" s="1">
        <f>[1]Results!BA1374</f>
        <v>-2.3560332349818478</v>
      </c>
      <c r="AY14" s="1">
        <f>[1]Results!BB1374</f>
        <v>-2.543593031486266</v>
      </c>
      <c r="AZ14" s="1">
        <f>[1]Results!BC1374</f>
        <v>-2.7699929966111045</v>
      </c>
      <c r="BA14" s="1">
        <f>[1]Results!BD1374</f>
        <v>-3.0081035769136899</v>
      </c>
      <c r="BB14" s="1">
        <f>[1]Results!BE1374</f>
        <v>-5.9201745623804168E-3</v>
      </c>
      <c r="BC14" s="1">
        <f>[1]Results!BF1374</f>
        <v>-7.2690977721502409E-4</v>
      </c>
      <c r="BD14" s="1">
        <f>[1]Results!BG1374</f>
        <v>4.8729519274250564E-3</v>
      </c>
      <c r="BE14" s="1">
        <f>[1]Results!BH1374</f>
        <v>1.0844828951787504E-2</v>
      </c>
      <c r="BF14" s="1">
        <f>[1]Results!BI1374</f>
        <v>1.7152317286497642E-2</v>
      </c>
    </row>
    <row r="15" spans="1:58" x14ac:dyDescent="0.35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-0.21464322081051018</v>
      </c>
      <c r="D15" s="1">
        <f>[1]Results!G1375</f>
        <v>-0.3346499630659463</v>
      </c>
      <c r="E15" s="1">
        <f>[1]Results!H1375</f>
        <v>-0.40045498758291959</v>
      </c>
      <c r="F15" s="1">
        <f>[1]Results!I1375</f>
        <v>-0.44464264966210443</v>
      </c>
      <c r="G15" s="1">
        <f>[1]Results!J1375</f>
        <v>-0.48602294220171938</v>
      </c>
      <c r="H15" s="1">
        <f>[1]Results!K1375</f>
        <v>-0.53465774770610031</v>
      </c>
      <c r="I15" s="1">
        <f>[1]Results!L1375</f>
        <v>-0.59505680467756705</v>
      </c>
      <c r="J15" s="1">
        <f>[1]Results!M1375</f>
        <v>-0.66678206023076525</v>
      </c>
      <c r="K15" s="1">
        <f>[1]Results!N1375</f>
        <v>-0.74728161653296798</v>
      </c>
      <c r="L15" s="1">
        <f>[1]Results!O1375</f>
        <v>-0.83298943287948501</v>
      </c>
      <c r="M15" s="1">
        <f>[1]Results!P1375</f>
        <v>-0.91983145747381567</v>
      </c>
      <c r="N15" s="1">
        <f>[1]Results!Q1375</f>
        <v>-1.0069601486556863</v>
      </c>
      <c r="O15" s="1">
        <f>[1]Results!R1375</f>
        <v>-1.0910546234080003</v>
      </c>
      <c r="P15" s="1">
        <f>[1]Results!S1375</f>
        <v>-1.1705714603743111</v>
      </c>
      <c r="Q15" s="1">
        <f>[1]Results!T1375</f>
        <v>-1.2448369730477113</v>
      </c>
      <c r="R15" s="1">
        <f>[1]Results!U1375</f>
        <v>-1.3138274968948094</v>
      </c>
      <c r="S15" s="1">
        <f>[1]Results!V1375</f>
        <v>-1.378971099003452</v>
      </c>
      <c r="T15" s="1">
        <f>[1]Results!W1375</f>
        <v>-1.4404436174506166</v>
      </c>
      <c r="U15" s="1">
        <f>[1]Results!X1375</f>
        <v>-1.4987031989497284</v>
      </c>
      <c r="V15" s="1">
        <f>[1]Results!Y1375</f>
        <v>-1.5542427836245531</v>
      </c>
      <c r="W15" s="1">
        <f>[1]Results!Z1375</f>
        <v>-1.6080055557702497</v>
      </c>
      <c r="X15" s="1">
        <f>[1]Results!AA1375</f>
        <v>-1.6590755843754383</v>
      </c>
      <c r="Y15" s="1">
        <f>[1]Results!AB1375</f>
        <v>-1.7083846926459829</v>
      </c>
      <c r="Z15" s="1">
        <f>[1]Results!AC1375</f>
        <v>-1.756015371649597</v>
      </c>
      <c r="AA15" s="1">
        <f>[1]Results!AD1375</f>
        <v>-1.8020066235578576</v>
      </c>
      <c r="AB15" s="1">
        <f>[1]Results!AE1375</f>
        <v>-1.8479287981871786</v>
      </c>
      <c r="AC15" s="1">
        <f>[1]Results!AF1375</f>
        <v>-1.8904000529531853</v>
      </c>
      <c r="AD15" s="1">
        <f>[1]Results!AG1375</f>
        <v>-1.9307489282884889</v>
      </c>
      <c r="AE15" s="1">
        <f>[1]Results!AH1375</f>
        <v>-1.9689371666662638</v>
      </c>
      <c r="AF15" s="1">
        <f>[1]Results!AI1375</f>
        <v>-2.0049550672624439</v>
      </c>
      <c r="AG15" s="1">
        <f>[1]Results!AJ1375</f>
        <v>-2.0388103259583215</v>
      </c>
      <c r="AH15" s="1">
        <f>[1]Results!AK1375</f>
        <v>-2.0703161400840409</v>
      </c>
      <c r="AI15" s="1">
        <f>[1]Results!AL1375</f>
        <v>-2.0995647521823408</v>
      </c>
      <c r="AJ15" s="1">
        <f>[1]Results!AM1375</f>
        <v>-2.1266162669492723</v>
      </c>
      <c r="AK15" s="1">
        <f>[1]Results!AN1375</f>
        <v>-2.1515260244078935</v>
      </c>
      <c r="AL15" s="1">
        <f>[1]Results!AO1375</f>
        <v>-2.1743519737940149</v>
      </c>
      <c r="AM15" s="1">
        <f>[1]Results!AP1375</f>
        <v>-2.1938174344414083</v>
      </c>
      <c r="AN15" s="1">
        <f>[1]Results!AQ1375</f>
        <v>-2.2100560933446958</v>
      </c>
      <c r="AO15" s="1">
        <f>[1]Results!AR1375</f>
        <v>-2.2234708648754471</v>
      </c>
      <c r="AP15" s="1">
        <f>[1]Results!AS1375</f>
        <v>-2.2343704779856917</v>
      </c>
      <c r="AQ15" s="1">
        <f>[1]Results!AT1375</f>
        <v>-2.2430278516499653</v>
      </c>
      <c r="AR15" s="1">
        <f>[1]Results!AU1375</f>
        <v>-2.2494242743361155</v>
      </c>
      <c r="AS15" s="1">
        <f>[1]Results!AV1375</f>
        <v>-2.253863087792785</v>
      </c>
      <c r="AT15" s="1">
        <f>[1]Results!AW1375</f>
        <v>-2.2565782879511405</v>
      </c>
      <c r="AU15" s="1">
        <f>[1]Results!AX1375</f>
        <v>-2.2577679745754491</v>
      </c>
      <c r="AV15" s="1">
        <f>[1]Results!AY1375</f>
        <v>-2.2576028111688107</v>
      </c>
      <c r="AW15" s="1">
        <f>[1]Results!AZ1375</f>
        <v>-2.2553393260725909</v>
      </c>
      <c r="AX15" s="1">
        <f>[1]Results!BA1375</f>
        <v>-2.2514160626493376</v>
      </c>
      <c r="AY15" s="1">
        <f>[1]Results!BB1375</f>
        <v>-2.4155079932993235</v>
      </c>
      <c r="AZ15" s="1">
        <f>[1]Results!BC1375</f>
        <v>-2.6082993115106348</v>
      </c>
      <c r="BA15" s="1">
        <f>[1]Results!BD1375</f>
        <v>-2.8090482065551639</v>
      </c>
      <c r="BB15" s="1">
        <f>[1]Results!BE1375</f>
        <v>-3.6374125724455979E-3</v>
      </c>
      <c r="BC15" s="1">
        <f>[1]Results!BF1375</f>
        <v>1.4909450650637188E-3</v>
      </c>
      <c r="BD15" s="1">
        <f>[1]Results!BG1375</f>
        <v>7.0179858722023399E-3</v>
      </c>
      <c r="BE15" s="1">
        <f>[1]Results!BH1375</f>
        <v>1.2911954943280624E-2</v>
      </c>
      <c r="BF15" s="1">
        <f>[1]Results!BI1375</f>
        <v>1.9138570094063296E-2</v>
      </c>
    </row>
    <row r="16" spans="1:58" x14ac:dyDescent="0.35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-3.0585730351769536E-3</v>
      </c>
      <c r="D16" s="1">
        <f>[1]Results!G1376</f>
        <v>-7.4452890258265084E-3</v>
      </c>
      <c r="E16" s="1">
        <f>[1]Results!H1376</f>
        <v>-1.1447077988909614E-2</v>
      </c>
      <c r="F16" s="1">
        <f>[1]Results!I1376</f>
        <v>-1.5585183749971735E-2</v>
      </c>
      <c r="G16" s="1">
        <f>[1]Results!J1376</f>
        <v>-2.0243491179959286E-2</v>
      </c>
      <c r="H16" s="1">
        <f>[1]Results!K1376</f>
        <v>-2.5440745379683459E-2</v>
      </c>
      <c r="I16" s="1">
        <f>[1]Results!L1376</f>
        <v>-3.0918872519552006E-2</v>
      </c>
      <c r="J16" s="1">
        <f>[1]Results!M1376</f>
        <v>-3.6237894391804935E-2</v>
      </c>
      <c r="K16" s="1">
        <f>[1]Results!N1376</f>
        <v>-4.0990272698557942E-2</v>
      </c>
      <c r="L16" s="1">
        <f>[1]Results!O1376</f>
        <v>-4.4878181534312167E-2</v>
      </c>
      <c r="M16" s="1">
        <f>[1]Results!P1376</f>
        <v>-4.7719519721690112E-2</v>
      </c>
      <c r="N16" s="1">
        <f>[1]Results!Q1376</f>
        <v>-4.9589622116018493E-2</v>
      </c>
      <c r="O16" s="1">
        <f>[1]Results!R1376</f>
        <v>-5.0516855471974695E-2</v>
      </c>
      <c r="P16" s="1">
        <f>[1]Results!S1376</f>
        <v>-5.0647809009583787E-2</v>
      </c>
      <c r="Q16" s="1">
        <f>[1]Results!T1376</f>
        <v>-5.0169182962630426E-2</v>
      </c>
      <c r="R16" s="1">
        <f>[1]Results!U1376</f>
        <v>-4.9278657092604435E-2</v>
      </c>
      <c r="S16" s="1">
        <f>[1]Results!V1376</f>
        <v>-4.8199084989157905E-2</v>
      </c>
      <c r="T16" s="1">
        <f>[1]Results!W1376</f>
        <v>-4.7070935182732414E-2</v>
      </c>
      <c r="U16" s="1">
        <f>[1]Results!X1376</f>
        <v>-4.6007530707158836E-2</v>
      </c>
      <c r="V16" s="1">
        <f>[1]Results!Y1376</f>
        <v>-4.5085763990830065E-2</v>
      </c>
      <c r="W16" s="1">
        <f>[1]Results!Z1376</f>
        <v>-4.4368504650024329E-2</v>
      </c>
      <c r="X16" s="1">
        <f>[1]Results!AA1376</f>
        <v>-4.3837784341639353E-2</v>
      </c>
      <c r="Y16" s="1">
        <f>[1]Results!AB1376</f>
        <v>-4.3521554549367882E-2</v>
      </c>
      <c r="Z16" s="1">
        <f>[1]Results!AC1376</f>
        <v>-4.341178529513548E-2</v>
      </c>
      <c r="AA16" s="1">
        <f>[1]Results!AD1376</f>
        <v>-4.3492952836488796E-2</v>
      </c>
      <c r="AB16" s="1">
        <f>[1]Results!AE1376</f>
        <v>-4.3786825294363424E-2</v>
      </c>
      <c r="AC16" s="1">
        <f>[1]Results!AF1376</f>
        <v>-4.4168847285948887E-2</v>
      </c>
      <c r="AD16" s="1">
        <f>[1]Results!AG1376</f>
        <v>-4.4659816014005531E-2</v>
      </c>
      <c r="AE16" s="1">
        <f>[1]Results!AH1376</f>
        <v>-4.5245504366868472E-2</v>
      </c>
      <c r="AF16" s="1">
        <f>[1]Results!AI1376</f>
        <v>-4.5914058468630795E-2</v>
      </c>
      <c r="AG16" s="1">
        <f>[1]Results!AJ1376</f>
        <v>-4.665343491185301E-2</v>
      </c>
      <c r="AH16" s="1">
        <f>[1]Results!AK1376</f>
        <v>-4.7442038533599122E-2</v>
      </c>
      <c r="AI16" s="1">
        <f>[1]Results!AL1376</f>
        <v>-4.8272688225571375E-2</v>
      </c>
      <c r="AJ16" s="1">
        <f>[1]Results!AM1376</f>
        <v>-4.9136911501313635E-2</v>
      </c>
      <c r="AK16" s="1">
        <f>[1]Results!AN1376</f>
        <v>-5.0027390217296477E-2</v>
      </c>
      <c r="AL16" s="1">
        <f>[1]Results!AO1376</f>
        <v>-5.093748099699464E-2</v>
      </c>
      <c r="AM16" s="1">
        <f>[1]Results!AP1376</f>
        <v>-5.1784742101539494E-2</v>
      </c>
      <c r="AN16" s="1">
        <f>[1]Results!AQ1376</f>
        <v>-5.2587870306158684E-2</v>
      </c>
      <c r="AO16" s="1">
        <f>[1]Results!AR1376</f>
        <v>-5.3362169850596775E-2</v>
      </c>
      <c r="AP16" s="1">
        <f>[1]Results!AS1376</f>
        <v>-5.412335216112861E-2</v>
      </c>
      <c r="AQ16" s="1">
        <f>[1]Results!AT1376</f>
        <v>-5.488236388569448E-2</v>
      </c>
      <c r="AR16" s="1">
        <f>[1]Results!AU1376</f>
        <v>-5.5630866043018867E-2</v>
      </c>
      <c r="AS16" s="1">
        <f>[1]Results!AV1376</f>
        <v>-5.6376592773305943E-2</v>
      </c>
      <c r="AT16" s="1">
        <f>[1]Results!AW1376</f>
        <v>-5.7121359557953576E-2</v>
      </c>
      <c r="AU16" s="1">
        <f>[1]Results!AX1376</f>
        <v>-5.7865571231866877E-2</v>
      </c>
      <c r="AV16" s="1">
        <f>[1]Results!AY1376</f>
        <v>-5.8608516238251709E-2</v>
      </c>
      <c r="AW16" s="1">
        <f>[1]Results!AZ1376</f>
        <v>-5.9300655905345952E-2</v>
      </c>
      <c r="AX16" s="1">
        <f>[1]Results!BA1376</f>
        <v>-5.9964516107334886E-2</v>
      </c>
      <c r="AY16" s="1">
        <f>[1]Results!BB1376</f>
        <v>-6.7739041893325511E-2</v>
      </c>
      <c r="AZ16" s="1">
        <f>[1]Results!BC1376</f>
        <v>-8.038766294589518E-2</v>
      </c>
      <c r="BA16" s="1">
        <f>[1]Results!BD1376</f>
        <v>-9.468586028339708E-2</v>
      </c>
      <c r="BB16" s="1">
        <f>[1]Results!BE1376</f>
        <v>-1.3989381314381863E-3</v>
      </c>
      <c r="BC16" s="1">
        <f>[1]Results!BF1376</f>
        <v>-1.4564053653442521E-3</v>
      </c>
      <c r="BD16" s="1">
        <f>[1]Results!BG1376</f>
        <v>-1.5144837212395438E-3</v>
      </c>
      <c r="BE16" s="1">
        <f>[1]Results!BH1376</f>
        <v>-1.5743736762150961E-3</v>
      </c>
      <c r="BF16" s="1">
        <f>[1]Results!BI1376</f>
        <v>-1.6368618378615565E-3</v>
      </c>
    </row>
    <row r="17" spans="1:58" x14ac:dyDescent="0.35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2.5403667511718586E-4</v>
      </c>
      <c r="D17" s="1">
        <f>[1]Results!G1377</f>
        <v>1.4437489416816241E-3</v>
      </c>
      <c r="E17" s="1">
        <f>[1]Results!H1377</f>
        <v>3.5287809508531545E-3</v>
      </c>
      <c r="F17" s="1">
        <f>[1]Results!I1377</f>
        <v>5.3099937561144079E-3</v>
      </c>
      <c r="G17" s="1">
        <f>[1]Results!J1377</f>
        <v>5.9982529347425958E-3</v>
      </c>
      <c r="H17" s="1">
        <f>[1]Results!K1377</f>
        <v>5.2769160399571934E-3</v>
      </c>
      <c r="I17" s="1">
        <f>[1]Results!L1377</f>
        <v>3.1751120478390234E-3</v>
      </c>
      <c r="J17" s="1">
        <f>[1]Results!M1377</f>
        <v>-2.9712268322462271E-5</v>
      </c>
      <c r="K17" s="1">
        <f>[1]Results!N1377</f>
        <v>-3.9795572421258323E-3</v>
      </c>
      <c r="L17" s="1">
        <f>[1]Results!O1377</f>
        <v>-8.3137372079863676E-3</v>
      </c>
      <c r="M17" s="1">
        <f>[1]Results!P1377</f>
        <v>-1.2707720489067313E-2</v>
      </c>
      <c r="N17" s="1">
        <f>[1]Results!Q1377</f>
        <v>-1.6980157324726314E-2</v>
      </c>
      <c r="O17" s="1">
        <f>[1]Results!R1377</f>
        <v>-2.0930538473905209E-2</v>
      </c>
      <c r="P17" s="1">
        <f>[1]Results!S1377</f>
        <v>-2.4458694552055224E-2</v>
      </c>
      <c r="Q17" s="1">
        <f>[1]Results!T1377</f>
        <v>-2.7524621802537404E-2</v>
      </c>
      <c r="R17" s="1">
        <f>[1]Results!U1377</f>
        <v>-3.013219563206029E-2</v>
      </c>
      <c r="S17" s="1">
        <f>[1]Results!V1377</f>
        <v>-3.2344162461735534E-2</v>
      </c>
      <c r="T17" s="1">
        <f>[1]Results!W1377</f>
        <v>-3.4190751543246106E-2</v>
      </c>
      <c r="U17" s="1">
        <f>[1]Results!X1377</f>
        <v>-3.5721044827853141E-2</v>
      </c>
      <c r="V17" s="1">
        <f>[1]Results!Y1377</f>
        <v>-3.6984017496001657E-2</v>
      </c>
      <c r="W17" s="1">
        <f>[1]Results!Z1377</f>
        <v>-3.8032984909403406E-2</v>
      </c>
      <c r="X17" s="1">
        <f>[1]Results!AA1377</f>
        <v>-3.8885435682903945E-2</v>
      </c>
      <c r="Y17" s="1">
        <f>[1]Results!AB1377</f>
        <v>-3.9591280831822326E-2</v>
      </c>
      <c r="Z17" s="1">
        <f>[1]Results!AC1377</f>
        <v>-4.017741536194272E-2</v>
      </c>
      <c r="AA17" s="1">
        <f>[1]Results!AD1377</f>
        <v>-4.0667430113208523E-2</v>
      </c>
      <c r="AB17" s="1">
        <f>[1]Results!AE1377</f>
        <v>-4.1103957868267871E-2</v>
      </c>
      <c r="AC17" s="1">
        <f>[1]Results!AF1377</f>
        <v>-4.1438200213770107E-2</v>
      </c>
      <c r="AD17" s="1">
        <f>[1]Results!AG1377</f>
        <v>-4.1718563238116339E-2</v>
      </c>
      <c r="AE17" s="1">
        <f>[1]Results!AH1377</f>
        <v>-4.1956725346421669E-2</v>
      </c>
      <c r="AF17" s="1">
        <f>[1]Results!AI1377</f>
        <v>-4.2164748865728047E-2</v>
      </c>
      <c r="AG17" s="1">
        <f>[1]Results!AJ1377</f>
        <v>-4.2353523676553137E-2</v>
      </c>
      <c r="AH17" s="1">
        <f>[1]Results!AK1377</f>
        <v>-4.2524650048505863E-2</v>
      </c>
      <c r="AI17" s="1">
        <f>[1]Results!AL1377</f>
        <v>-4.2689377151975828E-2</v>
      </c>
      <c r="AJ17" s="1">
        <f>[1]Results!AM1377</f>
        <v>-4.2854653680609096E-2</v>
      </c>
      <c r="AK17" s="1">
        <f>[1]Results!AN1377</f>
        <v>-4.3026134667479898E-2</v>
      </c>
      <c r="AL17" s="1">
        <f>[1]Results!AO1377</f>
        <v>-4.3208145728439756E-2</v>
      </c>
      <c r="AM17" s="1">
        <f>[1]Results!AP1377</f>
        <v>-4.334084852735072E-2</v>
      </c>
      <c r="AN17" s="1">
        <f>[1]Results!AQ1377</f>
        <v>-4.3449484605800524E-2</v>
      </c>
      <c r="AO17" s="1">
        <f>[1]Results!AR1377</f>
        <v>-4.3545868183723808E-2</v>
      </c>
      <c r="AP17" s="1">
        <f>[1]Results!AS1377</f>
        <v>-4.3640967608283843E-2</v>
      </c>
      <c r="AQ17" s="1">
        <f>[1]Results!AT1377</f>
        <v>-4.374361947691234E-2</v>
      </c>
      <c r="AR17" s="1">
        <f>[1]Results!AU1377</f>
        <v>-4.3848881842567577E-2</v>
      </c>
      <c r="AS17" s="1">
        <f>[1]Results!AV1377</f>
        <v>-4.3965295626686066E-2</v>
      </c>
      <c r="AT17" s="1">
        <f>[1]Results!AW1377</f>
        <v>-4.4095391680010684E-2</v>
      </c>
      <c r="AU17" s="1">
        <f>[1]Results!AX1377</f>
        <v>-4.424002575486842E-2</v>
      </c>
      <c r="AV17" s="1">
        <f>[1]Results!AY1377</f>
        <v>-4.4398498401808525E-2</v>
      </c>
      <c r="AW17" s="1">
        <f>[1]Results!AZ1377</f>
        <v>-4.4530955713701359E-2</v>
      </c>
      <c r="AX17" s="1">
        <f>[1]Results!BA1377</f>
        <v>-4.4652656225174364E-2</v>
      </c>
      <c r="AY17" s="1">
        <f>[1]Results!BB1377</f>
        <v>-6.0345996293615242E-2</v>
      </c>
      <c r="AZ17" s="1">
        <f>[1]Results!BC1377</f>
        <v>-8.1306022154576704E-2</v>
      </c>
      <c r="BA17" s="1">
        <f>[1]Results!BD1377</f>
        <v>-0.10436951007512947</v>
      </c>
      <c r="BB17" s="1">
        <f>[1]Results!BE1377</f>
        <v>-8.8382385850016597E-4</v>
      </c>
      <c r="BC17" s="1">
        <f>[1]Results!BF1377</f>
        <v>-7.614494769360836E-4</v>
      </c>
      <c r="BD17" s="1">
        <f>[1]Results!BG1377</f>
        <v>-6.3055022354030314E-4</v>
      </c>
      <c r="BE17" s="1">
        <f>[1]Results!BH1377</f>
        <v>-4.9275231527942524E-4</v>
      </c>
      <c r="BF17" s="1">
        <f>[1]Results!BI1377</f>
        <v>-3.4939096970396073E-4</v>
      </c>
    </row>
    <row r="18" spans="1:58" x14ac:dyDescent="0.35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-0.41822160391977725</v>
      </c>
      <c r="D18" s="1">
        <f>[1]Results!G1378</f>
        <v>-1.0341224316555153</v>
      </c>
      <c r="E18" s="1">
        <f>[1]Results!H1378</f>
        <v>-1.6370983833103869</v>
      </c>
      <c r="F18" s="1">
        <f>[1]Results!I1378</f>
        <v>-2.2019639633687471</v>
      </c>
      <c r="G18" s="1">
        <f>[1]Results!J1378</f>
        <v>-2.7289010271915992</v>
      </c>
      <c r="H18" s="1">
        <f>[1]Results!K1378</f>
        <v>-3.2165723306496363</v>
      </c>
      <c r="I18" s="1">
        <f>[1]Results!L1378</f>
        <v>-3.659664924049788</v>
      </c>
      <c r="J18" s="1">
        <f>[1]Results!M1378</f>
        <v>-4.046044957237827</v>
      </c>
      <c r="K18" s="1">
        <f>[1]Results!N1378</f>
        <v>-4.3648928454177334</v>
      </c>
      <c r="L18" s="1">
        <f>[1]Results!O1378</f>
        <v>-4.6091925668531486</v>
      </c>
      <c r="M18" s="1">
        <f>[1]Results!P1378</f>
        <v>-4.7762993419471105</v>
      </c>
      <c r="N18" s="1">
        <f>[1]Results!Q1378</f>
        <v>-4.8761465032116202</v>
      </c>
      <c r="O18" s="1">
        <f>[1]Results!R1378</f>
        <v>-4.914620564941707</v>
      </c>
      <c r="P18" s="1">
        <f>[1]Results!S1378</f>
        <v>-4.9029184942656396</v>
      </c>
      <c r="Q18" s="1">
        <f>[1]Results!T1378</f>
        <v>-4.8540496340424566</v>
      </c>
      <c r="R18" s="1">
        <f>[1]Results!U1378</f>
        <v>-4.7812227123588897</v>
      </c>
      <c r="S18" s="1">
        <f>[1]Results!V1378</f>
        <v>-4.7001613014101551</v>
      </c>
      <c r="T18" s="1">
        <f>[1]Results!W1378</f>
        <v>-4.6196074640303841</v>
      </c>
      <c r="U18" s="1">
        <f>[1]Results!X1378</f>
        <v>-4.5467880401102274</v>
      </c>
      <c r="V18" s="1">
        <f>[1]Results!Y1378</f>
        <v>-4.4864859067829777</v>
      </c>
      <c r="W18" s="1">
        <f>[1]Results!Z1378</f>
        <v>-4.4422173965045664</v>
      </c>
      <c r="X18" s="1">
        <f>[1]Results!AA1378</f>
        <v>-4.4133182590219366</v>
      </c>
      <c r="Y18" s="1">
        <f>[1]Results!AB1378</f>
        <v>-4.4004216436406285</v>
      </c>
      <c r="Z18" s="1">
        <f>[1]Results!AC1378</f>
        <v>-4.4026947468660316</v>
      </c>
      <c r="AA18" s="1">
        <f>[1]Results!AD1378</f>
        <v>-4.4187418071101607</v>
      </c>
      <c r="AB18" s="1">
        <f>[1]Results!AE1378</f>
        <v>-4.4487512667687357</v>
      </c>
      <c r="AC18" s="1">
        <f>[1]Results!AF1378</f>
        <v>-4.4857128266276742</v>
      </c>
      <c r="AD18" s="1">
        <f>[1]Results!AG1378</f>
        <v>-4.5293297523181568</v>
      </c>
      <c r="AE18" s="1">
        <f>[1]Results!AH1378</f>
        <v>-4.5783153658036202</v>
      </c>
      <c r="AF18" s="1">
        <f>[1]Results!AI1378</f>
        <v>-4.6315998869213004</v>
      </c>
      <c r="AG18" s="1">
        <f>[1]Results!AJ1378</f>
        <v>-4.6882345836512851</v>
      </c>
      <c r="AH18" s="1">
        <f>[1]Results!AK1378</f>
        <v>-4.7465569803511132</v>
      </c>
      <c r="AI18" s="1">
        <f>[1]Results!AL1378</f>
        <v>-4.8061727124671938</v>
      </c>
      <c r="AJ18" s="1">
        <f>[1]Results!AM1378</f>
        <v>-4.8665582078333163</v>
      </c>
      <c r="AK18" s="1">
        <f>[1]Results!AN1378</f>
        <v>-4.9272821197945067</v>
      </c>
      <c r="AL18" s="1">
        <f>[1]Results!AO1378</f>
        <v>-4.9879738072999054</v>
      </c>
      <c r="AM18" s="1">
        <f>[1]Results!AP1378</f>
        <v>-5.0415592895415751</v>
      </c>
      <c r="AN18" s="1">
        <f>[1]Results!AQ1378</f>
        <v>-5.0904185219029507</v>
      </c>
      <c r="AO18" s="1">
        <f>[1]Results!AR1378</f>
        <v>-5.1354802296402209</v>
      </c>
      <c r="AP18" s="1">
        <f>[1]Results!AS1378</f>
        <v>-5.1777974333659493</v>
      </c>
      <c r="AQ18" s="1">
        <f>[1]Results!AT1378</f>
        <v>-5.2182814143268752</v>
      </c>
      <c r="AR18" s="1">
        <f>[1]Results!AU1378</f>
        <v>-5.2565027664875146</v>
      </c>
      <c r="AS18" s="1">
        <f>[1]Results!AV1378</f>
        <v>-5.2934790788534141</v>
      </c>
      <c r="AT18" s="1">
        <f>[1]Results!AW1378</f>
        <v>-5.3297598741461227</v>
      </c>
      <c r="AU18" s="1">
        <f>[1]Results!AX1378</f>
        <v>-5.3657873879439544</v>
      </c>
      <c r="AV18" s="1">
        <f>[1]Results!AY1378</f>
        <v>-5.4019029840864814</v>
      </c>
      <c r="AW18" s="1">
        <f>[1]Results!AZ1378</f>
        <v>-5.434601775494718</v>
      </c>
      <c r="AX18" s="1">
        <f>[1]Results!BA1378</f>
        <v>-5.4659185751945945</v>
      </c>
      <c r="AY18" s="1">
        <f>[1]Results!BB1378</f>
        <v>-6.2948192028768108</v>
      </c>
      <c r="AZ18" s="1">
        <f>[1]Results!BC1378</f>
        <v>-7.4033296411414096</v>
      </c>
      <c r="BA18" s="1">
        <f>[1]Results!BD1378</f>
        <v>-8.5980592297994818</v>
      </c>
      <c r="BB18" s="1">
        <f>[1]Results!BE1378</f>
        <v>4.7232767887850358E-2</v>
      </c>
      <c r="BC18" s="1">
        <f>[1]Results!BF1378</f>
        <v>5.1108035496394422E-2</v>
      </c>
      <c r="BD18" s="1">
        <f>[1]Results!BG1378</f>
        <v>5.4834125176528303E-2</v>
      </c>
      <c r="BE18" s="1">
        <f>[1]Results!BH1378</f>
        <v>5.8312033652341277E-2</v>
      </c>
      <c r="BF18" s="1">
        <f>[1]Results!BI1378</f>
        <v>6.1481245551497921E-2</v>
      </c>
    </row>
    <row r="19" spans="1:58" x14ac:dyDescent="0.35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-9.196377564379965E-3</v>
      </c>
      <c r="D19" s="1">
        <f>[1]Results!G1379</f>
        <v>-0.86808527213463327</v>
      </c>
      <c r="E19" s="1">
        <f>[1]Results!H1379</f>
        <v>-2.0996768522708931</v>
      </c>
      <c r="F19" s="1">
        <f>[1]Results!I1379</f>
        <v>-3.1531682507012659</v>
      </c>
      <c r="G19" s="1">
        <f>[1]Results!J1379</f>
        <v>-3.9248873235147919</v>
      </c>
      <c r="H19" s="1">
        <f>[1]Results!K1379</f>
        <v>-4.4196632645120859</v>
      </c>
      <c r="I19" s="1">
        <f>[1]Results!L1379</f>
        <v>-4.6744792522272487</v>
      </c>
      <c r="J19" s="1">
        <f>[1]Results!M1379</f>
        <v>-4.7277185103245305</v>
      </c>
      <c r="K19" s="1">
        <f>[1]Results!N1379</f>
        <v>-4.6194807698705764</v>
      </c>
      <c r="L19" s="1">
        <f>[1]Results!O1379</f>
        <v>-4.3906737259858719</v>
      </c>
      <c r="M19" s="1">
        <f>[1]Results!P1379</f>
        <v>-4.0795235823432581</v>
      </c>
      <c r="N19" s="1">
        <f>[1]Results!Q1379</f>
        <v>-3.7297325060648867</v>
      </c>
      <c r="O19" s="1">
        <f>[1]Results!R1379</f>
        <v>-3.3706455288788018</v>
      </c>
      <c r="P19" s="1">
        <f>[1]Results!S1379</f>
        <v>-3.0249805833857946</v>
      </c>
      <c r="Q19" s="1">
        <f>[1]Results!T1379</f>
        <v>-2.7110673561447585</v>
      </c>
      <c r="R19" s="1">
        <f>[1]Results!U1379</f>
        <v>-2.4404772611582581</v>
      </c>
      <c r="S19" s="1">
        <f>[1]Results!V1379</f>
        <v>-2.222348395769036</v>
      </c>
      <c r="T19" s="1">
        <f>[1]Results!W1379</f>
        <v>-2.05588877112447</v>
      </c>
      <c r="U19" s="1">
        <f>[1]Results!X1379</f>
        <v>-1.9352623239591304</v>
      </c>
      <c r="V19" s="1">
        <f>[1]Results!Y1379</f>
        <v>-1.8541247670984973</v>
      </c>
      <c r="W19" s="1">
        <f>[1]Results!Z1379</f>
        <v>-1.8061811276546158</v>
      </c>
      <c r="X19" s="1">
        <f>[1]Results!AA1379</f>
        <v>-1.7823463081854674</v>
      </c>
      <c r="Y19" s="1">
        <f>[1]Results!AB1379</f>
        <v>-1.7770417027068053</v>
      </c>
      <c r="Z19" s="1">
        <f>[1]Results!AC1379</f>
        <v>-1.7854497044052509</v>
      </c>
      <c r="AA19" s="1">
        <f>[1]Results!AD1379</f>
        <v>-1.802989873827876</v>
      </c>
      <c r="AB19" s="1">
        <f>[1]Results!AE1379</f>
        <v>-1.8284482609346231</v>
      </c>
      <c r="AC19" s="1">
        <f>[1]Results!AF1379</f>
        <v>-1.8525943373442599</v>
      </c>
      <c r="AD19" s="1">
        <f>[1]Results!AG1379</f>
        <v>-1.8745830099776151</v>
      </c>
      <c r="AE19" s="1">
        <f>[1]Results!AH1379</f>
        <v>-1.8954221160306206</v>
      </c>
      <c r="AF19" s="1">
        <f>[1]Results!AI1379</f>
        <v>-1.9144925625134257</v>
      </c>
      <c r="AG19" s="1">
        <f>[1]Results!AJ1379</f>
        <v>-1.9312436978298209</v>
      </c>
      <c r="AH19" s="1">
        <f>[1]Results!AK1379</f>
        <v>-1.9444070922518653</v>
      </c>
      <c r="AI19" s="1">
        <f>[1]Results!AL1379</f>
        <v>-1.9537694519153215</v>
      </c>
      <c r="AJ19" s="1">
        <f>[1]Results!AM1379</f>
        <v>-1.9595178969601168</v>
      </c>
      <c r="AK19" s="1">
        <f>[1]Results!AN1379</f>
        <v>-1.9614717157017014</v>
      </c>
      <c r="AL19" s="1">
        <f>[1]Results!AO1379</f>
        <v>-1.9594651018621678</v>
      </c>
      <c r="AM19" s="1">
        <f>[1]Results!AP1379</f>
        <v>-1.9476184895824478</v>
      </c>
      <c r="AN19" s="1">
        <f>[1]Results!AQ1379</f>
        <v>-1.9271561279784577</v>
      </c>
      <c r="AO19" s="1">
        <f>[1]Results!AR1379</f>
        <v>-1.9028595730199105</v>
      </c>
      <c r="AP19" s="1">
        <f>[1]Results!AS1379</f>
        <v>-1.8759917607366949</v>
      </c>
      <c r="AQ19" s="1">
        <f>[1]Results!AT1379</f>
        <v>-1.8471717812035271</v>
      </c>
      <c r="AR19" s="1">
        <f>[1]Results!AU1379</f>
        <v>-1.8155185704273102</v>
      </c>
      <c r="AS19" s="1">
        <f>[1]Results!AV1379</f>
        <v>-1.7811958706395736</v>
      </c>
      <c r="AT19" s="1">
        <f>[1]Results!AW1379</f>
        <v>-1.7447569110273453</v>
      </c>
      <c r="AU19" s="1">
        <f>[1]Results!AX1379</f>
        <v>-1.7061543839902327</v>
      </c>
      <c r="AV19" s="1">
        <f>[1]Results!AY1379</f>
        <v>-1.6653220868521612</v>
      </c>
      <c r="AW19" s="1">
        <f>[1]Results!AZ1379</f>
        <v>-1.6190562879020431</v>
      </c>
      <c r="AX19" s="1">
        <f>[1]Results!BA1379</f>
        <v>-1.5685894759113417</v>
      </c>
      <c r="AY19" s="1">
        <f>[1]Results!BB1379</f>
        <v>-5.9706784296807651</v>
      </c>
      <c r="AZ19" s="1">
        <f>[1]Results!BC1379</f>
        <v>-8.0308682888715737</v>
      </c>
      <c r="BA19" s="1">
        <f>[1]Results!BD1379</f>
        <v>-9.1081448107893763</v>
      </c>
      <c r="BB19" s="1">
        <f>[1]Results!BE1379</f>
        <v>0.26267238400008441</v>
      </c>
      <c r="BC19" s="1">
        <f>[1]Results!BF1379</f>
        <v>0.27538704170322337</v>
      </c>
      <c r="BD19" s="1">
        <f>[1]Results!BG1379</f>
        <v>0.28836276144614814</v>
      </c>
      <c r="BE19" s="1">
        <f>[1]Results!BH1379</f>
        <v>0.30153980159357552</v>
      </c>
      <c r="BF19" s="1">
        <f>[1]Results!BI1379</f>
        <v>0.31496987515489128</v>
      </c>
    </row>
    <row r="20" spans="1:58" x14ac:dyDescent="0.35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  <c r="AM20" s="1">
        <f>[1]Results!AP1380</f>
        <v>0</v>
      </c>
      <c r="AN20" s="1">
        <f>[1]Results!AQ1380</f>
        <v>0</v>
      </c>
      <c r="AO20" s="1">
        <f>[1]Results!AR1380</f>
        <v>0</v>
      </c>
      <c r="AP20" s="1">
        <f>[1]Results!AS1380</f>
        <v>0</v>
      </c>
      <c r="AQ20" s="1">
        <f>[1]Results!AT1380</f>
        <v>0</v>
      </c>
      <c r="AR20" s="1">
        <f>[1]Results!AU1380</f>
        <v>0</v>
      </c>
      <c r="AS20" s="1">
        <f>[1]Results!AV1380</f>
        <v>0</v>
      </c>
      <c r="AT20" s="1">
        <f>[1]Results!AW1380</f>
        <v>0</v>
      </c>
      <c r="AU20" s="1">
        <f>[1]Results!AX1380</f>
        <v>0</v>
      </c>
      <c r="AV20" s="1">
        <f>[1]Results!AY1380</f>
        <v>0</v>
      </c>
      <c r="AW20" s="1">
        <f>[1]Results!AZ1380</f>
        <v>0</v>
      </c>
      <c r="AX20" s="1">
        <f>[1]Results!BA1380</f>
        <v>0</v>
      </c>
      <c r="AY20" s="1">
        <f>[1]Results!BB1380</f>
        <v>0</v>
      </c>
      <c r="AZ20" s="1">
        <f>[1]Results!BC1380</f>
        <v>0</v>
      </c>
      <c r="BA20" s="1">
        <f>[1]Results!BD1380</f>
        <v>0</v>
      </c>
      <c r="BB20" s="1">
        <f>[1]Results!BE1380</f>
        <v>0</v>
      </c>
      <c r="BC20" s="1">
        <f>[1]Results!BF1380</f>
        <v>0</v>
      </c>
      <c r="BD20" s="1">
        <f>[1]Results!BG1380</f>
        <v>0</v>
      </c>
      <c r="BE20" s="1">
        <f>[1]Results!BH1380</f>
        <v>0</v>
      </c>
      <c r="BF20" s="1">
        <f>[1]Results!BI1380</f>
        <v>0</v>
      </c>
    </row>
    <row r="21" spans="1:58" x14ac:dyDescent="0.35">
      <c r="A21" s="3" t="str">
        <f>[1]Results!E1381</f>
        <v>100*(I_2/I_0-1)</v>
      </c>
      <c r="B21" t="str">
        <f>[1]Results!C1381</f>
        <v>Investissement</v>
      </c>
      <c r="C21" s="1">
        <f>[1]Results!F1381</f>
        <v>-0.99693041639857816</v>
      </c>
      <c r="D21" s="1">
        <f>[1]Results!G1381</f>
        <v>-1.5484409058912463</v>
      </c>
      <c r="E21" s="1">
        <f>[1]Results!H1381</f>
        <v>-1.8439639096227478</v>
      </c>
      <c r="F21" s="1">
        <f>[1]Results!I1381</f>
        <v>-2.040353468207412</v>
      </c>
      <c r="G21" s="1">
        <f>[1]Results!J1381</f>
        <v>-2.2289227785661558</v>
      </c>
      <c r="H21" s="1">
        <f>[1]Results!K1381</f>
        <v>-2.4579611280161617</v>
      </c>
      <c r="I21" s="1">
        <f>[1]Results!L1381</f>
        <v>-2.7475207699982684</v>
      </c>
      <c r="J21" s="1">
        <f>[1]Results!M1381</f>
        <v>-3.0950899564557544</v>
      </c>
      <c r="K21" s="1">
        <f>[1]Results!N1381</f>
        <v>-3.4869162805539089</v>
      </c>
      <c r="L21" s="1">
        <f>[1]Results!O1381</f>
        <v>-3.904514297829742</v>
      </c>
      <c r="M21" s="1">
        <f>[1]Results!P1381</f>
        <v>-4.3290719693387159</v>
      </c>
      <c r="N21" s="1">
        <f>[1]Results!Q1381</f>
        <v>-4.7509790971542625</v>
      </c>
      <c r="O21" s="1">
        <f>[1]Results!R1381</f>
        <v>-5.1564046294287458</v>
      </c>
      <c r="P21" s="1">
        <f>[1]Results!S1381</f>
        <v>-5.5372600666371508</v>
      </c>
      <c r="Q21" s="1">
        <f>[1]Results!T1381</f>
        <v>-5.8899539286953573</v>
      </c>
      <c r="R21" s="1">
        <f>[1]Results!U1381</f>
        <v>-6.2142290320407305</v>
      </c>
      <c r="S21" s="1">
        <f>[1]Results!V1381</f>
        <v>-6.5168954757821478</v>
      </c>
      <c r="T21" s="1">
        <f>[1]Results!W1381</f>
        <v>-6.7988807913255904</v>
      </c>
      <c r="U21" s="1">
        <f>[1]Results!X1381</f>
        <v>-7.0625640427998686</v>
      </c>
      <c r="V21" s="1">
        <f>[1]Results!Y1381</f>
        <v>-7.3105326974617473</v>
      </c>
      <c r="W21" s="1">
        <f>[1]Results!Z1381</f>
        <v>-7.5453756636454035</v>
      </c>
      <c r="X21" s="1">
        <f>[1]Results!AA1381</f>
        <v>-7.7682142958540368</v>
      </c>
      <c r="Y21" s="1">
        <f>[1]Results!AB1381</f>
        <v>-7.9804797873039952</v>
      </c>
      <c r="Z21" s="1">
        <f>[1]Results!AC1381</f>
        <v>-8.1830952415493652</v>
      </c>
      <c r="AA21" s="1">
        <f>[1]Results!AD1381</f>
        <v>-8.3766287005554219</v>
      </c>
      <c r="AB21" s="1">
        <f>[1]Results!AE1381</f>
        <v>-8.5621517212865257</v>
      </c>
      <c r="AC21" s="1">
        <f>[1]Results!AF1381</f>
        <v>-8.7367276044712057</v>
      </c>
      <c r="AD21" s="1">
        <f>[1]Results!AG1381</f>
        <v>-8.9011294248964035</v>
      </c>
      <c r="AE21" s="1">
        <f>[1]Results!AH1381</f>
        <v>-9.0556847307193493</v>
      </c>
      <c r="AF21" s="1">
        <f>[1]Results!AI1381</f>
        <v>-9.2006845017692296</v>
      </c>
      <c r="AG21" s="1">
        <f>[1]Results!AJ1381</f>
        <v>-9.3364226151336656</v>
      </c>
      <c r="AH21" s="1">
        <f>[1]Results!AK1381</f>
        <v>-9.4622533803182201</v>
      </c>
      <c r="AI21" s="1">
        <f>[1]Results!AL1381</f>
        <v>-9.5788158463361306</v>
      </c>
      <c r="AJ21" s="1">
        <f>[1]Results!AM1381</f>
        <v>-9.686570377753922</v>
      </c>
      <c r="AK21" s="1">
        <f>[1]Results!AN1381</f>
        <v>-9.7859286640079155</v>
      </c>
      <c r="AL21" s="1">
        <f>[1]Results!AO1381</f>
        <v>-9.8772798934343093</v>
      </c>
      <c r="AM21" s="1">
        <f>[1]Results!AP1381</f>
        <v>-9.9531721871719441</v>
      </c>
      <c r="AN21" s="1">
        <f>[1]Results!AQ1381</f>
        <v>-10.016576342925966</v>
      </c>
      <c r="AO21" s="1">
        <f>[1]Results!AR1381</f>
        <v>-10.069140537985465</v>
      </c>
      <c r="AP21" s="1">
        <f>[1]Results!AS1381</f>
        <v>-10.112211467710551</v>
      </c>
      <c r="AQ21" s="1">
        <f>[1]Results!AT1381</f>
        <v>-10.146987980215439</v>
      </c>
      <c r="AR21" s="1">
        <f>[1]Results!AU1381</f>
        <v>-10.173308183831953</v>
      </c>
      <c r="AS21" s="1">
        <f>[1]Results!AV1381</f>
        <v>-10.192492340729341</v>
      </c>
      <c r="AT21" s="1">
        <f>[1]Results!AW1381</f>
        <v>-10.205523602058831</v>
      </c>
      <c r="AU21" s="1">
        <f>[1]Results!AX1381</f>
        <v>-10.213219014886931</v>
      </c>
      <c r="AV21" s="1">
        <f>[1]Results!AY1381</f>
        <v>-10.21626781212348</v>
      </c>
      <c r="AW21" s="1">
        <f>[1]Results!AZ1381</f>
        <v>-10.211255231483785</v>
      </c>
      <c r="AX21" s="1">
        <f>[1]Results!BA1381</f>
        <v>-10.199939716434303</v>
      </c>
      <c r="AY21" s="1">
        <f>[1]Results!BB1381</f>
        <v>-11.00577285658807</v>
      </c>
      <c r="AZ21" s="1">
        <f>[1]Results!BC1381</f>
        <v>-11.964925891491095</v>
      </c>
      <c r="BA21" s="1">
        <f>[1]Results!BD1381</f>
        <v>-12.971500924710666</v>
      </c>
      <c r="BB21" s="1">
        <f>[1]Results!BE1381</f>
        <v>-1.8968324761670097E-2</v>
      </c>
      <c r="BC21" s="1">
        <f>[1]Results!BF1381</f>
        <v>3.056175197979627E-3</v>
      </c>
      <c r="BD21" s="1">
        <f>[1]Results!BG1381</f>
        <v>2.6725331404020558E-2</v>
      </c>
      <c r="BE21" s="1">
        <f>[1]Results!BH1381</f>
        <v>5.1902589871888338E-2</v>
      </c>
      <c r="BF21" s="1">
        <f>[1]Results!BI1381</f>
        <v>7.8444032673608E-2</v>
      </c>
    </row>
    <row r="22" spans="1:58" x14ac:dyDescent="0.35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-1.0891980807380075</v>
      </c>
      <c r="D22" s="1">
        <f>[1]Results!G1382</f>
        <v>-1.6972706626473322</v>
      </c>
      <c r="E22" s="1">
        <f>[1]Results!H1382</f>
        <v>-2.0306706302173794</v>
      </c>
      <c r="F22" s="1">
        <f>[1]Results!I1382</f>
        <v>-2.2543721559488028</v>
      </c>
      <c r="G22" s="1">
        <f>[1]Results!J1382</f>
        <v>-2.4640101119268842</v>
      </c>
      <c r="H22" s="1">
        <f>[1]Results!K1382</f>
        <v>-2.7106995033729042</v>
      </c>
      <c r="I22" s="1">
        <f>[1]Results!L1382</f>
        <v>-3.0164310860001486</v>
      </c>
      <c r="J22" s="1">
        <f>[1]Results!M1382</f>
        <v>-3.3799430389490182</v>
      </c>
      <c r="K22" s="1">
        <f>[1]Results!N1382</f>
        <v>-3.7880506967959526</v>
      </c>
      <c r="L22" s="1">
        <f>[1]Results!O1382</f>
        <v>-4.222404746716113</v>
      </c>
      <c r="M22" s="1">
        <f>[1]Results!P1382</f>
        <v>-4.6642263056305815</v>
      </c>
      <c r="N22" s="1">
        <f>[1]Results!Q1382</f>
        <v>-5.1037114503238108</v>
      </c>
      <c r="O22" s="1">
        <f>[1]Results!R1382</f>
        <v>-5.5268636384712693</v>
      </c>
      <c r="P22" s="1">
        <f>[1]Results!S1382</f>
        <v>-5.9253991625672136</v>
      </c>
      <c r="Q22" s="1">
        <f>[1]Results!T1382</f>
        <v>-6.2956122035577984</v>
      </c>
      <c r="R22" s="1">
        <f>[1]Results!U1382</f>
        <v>-6.6372034696431932</v>
      </c>
      <c r="S22" s="1">
        <f>[1]Results!V1382</f>
        <v>-6.9572899377730035</v>
      </c>
      <c r="T22" s="1">
        <f>[1]Results!W1382</f>
        <v>-7.2567216348880077</v>
      </c>
      <c r="U22" s="1">
        <f>[1]Results!X1382</f>
        <v>-7.5378364318423596</v>
      </c>
      <c r="V22" s="1">
        <f>[1]Results!Y1382</f>
        <v>-7.8031994089793439</v>
      </c>
      <c r="W22" s="1">
        <f>[1]Results!Z1382</f>
        <v>-8.0552501225774407</v>
      </c>
      <c r="X22" s="1">
        <f>[1]Results!AA1382</f>
        <v>-8.2953283201987134</v>
      </c>
      <c r="Y22" s="1">
        <f>[1]Results!AB1382</f>
        <v>-8.5246682753666203</v>
      </c>
      <c r="Z22" s="1">
        <f>[1]Results!AC1382</f>
        <v>-8.7440866723035082</v>
      </c>
      <c r="AA22" s="1">
        <f>[1]Results!AD1382</f>
        <v>-8.954064228756053</v>
      </c>
      <c r="AB22" s="1">
        <f>[1]Results!AE1382</f>
        <v>-9.155210707528882</v>
      </c>
      <c r="AC22" s="1">
        <f>[1]Results!AF1382</f>
        <v>-9.3450922268192507</v>
      </c>
      <c r="AD22" s="1">
        <f>[1]Results!AG1382</f>
        <v>-9.5242598554862283</v>
      </c>
      <c r="AE22" s="1">
        <f>[1]Results!AH1382</f>
        <v>-9.6929435930169223</v>
      </c>
      <c r="AF22" s="1">
        <f>[1]Results!AI1382</f>
        <v>-9.8513714607853622</v>
      </c>
      <c r="AG22" s="1">
        <f>[1]Results!AJ1382</f>
        <v>-9.9997959376635812</v>
      </c>
      <c r="AH22" s="1">
        <f>[1]Results!AK1382</f>
        <v>-10.137496370238031</v>
      </c>
      <c r="AI22" s="1">
        <f>[1]Results!AL1382</f>
        <v>-10.265115245032863</v>
      </c>
      <c r="AJ22" s="1">
        <f>[1]Results!AM1382</f>
        <v>-10.38312515917611</v>
      </c>
      <c r="AK22" s="1">
        <f>[1]Results!AN1382</f>
        <v>-10.491954679532478</v>
      </c>
      <c r="AL22" s="1">
        <f>[1]Results!AO1382</f>
        <v>-10.59201584443441</v>
      </c>
      <c r="AM22" s="1">
        <f>[1]Results!AP1382</f>
        <v>-10.675367417230607</v>
      </c>
      <c r="AN22" s="1">
        <f>[1]Results!AQ1382</f>
        <v>-10.745238413392633</v>
      </c>
      <c r="AO22" s="1">
        <f>[1]Results!AR1382</f>
        <v>-10.80341329193557</v>
      </c>
      <c r="AP22" s="1">
        <f>[1]Results!AS1382</f>
        <v>-10.851316641507546</v>
      </c>
      <c r="AQ22" s="1">
        <f>[1]Results!AT1382</f>
        <v>-10.890212563638613</v>
      </c>
      <c r="AR22" s="1">
        <f>[1]Results!AU1382</f>
        <v>-10.919941303529123</v>
      </c>
      <c r="AS22" s="1">
        <f>[1]Results!AV1382</f>
        <v>-10.941899720911541</v>
      </c>
      <c r="AT22" s="1">
        <f>[1]Results!AW1382</f>
        <v>-10.957146303969466</v>
      </c>
      <c r="AU22" s="1">
        <f>[1]Results!AX1382</f>
        <v>-10.966567133956662</v>
      </c>
      <c r="AV22" s="1">
        <f>[1]Results!AY1382</f>
        <v>-10.970916862055525</v>
      </c>
      <c r="AW22" s="1">
        <f>[1]Results!AZ1382</f>
        <v>-10.966653985817665</v>
      </c>
      <c r="AX22" s="1">
        <f>[1]Results!BA1382</f>
        <v>-10.95561711980203</v>
      </c>
      <c r="AY22" s="1">
        <f>[1]Results!BB1382</f>
        <v>-11.764086986761125</v>
      </c>
      <c r="AZ22" s="1">
        <f>[1]Results!BC1382</f>
        <v>-12.715190177857016</v>
      </c>
      <c r="BA22" s="1">
        <f>[1]Results!BD1382</f>
        <v>-13.708318125989683</v>
      </c>
      <c r="BB22" s="1">
        <f>[1]Results!BE1382</f>
        <v>-1.6590830803153711E-2</v>
      </c>
      <c r="BC22" s="1">
        <f>[1]Results!BF1382</f>
        <v>6.790661820388344E-3</v>
      </c>
      <c r="BD22" s="1">
        <f>[1]Results!BG1382</f>
        <v>3.1922676942941486E-2</v>
      </c>
      <c r="BE22" s="1">
        <f>[1]Results!BH1382</f>
        <v>5.8664753424508831E-2</v>
      </c>
      <c r="BF22" s="1">
        <f>[1]Results!BI1382</f>
        <v>8.686713636258947E-2</v>
      </c>
    </row>
    <row r="23" spans="1:58" x14ac:dyDescent="0.35">
      <c r="A23" s="3" t="str">
        <f>[1]Results!E1383</f>
        <v>100*(X_2/X_0-1)</v>
      </c>
      <c r="B23" t="s">
        <v>22</v>
      </c>
      <c r="C23" s="1">
        <f>[1]Results!F1383</f>
        <v>-6.0067474855242438</v>
      </c>
      <c r="D23" s="1">
        <f>[1]Results!G1383</f>
        <v>-6.1160409772598845</v>
      </c>
      <c r="E23" s="1">
        <f>[1]Results!H1383</f>
        <v>-6.128378998946971</v>
      </c>
      <c r="F23" s="1">
        <f>[1]Results!I1383</f>
        <v>-6.0857068070604425</v>
      </c>
      <c r="G23" s="1">
        <f>[1]Results!J1383</f>
        <v>-6.02621377292476</v>
      </c>
      <c r="H23" s="1">
        <f>[1]Results!K1383</f>
        <v>-5.9800297493728731</v>
      </c>
      <c r="I23" s="1">
        <f>[1]Results!L1383</f>
        <v>-5.9742920177424663</v>
      </c>
      <c r="J23" s="1">
        <f>[1]Results!M1383</f>
        <v>-6.0146658530012775</v>
      </c>
      <c r="K23" s="1">
        <f>[1]Results!N1383</f>
        <v>-6.1062459868291512</v>
      </c>
      <c r="L23" s="1">
        <f>[1]Results!O1383</f>
        <v>-6.2489317354731959</v>
      </c>
      <c r="M23" s="1">
        <f>[1]Results!P1383</f>
        <v>-6.4391911926800489</v>
      </c>
      <c r="N23" s="1">
        <f>[1]Results!Q1383</f>
        <v>-6.6946251895572466</v>
      </c>
      <c r="O23" s="1">
        <f>[1]Results!R1383</f>
        <v>-6.985059660580073</v>
      </c>
      <c r="P23" s="1">
        <f>[1]Results!S1383</f>
        <v>-7.3040114065188178</v>
      </c>
      <c r="Q23" s="1">
        <f>[1]Results!T1383</f>
        <v>-7.6453728892715294</v>
      </c>
      <c r="R23" s="1">
        <f>[1]Results!U1383</f>
        <v>-8.0036191644054391</v>
      </c>
      <c r="S23" s="1">
        <f>[1]Results!V1383</f>
        <v>-8.3949942871995979</v>
      </c>
      <c r="T23" s="1">
        <f>[1]Results!W1383</f>
        <v>-8.7934307528291011</v>
      </c>
      <c r="U23" s="1">
        <f>[1]Results!X1383</f>
        <v>-9.1953047362911544</v>
      </c>
      <c r="V23" s="1">
        <f>[1]Results!Y1383</f>
        <v>-9.5975588585909257</v>
      </c>
      <c r="W23" s="1">
        <f>[1]Results!Z1383</f>
        <v>-9.9976305785179242</v>
      </c>
      <c r="X23" s="1">
        <f>[1]Results!AA1383</f>
        <v>-10.392522651883329</v>
      </c>
      <c r="Y23" s="1">
        <f>[1]Results!AB1383</f>
        <v>-10.781569968984705</v>
      </c>
      <c r="Z23" s="1">
        <f>[1]Results!AC1383</f>
        <v>-11.16358900543004</v>
      </c>
      <c r="AA23" s="1">
        <f>[1]Results!AD1383</f>
        <v>-11.537751902135241</v>
      </c>
      <c r="AB23" s="1">
        <f>[1]Results!AE1383</f>
        <v>-11.903483462740262</v>
      </c>
      <c r="AC23" s="1">
        <f>[1]Results!AF1383</f>
        <v>-12.251251927453344</v>
      </c>
      <c r="AD23" s="1">
        <f>[1]Results!AG1383</f>
        <v>-12.590263297269576</v>
      </c>
      <c r="AE23" s="1">
        <f>[1]Results!AH1383</f>
        <v>-12.920666303968609</v>
      </c>
      <c r="AF23" s="1">
        <f>[1]Results!AI1383</f>
        <v>-13.242785751337227</v>
      </c>
      <c r="AG23" s="1">
        <f>[1]Results!AJ1383</f>
        <v>-13.557073276191801</v>
      </c>
      <c r="AH23" s="1">
        <f>[1]Results!AK1383</f>
        <v>-13.860269130407765</v>
      </c>
      <c r="AI23" s="1">
        <f>[1]Results!AL1383</f>
        <v>-14.156769103694023</v>
      </c>
      <c r="AJ23" s="1">
        <f>[1]Results!AM1383</f>
        <v>-14.447184568146209</v>
      </c>
      <c r="AK23" s="1">
        <f>[1]Results!AN1383</f>
        <v>-14.732147957347831</v>
      </c>
      <c r="AL23" s="1">
        <f>[1]Results!AO1383</f>
        <v>-15.012294916334989</v>
      </c>
      <c r="AM23" s="1">
        <f>[1]Results!AP1383</f>
        <v>-15.257232376002317</v>
      </c>
      <c r="AN23" s="1">
        <f>[1]Results!AQ1383</f>
        <v>-15.498283582022088</v>
      </c>
      <c r="AO23" s="1">
        <f>[1]Results!AR1383</f>
        <v>-15.735940730533338</v>
      </c>
      <c r="AP23" s="1">
        <f>[1]Results!AS1383</f>
        <v>-15.970762921586834</v>
      </c>
      <c r="AQ23" s="1">
        <f>[1]Results!AT1383</f>
        <v>-16.203317266375095</v>
      </c>
      <c r="AR23" s="1">
        <f>[1]Results!AU1383</f>
        <v>-16.429481129581724</v>
      </c>
      <c r="AS23" s="1">
        <f>[1]Results!AV1383</f>
        <v>-16.654274456806373</v>
      </c>
      <c r="AT23" s="1">
        <f>[1]Results!AW1383</f>
        <v>-16.878047117076768</v>
      </c>
      <c r="AU23" s="1">
        <f>[1]Results!AX1383</f>
        <v>-17.101068930683617</v>
      </c>
      <c r="AV23" s="1">
        <f>[1]Results!AY1383</f>
        <v>-17.323524282786472</v>
      </c>
      <c r="AW23" s="1">
        <f>[1]Results!AZ1383</f>
        <v>-17.530810967921482</v>
      </c>
      <c r="AX23" s="1">
        <f>[1]Results!BA1383</f>
        <v>-17.737300828050618</v>
      </c>
      <c r="AY23" s="1">
        <f>[1]Results!BB1383</f>
        <v>-18.646856285294554</v>
      </c>
      <c r="AZ23" s="1">
        <f>[1]Results!BC1383</f>
        <v>-19.543624603479792</v>
      </c>
      <c r="BA23" s="1">
        <f>[1]Results!BD1383</f>
        <v>-20.426001997948507</v>
      </c>
      <c r="BB23" s="1">
        <f>[1]Results!BE1383</f>
        <v>-0.54398262451842427</v>
      </c>
      <c r="BC23" s="1">
        <f>[1]Results!BF1383</f>
        <v>-0.56541867023395254</v>
      </c>
      <c r="BD23" s="1">
        <f>[1]Results!BG1383</f>
        <v>-0.5866946144340468</v>
      </c>
      <c r="BE23" s="1">
        <f>[1]Results!BH1383</f>
        <v>-0.60781986002279575</v>
      </c>
      <c r="BF23" s="1">
        <f>[1]Results!BI1383</f>
        <v>-0.62881021150971161</v>
      </c>
    </row>
    <row r="24" spans="1:58" x14ac:dyDescent="0.35">
      <c r="A24" s="3" t="str">
        <f>[1]Results!E1384</f>
        <v>100*(M_2/M_0-1)</v>
      </c>
      <c r="B24" t="s">
        <v>23</v>
      </c>
      <c r="C24" s="1">
        <f>[1]Results!F1384</f>
        <v>-1.8945850831842082</v>
      </c>
      <c r="D24" s="1">
        <f>[1]Results!G1384</f>
        <v>-2.5582647262573754</v>
      </c>
      <c r="E24" s="1">
        <f>[1]Results!H1384</f>
        <v>-3.0599019187922183</v>
      </c>
      <c r="F24" s="1">
        <f>[1]Results!I1384</f>
        <v>-3.5040813398675263</v>
      </c>
      <c r="G24" s="1">
        <f>[1]Results!J1384</f>
        <v>-3.9166489042702035</v>
      </c>
      <c r="H24" s="1">
        <f>[1]Results!K1384</f>
        <v>-4.3061799683617119</v>
      </c>
      <c r="I24" s="1">
        <f>[1]Results!L1384</f>
        <v>-4.6767326851708919</v>
      </c>
      <c r="J24" s="1">
        <f>[1]Results!M1384</f>
        <v>-5.0236458010429637</v>
      </c>
      <c r="K24" s="1">
        <f>[1]Results!N1384</f>
        <v>-5.3419054448421548</v>
      </c>
      <c r="L24" s="1">
        <f>[1]Results!O1384</f>
        <v>-5.626982487430265</v>
      </c>
      <c r="M24" s="1">
        <f>[1]Results!P1384</f>
        <v>-5.8756487431306903</v>
      </c>
      <c r="N24" s="1">
        <f>[1]Results!Q1384</f>
        <v>-6.0968537751083129</v>
      </c>
      <c r="O24" s="1">
        <f>[1]Results!R1384</f>
        <v>-6.2856791662106453</v>
      </c>
      <c r="P24" s="1">
        <f>[1]Results!S1384</f>
        <v>-6.4449180261199164</v>
      </c>
      <c r="Q24" s="1">
        <f>[1]Results!T1384</f>
        <v>-6.5793801575551258</v>
      </c>
      <c r="R24" s="1">
        <f>[1]Results!U1384</f>
        <v>-6.6946056100238298</v>
      </c>
      <c r="S24" s="1">
        <f>[1]Results!V1384</f>
        <v>-6.803753009469049</v>
      </c>
      <c r="T24" s="1">
        <f>[1]Results!W1384</f>
        <v>-6.9058480396174797</v>
      </c>
      <c r="U24" s="1">
        <f>[1]Results!X1384</f>
        <v>-7.0040547292563593</v>
      </c>
      <c r="V24" s="1">
        <f>[1]Results!Y1384</f>
        <v>-7.1011282351559295</v>
      </c>
      <c r="W24" s="1">
        <f>[1]Results!Z1384</f>
        <v>-7.1992897281746853</v>
      </c>
      <c r="X24" s="1">
        <f>[1]Results!AA1384</f>
        <v>-7.2990915726631966</v>
      </c>
      <c r="Y24" s="1">
        <f>[1]Results!AB1384</f>
        <v>-7.4014173985819554</v>
      </c>
      <c r="Z24" s="1">
        <f>[1]Results!AC1384</f>
        <v>-7.5065054442709727</v>
      </c>
      <c r="AA24" s="1">
        <f>[1]Results!AD1384</f>
        <v>-7.6141943414388074</v>
      </c>
      <c r="AB24" s="1">
        <f>[1]Results!AE1384</f>
        <v>-7.724428814074324</v>
      </c>
      <c r="AC24" s="1">
        <f>[1]Results!AF1384</f>
        <v>-7.8332318631932356</v>
      </c>
      <c r="AD24" s="1">
        <f>[1]Results!AG1384</f>
        <v>-7.94220765462339</v>
      </c>
      <c r="AE24" s="1">
        <f>[1]Results!AH1384</f>
        <v>-8.0511709335808987</v>
      </c>
      <c r="AF24" s="1">
        <f>[1]Results!AI1384</f>
        <v>-8.1597185307049518</v>
      </c>
      <c r="AG24" s="1">
        <f>[1]Results!AJ1384</f>
        <v>-8.267447798913242</v>
      </c>
      <c r="AH24" s="1">
        <f>[1]Results!AK1384</f>
        <v>-8.3725554855710094</v>
      </c>
      <c r="AI24" s="1">
        <f>[1]Results!AL1384</f>
        <v>-8.4757338281929773</v>
      </c>
      <c r="AJ24" s="1">
        <f>[1]Results!AM1384</f>
        <v>-8.5768143769652028</v>
      </c>
      <c r="AK24" s="1">
        <f>[1]Results!AN1384</f>
        <v>-8.6755626076890913</v>
      </c>
      <c r="AL24" s="1">
        <f>[1]Results!AO1384</f>
        <v>-8.7717532658562192</v>
      </c>
      <c r="AM24" s="1">
        <f>[1]Results!AP1384</f>
        <v>-8.8534648431780827</v>
      </c>
      <c r="AN24" s="1">
        <f>[1]Results!AQ1384</f>
        <v>-8.9293944709157849</v>
      </c>
      <c r="AO24" s="1">
        <f>[1]Results!AR1384</f>
        <v>-9.0008969849133322</v>
      </c>
      <c r="AP24" s="1">
        <f>[1]Results!AS1384</f>
        <v>-9.0686142083938552</v>
      </c>
      <c r="AQ24" s="1">
        <f>[1]Results!AT1384</f>
        <v>-9.1330177375052894</v>
      </c>
      <c r="AR24" s="1">
        <f>[1]Results!AU1384</f>
        <v>-9.1927094533407754</v>
      </c>
      <c r="AS24" s="1">
        <f>[1]Results!AV1384</f>
        <v>-9.2492895088269513</v>
      </c>
      <c r="AT24" s="1">
        <f>[1]Results!AW1384</f>
        <v>-9.3032220972618873</v>
      </c>
      <c r="AU24" s="1">
        <f>[1]Results!AX1384</f>
        <v>-9.3548103234803008</v>
      </c>
      <c r="AV24" s="1">
        <f>[1]Results!AY1384</f>
        <v>-9.4042939147814479</v>
      </c>
      <c r="AW24" s="1">
        <f>[1]Results!AZ1384</f>
        <v>-9.446239372224829</v>
      </c>
      <c r="AX24" s="1">
        <f>[1]Results!BA1384</f>
        <v>-9.484968035083007</v>
      </c>
      <c r="AY24" s="1">
        <f>[1]Results!BB1384</f>
        <v>-10.582033694270287</v>
      </c>
      <c r="AZ24" s="1">
        <f>[1]Results!BC1384</f>
        <v>-11.667023583314862</v>
      </c>
      <c r="BA24" s="1">
        <f>[1]Results!BD1384</f>
        <v>-12.739933148395345</v>
      </c>
      <c r="BB24" s="1">
        <f>[1]Results!BE1384</f>
        <v>0.12102451906113032</v>
      </c>
      <c r="BC24" s="1">
        <f>[1]Results!BF1384</f>
        <v>0.1305828611516846</v>
      </c>
      <c r="BD24" s="1">
        <f>[1]Results!BG1384</f>
        <v>0.14036785952271646</v>
      </c>
      <c r="BE24" s="1">
        <f>[1]Results!BH1384</f>
        <v>0.15031976500954336</v>
      </c>
      <c r="BF24" s="1">
        <f>[1]Results!BI1384</f>
        <v>0.1603921557421506</v>
      </c>
    </row>
    <row r="25" spans="1:58" x14ac:dyDescent="0.35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-0.41886784317627379</v>
      </c>
      <c r="D25" s="1">
        <f>[1]Results!G1385</f>
        <v>-1.0359212155053421</v>
      </c>
      <c r="E25" s="1">
        <f>[1]Results!H1385</f>
        <v>-1.6405611074321591</v>
      </c>
      <c r="F25" s="1">
        <f>[1]Results!I1385</f>
        <v>-2.2062824726838737</v>
      </c>
      <c r="G25" s="1">
        <f>[1]Results!J1385</f>
        <v>-2.7325750409327498</v>
      </c>
      <c r="H25" s="1">
        <f>[1]Results!K1385</f>
        <v>-3.2180580336161668</v>
      </c>
      <c r="I25" s="1">
        <f>[1]Results!L1385</f>
        <v>-3.6578424148107747</v>
      </c>
      <c r="J25" s="1">
        <f>[1]Results!M1385</f>
        <v>-4.0404201001482898</v>
      </c>
      <c r="K25" s="1">
        <f>[1]Results!N1385</f>
        <v>-4.3555655956245332</v>
      </c>
      <c r="L25" s="1">
        <f>[1]Results!O1385</f>
        <v>-4.5967039029159444</v>
      </c>
      <c r="M25" s="1">
        <f>[1]Results!P1385</f>
        <v>-4.7614387306147083</v>
      </c>
      <c r="N25" s="1">
        <f>[1]Results!Q1385</f>
        <v>-4.8597822304386806</v>
      </c>
      <c r="O25" s="1">
        <f>[1]Results!R1385</f>
        <v>-4.8975849013025101</v>
      </c>
      <c r="P25" s="1">
        <f>[1]Results!S1385</f>
        <v>-4.8859200859798335</v>
      </c>
      <c r="Q25" s="1">
        <f>[1]Results!T1385</f>
        <v>-4.8376328331394491</v>
      </c>
      <c r="R25" s="1">
        <f>[1]Results!U1385</f>
        <v>-4.7657571107081793</v>
      </c>
      <c r="S25" s="1">
        <f>[1]Results!V1385</f>
        <v>-4.6858422782544817</v>
      </c>
      <c r="T25" s="1">
        <f>[1]Results!W1385</f>
        <v>-4.6065044492252465</v>
      </c>
      <c r="U25" s="1">
        <f>[1]Results!X1385</f>
        <v>-4.5348749922883957</v>
      </c>
      <c r="V25" s="1">
        <f>[1]Results!Y1385</f>
        <v>-4.4756728259455976</v>
      </c>
      <c r="W25" s="1">
        <f>[1]Results!Z1385</f>
        <v>-4.432379012993537</v>
      </c>
      <c r="X25" s="1">
        <f>[1]Results!AA1385</f>
        <v>-4.4043055488422471</v>
      </c>
      <c r="Y25" s="1">
        <f>[1]Results!AB1385</f>
        <v>-4.3920800916361973</v>
      </c>
      <c r="Z25" s="1">
        <f>[1]Results!AC1385</f>
        <v>-4.3948756642431253</v>
      </c>
      <c r="AA25" s="1">
        <f>[1]Results!AD1385</f>
        <v>-4.4113061524737258</v>
      </c>
      <c r="AB25" s="1">
        <f>[1]Results!AE1385</f>
        <v>-4.4415816410537268</v>
      </c>
      <c r="AC25" s="1">
        <f>[1]Results!AF1385</f>
        <v>-4.47870287065032</v>
      </c>
      <c r="AD25" s="1">
        <f>[1]Results!AG1385</f>
        <v>-4.522377772241704</v>
      </c>
      <c r="AE25" s="1">
        <f>[1]Results!AH1385</f>
        <v>-4.5713294615122635</v>
      </c>
      <c r="AF25" s="1">
        <f>[1]Results!AI1385</f>
        <v>-4.6244957042604229</v>
      </c>
      <c r="AG25" s="1">
        <f>[1]Results!AJ1385</f>
        <v>-4.6809363266824615</v>
      </c>
      <c r="AH25" s="1">
        <f>[1]Results!AK1385</f>
        <v>-4.7390020633333307</v>
      </c>
      <c r="AI25" s="1">
        <f>[1]Results!AL1385</f>
        <v>-4.7983061298116914</v>
      </c>
      <c r="AJ25" s="1">
        <f>[1]Results!AM1385</f>
        <v>-4.8583328623060806</v>
      </c>
      <c r="AK25" s="1">
        <f>[1]Results!AN1385</f>
        <v>-4.9186585177660831</v>
      </c>
      <c r="AL25" s="1">
        <f>[1]Results!AO1385</f>
        <v>-4.9789200819200357</v>
      </c>
      <c r="AM25" s="1">
        <f>[1]Results!AP1385</f>
        <v>-5.0320899819425113</v>
      </c>
      <c r="AN25" s="1">
        <f>[1]Results!AQ1385</f>
        <v>-5.0805367512021586</v>
      </c>
      <c r="AO25" s="1">
        <f>[1]Results!AR1385</f>
        <v>-5.1251788707312951</v>
      </c>
      <c r="AP25" s="1">
        <f>[1]Results!AS1385</f>
        <v>-5.1670603267817361</v>
      </c>
      <c r="AQ25" s="1">
        <f>[1]Results!AT1385</f>
        <v>-5.2070892413408565</v>
      </c>
      <c r="AR25" s="1">
        <f>[1]Results!AU1385</f>
        <v>-5.2448448079570049</v>
      </c>
      <c r="AS25" s="1">
        <f>[1]Results!AV1385</f>
        <v>-5.2813478772025135</v>
      </c>
      <c r="AT25" s="1">
        <f>[1]Results!AW1385</f>
        <v>-5.3171537297642573</v>
      </c>
      <c r="AU25" s="1">
        <f>[1]Results!AX1385</f>
        <v>-5.3527109909488608</v>
      </c>
      <c r="AV25" s="1">
        <f>[1]Results!AY1385</f>
        <v>-5.3883677993173063</v>
      </c>
      <c r="AW25" s="1">
        <f>[1]Results!AZ1385</f>
        <v>-5.4206476057076962</v>
      </c>
      <c r="AX25" s="1">
        <f>[1]Results!BA1385</f>
        <v>-5.451580429279157</v>
      </c>
      <c r="AY25" s="1">
        <f>[1]Results!BB1385</f>
        <v>-6.281086619109888</v>
      </c>
      <c r="AZ25" s="1">
        <f>[1]Results!BC1385</f>
        <v>-7.3862519182207542</v>
      </c>
      <c r="BA25" s="1">
        <f>[1]Results!BD1385</f>
        <v>-8.5762488153212413</v>
      </c>
      <c r="BB25" s="1">
        <f>[1]Results!BE1385</f>
        <v>5.0694879674284543E-2</v>
      </c>
      <c r="BC25" s="1">
        <f>[1]Results!BF1385</f>
        <v>5.4749036903967152E-2</v>
      </c>
      <c r="BD25" s="1">
        <f>[1]Results!BG1385</f>
        <v>5.8653461274560392E-2</v>
      </c>
      <c r="BE25" s="1">
        <f>[1]Results!BH1385</f>
        <v>6.230993204430213E-2</v>
      </c>
      <c r="BF25" s="1">
        <f>[1]Results!BI1385</f>
        <v>6.5658514727173767E-2</v>
      </c>
    </row>
    <row r="26" spans="1:58" x14ac:dyDescent="0.35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-0.97425104814569119</v>
      </c>
      <c r="D26" s="1">
        <f>[1]Results!G1386</f>
        <v>-1.5253651633479026</v>
      </c>
      <c r="E26" s="1">
        <f>[1]Results!H1386</f>
        <v>-1.8280890350318324</v>
      </c>
      <c r="F26" s="1">
        <f>[1]Results!I1386</f>
        <v>-2.0358348295140272</v>
      </c>
      <c r="G26" s="1">
        <f>[1]Results!J1386</f>
        <v>-2.2382938677424913</v>
      </c>
      <c r="H26" s="1">
        <f>[1]Results!K1386</f>
        <v>-2.4820713926124616</v>
      </c>
      <c r="I26" s="1">
        <f>[1]Results!L1386</f>
        <v>-2.7852767369232256</v>
      </c>
      <c r="J26" s="1">
        <f>[1]Results!M1386</f>
        <v>-3.1435266756712599</v>
      </c>
      <c r="K26" s="1">
        <f>[1]Results!N1386</f>
        <v>-3.5417131533314272</v>
      </c>
      <c r="L26" s="1">
        <f>[1]Results!O1386</f>
        <v>-3.9606638540277683</v>
      </c>
      <c r="M26" s="1">
        <f>[1]Results!P1386</f>
        <v>-4.3815161321611118</v>
      </c>
      <c r="N26" s="1">
        <f>[1]Results!Q1386</f>
        <v>-4.795132628956833</v>
      </c>
      <c r="O26" s="1">
        <f>[1]Results!R1386</f>
        <v>-5.1884648540138523</v>
      </c>
      <c r="P26" s="1">
        <f>[1]Results!S1386</f>
        <v>-5.5544143025527015</v>
      </c>
      <c r="Q26" s="1">
        <f>[1]Results!T1386</f>
        <v>-5.8904006613056055</v>
      </c>
      <c r="R26" s="1">
        <f>[1]Results!U1386</f>
        <v>-6.1971045558185667</v>
      </c>
      <c r="S26" s="1">
        <f>[1]Results!V1386</f>
        <v>-6.482113838925474</v>
      </c>
      <c r="T26" s="1">
        <f>[1]Results!W1386</f>
        <v>-6.7469837667737735</v>
      </c>
      <c r="U26" s="1">
        <f>[1]Results!X1386</f>
        <v>-6.9945381998467777</v>
      </c>
      <c r="V26" s="1">
        <f>[1]Results!Y1386</f>
        <v>-7.2276313554281995</v>
      </c>
      <c r="W26" s="1">
        <f>[1]Results!Z1386</f>
        <v>-7.4489974711730795</v>
      </c>
      <c r="X26" s="1">
        <f>[1]Results!AA1386</f>
        <v>-7.6597638645691575</v>
      </c>
      <c r="Y26" s="1">
        <f>[1]Results!AB1386</f>
        <v>-7.8613638270101482</v>
      </c>
      <c r="Z26" s="1">
        <f>[1]Results!AC1386</f>
        <v>-8.0546438075173477</v>
      </c>
      <c r="AA26" s="1">
        <f>[1]Results!AD1386</f>
        <v>-8.2400763259244059</v>
      </c>
      <c r="AB26" s="1">
        <f>[1]Results!AE1386</f>
        <v>-8.4186530104828563</v>
      </c>
      <c r="AC26" s="1">
        <f>[1]Results!AF1386</f>
        <v>-8.587236390109565</v>
      </c>
      <c r="AD26" s="1">
        <f>[1]Results!AG1386</f>
        <v>-8.7465597887096393</v>
      </c>
      <c r="AE26" s="1">
        <f>[1]Results!AH1386</f>
        <v>-8.89685162510151</v>
      </c>
      <c r="AF26" s="1">
        <f>[1]Results!AI1386</f>
        <v>-9.0383231811595692</v>
      </c>
      <c r="AG26" s="1">
        <f>[1]Results!AJ1386</f>
        <v>-9.1711937819685119</v>
      </c>
      <c r="AH26" s="1">
        <f>[1]Results!AK1386</f>
        <v>-9.2947429913895263</v>
      </c>
      <c r="AI26" s="1">
        <f>[1]Results!AL1386</f>
        <v>-9.4095483743810391</v>
      </c>
      <c r="AJ26" s="1">
        <f>[1]Results!AM1386</f>
        <v>-9.5160099287410205</v>
      </c>
      <c r="AK26" s="1">
        <f>[1]Results!AN1386</f>
        <v>-9.6144850634685923</v>
      </c>
      <c r="AL26" s="1">
        <f>[1]Results!AO1386</f>
        <v>-9.705311999532185</v>
      </c>
      <c r="AM26" s="1">
        <f>[1]Results!AP1386</f>
        <v>-9.7809453973271783</v>
      </c>
      <c r="AN26" s="1">
        <f>[1]Results!AQ1386</f>
        <v>-9.844353839026299</v>
      </c>
      <c r="AO26" s="1">
        <f>[1]Results!AR1386</f>
        <v>-9.8971820109887698</v>
      </c>
      <c r="AP26" s="1">
        <f>[1]Results!AS1386</f>
        <v>-9.9407855543134254</v>
      </c>
      <c r="AQ26" s="1">
        <f>[1]Results!AT1386</f>
        <v>-9.9763599068656834</v>
      </c>
      <c r="AR26" s="1">
        <f>[1]Results!AU1386</f>
        <v>-10.003715161483019</v>
      </c>
      <c r="AS26" s="1">
        <f>[1]Results!AV1386</f>
        <v>-10.024156035188703</v>
      </c>
      <c r="AT26" s="1">
        <f>[1]Results!AW1386</f>
        <v>-10.03864002454754</v>
      </c>
      <c r="AU26" s="1">
        <f>[1]Results!AX1386</f>
        <v>-10.047959658627082</v>
      </c>
      <c r="AV26" s="1">
        <f>[1]Results!AY1386</f>
        <v>-10.052779647872189</v>
      </c>
      <c r="AW26" s="1">
        <f>[1]Results!AZ1386</f>
        <v>-10.04962090871504</v>
      </c>
      <c r="AX26" s="1">
        <f>[1]Results!BA1386</f>
        <v>-10.040268898774906</v>
      </c>
      <c r="AY26" s="1">
        <f>[1]Results!BB1386</f>
        <v>-10.844978558579177</v>
      </c>
      <c r="AZ26" s="1">
        <f>[1]Results!BC1386</f>
        <v>-11.817286812311156</v>
      </c>
      <c r="BA26" s="1">
        <f>[1]Results!BD1386</f>
        <v>-12.841858737167012</v>
      </c>
      <c r="BB26" s="1">
        <f>[1]Results!BE1386</f>
        <v>-2.4029598338692892E-2</v>
      </c>
      <c r="BC26" s="1">
        <f>[1]Results!BF1386</f>
        <v>-2.9464789680022641E-3</v>
      </c>
      <c r="BD26" s="1">
        <f>[1]Results!BG1386</f>
        <v>1.9727906363664616E-2</v>
      </c>
      <c r="BE26" s="1">
        <f>[1]Results!BH1386</f>
        <v>4.3856441714518191E-2</v>
      </c>
      <c r="BF26" s="1">
        <f>[1]Results!BI1386</f>
        <v>6.9296504480398369E-2</v>
      </c>
    </row>
    <row r="27" spans="1:58" x14ac:dyDescent="0.35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-0.37549267920713447</v>
      </c>
      <c r="D27" s="1">
        <f>[1]Results!G1387</f>
        <v>-0.9150641250457503</v>
      </c>
      <c r="E27" s="1">
        <f>[1]Results!H1387</f>
        <v>-1.40782539828056</v>
      </c>
      <c r="F27" s="1">
        <f>[1]Results!I1387</f>
        <v>-1.9162085648156912</v>
      </c>
      <c r="G27" s="1">
        <f>[1]Results!J1387</f>
        <v>-2.4861505515813787</v>
      </c>
      <c r="H27" s="1">
        <f>[1]Results!K1387</f>
        <v>-3.1186130646738031</v>
      </c>
      <c r="I27" s="1">
        <f>[1]Results!L1387</f>
        <v>-3.7795195717832297</v>
      </c>
      <c r="J27" s="1">
        <f>[1]Results!M1387</f>
        <v>-4.4148569254580998</v>
      </c>
      <c r="K27" s="1">
        <f>[1]Results!N1387</f>
        <v>-4.9744640434501992</v>
      </c>
      <c r="L27" s="1">
        <f>[1]Results!O1387</f>
        <v>-5.4224882456849084</v>
      </c>
      <c r="M27" s="1">
        <f>[1]Results!P1387</f>
        <v>-5.7405360519857229</v>
      </c>
      <c r="N27" s="1">
        <f>[1]Results!Q1387</f>
        <v>-5.9338071268963404</v>
      </c>
      <c r="O27" s="1">
        <f>[1]Results!R1387</f>
        <v>-6.0111635258851663</v>
      </c>
      <c r="P27" s="1">
        <f>[1]Results!S1387</f>
        <v>-5.992438654030896</v>
      </c>
      <c r="Q27" s="1">
        <f>[1]Results!T1387</f>
        <v>-5.9017531302030797</v>
      </c>
      <c r="R27" s="1">
        <f>[1]Results!U1387</f>
        <v>-5.763917772843441</v>
      </c>
      <c r="S27" s="1">
        <f>[1]Results!V1387</f>
        <v>-5.606022578840431</v>
      </c>
      <c r="T27" s="1">
        <f>[1]Results!W1387</f>
        <v>-5.4449301455194892</v>
      </c>
      <c r="U27" s="1">
        <f>[1]Results!X1387</f>
        <v>-5.2939241145155469</v>
      </c>
      <c r="V27" s="1">
        <f>[1]Results!Y1387</f>
        <v>-5.161760941668458</v>
      </c>
      <c r="W27" s="1">
        <f>[1]Results!Z1387</f>
        <v>-5.0540250830530269</v>
      </c>
      <c r="X27" s="1">
        <f>[1]Results!AA1387</f>
        <v>-4.9714808950359846</v>
      </c>
      <c r="Y27" s="1">
        <f>[1]Results!AB1387</f>
        <v>-4.9149611394592956</v>
      </c>
      <c r="Z27" s="1">
        <f>[1]Results!AC1387</f>
        <v>-4.8831373815202088</v>
      </c>
      <c r="AA27" s="1">
        <f>[1]Results!AD1387</f>
        <v>-4.8739028829385411</v>
      </c>
      <c r="AB27" s="1">
        <f>[1]Results!AE1387</f>
        <v>-4.8859358355265332</v>
      </c>
      <c r="AC27" s="1">
        <f>[1]Results!AF1387</f>
        <v>-4.911541819216902</v>
      </c>
      <c r="AD27" s="1">
        <f>[1]Results!AG1387</f>
        <v>-4.9500645682647786</v>
      </c>
      <c r="AE27" s="1">
        <f>[1]Results!AH1387</f>
        <v>-4.9995482253459063</v>
      </c>
      <c r="AF27" s="1">
        <f>[1]Results!AI1387</f>
        <v>-5.0584077188315373</v>
      </c>
      <c r="AG27" s="1">
        <f>[1]Results!AJ1387</f>
        <v>-5.1251292505607893</v>
      </c>
      <c r="AH27" s="1">
        <f>[1]Results!AK1387</f>
        <v>-5.19721838419348</v>
      </c>
      <c r="AI27" s="1">
        <f>[1]Results!AL1387</f>
        <v>-5.2737960708338587</v>
      </c>
      <c r="AJ27" s="1">
        <f>[1]Results!AM1387</f>
        <v>-5.3538408019968013</v>
      </c>
      <c r="AK27" s="1">
        <f>[1]Results!AN1387</f>
        <v>-5.4364466773816016</v>
      </c>
      <c r="AL27" s="1">
        <f>[1]Results!AO1387</f>
        <v>-5.5207717880000011</v>
      </c>
      <c r="AM27" s="1">
        <f>[1]Results!AP1387</f>
        <v>-5.5969813508370265</v>
      </c>
      <c r="AN27" s="1">
        <f>[1]Results!AQ1387</f>
        <v>-5.6681317604417085</v>
      </c>
      <c r="AO27" s="1">
        <f>[1]Results!AR1387</f>
        <v>-5.7357501728814819</v>
      </c>
      <c r="AP27" s="1">
        <f>[1]Results!AS1387</f>
        <v>-5.8014084839263402</v>
      </c>
      <c r="AQ27" s="1">
        <f>[1]Results!AT1387</f>
        <v>-5.8661919610814355</v>
      </c>
      <c r="AR27" s="1">
        <f>[1]Results!AU1387</f>
        <v>-5.9291671518749256</v>
      </c>
      <c r="AS27" s="1">
        <f>[1]Results!AV1387</f>
        <v>-5.9911639657574511</v>
      </c>
      <c r="AT27" s="1">
        <f>[1]Results!AW1387</f>
        <v>-6.0524056701060536</v>
      </c>
      <c r="AU27" s="1">
        <f>[1]Results!AX1387</f>
        <v>-6.1129773611283138</v>
      </c>
      <c r="AV27" s="1">
        <f>[1]Results!AY1387</f>
        <v>-6.1728458269225577</v>
      </c>
      <c r="AW27" s="1">
        <f>[1]Results!AZ1387</f>
        <v>-6.2269130886962287</v>
      </c>
      <c r="AX27" s="1">
        <f>[1]Results!BA1387</f>
        <v>-6.2775126303382329</v>
      </c>
      <c r="AY27" s="1">
        <f>[1]Results!BB1387</f>
        <v>-7.0697676517655346</v>
      </c>
      <c r="AZ27" s="1">
        <f>[1]Results!BC1387</f>
        <v>-8.3641584604196915</v>
      </c>
      <c r="BA27" s="1">
        <f>[1]Results!BD1387</f>
        <v>-9.8215370217109683</v>
      </c>
      <c r="BB27" s="1">
        <f>[1]Results!BE1387</f>
        <v>-0.17458533209651073</v>
      </c>
      <c r="BC27" s="1">
        <f>[1]Results!BF1387</f>
        <v>-0.18184727266860046</v>
      </c>
      <c r="BD27" s="1">
        <f>[1]Results!BG1387</f>
        <v>-0.18919186420462974</v>
      </c>
      <c r="BE27" s="1">
        <f>[1]Results!BH1387</f>
        <v>-0.19676894095761455</v>
      </c>
      <c r="BF27" s="1">
        <f>[1]Results!BI1387</f>
        <v>-0.20467680295104262</v>
      </c>
    </row>
    <row r="28" spans="1:58" x14ac:dyDescent="0.35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1.4125761557615135E-2</v>
      </c>
      <c r="D28" s="1">
        <f>[1]Results!G1388</f>
        <v>8.0124908037371156E-2</v>
      </c>
      <c r="E28" s="1">
        <f>[1]Results!H1388</f>
        <v>0.19546007075519345</v>
      </c>
      <c r="F28" s="1">
        <f>[1]Results!I1388</f>
        <v>0.29359454812689645</v>
      </c>
      <c r="G28" s="1">
        <f>[1]Results!J1388</f>
        <v>0.3311577187748993</v>
      </c>
      <c r="H28" s="1">
        <f>[1]Results!K1388</f>
        <v>0.29099259336013983</v>
      </c>
      <c r="I28" s="1">
        <f>[1]Results!L1388</f>
        <v>0.17491692577207285</v>
      </c>
      <c r="J28" s="1">
        <f>[1]Results!M1388</f>
        <v>-1.6356262368066865E-3</v>
      </c>
      <c r="K28" s="1">
        <f>[1]Results!N1388</f>
        <v>-0.21892092642543659</v>
      </c>
      <c r="L28" s="1">
        <f>[1]Results!O1388</f>
        <v>-0.45702699896501553</v>
      </c>
      <c r="M28" s="1">
        <f>[1]Results!P1388</f>
        <v>-0.69809922510130074</v>
      </c>
      <c r="N28" s="1">
        <f>[1]Results!Q1388</f>
        <v>-0.93183029036097986</v>
      </c>
      <c r="O28" s="1">
        <f>[1]Results!R1388</f>
        <v>-1.1473881039216982</v>
      </c>
      <c r="P28" s="1">
        <f>[1]Results!S1388</f>
        <v>-1.3391269941105954</v>
      </c>
      <c r="Q28" s="1">
        <f>[1]Results!T1388</f>
        <v>-1.5047808349081704</v>
      </c>
      <c r="R28" s="1">
        <f>[1]Results!U1388</f>
        <v>-1.644555725748309</v>
      </c>
      <c r="S28" s="1">
        <f>[1]Results!V1388</f>
        <v>-1.7619232414728736</v>
      </c>
      <c r="T28" s="1">
        <f>[1]Results!W1388</f>
        <v>-1.858612486348632</v>
      </c>
      <c r="U28" s="1">
        <f>[1]Results!X1388</f>
        <v>-1.9374036216264212</v>
      </c>
      <c r="V28" s="1">
        <f>[1]Results!Y1388</f>
        <v>-2.0010800580189225</v>
      </c>
      <c r="W28" s="1">
        <f>[1]Results!Z1388</f>
        <v>-2.0525180335426052</v>
      </c>
      <c r="X28" s="1">
        <f>[1]Results!AA1388</f>
        <v>-2.093221265174372</v>
      </c>
      <c r="Y28" s="1">
        <f>[1]Results!AB1388</f>
        <v>-2.1255226539552918</v>
      </c>
      <c r="Z28" s="1">
        <f>[1]Results!AC1388</f>
        <v>-2.1511449009209982</v>
      </c>
      <c r="AA28" s="1">
        <f>[1]Results!AD1388</f>
        <v>-2.1714926286976688</v>
      </c>
      <c r="AB28" s="1">
        <f>[1]Results!AE1388</f>
        <v>-2.1885399083875545</v>
      </c>
      <c r="AC28" s="1">
        <f>[1]Results!AF1388</f>
        <v>-2.2007752073333386</v>
      </c>
      <c r="AD28" s="1">
        <f>[1]Results!AG1388</f>
        <v>-2.2098583642814695</v>
      </c>
      <c r="AE28" s="1">
        <f>[1]Results!AH1388</f>
        <v>-2.216677805400924</v>
      </c>
      <c r="AF28" s="1">
        <f>[1]Results!AI1388</f>
        <v>-2.2219960277556572</v>
      </c>
      <c r="AG28" s="1">
        <f>[1]Results!AJ1388</f>
        <v>-2.2264532802867665</v>
      </c>
      <c r="AH28" s="1">
        <f>[1]Results!AK1388</f>
        <v>-2.2301706400570831</v>
      </c>
      <c r="AI28" s="1">
        <f>[1]Results!AL1388</f>
        <v>-2.2337574316576458</v>
      </c>
      <c r="AJ28" s="1">
        <f>[1]Results!AM1388</f>
        <v>-2.2375820257811374</v>
      </c>
      <c r="AK28" s="1">
        <f>[1]Results!AN1388</f>
        <v>-2.2419339190161813</v>
      </c>
      <c r="AL28" s="1">
        <f>[1]Results!AO1388</f>
        <v>-2.2470246723212184</v>
      </c>
      <c r="AM28" s="1">
        <f>[1]Results!AP1388</f>
        <v>-2.2496480894590443</v>
      </c>
      <c r="AN28" s="1">
        <f>[1]Results!AQ1388</f>
        <v>-2.2512789795318344</v>
      </c>
      <c r="AO28" s="1">
        <f>[1]Results!AR1388</f>
        <v>-2.2523970431950979</v>
      </c>
      <c r="AP28" s="1">
        <f>[1]Results!AS1388</f>
        <v>-2.2535369472136746</v>
      </c>
      <c r="AQ28" s="1">
        <f>[1]Results!AT1388</f>
        <v>-2.2551462271428013</v>
      </c>
      <c r="AR28" s="1">
        <f>[1]Results!AU1388</f>
        <v>-2.2569649509110778</v>
      </c>
      <c r="AS28" s="1">
        <f>[1]Results!AV1388</f>
        <v>-2.2594267910202803</v>
      </c>
      <c r="AT28" s="1">
        <f>[1]Results!AW1388</f>
        <v>-2.2626526054657536</v>
      </c>
      <c r="AU28" s="1">
        <f>[1]Results!AX1388</f>
        <v>-2.2666753839168607</v>
      </c>
      <c r="AV28" s="1">
        <f>[1]Results!AY1388</f>
        <v>-2.2714475613661578</v>
      </c>
      <c r="AW28" s="1">
        <f>[1]Results!AZ1388</f>
        <v>-2.2749276347783898</v>
      </c>
      <c r="AX28" s="1">
        <f>[1]Results!BA1388</f>
        <v>-2.277876817505653</v>
      </c>
      <c r="AY28" s="1">
        <f>[1]Results!BB1388</f>
        <v>-3.0740789000241242</v>
      </c>
      <c r="AZ28" s="1">
        <f>[1]Results!BC1388</f>
        <v>-4.1359721175645792</v>
      </c>
      <c r="BA28" s="1">
        <f>[1]Results!BD1388</f>
        <v>-5.3017563977861615</v>
      </c>
      <c r="BB28" s="1">
        <f>[1]Results!BE1388</f>
        <v>-4.6237572208673861E-2</v>
      </c>
      <c r="BC28" s="1">
        <f>[1]Results!BF1388</f>
        <v>-3.9788414709518438E-2</v>
      </c>
      <c r="BD28" s="1">
        <f>[1]Results!BG1388</f>
        <v>-3.2910111721817792E-2</v>
      </c>
      <c r="BE28" s="1">
        <f>[1]Results!BH1388</f>
        <v>-2.5688620004793439E-2</v>
      </c>
      <c r="BF28" s="1">
        <f>[1]Results!BI1388</f>
        <v>-1.8194280593819556E-2</v>
      </c>
    </row>
    <row r="29" spans="1:58" x14ac:dyDescent="0.35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-1.3069205874647327</v>
      </c>
      <c r="D29" s="1">
        <f>[1]Results!G1389</f>
        <v>-2.6180294205370491</v>
      </c>
      <c r="E29" s="1">
        <f>[1]Results!H1389</f>
        <v>-3.9218400374825046</v>
      </c>
      <c r="F29" s="1">
        <f>[1]Results!I1389</f>
        <v>-5.1496050001495597</v>
      </c>
      <c r="G29" s="1">
        <f>[1]Results!J1389</f>
        <v>-6.2567630034555677</v>
      </c>
      <c r="H29" s="1">
        <f>[1]Results!K1389</f>
        <v>-7.2137031094486321</v>
      </c>
      <c r="I29" s="1">
        <f>[1]Results!L1389</f>
        <v>-8.0060014507202908</v>
      </c>
      <c r="J29" s="1">
        <f>[1]Results!M1389</f>
        <v>-8.6273521857466289</v>
      </c>
      <c r="K29" s="1">
        <f>[1]Results!N1389</f>
        <v>-9.081790882144702</v>
      </c>
      <c r="L29" s="1">
        <f>[1]Results!O1389</f>
        <v>-9.3808093085809947</v>
      </c>
      <c r="M29" s="1">
        <f>[1]Results!P1389</f>
        <v>-9.5404409139312918</v>
      </c>
      <c r="N29" s="1">
        <f>[1]Results!Q1389</f>
        <v>-9.585380395192832</v>
      </c>
      <c r="O29" s="1">
        <f>[1]Results!R1389</f>
        <v>-9.5359591455518089</v>
      </c>
      <c r="P29" s="1">
        <f>[1]Results!S1389</f>
        <v>-9.4136556064456691</v>
      </c>
      <c r="Q29" s="1">
        <f>[1]Results!T1389</f>
        <v>-9.2390539881837768</v>
      </c>
      <c r="R29" s="1">
        <f>[1]Results!U1389</f>
        <v>-9.0304144103627415</v>
      </c>
      <c r="S29" s="1">
        <f>[1]Results!V1389</f>
        <v>-8.8050094681236146</v>
      </c>
      <c r="T29" s="1">
        <f>[1]Results!W1389</f>
        <v>-8.5749248440742942</v>
      </c>
      <c r="U29" s="1">
        <f>[1]Results!X1389</f>
        <v>-8.3489753672921889</v>
      </c>
      <c r="V29" s="1">
        <f>[1]Results!Y1389</f>
        <v>-8.1336239519220417</v>
      </c>
      <c r="W29" s="1">
        <f>[1]Results!Z1389</f>
        <v>-7.9341813317302279</v>
      </c>
      <c r="X29" s="1">
        <f>[1]Results!AA1389</f>
        <v>-7.7512169748862441</v>
      </c>
      <c r="Y29" s="1">
        <f>[1]Results!AB1389</f>
        <v>-7.58664698414937</v>
      </c>
      <c r="Z29" s="1">
        <f>[1]Results!AC1389</f>
        <v>-7.4406972246169438</v>
      </c>
      <c r="AA29" s="1">
        <f>[1]Results!AD1389</f>
        <v>-7.3126305930669382</v>
      </c>
      <c r="AB29" s="1">
        <f>[1]Results!AE1389</f>
        <v>-7.2035659814861264</v>
      </c>
      <c r="AC29" s="1">
        <f>[1]Results!AF1389</f>
        <v>-7.1075111970373861</v>
      </c>
      <c r="AD29" s="1">
        <f>[1]Results!AG1389</f>
        <v>-7.0237322764648891</v>
      </c>
      <c r="AE29" s="1">
        <f>[1]Results!AH1389</f>
        <v>-6.9508637211959101</v>
      </c>
      <c r="AF29" s="1">
        <f>[1]Results!AI1389</f>
        <v>-6.8871022111090081</v>
      </c>
      <c r="AG29" s="1">
        <f>[1]Results!AJ1389</f>
        <v>-6.8306447245884865</v>
      </c>
      <c r="AH29" s="1">
        <f>[1]Results!AK1389</f>
        <v>-6.7795465781821385</v>
      </c>
      <c r="AI29" s="1">
        <f>[1]Results!AL1389</f>
        <v>-6.7322081515271082</v>
      </c>
      <c r="AJ29" s="1">
        <f>[1]Results!AM1389</f>
        <v>-6.6871972317292467</v>
      </c>
      <c r="AK29" s="1">
        <f>[1]Results!AN1389</f>
        <v>-6.64313413447013</v>
      </c>
      <c r="AL29" s="1">
        <f>[1]Results!AO1389</f>
        <v>-6.5987569551596241</v>
      </c>
      <c r="AM29" s="1">
        <f>[1]Results!AP1389</f>
        <v>-6.5521666223594792</v>
      </c>
      <c r="AN29" s="1">
        <f>[1]Results!AQ1389</f>
        <v>-6.5023864290256856</v>
      </c>
      <c r="AO29" s="1">
        <f>[1]Results!AR1389</f>
        <v>-6.4495703346749806</v>
      </c>
      <c r="AP29" s="1">
        <f>[1]Results!AS1389</f>
        <v>-6.3935059373818266</v>
      </c>
      <c r="AQ29" s="1">
        <f>[1]Results!AT1389</f>
        <v>-6.3339725731294427</v>
      </c>
      <c r="AR29" s="1">
        <f>[1]Results!AU1389</f>
        <v>-6.2706708726095073</v>
      </c>
      <c r="AS29" s="1">
        <f>[1]Results!AV1389</f>
        <v>-6.2035844763931092</v>
      </c>
      <c r="AT29" s="1">
        <f>[1]Results!AW1389</f>
        <v>-6.1328807952227056</v>
      </c>
      <c r="AU29" s="1">
        <f>[1]Results!AX1389</f>
        <v>-6.0587430565452021</v>
      </c>
      <c r="AV29" s="1">
        <f>[1]Results!AY1389</f>
        <v>-5.9814445448345914</v>
      </c>
      <c r="AW29" s="1">
        <f>[1]Results!AZ1389</f>
        <v>-5.9011258866294209</v>
      </c>
      <c r="AX29" s="1">
        <f>[1]Results!BA1389</f>
        <v>-5.8185352385757616</v>
      </c>
      <c r="AY29" s="1">
        <f>[1]Results!BB1389</f>
        <v>-9.0831268608145059</v>
      </c>
      <c r="AZ29" s="1">
        <f>[1]Results!BC1389</f>
        <v>-12.244156706965747</v>
      </c>
      <c r="BA29" s="1">
        <f>[1]Results!BD1389</f>
        <v>-15.3050454056322</v>
      </c>
      <c r="BB29" s="1">
        <f>[1]Results!BE1389</f>
        <v>0.8125431429759411</v>
      </c>
      <c r="BC29" s="1">
        <f>[1]Results!BF1389</f>
        <v>0.84413600174433334</v>
      </c>
      <c r="BD29" s="1">
        <f>[1]Results!BG1389</f>
        <v>0.87530829797670684</v>
      </c>
      <c r="BE29" s="1">
        <f>[1]Results!BH1389</f>
        <v>0.90604525289521565</v>
      </c>
      <c r="BF29" s="1">
        <f>[1]Results!BI1389</f>
        <v>0.93634214291802298</v>
      </c>
    </row>
    <row r="30" spans="1:58" x14ac:dyDescent="0.35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-0.4720449622814038</v>
      </c>
      <c r="D30" s="1">
        <f>[1]Results!G1390</f>
        <v>-1.1129909196120558</v>
      </c>
      <c r="E30" s="1">
        <f>[1]Results!H1390</f>
        <v>-1.6229092316657145</v>
      </c>
      <c r="F30" s="1">
        <f>[1]Results!I1390</f>
        <v>-2.0925538884379868</v>
      </c>
      <c r="G30" s="1">
        <f>[1]Results!J1390</f>
        <v>-2.5371338564955659</v>
      </c>
      <c r="H30" s="1">
        <f>[1]Results!K1390</f>
        <v>-2.9533254793932535</v>
      </c>
      <c r="I30" s="1">
        <f>[1]Results!L1390</f>
        <v>-3.3331228896141596</v>
      </c>
      <c r="J30" s="1">
        <f>[1]Results!M1390</f>
        <v>-3.6624329373202151</v>
      </c>
      <c r="K30" s="1">
        <f>[1]Results!N1390</f>
        <v>-3.9319879898777721</v>
      </c>
      <c r="L30" s="1">
        <f>[1]Results!O1390</f>
        <v>-4.1368163105303442</v>
      </c>
      <c r="M30" s="1">
        <f>[1]Results!P1390</f>
        <v>-4.2757941801041195</v>
      </c>
      <c r="N30" s="1">
        <f>[1]Results!Q1390</f>
        <v>-4.3613817632796579</v>
      </c>
      <c r="O30" s="1">
        <f>[1]Results!R1390</f>
        <v>-4.3954246474158136</v>
      </c>
      <c r="P30" s="1">
        <f>[1]Results!S1390</f>
        <v>-4.3888351614081209</v>
      </c>
      <c r="Q30" s="1">
        <f>[1]Results!T1390</f>
        <v>-4.352709091283347</v>
      </c>
      <c r="R30" s="1">
        <f>[1]Results!U1390</f>
        <v>-4.2979072585832112</v>
      </c>
      <c r="S30" s="1">
        <f>[1]Results!V1390</f>
        <v>-4.2390113851222271</v>
      </c>
      <c r="T30" s="1">
        <f>[1]Results!W1390</f>
        <v>-4.1801524996123103</v>
      </c>
      <c r="U30" s="1">
        <f>[1]Results!X1390</f>
        <v>-4.1275500306517277</v>
      </c>
      <c r="V30" s="1">
        <f>[1]Results!Y1390</f>
        <v>-4.0848490755964306</v>
      </c>
      <c r="W30" s="1">
        <f>[1]Results!Z1390</f>
        <v>-4.0551607336474227</v>
      </c>
      <c r="X30" s="1">
        <f>[1]Results!AA1390</f>
        <v>-4.0368140229677394</v>
      </c>
      <c r="Y30" s="1">
        <f>[1]Results!AB1390</f>
        <v>-4.0316073809832602</v>
      </c>
      <c r="Z30" s="1">
        <f>[1]Results!AC1390</f>
        <v>-4.038712568328318</v>
      </c>
      <c r="AA30" s="1">
        <f>[1]Results!AD1390</f>
        <v>-4.0570943514457447</v>
      </c>
      <c r="AB30" s="1">
        <f>[1]Results!AE1390</f>
        <v>-4.087768627231636</v>
      </c>
      <c r="AC30" s="1">
        <f>[1]Results!AF1390</f>
        <v>-4.1217461440929526</v>
      </c>
      <c r="AD30" s="1">
        <f>[1]Results!AG1390</f>
        <v>-4.1621613543173623</v>
      </c>
      <c r="AE30" s="1">
        <f>[1]Results!AH1390</f>
        <v>-4.2074263731150641</v>
      </c>
      <c r="AF30" s="1">
        <f>[1]Results!AI1390</f>
        <v>-4.2566903134188534</v>
      </c>
      <c r="AG30" s="1">
        <f>[1]Results!AJ1390</f>
        <v>-4.3091487119976346</v>
      </c>
      <c r="AH30" s="1">
        <f>[1]Results!AK1390</f>
        <v>-4.3629448160009581</v>
      </c>
      <c r="AI30" s="1">
        <f>[1]Results!AL1390</f>
        <v>-4.4183500055315239</v>
      </c>
      <c r="AJ30" s="1">
        <f>[1]Results!AM1390</f>
        <v>-4.4747269764771387</v>
      </c>
      <c r="AK30" s="1">
        <f>[1]Results!AN1390</f>
        <v>-4.5316881763711621</v>
      </c>
      <c r="AL30" s="1">
        <f>[1]Results!AO1390</f>
        <v>-4.5888900003664528</v>
      </c>
      <c r="AM30" s="1">
        <f>[1]Results!AP1390</f>
        <v>-4.6366422848977518</v>
      </c>
      <c r="AN30" s="1">
        <f>[1]Results!AQ1390</f>
        <v>-4.6821084162121824</v>
      </c>
      <c r="AO30" s="1">
        <f>[1]Results!AR1390</f>
        <v>-4.7247861318244322</v>
      </c>
      <c r="AP30" s="1">
        <f>[1]Results!AS1390</f>
        <v>-4.7656105564511604</v>
      </c>
      <c r="AQ30" s="1">
        <f>[1]Results!AT1390</f>
        <v>-4.8052705411285812</v>
      </c>
      <c r="AR30" s="1">
        <f>[1]Results!AU1390</f>
        <v>-4.8426963437344872</v>
      </c>
      <c r="AS30" s="1">
        <f>[1]Results!AV1390</f>
        <v>-4.8795824599744853</v>
      </c>
      <c r="AT30" s="1">
        <f>[1]Results!AW1390</f>
        <v>-4.9161105654668464</v>
      </c>
      <c r="AU30" s="1">
        <f>[1]Results!AX1390</f>
        <v>-4.9526436160672436</v>
      </c>
      <c r="AV30" s="1">
        <f>[1]Results!AY1390</f>
        <v>-4.9894609831301793</v>
      </c>
      <c r="AW30" s="1">
        <f>[1]Results!AZ1390</f>
        <v>-5.0215196567540143</v>
      </c>
      <c r="AX30" s="1">
        <f>[1]Results!BA1390</f>
        <v>-5.0536445296486043</v>
      </c>
      <c r="AY30" s="1">
        <f>[1]Results!BB1390</f>
        <v>-6.0334034922296951</v>
      </c>
      <c r="AZ30" s="1">
        <f>[1]Results!BC1390</f>
        <v>-6.9557733805452706</v>
      </c>
      <c r="BA30" s="1">
        <f>[1]Results!BD1390</f>
        <v>-7.823238749782135</v>
      </c>
      <c r="BB30" s="1">
        <f>[1]Results!BE1390</f>
        <v>4.7498446736571331E-2</v>
      </c>
      <c r="BC30" s="1">
        <f>[1]Results!BF1390</f>
        <v>5.1407209653087094E-2</v>
      </c>
      <c r="BD30" s="1">
        <f>[1]Results!BG1390</f>
        <v>5.5114852930970848E-2</v>
      </c>
      <c r="BE30" s="1">
        <f>[1]Results!BH1390</f>
        <v>5.8544590700004839E-2</v>
      </c>
      <c r="BF30" s="1">
        <f>[1]Results!BI1390</f>
        <v>6.1660941499108723E-2</v>
      </c>
    </row>
    <row r="31" spans="1:58" x14ac:dyDescent="0.35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-0.50339040694475923</v>
      </c>
      <c r="D31" s="1">
        <f>[1]Results!G1391</f>
        <v>-1.1536839871503002</v>
      </c>
      <c r="E31" s="1">
        <f>[1]Results!H1391</f>
        <v>-1.9845381427021858</v>
      </c>
      <c r="F31" s="1">
        <f>[1]Results!I1391</f>
        <v>-2.8938793391942497</v>
      </c>
      <c r="G31" s="1">
        <f>[1]Results!J1391</f>
        <v>-3.7918430288113925</v>
      </c>
      <c r="H31" s="1">
        <f>[1]Results!K1391</f>
        <v>-4.6087156502160553</v>
      </c>
      <c r="I31" s="1">
        <f>[1]Results!L1391</f>
        <v>-5.2992772744937415</v>
      </c>
      <c r="J31" s="1">
        <f>[1]Results!M1391</f>
        <v>-5.8383772874263222</v>
      </c>
      <c r="K31" s="1">
        <f>[1]Results!N1391</f>
        <v>-6.2202190460018727</v>
      </c>
      <c r="L31" s="1">
        <f>[1]Results!O1391</f>
        <v>-6.4525063263354276</v>
      </c>
      <c r="M31" s="1">
        <f>[1]Results!P1391</f>
        <v>-6.5511895998748741</v>
      </c>
      <c r="N31" s="1">
        <f>[1]Results!Q1391</f>
        <v>-6.5384166184754395</v>
      </c>
      <c r="O31" s="1">
        <f>[1]Results!R1391</f>
        <v>-6.4353424874421084</v>
      </c>
      <c r="P31" s="1">
        <f>[1]Results!S1391</f>
        <v>-6.2636988659646722</v>
      </c>
      <c r="Q31" s="1">
        <f>[1]Results!T1391</f>
        <v>-6.0432400515648803</v>
      </c>
      <c r="R31" s="1">
        <f>[1]Results!U1391</f>
        <v>-5.7904926504531389</v>
      </c>
      <c r="S31" s="1">
        <f>[1]Results!V1391</f>
        <v>-5.5185887293131337</v>
      </c>
      <c r="T31" s="1">
        <f>[1]Results!W1391</f>
        <v>-5.2375925621165447</v>
      </c>
      <c r="U31" s="1">
        <f>[1]Results!X1391</f>
        <v>-4.9550129654675983</v>
      </c>
      <c r="V31" s="1">
        <f>[1]Results!Y1391</f>
        <v>-4.6766541365186205</v>
      </c>
      <c r="W31" s="1">
        <f>[1]Results!Z1391</f>
        <v>-4.4075025809600881</v>
      </c>
      <c r="X31" s="1">
        <f>[1]Results!AA1391</f>
        <v>-4.149176384148646</v>
      </c>
      <c r="Y31" s="1">
        <f>[1]Results!AB1391</f>
        <v>-3.9045404123825511</v>
      </c>
      <c r="Z31" s="1">
        <f>[1]Results!AC1391</f>
        <v>-3.6750164672130774</v>
      </c>
      <c r="AA31" s="1">
        <f>[1]Results!AD1391</f>
        <v>-3.4611869696273394</v>
      </c>
      <c r="AB31" s="1">
        <f>[1]Results!AE1391</f>
        <v>-3.2647967728094196</v>
      </c>
      <c r="AC31" s="1">
        <f>[1]Results!AF1391</f>
        <v>-3.0824454530084306</v>
      </c>
      <c r="AD31" s="1">
        <f>[1]Results!AG1391</f>
        <v>-2.9148379792943828</v>
      </c>
      <c r="AE31" s="1">
        <f>[1]Results!AH1391</f>
        <v>-2.7615767645617133</v>
      </c>
      <c r="AF31" s="1">
        <f>[1]Results!AI1391</f>
        <v>-2.6214776278114744</v>
      </c>
      <c r="AG31" s="1">
        <f>[1]Results!AJ1391</f>
        <v>-2.4931084032656319</v>
      </c>
      <c r="AH31" s="1">
        <f>[1]Results!AK1391</f>
        <v>-2.37488139761507</v>
      </c>
      <c r="AI31" s="1">
        <f>[1]Results!AL1391</f>
        <v>-2.2653691003001297</v>
      </c>
      <c r="AJ31" s="1">
        <f>[1]Results!AM1391</f>
        <v>-2.1631089520614983</v>
      </c>
      <c r="AK31" s="1">
        <f>[1]Results!AN1391</f>
        <v>-2.0665856282097943</v>
      </c>
      <c r="AL31" s="1">
        <f>[1]Results!AO1391</f>
        <v>-1.9743425878471559</v>
      </c>
      <c r="AM31" s="1">
        <f>[1]Results!AP1391</f>
        <v>-1.8849021973683548</v>
      </c>
      <c r="AN31" s="1">
        <f>[1]Results!AQ1391</f>
        <v>-1.798336612464368</v>
      </c>
      <c r="AO31" s="1">
        <f>[1]Results!AR1391</f>
        <v>-1.7146827467352628</v>
      </c>
      <c r="AP31" s="1">
        <f>[1]Results!AS1391</f>
        <v>-1.6331152890811431</v>
      </c>
      <c r="AQ31" s="1">
        <f>[1]Results!AT1391</f>
        <v>-1.5526104811071422</v>
      </c>
      <c r="AR31" s="1">
        <f>[1]Results!AU1391</f>
        <v>-1.4720852969883902</v>
      </c>
      <c r="AS31" s="1">
        <f>[1]Results!AV1391</f>
        <v>-1.3910023238701612</v>
      </c>
      <c r="AT31" s="1">
        <f>[1]Results!AW1391</f>
        <v>-1.3089232273050921</v>
      </c>
      <c r="AU31" s="1">
        <f>[1]Results!AX1391</f>
        <v>-1.2254611042147978</v>
      </c>
      <c r="AV31" s="1">
        <f>[1]Results!AY1391</f>
        <v>-1.1403995302290646</v>
      </c>
      <c r="AW31" s="1">
        <f>[1]Results!AZ1391</f>
        <v>-1.0533645393935966</v>
      </c>
      <c r="AX31" s="1">
        <f>[1]Results!BA1391</f>
        <v>-0.9656869284597418</v>
      </c>
      <c r="AY31" s="1">
        <f>[1]Results!BB1391</f>
        <v>-3.7853901683847067</v>
      </c>
      <c r="AZ31" s="1">
        <f>[1]Results!BC1391</f>
        <v>-6.2456788750731231</v>
      </c>
      <c r="BA31" s="1">
        <f>[1]Results!BD1391</f>
        <v>-8.5202233873955073</v>
      </c>
      <c r="BB31" s="1">
        <f>[1]Results!BE1391</f>
        <v>0.67226973873200091</v>
      </c>
      <c r="BC31" s="1">
        <f>[1]Results!BF1391</f>
        <v>0.69672447596293985</v>
      </c>
      <c r="BD31" s="1">
        <f>[1]Results!BG1391</f>
        <v>0.72048719210395795</v>
      </c>
      <c r="BE31" s="1">
        <f>[1]Results!BH1391</f>
        <v>0.74351876459619604</v>
      </c>
      <c r="BF31" s="1">
        <f>[1]Results!BI1391</f>
        <v>0.76583071177447337</v>
      </c>
    </row>
    <row r="32" spans="1:58" x14ac:dyDescent="0.35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0.33148521823856969</v>
      </c>
      <c r="D32" s="1">
        <f>[1]Results!G1392</f>
        <v>0.35135451377469318</v>
      </c>
      <c r="E32" s="1">
        <f>[1]Results!H1392</f>
        <v>0.31439266311460434</v>
      </c>
      <c r="F32" s="1">
        <f>[1]Results!I1392</f>
        <v>0.16317177251732318</v>
      </c>
      <c r="G32" s="1">
        <f>[1]Results!J1392</f>
        <v>-7.221388185139066E-2</v>
      </c>
      <c r="H32" s="1">
        <f>[1]Results!K1392</f>
        <v>-0.34833802016067672</v>
      </c>
      <c r="I32" s="1">
        <f>[1]Results!L1392</f>
        <v>-0.62639871338761033</v>
      </c>
      <c r="J32" s="1">
        <f>[1]Results!M1392</f>
        <v>-0.87345803899990848</v>
      </c>
      <c r="K32" s="1">
        <f>[1]Results!N1392</f>
        <v>-1.0704161537349428</v>
      </c>
      <c r="L32" s="1">
        <f>[1]Results!O1392</f>
        <v>-1.2085133282847771</v>
      </c>
      <c r="M32" s="1">
        <f>[1]Results!P1392</f>
        <v>-1.2865428660477018</v>
      </c>
      <c r="N32" s="1">
        <f>[1]Results!Q1392</f>
        <v>-1.3144179865622654</v>
      </c>
      <c r="O32" s="1">
        <f>[1]Results!R1392</f>
        <v>-1.2948079893061131</v>
      </c>
      <c r="P32" s="1">
        <f>[1]Results!S1392</f>
        <v>-1.238878420927124</v>
      </c>
      <c r="Q32" s="1">
        <f>[1]Results!T1392</f>
        <v>-1.1568951546644506</v>
      </c>
      <c r="R32" s="1">
        <f>[1]Results!U1392</f>
        <v>-1.0579854986736086</v>
      </c>
      <c r="S32" s="1">
        <f>[1]Results!V1392</f>
        <v>-0.95259064631174617</v>
      </c>
      <c r="T32" s="1">
        <f>[1]Results!W1392</f>
        <v>-0.84282021765456072</v>
      </c>
      <c r="U32" s="1">
        <f>[1]Results!X1392</f>
        <v>-0.73358762882713702</v>
      </c>
      <c r="V32" s="1">
        <f>[1]Results!Y1392</f>
        <v>-0.62787926019300944</v>
      </c>
      <c r="W32" s="1">
        <f>[1]Results!Z1392</f>
        <v>-0.52848198287728287</v>
      </c>
      <c r="X32" s="1">
        <f>[1]Results!AA1392</f>
        <v>-0.43477343223014087</v>
      </c>
      <c r="Y32" s="1">
        <f>[1]Results!AB1392</f>
        <v>-0.34950080921644089</v>
      </c>
      <c r="Z32" s="1">
        <f>[1]Results!AC1392</f>
        <v>-0.27303181092445161</v>
      </c>
      <c r="AA32" s="1">
        <f>[1]Results!AD1392</f>
        <v>-0.20565072800614637</v>
      </c>
      <c r="AB32" s="1">
        <f>[1]Results!AE1392</f>
        <v>-0.14899941855492926</v>
      </c>
      <c r="AC32" s="1">
        <f>[1]Results!AF1392</f>
        <v>-9.6680400063997141E-2</v>
      </c>
      <c r="AD32" s="1">
        <f>[1]Results!AG1392</f>
        <v>-5.3267057146855645E-2</v>
      </c>
      <c r="AE32" s="1">
        <f>[1]Results!AH1392</f>
        <v>-1.8139416480867254E-2</v>
      </c>
      <c r="AF32" s="1">
        <f>[1]Results!AI1392</f>
        <v>8.9342698786802899E-3</v>
      </c>
      <c r="AG32" s="1">
        <f>[1]Results!AJ1392</f>
        <v>2.8387609325219554E-2</v>
      </c>
      <c r="AH32" s="1">
        <f>[1]Results!AK1392</f>
        <v>4.1720364566110835E-2</v>
      </c>
      <c r="AI32" s="1">
        <f>[1]Results!AL1392</f>
        <v>4.8489045695454536E-2</v>
      </c>
      <c r="AJ32" s="1">
        <f>[1]Results!AM1392</f>
        <v>4.9361303190609718E-2</v>
      </c>
      <c r="AK32" s="1">
        <f>[1]Results!AN1392</f>
        <v>4.4860329889173212E-2</v>
      </c>
      <c r="AL32" s="1">
        <f>[1]Results!AO1392</f>
        <v>3.5524366946015462E-2</v>
      </c>
      <c r="AM32" s="1">
        <f>[1]Results!AP1392</f>
        <v>3.0622140093372163E-2</v>
      </c>
      <c r="AN32" s="1">
        <f>[1]Results!AQ1392</f>
        <v>2.1941400349135165E-2</v>
      </c>
      <c r="AO32" s="1">
        <f>[1]Results!AR1392</f>
        <v>1.0101456115286123E-2</v>
      </c>
      <c r="AP32" s="1">
        <f>[1]Results!AS1392</f>
        <v>-5.219908150476904E-3</v>
      </c>
      <c r="AQ32" s="1">
        <f>[1]Results!AT1392</f>
        <v>-2.3908449106280649E-2</v>
      </c>
      <c r="AR32" s="1">
        <f>[1]Results!AU1392</f>
        <v>-4.4110768113370113E-2</v>
      </c>
      <c r="AS32" s="1">
        <f>[1]Results!AV1392</f>
        <v>-6.7000307451537289E-2</v>
      </c>
      <c r="AT32" s="1">
        <f>[1]Results!AW1392</f>
        <v>-9.2152997549233007E-2</v>
      </c>
      <c r="AU32" s="1">
        <f>[1]Results!AX1392</f>
        <v>-0.11936166373683887</v>
      </c>
      <c r="AV32" s="1">
        <f>[1]Results!AY1392</f>
        <v>-0.148415968524652</v>
      </c>
      <c r="AW32" s="1">
        <f>[1]Results!AZ1392</f>
        <v>-0.1737583095181896</v>
      </c>
      <c r="AX32" s="1">
        <f>[1]Results!BA1392</f>
        <v>-0.20079621953258453</v>
      </c>
      <c r="AY32" s="1">
        <f>[1]Results!BB1392</f>
        <v>-0.73566679979989535</v>
      </c>
      <c r="AZ32" s="1">
        <f>[1]Results!BC1392</f>
        <v>-0.9572955486526471</v>
      </c>
      <c r="BA32" s="1">
        <f>[1]Results!BD1392</f>
        <v>-1.0384167315454427</v>
      </c>
      <c r="BB32" s="1">
        <f>[1]Results!BE1392</f>
        <v>-9.277495750736886E-2</v>
      </c>
      <c r="BC32" s="1">
        <f>[1]Results!BF1392</f>
        <v>-9.6004316128306399E-2</v>
      </c>
      <c r="BD32" s="1">
        <f>[1]Results!BG1392</f>
        <v>-9.970625294177804E-2</v>
      </c>
      <c r="BE32" s="1">
        <f>[1]Results!BH1392</f>
        <v>-0.10398189759901477</v>
      </c>
      <c r="BF32" s="1">
        <f>[1]Results!BI1392</f>
        <v>-0.10885048964444088</v>
      </c>
    </row>
    <row r="33" spans="1:58" x14ac:dyDescent="0.35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  <c r="AM33" s="1">
        <f>[1]Results!AP1393</f>
        <v>0</v>
      </c>
      <c r="AN33" s="1">
        <f>[1]Results!AQ1393</f>
        <v>0</v>
      </c>
      <c r="AO33" s="1">
        <f>[1]Results!AR1393</f>
        <v>0</v>
      </c>
      <c r="AP33" s="1">
        <f>[1]Results!AS1393</f>
        <v>0</v>
      </c>
      <c r="AQ33" s="1">
        <f>[1]Results!AT1393</f>
        <v>0</v>
      </c>
      <c r="AR33" s="1">
        <f>[1]Results!AU1393</f>
        <v>0</v>
      </c>
      <c r="AS33" s="1">
        <f>[1]Results!AV1393</f>
        <v>0</v>
      </c>
      <c r="AT33" s="1">
        <f>[1]Results!AW1393</f>
        <v>0</v>
      </c>
      <c r="AU33" s="1">
        <f>[1]Results!AX1393</f>
        <v>0</v>
      </c>
      <c r="AV33" s="1">
        <f>[1]Results!AY1393</f>
        <v>0</v>
      </c>
      <c r="AW33" s="1">
        <f>[1]Results!AZ1393</f>
        <v>0</v>
      </c>
      <c r="AX33" s="1">
        <f>[1]Results!BA1393</f>
        <v>0</v>
      </c>
      <c r="AY33" s="1">
        <f>[1]Results!BB1393</f>
        <v>0</v>
      </c>
      <c r="AZ33" s="1">
        <f>[1]Results!BC1393</f>
        <v>0</v>
      </c>
      <c r="BA33" s="1">
        <f>[1]Results!BD1393</f>
        <v>0</v>
      </c>
      <c r="BB33" s="1">
        <f>[1]Results!BE1393</f>
        <v>0</v>
      </c>
      <c r="BC33" s="1">
        <f>[1]Results!BF1393</f>
        <v>0</v>
      </c>
      <c r="BD33" s="1">
        <f>[1]Results!BG1393</f>
        <v>0</v>
      </c>
      <c r="BE33" s="1">
        <f>[1]Results!BH1393</f>
        <v>0</v>
      </c>
      <c r="BF33" s="1">
        <f>[1]Results!BI1393</f>
        <v>0</v>
      </c>
    </row>
    <row r="34" spans="1:58" x14ac:dyDescent="0.35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-0.4720449622814038</v>
      </c>
      <c r="D34" s="1">
        <f>[1]Results!G1394</f>
        <v>-1.1129909196120558</v>
      </c>
      <c r="E34" s="1">
        <f>[1]Results!H1394</f>
        <v>-1.6229092316657145</v>
      </c>
      <c r="F34" s="1">
        <f>[1]Results!I1394</f>
        <v>-2.0925538884379868</v>
      </c>
      <c r="G34" s="1">
        <f>[1]Results!J1394</f>
        <v>-2.5371338564955659</v>
      </c>
      <c r="H34" s="1">
        <f>[1]Results!K1394</f>
        <v>-2.9533254793932535</v>
      </c>
      <c r="I34" s="1">
        <f>[1]Results!L1394</f>
        <v>-3.3331228896141596</v>
      </c>
      <c r="J34" s="1">
        <f>[1]Results!M1394</f>
        <v>-3.6624329373202151</v>
      </c>
      <c r="K34" s="1">
        <f>[1]Results!N1394</f>
        <v>-3.9319879898777721</v>
      </c>
      <c r="L34" s="1">
        <f>[1]Results!O1394</f>
        <v>-4.1368163105303442</v>
      </c>
      <c r="M34" s="1">
        <f>[1]Results!P1394</f>
        <v>-4.2757941801041195</v>
      </c>
      <c r="N34" s="1">
        <f>[1]Results!Q1394</f>
        <v>-4.3613817632796579</v>
      </c>
      <c r="O34" s="1">
        <f>[1]Results!R1394</f>
        <v>-4.3954246474158136</v>
      </c>
      <c r="P34" s="1">
        <f>[1]Results!S1394</f>
        <v>-4.3888351614081209</v>
      </c>
      <c r="Q34" s="1">
        <f>[1]Results!T1394</f>
        <v>-4.352709091283347</v>
      </c>
      <c r="R34" s="1">
        <f>[1]Results!U1394</f>
        <v>-4.2979072585832112</v>
      </c>
      <c r="S34" s="1">
        <f>[1]Results!V1394</f>
        <v>-4.2390113851222271</v>
      </c>
      <c r="T34" s="1">
        <f>[1]Results!W1394</f>
        <v>-4.1801524996123103</v>
      </c>
      <c r="U34" s="1">
        <f>[1]Results!X1394</f>
        <v>-4.1275500306517277</v>
      </c>
      <c r="V34" s="1">
        <f>[1]Results!Y1394</f>
        <v>-4.0848490755964306</v>
      </c>
      <c r="W34" s="1">
        <f>[1]Results!Z1394</f>
        <v>-4.0551607336474227</v>
      </c>
      <c r="X34" s="1">
        <f>[1]Results!AA1394</f>
        <v>-4.0368140229677394</v>
      </c>
      <c r="Y34" s="1">
        <f>[1]Results!AB1394</f>
        <v>-4.0316073809832602</v>
      </c>
      <c r="Z34" s="1">
        <f>[1]Results!AC1394</f>
        <v>-4.038712568328318</v>
      </c>
      <c r="AA34" s="1">
        <f>[1]Results!AD1394</f>
        <v>-4.0570943514457447</v>
      </c>
      <c r="AB34" s="1">
        <f>[1]Results!AE1394</f>
        <v>-4.087768627231636</v>
      </c>
      <c r="AC34" s="1">
        <f>[1]Results!AF1394</f>
        <v>-4.1217461440929526</v>
      </c>
      <c r="AD34" s="1">
        <f>[1]Results!AG1394</f>
        <v>-4.1621613543173623</v>
      </c>
      <c r="AE34" s="1">
        <f>[1]Results!AH1394</f>
        <v>-4.2074263731150641</v>
      </c>
      <c r="AF34" s="1">
        <f>[1]Results!AI1394</f>
        <v>-4.2566903134188534</v>
      </c>
      <c r="AG34" s="1">
        <f>[1]Results!AJ1394</f>
        <v>-4.3091487119976346</v>
      </c>
      <c r="AH34" s="1">
        <f>[1]Results!AK1394</f>
        <v>-4.3629448160009581</v>
      </c>
      <c r="AI34" s="1">
        <f>[1]Results!AL1394</f>
        <v>-4.4183500055315239</v>
      </c>
      <c r="AJ34" s="1">
        <f>[1]Results!AM1394</f>
        <v>-4.4747269764771387</v>
      </c>
      <c r="AK34" s="1">
        <f>[1]Results!AN1394</f>
        <v>-4.5316881763711621</v>
      </c>
      <c r="AL34" s="1">
        <f>[1]Results!AO1394</f>
        <v>-4.5888900003664528</v>
      </c>
      <c r="AM34" s="1">
        <f>[1]Results!AP1394</f>
        <v>-4.6366422848977518</v>
      </c>
      <c r="AN34" s="1">
        <f>[1]Results!AQ1394</f>
        <v>-4.6821084162121824</v>
      </c>
      <c r="AO34" s="1">
        <f>[1]Results!AR1394</f>
        <v>-4.7247861318244322</v>
      </c>
      <c r="AP34" s="1">
        <f>[1]Results!AS1394</f>
        <v>-4.7656105564511604</v>
      </c>
      <c r="AQ34" s="1">
        <f>[1]Results!AT1394</f>
        <v>-4.8052705411285812</v>
      </c>
      <c r="AR34" s="1">
        <f>[1]Results!AU1394</f>
        <v>-4.8426963437344872</v>
      </c>
      <c r="AS34" s="1">
        <f>[1]Results!AV1394</f>
        <v>-4.8795824599744853</v>
      </c>
      <c r="AT34" s="1">
        <f>[1]Results!AW1394</f>
        <v>-4.9161105654668464</v>
      </c>
      <c r="AU34" s="1">
        <f>[1]Results!AX1394</f>
        <v>-4.9526436160672436</v>
      </c>
      <c r="AV34" s="1">
        <f>[1]Results!AY1394</f>
        <v>-4.9894609831301793</v>
      </c>
      <c r="AW34" s="1">
        <f>[1]Results!AZ1394</f>
        <v>-5.0215196567540143</v>
      </c>
      <c r="AX34" s="1">
        <f>[1]Results!BA1394</f>
        <v>-5.0536445296486043</v>
      </c>
      <c r="AY34" s="1">
        <f>[1]Results!BB1394</f>
        <v>-6.0334034922296951</v>
      </c>
      <c r="AZ34" s="1">
        <f>[1]Results!BC1394</f>
        <v>-6.9557733805452706</v>
      </c>
      <c r="BA34" s="1">
        <f>[1]Results!BD1394</f>
        <v>-7.823238749782135</v>
      </c>
      <c r="BB34" s="1">
        <f>[1]Results!BE1394</f>
        <v>4.7498446736571331E-2</v>
      </c>
      <c r="BC34" s="1">
        <f>[1]Results!BF1394</f>
        <v>5.1407209653087094E-2</v>
      </c>
      <c r="BD34" s="1">
        <f>[1]Results!BG1394</f>
        <v>5.5114852930970848E-2</v>
      </c>
      <c r="BE34" s="1">
        <f>[1]Results!BH1394</f>
        <v>5.8544590700004839E-2</v>
      </c>
      <c r="BF34" s="1">
        <f>[1]Results!BI1394</f>
        <v>6.1660941499108723E-2</v>
      </c>
    </row>
    <row r="35" spans="1:58" x14ac:dyDescent="0.35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-0.64859349351292783</v>
      </c>
      <c r="D35" s="1">
        <f>[1]Results!G1395</f>
        <v>-1.4237569716229248</v>
      </c>
      <c r="E35" s="1">
        <f>[1]Results!H1395</f>
        <v>-2.2602648598623265</v>
      </c>
      <c r="F35" s="1">
        <f>[1]Results!I1395</f>
        <v>-3.0629769405728813</v>
      </c>
      <c r="G35" s="1">
        <f>[1]Results!J1395</f>
        <v>-3.7767537441143473</v>
      </c>
      <c r="H35" s="1">
        <f>[1]Results!K1395</f>
        <v>-4.3767568146990783</v>
      </c>
      <c r="I35" s="1">
        <f>[1]Results!L1395</f>
        <v>-4.8568961109953239</v>
      </c>
      <c r="J35" s="1">
        <f>[1]Results!M1395</f>
        <v>-5.2225628555823018</v>
      </c>
      <c r="K35" s="1">
        <f>[1]Results!N1395</f>
        <v>-5.4840168081720879</v>
      </c>
      <c r="L35" s="1">
        <f>[1]Results!O1395</f>
        <v>-5.6537849409286185</v>
      </c>
      <c r="M35" s="1">
        <f>[1]Results!P1395</f>
        <v>-5.7448207917249139</v>
      </c>
      <c r="N35" s="1">
        <f>[1]Results!Q1395</f>
        <v>-5.7679882561809119</v>
      </c>
      <c r="O35" s="1">
        <f>[1]Results!R1395</f>
        <v>-5.7369326459683068</v>
      </c>
      <c r="P35" s="1">
        <f>[1]Results!S1395</f>
        <v>-5.6621898878606247</v>
      </c>
      <c r="Q35" s="1">
        <f>[1]Results!T1395</f>
        <v>-5.5530520363175739</v>
      </c>
      <c r="R35" s="1">
        <f>[1]Results!U1395</f>
        <v>-5.4176505943160596</v>
      </c>
      <c r="S35" s="1">
        <f>[1]Results!V1395</f>
        <v>-5.2613804579127006</v>
      </c>
      <c r="T35" s="1">
        <f>[1]Results!W1395</f>
        <v>-5.0918694895794481</v>
      </c>
      <c r="U35" s="1">
        <f>[1]Results!X1395</f>
        <v>-4.9145400655115301</v>
      </c>
      <c r="V35" s="1">
        <f>[1]Results!Y1395</f>
        <v>-4.7338994750599328</v>
      </c>
      <c r="W35" s="1">
        <f>[1]Results!Z1395</f>
        <v>-4.5537396210687309</v>
      </c>
      <c r="X35" s="1">
        <f>[1]Results!AA1395</f>
        <v>-4.3769959568995649</v>
      </c>
      <c r="Y35" s="1">
        <f>[1]Results!AB1395</f>
        <v>-4.2053950256969124</v>
      </c>
      <c r="Z35" s="1">
        <f>[1]Results!AC1395</f>
        <v>-4.0403016306235662</v>
      </c>
      <c r="AA35" s="1">
        <f>[1]Results!AD1395</f>
        <v>-3.8824910262407752</v>
      </c>
      <c r="AB35" s="1">
        <f>[1]Results!AE1395</f>
        <v>-3.7326356423191265</v>
      </c>
      <c r="AC35" s="1">
        <f>[1]Results!AF1395</f>
        <v>-3.5921163165456904</v>
      </c>
      <c r="AD35" s="1">
        <f>[1]Results!AG1395</f>
        <v>-3.4593464419353848</v>
      </c>
      <c r="AE35" s="1">
        <f>[1]Results!AH1395</f>
        <v>-3.3334744297233154</v>
      </c>
      <c r="AF35" s="1">
        <f>[1]Results!AI1395</f>
        <v>-3.2135148300197036</v>
      </c>
      <c r="AG35" s="1">
        <f>[1]Results!AJ1395</f>
        <v>-3.0984261539301561</v>
      </c>
      <c r="AH35" s="1">
        <f>[1]Results!AK1395</f>
        <v>-2.9877785128390122</v>
      </c>
      <c r="AI35" s="1">
        <f>[1]Results!AL1395</f>
        <v>-2.8801183674037167</v>
      </c>
      <c r="AJ35" s="1">
        <f>[1]Results!AM1395</f>
        <v>-2.7743083742258534</v>
      </c>
      <c r="AK35" s="1">
        <f>[1]Results!AN1395</f>
        <v>-2.6692508907818491</v>
      </c>
      <c r="AL35" s="1">
        <f>[1]Results!AO1395</f>
        <v>-2.5639109712303876</v>
      </c>
      <c r="AM35" s="1">
        <f>[1]Results!AP1395</f>
        <v>-2.4635577185167845</v>
      </c>
      <c r="AN35" s="1">
        <f>[1]Results!AQ1395</f>
        <v>-2.3640311880663623</v>
      </c>
      <c r="AO35" s="1">
        <f>[1]Results!AR1395</f>
        <v>-2.2638163658436627</v>
      </c>
      <c r="AP35" s="1">
        <f>[1]Results!AS1395</f>
        <v>-2.1616660729834369</v>
      </c>
      <c r="AQ35" s="1">
        <f>[1]Results!AT1395</f>
        <v>-2.05664969919781</v>
      </c>
      <c r="AR35" s="1">
        <f>[1]Results!AU1395</f>
        <v>-1.9491896607514603</v>
      </c>
      <c r="AS35" s="1">
        <f>[1]Results!AV1395</f>
        <v>-1.8383124385124239</v>
      </c>
      <c r="AT35" s="1">
        <f>[1]Results!AW1395</f>
        <v>-1.7236891709229929</v>
      </c>
      <c r="AU35" s="1">
        <f>[1]Results!AX1395</f>
        <v>-1.6051855372854695</v>
      </c>
      <c r="AV35" s="1">
        <f>[1]Results!AY1395</f>
        <v>-1.4828397863132059</v>
      </c>
      <c r="AW35" s="1">
        <f>[1]Results!AZ1395</f>
        <v>-1.360659377443485</v>
      </c>
      <c r="AX35" s="1">
        <f>[1]Results!BA1395</f>
        <v>-1.2369310513420828</v>
      </c>
      <c r="AY35" s="1">
        <f>[1]Results!BB1395</f>
        <v>-3.3247596124753476</v>
      </c>
      <c r="AZ35" s="1">
        <f>[1]Results!BC1395</f>
        <v>-5.5204016956207465</v>
      </c>
      <c r="BA35" s="1">
        <f>[1]Results!BD1395</f>
        <v>-7.7276290225458011</v>
      </c>
      <c r="BB35" s="1">
        <f>[1]Results!BE1395</f>
        <v>0.92349145427912394</v>
      </c>
      <c r="BC35" s="1">
        <f>[1]Results!BF1395</f>
        <v>0.95712879840108567</v>
      </c>
      <c r="BD35" s="1">
        <f>[1]Results!BG1395</f>
        <v>0.99049300470144264</v>
      </c>
      <c r="BE35" s="1">
        <f>[1]Results!BH1395</f>
        <v>1.0236628073144516</v>
      </c>
      <c r="BF35" s="1">
        <f>[1]Results!BI1395</f>
        <v>1.0566729836185118</v>
      </c>
    </row>
    <row r="36" spans="1:58" x14ac:dyDescent="0.35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-0.73816588041329956</v>
      </c>
      <c r="D36" s="1">
        <f>[1]Results!G1396</f>
        <v>-1.4940787099536834</v>
      </c>
      <c r="E36" s="1">
        <f>[1]Results!H1396</f>
        <v>-2.2574690738025094</v>
      </c>
      <c r="F36" s="1">
        <f>[1]Results!I1396</f>
        <v>-2.9517452029125701</v>
      </c>
      <c r="G36" s="1">
        <f>[1]Results!J1396</f>
        <v>-3.540568191696758</v>
      </c>
      <c r="H36" s="1">
        <f>[1]Results!K1396</f>
        <v>-4.0112331072369223</v>
      </c>
      <c r="I36" s="1">
        <f>[1]Results!L1396</f>
        <v>-4.36557504948345</v>
      </c>
      <c r="J36" s="1">
        <f>[1]Results!M1396</f>
        <v>-4.6144430473535225</v>
      </c>
      <c r="K36" s="1">
        <f>[1]Results!N1396</f>
        <v>-4.7720775884113609</v>
      </c>
      <c r="L36" s="1">
        <f>[1]Results!O1396</f>
        <v>-4.8539091608375546</v>
      </c>
      <c r="M36" s="1">
        <f>[1]Results!P1396</f>
        <v>-4.8747136186967239</v>
      </c>
      <c r="N36" s="1">
        <f>[1]Results!Q1396</f>
        <v>-4.8462522036358919</v>
      </c>
      <c r="O36" s="1">
        <f>[1]Results!R1396</f>
        <v>-4.7816339888446135</v>
      </c>
      <c r="P36" s="1">
        <f>[1]Results!S1396</f>
        <v>-4.6897804422764366</v>
      </c>
      <c r="Q36" s="1">
        <f>[1]Results!T1396</f>
        <v>-4.5779193913273115</v>
      </c>
      <c r="R36" s="1">
        <f>[1]Results!U1396</f>
        <v>-4.4517874883205693</v>
      </c>
      <c r="S36" s="1">
        <f>[1]Results!V1396</f>
        <v>-4.3145504157715564</v>
      </c>
      <c r="T36" s="1">
        <f>[1]Results!W1396</f>
        <v>-4.1713545126024876</v>
      </c>
      <c r="U36" s="1">
        <f>[1]Results!X1396</f>
        <v>-4.0251171594351209</v>
      </c>
      <c r="V36" s="1">
        <f>[1]Results!Y1396</f>
        <v>-3.8783717508494631</v>
      </c>
      <c r="W36" s="1">
        <f>[1]Results!Z1396</f>
        <v>-3.733300533946593</v>
      </c>
      <c r="X36" s="1">
        <f>[1]Results!AA1396</f>
        <v>-3.5916770459388903</v>
      </c>
      <c r="Y36" s="1">
        <f>[1]Results!AB1396</f>
        <v>-3.4542775190595232</v>
      </c>
      <c r="Z36" s="1">
        <f>[1]Results!AC1396</f>
        <v>-3.3218493870921129</v>
      </c>
      <c r="AA36" s="1">
        <f>[1]Results!AD1396</f>
        <v>-3.1947787061661348</v>
      </c>
      <c r="AB36" s="1">
        <f>[1]Results!AE1396</f>
        <v>-3.0734647493334322</v>
      </c>
      <c r="AC36" s="1">
        <f>[1]Results!AF1396</f>
        <v>-2.9593162053840327</v>
      </c>
      <c r="AD36" s="1">
        <f>[1]Results!AG1396</f>
        <v>-2.850780395194441</v>
      </c>
      <c r="AE36" s="1">
        <f>[1]Results!AH1396</f>
        <v>-2.7473291918866272</v>
      </c>
      <c r="AF36" s="1">
        <f>[1]Results!AI1396</f>
        <v>-2.6482168976204812</v>
      </c>
      <c r="AG36" s="1">
        <f>[1]Results!AJ1396</f>
        <v>-2.5526505044397352</v>
      </c>
      <c r="AH36" s="1">
        <f>[1]Results!AK1396</f>
        <v>-2.4603883853179354</v>
      </c>
      <c r="AI36" s="1">
        <f>[1]Results!AL1396</f>
        <v>-2.3702560460020838</v>
      </c>
      <c r="AJ36" s="1">
        <f>[1]Results!AM1396</f>
        <v>-2.2814524295096117</v>
      </c>
      <c r="AK36" s="1">
        <f>[1]Results!AN1396</f>
        <v>-2.193146571591098</v>
      </c>
      <c r="AL36" s="1">
        <f>[1]Results!AO1396</f>
        <v>-2.1045389039357154</v>
      </c>
      <c r="AM36" s="1">
        <f>[1]Results!AP1396</f>
        <v>-2.0204122910858824</v>
      </c>
      <c r="AN36" s="1">
        <f>[1]Results!AQ1396</f>
        <v>-1.9368610247397888</v>
      </c>
      <c r="AO36" s="1">
        <f>[1]Results!AR1396</f>
        <v>-1.8530939727336215</v>
      </c>
      <c r="AP36" s="1">
        <f>[1]Results!AS1396</f>
        <v>-1.7680185103545076</v>
      </c>
      <c r="AQ36" s="1">
        <f>[1]Results!AT1396</f>
        <v>-1.6807313180242311</v>
      </c>
      <c r="AR36" s="1">
        <f>[1]Results!AU1396</f>
        <v>-1.591526522979636</v>
      </c>
      <c r="AS36" s="1">
        <f>[1]Results!AV1396</f>
        <v>-1.4994268607995465</v>
      </c>
      <c r="AT36" s="1">
        <f>[1]Results!AW1396</f>
        <v>-1.40420006678319</v>
      </c>
      <c r="AU36" s="1">
        <f>[1]Results!AX1396</f>
        <v>-1.3057355665679116</v>
      </c>
      <c r="AV36" s="1">
        <f>[1]Results!AY1396</f>
        <v>-1.2040847919271847</v>
      </c>
      <c r="AW36" s="1">
        <f>[1]Results!AZ1396</f>
        <v>-1.1028610762417013</v>
      </c>
      <c r="AX36" s="1">
        <f>[1]Results!BA1396</f>
        <v>-1.0003645747429513</v>
      </c>
      <c r="AY36" s="1">
        <f>[1]Results!BB1396</f>
        <v>-3.0564156116442809</v>
      </c>
      <c r="AZ36" s="1">
        <f>[1]Results!BC1396</f>
        <v>-5.1414785151146063</v>
      </c>
      <c r="BA36" s="1">
        <f>[1]Results!BD1396</f>
        <v>-7.1952898910272349</v>
      </c>
      <c r="BB36" s="1">
        <f>[1]Results!BE1396</f>
        <v>0.76004335846093785</v>
      </c>
      <c r="BC36" s="1">
        <f>[1]Results!BF1396</f>
        <v>0.7871795426503958</v>
      </c>
      <c r="BD36" s="1">
        <f>[1]Results!BG1396</f>
        <v>0.81408310092607739</v>
      </c>
      <c r="BE36" s="1">
        <f>[1]Results!BH1396</f>
        <v>0.8408317434181356</v>
      </c>
      <c r="BF36" s="1">
        <f>[1]Results!BI1396</f>
        <v>0.86746467176475051</v>
      </c>
    </row>
    <row r="37" spans="1:58" x14ac:dyDescent="0.35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-0.63814507160414591</v>
      </c>
      <c r="D37" s="1">
        <f>[1]Results!G1397</f>
        <v>-0.51001088482645063</v>
      </c>
      <c r="E37" s="1">
        <f>[1]Results!H1397</f>
        <v>-0.57632982962070312</v>
      </c>
      <c r="F37" s="1">
        <f>[1]Results!I1397</f>
        <v>-0.6566500550960086</v>
      </c>
      <c r="G37" s="1">
        <f>[1]Results!J1397</f>
        <v>-0.72681528531014505</v>
      </c>
      <c r="H37" s="1">
        <f>[1]Results!K1397</f>
        <v>-0.77576697048730159</v>
      </c>
      <c r="I37" s="1">
        <f>[1]Results!L1397</f>
        <v>-0.79849804193339313</v>
      </c>
      <c r="J37" s="1">
        <f>[1]Results!M1397</f>
        <v>-0.79489001230135248</v>
      </c>
      <c r="K37" s="1">
        <f>[1]Results!N1397</f>
        <v>-0.76809779375844878</v>
      </c>
      <c r="L37" s="1">
        <f>[1]Results!O1397</f>
        <v>-0.72273551820215554</v>
      </c>
      <c r="M37" s="1">
        <f>[1]Results!P1397</f>
        <v>-0.66396024501230722</v>
      </c>
      <c r="N37" s="1">
        <f>[1]Results!Q1397</f>
        <v>-0.59563070787538308</v>
      </c>
      <c r="O37" s="1">
        <f>[1]Results!R1397</f>
        <v>-0.52663265677784787</v>
      </c>
      <c r="P37" s="1">
        <f>[1]Results!S1397</f>
        <v>-0.45962996456712091</v>
      </c>
      <c r="Q37" s="1">
        <f>[1]Results!T1397</f>
        <v>-0.39756286186013456</v>
      </c>
      <c r="R37" s="1">
        <f>[1]Results!U1397</f>
        <v>-0.34214141133068754</v>
      </c>
      <c r="S37" s="1">
        <f>[1]Results!V1397</f>
        <v>-0.28993638260531585</v>
      </c>
      <c r="T37" s="1">
        <f>[1]Results!W1397</f>
        <v>-0.24737127529568248</v>
      </c>
      <c r="U37" s="1">
        <f>[1]Results!X1397</f>
        <v>-0.21049284130533197</v>
      </c>
      <c r="V37" s="1">
        <f>[1]Results!Y1397</f>
        <v>-0.1780185069658935</v>
      </c>
      <c r="W37" s="1">
        <f>[1]Results!Z1397</f>
        <v>-0.14855639536509591</v>
      </c>
      <c r="X37" s="1">
        <f>[1]Results!AA1397</f>
        <v>-0.12136376366509438</v>
      </c>
      <c r="Y37" s="1">
        <f>[1]Results!AB1397</f>
        <v>-9.432413761584213E-2</v>
      </c>
      <c r="Z37" s="1">
        <f>[1]Results!AC1397</f>
        <v>-6.7068376656920226E-2</v>
      </c>
      <c r="AA37" s="1">
        <f>[1]Results!AD1397</f>
        <v>-3.8949566081680764E-2</v>
      </c>
      <c r="AB37" s="1">
        <f>[1]Results!AE1397</f>
        <v>-9.2732141404816559E-3</v>
      </c>
      <c r="AC37" s="1">
        <f>[1]Results!AF1397</f>
        <v>1.7986314905793499E-2</v>
      </c>
      <c r="AD37" s="1">
        <f>[1]Results!AG1397</f>
        <v>4.9221322138093271E-2</v>
      </c>
      <c r="AE37" s="1">
        <f>[1]Results!AH1397</f>
        <v>8.1638376985027072E-2</v>
      </c>
      <c r="AF37" s="1">
        <f>[1]Results!AI1397</f>
        <v>0.1150647074035005</v>
      </c>
      <c r="AG37" s="1">
        <f>[1]Results!AJ1397</f>
        <v>0.14933114342512432</v>
      </c>
      <c r="AH37" s="1">
        <f>[1]Results!AK1397</f>
        <v>0.18315925437237812</v>
      </c>
      <c r="AI37" s="1">
        <f>[1]Results!AL1397</f>
        <v>0.21826620925475826</v>
      </c>
      <c r="AJ37" s="1">
        <f>[1]Results!AM1397</f>
        <v>0.25372858266969889</v>
      </c>
      <c r="AK37" s="1">
        <f>[1]Results!AN1397</f>
        <v>0.2894812814246972</v>
      </c>
      <c r="AL37" s="1">
        <f>[1]Results!AO1397</f>
        <v>0.32550021294277531</v>
      </c>
      <c r="AM37" s="1">
        <f>[1]Results!AP1397</f>
        <v>0.35166804018547104</v>
      </c>
      <c r="AN37" s="1">
        <f>[1]Results!AQ1397</f>
        <v>0.3841646761191253</v>
      </c>
      <c r="AO37" s="1">
        <f>[1]Results!AR1397</f>
        <v>0.41621338563997412</v>
      </c>
      <c r="AP37" s="1">
        <f>[1]Results!AS1397</f>
        <v>0.44789238176081714</v>
      </c>
      <c r="AQ37" s="1">
        <f>[1]Results!AT1397</f>
        <v>0.47938688910504901</v>
      </c>
      <c r="AR37" s="1">
        <f>[1]Results!AU1397</f>
        <v>0.50923329457261968</v>
      </c>
      <c r="AS37" s="1">
        <f>[1]Results!AV1397</f>
        <v>0.54047453647856347</v>
      </c>
      <c r="AT37" s="1">
        <f>[1]Results!AW1397</f>
        <v>0.57208165394639909</v>
      </c>
      <c r="AU37" s="1">
        <f>[1]Results!AX1397</f>
        <v>0.60423110064424801</v>
      </c>
      <c r="AV37" s="1">
        <f>[1]Results!AY1397</f>
        <v>0.63705592464040617</v>
      </c>
      <c r="AW37" s="1">
        <f>[1]Results!AZ1397</f>
        <v>0.66467010495498968</v>
      </c>
      <c r="AX37" s="1">
        <f>[1]Results!BA1397</f>
        <v>0.69691504849542785</v>
      </c>
      <c r="AY37" s="1">
        <f>[1]Results!BB1397</f>
        <v>0.37813390297960492</v>
      </c>
      <c r="AZ37" s="1">
        <f>[1]Results!BC1397</f>
        <v>6.1824643643659805E-2</v>
      </c>
      <c r="BA37" s="1">
        <f>[1]Results!BD1397</f>
        <v>-0.25201915954998766</v>
      </c>
      <c r="BB37" s="1">
        <f>[1]Results!BE1397</f>
        <v>0</v>
      </c>
      <c r="BC37" s="1">
        <f>[1]Results!BF1397</f>
        <v>0</v>
      </c>
      <c r="BD37" s="1">
        <f>[1]Results!BG1397</f>
        <v>0</v>
      </c>
      <c r="BE37" s="1">
        <f>[1]Results!BH1397</f>
        <v>0</v>
      </c>
      <c r="BF37" s="1">
        <f>[1]Results!BI1397</f>
        <v>0</v>
      </c>
    </row>
    <row r="38" spans="1:58" x14ac:dyDescent="0.35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-0.23200357939642258</v>
      </c>
      <c r="D38" s="1">
        <f>[1]Results!G1398</f>
        <v>-0.73052786179356177</v>
      </c>
      <c r="E38" s="1">
        <f>[1]Results!H1398</f>
        <v>-1.3984713552564476</v>
      </c>
      <c r="F38" s="1">
        <f>[1]Results!I1398</f>
        <v>-2.1922723756919948</v>
      </c>
      <c r="G38" s="1">
        <f>[1]Results!J1398</f>
        <v>-3.049591248121275</v>
      </c>
      <c r="H38" s="1">
        <f>[1]Results!K1398</f>
        <v>-3.9061387247454449</v>
      </c>
      <c r="I38" s="1">
        <f>[1]Results!L1398</f>
        <v>-4.7087188245288125</v>
      </c>
      <c r="J38" s="1">
        <f>[1]Results!M1398</f>
        <v>-5.4188449434245172</v>
      </c>
      <c r="K38" s="1">
        <f>[1]Results!N1398</f>
        <v>-6.014157162232225</v>
      </c>
      <c r="L38" s="1">
        <f>[1]Results!O1398</f>
        <v>-6.4857851816388585</v>
      </c>
      <c r="M38" s="1">
        <f>[1]Results!P1398</f>
        <v>-6.8348370308727757</v>
      </c>
      <c r="N38" s="1">
        <f>[1]Results!Q1398</f>
        <v>-7.0719945519467808</v>
      </c>
      <c r="O38" s="1">
        <f>[1]Results!R1398</f>
        <v>-7.2092031067023115</v>
      </c>
      <c r="P38" s="1">
        <f>[1]Results!S1398</f>
        <v>-7.2619829802260565</v>
      </c>
      <c r="Q38" s="1">
        <f>[1]Results!T1398</f>
        <v>-7.2463746434508032</v>
      </c>
      <c r="R38" s="1">
        <f>[1]Results!U1398</f>
        <v>-7.1778201307782901</v>
      </c>
      <c r="S38" s="1">
        <f>[1]Results!V1398</f>
        <v>-7.0716823391811285</v>
      </c>
      <c r="T38" s="1">
        <f>[1]Results!W1398</f>
        <v>-6.9392434283039428</v>
      </c>
      <c r="U38" s="1">
        <f>[1]Results!X1398</f>
        <v>-6.7907882944322147</v>
      </c>
      <c r="V38" s="1">
        <f>[1]Results!Y1398</f>
        <v>-6.6345962250845432</v>
      </c>
      <c r="W38" s="1">
        <f>[1]Results!Z1398</f>
        <v>-6.4774303742735846</v>
      </c>
      <c r="X38" s="1">
        <f>[1]Results!AA1398</f>
        <v>-6.3236475582785996</v>
      </c>
      <c r="Y38" s="1">
        <f>[1]Results!AB1398</f>
        <v>-6.177114253816363</v>
      </c>
      <c r="Z38" s="1">
        <f>[1]Results!AC1398</f>
        <v>-6.0401945514319655</v>
      </c>
      <c r="AA38" s="1">
        <f>[1]Results!AD1398</f>
        <v>-5.9143272936003521</v>
      </c>
      <c r="AB38" s="1">
        <f>[1]Results!AE1398</f>
        <v>-5.8009700965288458</v>
      </c>
      <c r="AC38" s="1">
        <f>[1]Results!AF1398</f>
        <v>-5.6983662096138481</v>
      </c>
      <c r="AD38" s="1">
        <f>[1]Results!AG1398</f>
        <v>-5.6072170215441641</v>
      </c>
      <c r="AE38" s="1">
        <f>[1]Results!AH1398</f>
        <v>-5.5268721690052818</v>
      </c>
      <c r="AF38" s="1">
        <f>[1]Results!AI1398</f>
        <v>-5.4564583825345014</v>
      </c>
      <c r="AG38" s="1">
        <f>[1]Results!AJ1398</f>
        <v>-5.3948822053424994</v>
      </c>
      <c r="AH38" s="1">
        <f>[1]Results!AK1398</f>
        <v>-5.3405599010409865</v>
      </c>
      <c r="AI38" s="1">
        <f>[1]Results!AL1398</f>
        <v>-5.2924882571226073</v>
      </c>
      <c r="AJ38" s="1">
        <f>[1]Results!AM1398</f>
        <v>-5.2493766599049918</v>
      </c>
      <c r="AK38" s="1">
        <f>[1]Results!AN1398</f>
        <v>-5.2099401446412452</v>
      </c>
      <c r="AL38" s="1">
        <f>[1]Results!AO1398</f>
        <v>-5.1729195753665085</v>
      </c>
      <c r="AM38" s="1">
        <f>[1]Results!AP1398</f>
        <v>-5.1342054707991913</v>
      </c>
      <c r="AN38" s="1">
        <f>[1]Results!AQ1398</f>
        <v>-5.0955622500207571</v>
      </c>
      <c r="AO38" s="1">
        <f>[1]Results!AR1398</f>
        <v>-5.0566605613296396</v>
      </c>
      <c r="AP38" s="1">
        <f>[1]Results!AS1398</f>
        <v>-5.0170858105612393</v>
      </c>
      <c r="AQ38" s="1">
        <f>[1]Results!AT1398</f>
        <v>-4.9762844307614129</v>
      </c>
      <c r="AR38" s="1">
        <f>[1]Results!AU1398</f>
        <v>-4.9331329747170809</v>
      </c>
      <c r="AS38" s="1">
        <f>[1]Results!AV1398</f>
        <v>-4.8875612152295851</v>
      </c>
      <c r="AT38" s="1">
        <f>[1]Results!AW1398</f>
        <v>-4.8391905134373197</v>
      </c>
      <c r="AU38" s="1">
        <f>[1]Results!AX1398</f>
        <v>-4.7877274013893079</v>
      </c>
      <c r="AV38" s="1">
        <f>[1]Results!AY1398</f>
        <v>-4.7329719873794858</v>
      </c>
      <c r="AW38" s="1">
        <f>[1]Results!AZ1398</f>
        <v>-4.6730529968134871</v>
      </c>
      <c r="AX38" s="1">
        <f>[1]Results!BA1398</f>
        <v>-4.6098447450427908</v>
      </c>
      <c r="AY38" s="1">
        <f>[1]Results!BB1398</f>
        <v>-4.5431346149904073</v>
      </c>
      <c r="AZ38" s="1">
        <f>[1]Results!BC1398</f>
        <v>-5.1232714650859208</v>
      </c>
      <c r="BA38" s="1">
        <f>[1]Results!BD1398</f>
        <v>-6.3014404812393394</v>
      </c>
      <c r="BB38" s="1">
        <f>[1]Results!BE1398</f>
        <v>0.52299662863573015</v>
      </c>
      <c r="BC38" s="1">
        <f>[1]Results!BF1398</f>
        <v>0.54651107442689195</v>
      </c>
      <c r="BD38" s="1">
        <f>[1]Results!BG1398</f>
        <v>0.5699060909814424</v>
      </c>
      <c r="BE38" s="1">
        <f>[1]Results!BH1398</f>
        <v>0.5931206808498013</v>
      </c>
      <c r="BF38" s="1">
        <f>[1]Results!BI1398</f>
        <v>0.61613815686294426</v>
      </c>
    </row>
    <row r="39" spans="1:58" x14ac:dyDescent="0.35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0.60794765255194338</v>
      </c>
      <c r="D39" s="1">
        <f>[1]Results!G1399</f>
        <v>0.78634544076521262</v>
      </c>
      <c r="E39" s="1">
        <f>[1]Results!H1399</f>
        <v>0.92164748859673296</v>
      </c>
      <c r="F39" s="1">
        <f>[1]Results!I1399</f>
        <v>0.89204913398714947</v>
      </c>
      <c r="G39" s="1">
        <f>[1]Results!J1399</f>
        <v>0.69592367883737349</v>
      </c>
      <c r="H39" s="1">
        <f>[1]Results!K1399</f>
        <v>0.37000240500335568</v>
      </c>
      <c r="I39" s="1">
        <f>[1]Results!L1399</f>
        <v>-3.7597131730926492E-2</v>
      </c>
      <c r="J39" s="1">
        <f>[1]Results!M1399</f>
        <v>-0.47764014236456598</v>
      </c>
      <c r="K39" s="1">
        <f>[1]Results!N1399</f>
        <v>-0.91128357802309212</v>
      </c>
      <c r="L39" s="1">
        <f>[1]Results!O1399</f>
        <v>-1.3105155260105805</v>
      </c>
      <c r="M39" s="1">
        <f>[1]Results!P1399</f>
        <v>-1.6574491390071833</v>
      </c>
      <c r="N39" s="1">
        <f>[1]Results!Q1399</f>
        <v>-1.9498563912360489</v>
      </c>
      <c r="O39" s="1">
        <f>[1]Results!R1399</f>
        <v>-2.1807719426014227</v>
      </c>
      <c r="P39" s="1">
        <f>[1]Results!S1399</f>
        <v>-2.3555233542821186</v>
      </c>
      <c r="Q39" s="1">
        <f>[1]Results!T1399</f>
        <v>-2.4812733187387082</v>
      </c>
      <c r="R39" s="1">
        <f>[1]Results!U1399</f>
        <v>-2.5667863254201673</v>
      </c>
      <c r="S39" s="1">
        <f>[1]Results!V1399</f>
        <v>-2.6255676235384273</v>
      </c>
      <c r="T39" s="1">
        <f>[1]Results!W1399</f>
        <v>-2.6614350974714429</v>
      </c>
      <c r="U39" s="1">
        <f>[1]Results!X1399</f>
        <v>-2.6826072186002969</v>
      </c>
      <c r="V39" s="1">
        <f>[1]Results!Y1399</f>
        <v>-2.6949331240179397</v>
      </c>
      <c r="W39" s="1">
        <f>[1]Results!Z1399</f>
        <v>-2.703270183427775</v>
      </c>
      <c r="X39" s="1">
        <f>[1]Results!AA1399</f>
        <v>-2.7099012587075921</v>
      </c>
      <c r="Y39" s="1">
        <f>[1]Results!AB1399</f>
        <v>-2.7187264527471666</v>
      </c>
      <c r="Z39" s="1">
        <f>[1]Results!AC1399</f>
        <v>-2.7311222552100722</v>
      </c>
      <c r="AA39" s="1">
        <f>[1]Results!AD1399</f>
        <v>-2.7482617078942506</v>
      </c>
      <c r="AB39" s="1">
        <f>[1]Results!AE1399</f>
        <v>-2.7715279363887735</v>
      </c>
      <c r="AC39" s="1">
        <f>[1]Results!AF1399</f>
        <v>-2.7960857065458256</v>
      </c>
      <c r="AD39" s="1">
        <f>[1]Results!AG1399</f>
        <v>-2.8265292381824625</v>
      </c>
      <c r="AE39" s="1">
        <f>[1]Results!AH1399</f>
        <v>-2.8619506437692288</v>
      </c>
      <c r="AF39" s="1">
        <f>[1]Results!AI1399</f>
        <v>-2.9023913317522743</v>
      </c>
      <c r="AG39" s="1">
        <f>[1]Results!AJ1399</f>
        <v>-2.9477126496758599</v>
      </c>
      <c r="AH39" s="1">
        <f>[1]Results!AK1399</f>
        <v>-2.9963684311688832</v>
      </c>
      <c r="AI39" s="1">
        <f>[1]Results!AL1399</f>
        <v>-3.0491839012115829</v>
      </c>
      <c r="AJ39" s="1">
        <f>[1]Results!AM1399</f>
        <v>-3.1056172628350809</v>
      </c>
      <c r="AK39" s="1">
        <f>[1]Results!AN1399</f>
        <v>-3.1653283847833391</v>
      </c>
      <c r="AL39" s="1">
        <f>[1]Results!AO1399</f>
        <v>-3.2279297132029483</v>
      </c>
      <c r="AM39" s="1">
        <f>[1]Results!AP1399</f>
        <v>-3.2815398273743246</v>
      </c>
      <c r="AN39" s="1">
        <f>[1]Results!AQ1399</f>
        <v>-3.3360088732322213</v>
      </c>
      <c r="AO39" s="1">
        <f>[1]Results!AR1399</f>
        <v>-3.3903526249756011</v>
      </c>
      <c r="AP39" s="1">
        <f>[1]Results!AS1399</f>
        <v>-3.4452759171461067</v>
      </c>
      <c r="AQ39" s="1">
        <f>[1]Results!AT1399</f>
        <v>-3.5011038443719222</v>
      </c>
      <c r="AR39" s="1">
        <f>[1]Results!AU1399</f>
        <v>-3.5559363106207442</v>
      </c>
      <c r="AS39" s="1">
        <f>[1]Results!AV1399</f>
        <v>-3.611373861558409</v>
      </c>
      <c r="AT39" s="1">
        <f>[1]Results!AW1399</f>
        <v>-3.6670397314470193</v>
      </c>
      <c r="AU39" s="1">
        <f>[1]Results!AX1399</f>
        <v>-3.7228058960981691</v>
      </c>
      <c r="AV39" s="1">
        <f>[1]Results!AY1399</f>
        <v>-3.7784702292329664</v>
      </c>
      <c r="AW39" s="1">
        <f>[1]Results!AZ1399</f>
        <v>-3.8271102672732149</v>
      </c>
      <c r="AX39" s="1">
        <f>[1]Results!BA1399</f>
        <v>-3.874590418233681</v>
      </c>
      <c r="AY39" s="1">
        <f>[1]Results!BB1399</f>
        <v>-1.540388844977969</v>
      </c>
      <c r="AZ39" s="1">
        <f>[1]Results!BC1399</f>
        <v>0.17433116140717075</v>
      </c>
      <c r="BA39" s="1">
        <f>[1]Results!BD1399</f>
        <v>1.275820605596989</v>
      </c>
      <c r="BB39" s="1">
        <f>[1]Results!BE1399</f>
        <v>-0.24021035105309396</v>
      </c>
      <c r="BC39" s="1">
        <f>[1]Results!BF1399</f>
        <v>-0.24428123002031565</v>
      </c>
      <c r="BD39" s="1">
        <f>[1]Results!BG1399</f>
        <v>-0.24825121388079019</v>
      </c>
      <c r="BE39" s="1">
        <f>[1]Results!BH1399</f>
        <v>-0.25224222680291231</v>
      </c>
      <c r="BF39" s="1">
        <f>[1]Results!BI1399</f>
        <v>-0.25630122591391302</v>
      </c>
    </row>
    <row r="40" spans="1:58" x14ac:dyDescent="0.35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-0.23200357809272099</v>
      </c>
      <c r="D40" s="1">
        <f>[1]Results!G1400</f>
        <v>-0.73052785618685778</v>
      </c>
      <c r="E40" s="1">
        <f>[1]Results!H1400</f>
        <v>-1.3984713629271783</v>
      </c>
      <c r="F40" s="1">
        <f>[1]Results!I1400</f>
        <v>-2.1922723945959288</v>
      </c>
      <c r="G40" s="1">
        <f>[1]Results!J1400</f>
        <v>-3.0495912317126117</v>
      </c>
      <c r="H40" s="1">
        <f>[1]Results!K1400</f>
        <v>-3.9061387208295106</v>
      </c>
      <c r="I40" s="1">
        <f>[1]Results!L1400</f>
        <v>-4.7087188207570518</v>
      </c>
      <c r="J40" s="1">
        <f>[1]Results!M1400</f>
        <v>-5.4188449438459685</v>
      </c>
      <c r="K40" s="1">
        <f>[1]Results!N1400</f>
        <v>-6.0141571644671821</v>
      </c>
      <c r="L40" s="1">
        <f>[1]Results!O1400</f>
        <v>-6.4857851824657198</v>
      </c>
      <c r="M40" s="1">
        <f>[1]Results!P1400</f>
        <v>-6.8348370441093103</v>
      </c>
      <c r="N40" s="1">
        <f>[1]Results!Q1400</f>
        <v>-7.0719945492449749</v>
      </c>
      <c r="O40" s="1">
        <f>[1]Results!R1400</f>
        <v>-7.2092031023633485</v>
      </c>
      <c r="P40" s="1">
        <f>[1]Results!S1400</f>
        <v>-7.2619829845752655</v>
      </c>
      <c r="Q40" s="1">
        <f>[1]Results!T1400</f>
        <v>-7.2463746325901024</v>
      </c>
      <c r="R40" s="1">
        <f>[1]Results!U1400</f>
        <v>-7.1778201211962429</v>
      </c>
      <c r="S40" s="1">
        <f>[1]Results!V1400</f>
        <v>-7.0716823366566146</v>
      </c>
      <c r="T40" s="1">
        <f>[1]Results!W1400</f>
        <v>-6.9392434192249164</v>
      </c>
      <c r="U40" s="1">
        <f>[1]Results!X1400</f>
        <v>-6.7907882974133527</v>
      </c>
      <c r="V40" s="1">
        <f>[1]Results!Y1400</f>
        <v>-6.6345962161471705</v>
      </c>
      <c r="W40" s="1">
        <f>[1]Results!Z1400</f>
        <v>-6.4774303669749571</v>
      </c>
      <c r="X40" s="1">
        <f>[1]Results!AA1400</f>
        <v>-6.3236474920327694</v>
      </c>
      <c r="Y40" s="1">
        <f>[1]Results!AB1400</f>
        <v>-6.1771142571237725</v>
      </c>
      <c r="Z40" s="1">
        <f>[1]Results!AC1400</f>
        <v>-6.0401945561406434</v>
      </c>
      <c r="AA40" s="1">
        <f>[1]Results!AD1400</f>
        <v>-5.9143273133241419</v>
      </c>
      <c r="AB40" s="1">
        <f>[1]Results!AE1400</f>
        <v>-5.8009700733624321</v>
      </c>
      <c r="AC40" s="1">
        <f>[1]Results!AF1400</f>
        <v>-5.6983662290800874</v>
      </c>
      <c r="AD40" s="1">
        <f>[1]Results!AG1400</f>
        <v>-5.6072170000796007</v>
      </c>
      <c r="AE40" s="1">
        <f>[1]Results!AH1400</f>
        <v>-5.5268721118995838</v>
      </c>
      <c r="AF40" s="1">
        <f>[1]Results!AI1400</f>
        <v>-5.4564583920502567</v>
      </c>
      <c r="AG40" s="1">
        <f>[1]Results!AJ1400</f>
        <v>-5.3948821288378079</v>
      </c>
      <c r="AH40" s="1">
        <f>[1]Results!AK1400</f>
        <v>-5.3405599367241319</v>
      </c>
      <c r="AI40" s="1">
        <f>[1]Results!AL1400</f>
        <v>-5.2924882360805725</v>
      </c>
      <c r="AJ40" s="1">
        <f>[1]Results!AM1400</f>
        <v>-5.2493766816348097</v>
      </c>
      <c r="AK40" s="1">
        <f>[1]Results!AN1400</f>
        <v>-5.2099401209743874</v>
      </c>
      <c r="AL40" s="1">
        <f>[1]Results!AO1400</f>
        <v>-5.172919559870925</v>
      </c>
      <c r="AM40" s="1">
        <f>[1]Results!AP1400</f>
        <v>-5.134205420605098</v>
      </c>
      <c r="AN40" s="1">
        <f>[1]Results!AQ1400</f>
        <v>-5.0955622496622999</v>
      </c>
      <c r="AO40" s="1">
        <f>[1]Results!AR1400</f>
        <v>-5.0566605014995432</v>
      </c>
      <c r="AP40" s="1">
        <f>[1]Results!AS1400</f>
        <v>-5.0170857820015407</v>
      </c>
      <c r="AQ40" s="1">
        <f>[1]Results!AT1400</f>
        <v>-4.9762844193791516</v>
      </c>
      <c r="AR40" s="1">
        <f>[1]Results!AU1400</f>
        <v>-4.93313300933933</v>
      </c>
      <c r="AS40" s="1">
        <f>[1]Results!AV1400</f>
        <v>-4.887561222439496</v>
      </c>
      <c r="AT40" s="1">
        <f>[1]Results!AW1400</f>
        <v>-4.8391904977704847</v>
      </c>
      <c r="AU40" s="1">
        <f>[1]Results!AX1400</f>
        <v>-4.7877273597525587</v>
      </c>
      <c r="AV40" s="1">
        <f>[1]Results!AY1400</f>
        <v>-4.7329719573367512</v>
      </c>
      <c r="AW40" s="1">
        <f>[1]Results!AZ1400</f>
        <v>-4.6730529850852793</v>
      </c>
      <c r="AX40" s="1">
        <f>[1]Results!BA1400</f>
        <v>-4.6098448047005576</v>
      </c>
      <c r="AY40" s="1">
        <f>[1]Results!BB1400</f>
        <v>-6.749974051320673</v>
      </c>
      <c r="AZ40" s="1">
        <f>[1]Results!BC1400</f>
        <v>-9.0286996720705499</v>
      </c>
      <c r="BA40" s="1">
        <f>[1]Results!BD1400</f>
        <v>-11.418256858388231</v>
      </c>
      <c r="BB40" s="1">
        <f>[1]Results!BE1400</f>
        <v>0.52299658260768211</v>
      </c>
      <c r="BC40" s="1">
        <f>[1]Results!BF1400</f>
        <v>0.54651106337506583</v>
      </c>
      <c r="BD40" s="1">
        <f>[1]Results!BG1400</f>
        <v>0.5699060494213759</v>
      </c>
      <c r="BE40" s="1">
        <f>[1]Results!BH1400</f>
        <v>0.59312071470607464</v>
      </c>
      <c r="BF40" s="1">
        <f>[1]Results!BI1400</f>
        <v>0.61613814107257525</v>
      </c>
    </row>
    <row r="41" spans="1:58" x14ac:dyDescent="0.35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0.47497157732023787</v>
      </c>
      <c r="D41" s="1">
        <f>[1]Results!G1401</f>
        <v>0.9216611912187922</v>
      </c>
      <c r="E41" s="1">
        <f>[1]Results!H1401</f>
        <v>1.2555298558072359</v>
      </c>
      <c r="F41" s="1">
        <f>[1]Results!I1401</f>
        <v>1.4198357805949913</v>
      </c>
      <c r="G41" s="1">
        <f>[1]Results!J1401</f>
        <v>1.4071961313320891</v>
      </c>
      <c r="H41" s="1">
        <f>[1]Results!K1401</f>
        <v>1.2510842948756373</v>
      </c>
      <c r="I41" s="1">
        <f>[1]Results!L1401</f>
        <v>0.99957322359911505</v>
      </c>
      <c r="J41" s="1">
        <f>[1]Results!M1401</f>
        <v>0.70137394085538762</v>
      </c>
      <c r="K41" s="1">
        <f>[1]Results!N1401</f>
        <v>0.39503026050373702</v>
      </c>
      <c r="L41" s="1">
        <f>[1]Results!O1401</f>
        <v>0.10722572615819992</v>
      </c>
      <c r="M41" s="1">
        <f>[1]Results!P1401</f>
        <v>-0.146291343978322</v>
      </c>
      <c r="N41" s="1">
        <f>[1]Results!Q1401</f>
        <v>-0.36273344170426602</v>
      </c>
      <c r="O41" s="1">
        <f>[1]Results!R1401</f>
        <v>-0.53914935791771201</v>
      </c>
      <c r="P41" s="1">
        <f>[1]Results!S1401</f>
        <v>-0.67932262183449943</v>
      </c>
      <c r="Q41" s="1">
        <f>[1]Results!T1401</f>
        <v>-0.78950922854548189</v>
      </c>
      <c r="R41" s="1">
        <f>[1]Results!U1401</f>
        <v>-0.87660229779760179</v>
      </c>
      <c r="S41" s="1">
        <f>[1]Results!V1401</f>
        <v>-0.94998802071242228</v>
      </c>
      <c r="T41" s="1">
        <f>[1]Results!W1401</f>
        <v>-1.0129968629603581</v>
      </c>
      <c r="U41" s="1">
        <f>[1]Results!X1401</f>
        <v>-1.0693156742596632</v>
      </c>
      <c r="V41" s="1">
        <f>[1]Results!Y1401</f>
        <v>-1.1218585207624643</v>
      </c>
      <c r="W41" s="1">
        <f>[1]Results!Z1401</f>
        <v>-1.1726760585934914</v>
      </c>
      <c r="X41" s="1">
        <f>[1]Results!AA1401</f>
        <v>-1.2227622440153185</v>
      </c>
      <c r="Y41" s="1">
        <f>[1]Results!AB1401</f>
        <v>-1.2734230006095415</v>
      </c>
      <c r="Z41" s="1">
        <f>[1]Results!AC1401</f>
        <v>-1.3253881258446953</v>
      </c>
      <c r="AA41" s="1">
        <f>[1]Results!AD1401</f>
        <v>-1.3790804406885071</v>
      </c>
      <c r="AB41" s="1">
        <f>[1]Results!AE1401</f>
        <v>-1.4349074472222001</v>
      </c>
      <c r="AC41" s="1">
        <f>[1]Results!AF1401</f>
        <v>-1.4904378631536486</v>
      </c>
      <c r="AD41" s="1">
        <f>[1]Results!AG1401</f>
        <v>-1.5473290078927504</v>
      </c>
      <c r="AE41" s="1">
        <f>[1]Results!AH1401</f>
        <v>-1.6063705654517868</v>
      </c>
      <c r="AF41" s="1">
        <f>[1]Results!AI1401</f>
        <v>-1.6679336810723755</v>
      </c>
      <c r="AG41" s="1">
        <f>[1]Results!AJ1401</f>
        <v>-1.7322164264860107</v>
      </c>
      <c r="AH41" s="1">
        <f>[1]Results!AK1401</f>
        <v>-1.7983376821992247</v>
      </c>
      <c r="AI41" s="1">
        <f>[1]Results!AL1401</f>
        <v>-1.8668384379898706</v>
      </c>
      <c r="AJ41" s="1">
        <f>[1]Results!AM1401</f>
        <v>-1.9378735518708834</v>
      </c>
      <c r="AK41" s="1">
        <f>[1]Results!AN1401</f>
        <v>-2.0114382497208094</v>
      </c>
      <c r="AL41" s="1">
        <f>[1]Results!AO1401</f>
        <v>-2.0874565102829146</v>
      </c>
      <c r="AM41" s="1">
        <f>[1]Results!AP1401</f>
        <v>-2.1570141894890704</v>
      </c>
      <c r="AN41" s="1">
        <f>[1]Results!AQ1401</f>
        <v>-2.2249479339166434</v>
      </c>
      <c r="AO41" s="1">
        <f>[1]Results!AR1401</f>
        <v>-2.2934269951262798</v>
      </c>
      <c r="AP41" s="1">
        <f>[1]Results!AS1401</f>
        <v>-2.3633766083891339</v>
      </c>
      <c r="AQ41" s="1">
        <f>[1]Results!AT1401</f>
        <v>-2.4351735229194316</v>
      </c>
      <c r="AR41" s="1">
        <f>[1]Results!AU1401</f>
        <v>-2.5072924042276457</v>
      </c>
      <c r="AS41" s="1">
        <f>[1]Results!AV1401</f>
        <v>-2.5803012652801938</v>
      </c>
      <c r="AT41" s="1">
        <f>[1]Results!AW1401</f>
        <v>-2.6542022301859758</v>
      </c>
      <c r="AU41" s="1">
        <f>[1]Results!AX1401</f>
        <v>-2.7287342373255252</v>
      </c>
      <c r="AV41" s="1">
        <f>[1]Results!AY1401</f>
        <v>-2.8035601073807648</v>
      </c>
      <c r="AW41" s="1">
        <f>[1]Results!AZ1401</f>
        <v>-2.8731062782297423</v>
      </c>
      <c r="AX41" s="1">
        <f>[1]Results!BA1401</f>
        <v>-2.9399998850337949</v>
      </c>
      <c r="AY41" s="1">
        <f>[1]Results!BB1401</f>
        <v>-2.8810509860466627</v>
      </c>
      <c r="AZ41" s="1">
        <f>[1]Results!BC1401</f>
        <v>-2.7879367341390071</v>
      </c>
      <c r="BA41" s="1">
        <f>[1]Results!BD1401</f>
        <v>-2.7736901536325798</v>
      </c>
      <c r="BB41" s="1">
        <f>[1]Results!BE1401</f>
        <v>-0.55346485136600343</v>
      </c>
      <c r="BC41" s="1">
        <f>[1]Results!BF1401</f>
        <v>-0.56941968367145712</v>
      </c>
      <c r="BD41" s="1">
        <f>[1]Results!BG1401</f>
        <v>-0.58518679972733301</v>
      </c>
      <c r="BE41" s="1">
        <f>[1]Results!BH1401</f>
        <v>-0.60091463051668015</v>
      </c>
      <c r="BF41" s="1">
        <f>[1]Results!BI1401</f>
        <v>-0.61665616465492734</v>
      </c>
    </row>
    <row r="42" spans="1:58" x14ac:dyDescent="0.35">
      <c r="A42" s="3" t="str">
        <f>[1]Results!E1402</f>
        <v>((F_L_2/F_L_0)-1)*100</v>
      </c>
      <c r="B42" t="str">
        <f>[1]Results!C1402</f>
        <v>Emploi en %</v>
      </c>
      <c r="C42" s="1">
        <f>[1]Results!F1402</f>
        <v>-0.80353018051997349</v>
      </c>
      <c r="D42" s="1">
        <f>[1]Results!G1402</f>
        <v>-1.4643454333867489</v>
      </c>
      <c r="E42" s="1">
        <f>[1]Results!H1402</f>
        <v>-1.9373018947803189</v>
      </c>
      <c r="F42" s="1">
        <f>[1]Results!I1402</f>
        <v>-2.25572566095531</v>
      </c>
      <c r="G42" s="1">
        <f>[1]Results!J1402</f>
        <v>-2.4649199746441752</v>
      </c>
      <c r="H42" s="1">
        <f>[1]Results!K1402</f>
        <v>-2.6049874592325772</v>
      </c>
      <c r="I42" s="1">
        <f>[1]Results!L1402</f>
        <v>-2.7067241762265493</v>
      </c>
      <c r="J42" s="1">
        <f>[1]Results!M1402</f>
        <v>-2.7889748983203067</v>
      </c>
      <c r="K42" s="1">
        <f>[1]Results!N1402</f>
        <v>-2.8615718361428288</v>
      </c>
      <c r="L42" s="1">
        <f>[1]Results!O1402</f>
        <v>-2.9283029822455675</v>
      </c>
      <c r="M42" s="1">
        <f>[1]Results!P1402</f>
        <v>-2.9892513140564181</v>
      </c>
      <c r="N42" s="1">
        <f>[1]Results!Q1402</f>
        <v>-3.0469637767173929</v>
      </c>
      <c r="O42" s="1">
        <f>[1]Results!R1402</f>
        <v>-3.1006166581097006</v>
      </c>
      <c r="P42" s="1">
        <f>[1]Results!S1402</f>
        <v>-3.1499567404809969</v>
      </c>
      <c r="Q42" s="1">
        <f>[1]Results!T1402</f>
        <v>-3.1958139366188965</v>
      </c>
      <c r="R42" s="1">
        <f>[1]Results!U1402</f>
        <v>-3.2399217599096031</v>
      </c>
      <c r="S42" s="1">
        <f>[1]Results!V1402</f>
        <v>-3.2864207388104805</v>
      </c>
      <c r="T42" s="1">
        <f>[1]Results!W1402</f>
        <v>-3.33733228195775</v>
      </c>
      <c r="U42" s="1">
        <f>[1]Results!X1402</f>
        <v>-3.3939624018245906</v>
      </c>
      <c r="V42" s="1">
        <f>[1]Results!Y1402</f>
        <v>-3.4569698154034212</v>
      </c>
      <c r="W42" s="1">
        <f>[1]Results!Z1402</f>
        <v>-3.5266787507701403</v>
      </c>
      <c r="X42" s="1">
        <f>[1]Results!AA1402</f>
        <v>-3.6020405907375985</v>
      </c>
      <c r="Y42" s="1">
        <f>[1]Results!AB1402</f>
        <v>-3.6821065717668189</v>
      </c>
      <c r="Z42" s="1">
        <f>[1]Results!AC1402</f>
        <v>-3.7656807574038664</v>
      </c>
      <c r="AA42" s="1">
        <f>[1]Results!AD1402</f>
        <v>-3.8514436234395988</v>
      </c>
      <c r="AB42" s="1">
        <f>[1]Results!AE1402</f>
        <v>-3.9387692086767068</v>
      </c>
      <c r="AC42" s="1">
        <f>[1]Results!AF1402</f>
        <v>-4.0250657440289555</v>
      </c>
      <c r="AD42" s="1">
        <f>[1]Results!AG1402</f>
        <v>-4.1088942971705062</v>
      </c>
      <c r="AE42" s="1">
        <f>[1]Results!AH1402</f>
        <v>-4.1892869566341968</v>
      </c>
      <c r="AF42" s="1">
        <f>[1]Results!AI1402</f>
        <v>-4.2656245832975337</v>
      </c>
      <c r="AG42" s="1">
        <f>[1]Results!AJ1402</f>
        <v>-4.3375363213228546</v>
      </c>
      <c r="AH42" s="1">
        <f>[1]Results!AK1402</f>
        <v>-4.4046651805670685</v>
      </c>
      <c r="AI42" s="1">
        <f>[1]Results!AL1402</f>
        <v>-4.4668390512269784</v>
      </c>
      <c r="AJ42" s="1">
        <f>[1]Results!AM1402</f>
        <v>-4.5240882796677484</v>
      </c>
      <c r="AK42" s="1">
        <f>[1]Results!AN1402</f>
        <v>-4.5765485062603357</v>
      </c>
      <c r="AL42" s="1">
        <f>[1]Results!AO1402</f>
        <v>-4.6244143673124682</v>
      </c>
      <c r="AM42" s="1">
        <f>[1]Results!AP1402</f>
        <v>-4.6672644249911244</v>
      </c>
      <c r="AN42" s="1">
        <f>[1]Results!AQ1402</f>
        <v>-4.7040498165613176</v>
      </c>
      <c r="AO42" s="1">
        <f>[1]Results!AR1402</f>
        <v>-4.7348875879397179</v>
      </c>
      <c r="AP42" s="1">
        <f>[1]Results!AS1402</f>
        <v>-4.7603906483006835</v>
      </c>
      <c r="AQ42" s="1">
        <f>[1]Results!AT1402</f>
        <v>-4.7813620920223006</v>
      </c>
      <c r="AR42" s="1">
        <f>[1]Results!AU1402</f>
        <v>-4.7985855756211171</v>
      </c>
      <c r="AS42" s="1">
        <f>[1]Results!AV1402</f>
        <v>-4.812582152522948</v>
      </c>
      <c r="AT42" s="1">
        <f>[1]Results!AW1402</f>
        <v>-4.8239575679176134</v>
      </c>
      <c r="AU42" s="1">
        <f>[1]Results!AX1402</f>
        <v>-4.8332819523304043</v>
      </c>
      <c r="AV42" s="1">
        <f>[1]Results!AY1402</f>
        <v>-4.8410450146055268</v>
      </c>
      <c r="AW42" s="1">
        <f>[1]Results!AZ1402</f>
        <v>-4.8477613472358243</v>
      </c>
      <c r="AX42" s="1">
        <f>[1]Results!BA1402</f>
        <v>-4.8528483101160198</v>
      </c>
      <c r="AY42" s="1">
        <f>[1]Results!BB1402</f>
        <v>-5.2977366924297993</v>
      </c>
      <c r="AZ42" s="1">
        <f>[1]Results!BC1402</f>
        <v>-5.9984778318926235</v>
      </c>
      <c r="BA42" s="1">
        <f>[1]Results!BD1402</f>
        <v>-6.7848220182366914</v>
      </c>
      <c r="BB42" s="1">
        <f>[1]Results!BE1402</f>
        <v>0.14027340424394019</v>
      </c>
      <c r="BC42" s="1">
        <f>[1]Results!BF1402</f>
        <v>0.14741152578139349</v>
      </c>
      <c r="BD42" s="1">
        <f>[1]Results!BG1402</f>
        <v>0.15482110587274889</v>
      </c>
      <c r="BE42" s="1">
        <f>[1]Results!BH1402</f>
        <v>0.16252648829901961</v>
      </c>
      <c r="BF42" s="1">
        <f>[1]Results!BI1402</f>
        <v>0.17051143114354961</v>
      </c>
    </row>
    <row r="43" spans="1:58" x14ac:dyDescent="0.35">
      <c r="A43" s="3" t="str">
        <f>[1]Results!E1403</f>
        <v>F_L_2-F_L_0</v>
      </c>
      <c r="B43" t="str">
        <f>[1]Results!C1403</f>
        <v>Emploi en millier</v>
      </c>
      <c r="C43" s="1">
        <f>[1]Results!F1403</f>
        <v>-219.95120999999926</v>
      </c>
      <c r="D43" s="1">
        <f>[1]Results!G1403</f>
        <v>-401.2443600000006</v>
      </c>
      <c r="E43" s="1">
        <f>[1]Results!H1403</f>
        <v>-531.47850000000108</v>
      </c>
      <c r="F43" s="1">
        <f>[1]Results!I1403</f>
        <v>-619.89361999999892</v>
      </c>
      <c r="G43" s="1">
        <f>[1]Results!J1403</f>
        <v>-678.95014000000083</v>
      </c>
      <c r="H43" s="1">
        <f>[1]Results!K1403</f>
        <v>-719.60368999999992</v>
      </c>
      <c r="I43" s="1">
        <f>[1]Results!L1403</f>
        <v>-749.9322800000009</v>
      </c>
      <c r="J43" s="1">
        <f>[1]Results!M1403</f>
        <v>-775.06336999999985</v>
      </c>
      <c r="K43" s="1">
        <f>[1]Results!N1403</f>
        <v>-797.67540000000008</v>
      </c>
      <c r="L43" s="1">
        <f>[1]Results!O1403</f>
        <v>-818.78476000000228</v>
      </c>
      <c r="M43" s="1">
        <f>[1]Results!P1403</f>
        <v>-838.91761000000042</v>
      </c>
      <c r="N43" s="1">
        <f>[1]Results!Q1403</f>
        <v>-858.1234000000004</v>
      </c>
      <c r="O43" s="1">
        <f>[1]Results!R1403</f>
        <v>-876.12178000000131</v>
      </c>
      <c r="P43" s="1">
        <f>[1]Results!S1403</f>
        <v>-892.8256999999976</v>
      </c>
      <c r="Q43" s="1">
        <f>[1]Results!T1403</f>
        <v>-908.46608999999808</v>
      </c>
      <c r="R43" s="1">
        <f>[1]Results!U1403</f>
        <v>-923.53979000000254</v>
      </c>
      <c r="S43" s="1">
        <f>[1]Results!V1403</f>
        <v>-939.24033000000054</v>
      </c>
      <c r="T43" s="1">
        <f>[1]Results!W1403</f>
        <v>-956.16758000000118</v>
      </c>
      <c r="U43" s="1">
        <f>[1]Results!X1403</f>
        <v>-974.72127000000182</v>
      </c>
      <c r="V43" s="1">
        <f>[1]Results!Y1403</f>
        <v>-995.11714999999822</v>
      </c>
      <c r="W43" s="1">
        <f>[1]Results!Z1403</f>
        <v>-1017.0608500000017</v>
      </c>
      <c r="X43" s="1">
        <f>[1]Results!AA1403</f>
        <v>-1040.7567899999995</v>
      </c>
      <c r="Y43" s="1">
        <f>[1]Results!AB1403</f>
        <v>-1065.9658000000018</v>
      </c>
      <c r="Z43" s="1">
        <f>[1]Results!AC1403</f>
        <v>-1092.3515299999999</v>
      </c>
      <c r="AA43" s="1">
        <f>[1]Results!AD1403</f>
        <v>-1119.5333199999986</v>
      </c>
      <c r="AB43" s="1">
        <f>[1]Results!AE1403</f>
        <v>-1146.0775099999992</v>
      </c>
      <c r="AC43" s="1">
        <f>[1]Results!AF1403</f>
        <v>-1172.0800899999995</v>
      </c>
      <c r="AD43" s="1">
        <f>[1]Results!AG1403</f>
        <v>-1197.2465899999988</v>
      </c>
      <c r="AE43" s="1">
        <f>[1]Results!AH1403</f>
        <v>-1221.3748599999999</v>
      </c>
      <c r="AF43" s="1">
        <f>[1]Results!AI1403</f>
        <v>-1244.341040000003</v>
      </c>
      <c r="AG43" s="1">
        <f>[1]Results!AJ1403</f>
        <v>-1266.0742599999976</v>
      </c>
      <c r="AH43" s="1">
        <f>[1]Results!AK1403</f>
        <v>-1286.4901900000004</v>
      </c>
      <c r="AI43" s="1">
        <f>[1]Results!AL1403</f>
        <v>-1305.5440699999999</v>
      </c>
      <c r="AJ43" s="1">
        <f>[1]Results!AM1403</f>
        <v>-1323.2399000000005</v>
      </c>
      <c r="AK43" s="1">
        <f>[1]Results!AN1403</f>
        <v>-1339.6060499999985</v>
      </c>
      <c r="AL43" s="1">
        <f>[1]Results!AO1403</f>
        <v>-1354.6850099999974</v>
      </c>
      <c r="AM43" s="1">
        <f>[1]Results!AP1403</f>
        <v>-1368.0275299999994</v>
      </c>
      <c r="AN43" s="1">
        <f>[1]Results!AQ1403</f>
        <v>-1379.3671800000011</v>
      </c>
      <c r="AO43" s="1">
        <f>[1]Results!AR1403</f>
        <v>-1388.7910199999969</v>
      </c>
      <c r="AP43" s="1">
        <f>[1]Results!AS1403</f>
        <v>-1396.5265099999997</v>
      </c>
      <c r="AQ43" s="1">
        <f>[1]Results!AT1403</f>
        <v>-1402.8482000000004</v>
      </c>
      <c r="AR43" s="1">
        <f>[1]Results!AU1403</f>
        <v>-1408.0153600000012</v>
      </c>
      <c r="AS43" s="1">
        <f>[1]Results!AV1403</f>
        <v>-1412.2008800000003</v>
      </c>
      <c r="AT43" s="1">
        <f>[1]Results!AW1403</f>
        <v>-1415.5943299999999</v>
      </c>
      <c r="AU43" s="1">
        <f>[1]Results!AX1403</f>
        <v>-1418.3684199999989</v>
      </c>
      <c r="AV43" s="1">
        <f>[1]Results!AY1403</f>
        <v>-1420.667809999999</v>
      </c>
      <c r="AW43" s="1">
        <f>[1]Results!AZ1403</f>
        <v>-1422.6674300000013</v>
      </c>
      <c r="AX43" s="1">
        <f>[1]Results!BA1403</f>
        <v>-1424.1882500000029</v>
      </c>
      <c r="AY43" s="1">
        <f>[1]Results!BB1403</f>
        <v>-1554.7719800000013</v>
      </c>
      <c r="AZ43" s="1">
        <f>[1]Results!BC1403</f>
        <v>-1760.4265899999991</v>
      </c>
      <c r="BA43" s="1">
        <f>[1]Results!BD1403</f>
        <v>-1991.1730500000012</v>
      </c>
      <c r="BB43" s="1">
        <f>[1]Results!BE1403</f>
        <v>43.635760000001028</v>
      </c>
      <c r="BC43" s="1">
        <f>[1]Results!BF1403</f>
        <v>45.909630000001926</v>
      </c>
      <c r="BD43" s="1">
        <f>[1]Results!BG1403</f>
        <v>48.272320000000036</v>
      </c>
      <c r="BE43" s="1">
        <f>[1]Results!BH1403</f>
        <v>50.7316000000028</v>
      </c>
      <c r="BF43" s="1">
        <f>[1]Results!BI1403</f>
        <v>53.282609999998385</v>
      </c>
    </row>
    <row r="44" spans="1:58" x14ac:dyDescent="0.35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0.58717855000000041</v>
      </c>
      <c r="D44" s="1">
        <f>[1]Results!G1404</f>
        <v>1.0259240000000003</v>
      </c>
      <c r="E44" s="1">
        <f>[1]Results!H1404</f>
        <v>1.315407630000001</v>
      </c>
      <c r="F44" s="1">
        <f>[1]Results!I1404</f>
        <v>1.4975502200000017</v>
      </c>
      <c r="G44" s="1">
        <f>[1]Results!J1404</f>
        <v>1.6109281400000008</v>
      </c>
      <c r="H44" s="1">
        <f>[1]Results!K1404</f>
        <v>1.6846869399999993</v>
      </c>
      <c r="I44" s="1">
        <f>[1]Results!L1404</f>
        <v>1.7397710099999992</v>
      </c>
      <c r="J44" s="1">
        <f>[1]Results!M1404</f>
        <v>1.7860078000000001</v>
      </c>
      <c r="K44" s="1">
        <f>[1]Results!N1404</f>
        <v>1.8285373600000017</v>
      </c>
      <c r="L44" s="1">
        <f>[1]Results!O1404</f>
        <v>1.8687091299999987</v>
      </c>
      <c r="M44" s="1">
        <f>[1]Results!P1404</f>
        <v>1.9044053599999999</v>
      </c>
      <c r="N44" s="1">
        <f>[1]Results!Q1404</f>
        <v>1.9407063400000006</v>
      </c>
      <c r="O44" s="1">
        <f>[1]Results!R1404</f>
        <v>1.9740733799999992</v>
      </c>
      <c r="P44" s="1">
        <f>[1]Results!S1404</f>
        <v>2.0043805600000022</v>
      </c>
      <c r="Q44" s="1">
        <f>[1]Results!T1404</f>
        <v>2.0322854700000006</v>
      </c>
      <c r="R44" s="1">
        <f>[1]Results!U1404</f>
        <v>2.0590452000000008</v>
      </c>
      <c r="S44" s="1">
        <f>[1]Results!V1404</f>
        <v>2.0875994700000011</v>
      </c>
      <c r="T44" s="1">
        <f>[1]Results!W1404</f>
        <v>2.1191784200000008</v>
      </c>
      <c r="U44" s="1">
        <f>[1]Results!X1404</f>
        <v>2.1545313900000003</v>
      </c>
      <c r="V44" s="1">
        <f>[1]Results!Y1404</f>
        <v>2.1939894500000001</v>
      </c>
      <c r="W44" s="1">
        <f>[1]Results!Z1404</f>
        <v>2.2387188899999995</v>
      </c>
      <c r="X44" s="1">
        <f>[1]Results!AA1404</f>
        <v>2.2851897100000018</v>
      </c>
      <c r="Y44" s="1">
        <f>[1]Results!AB1404</f>
        <v>2.3347253799999996</v>
      </c>
      <c r="Z44" s="1">
        <f>[1]Results!AC1404</f>
        <v>2.3864126699999986</v>
      </c>
      <c r="AA44" s="1">
        <f>[1]Results!AD1404</f>
        <v>2.4393303800000017</v>
      </c>
      <c r="AB44" s="1">
        <f>[1]Results!AE1404</f>
        <v>2.4961779500000003</v>
      </c>
      <c r="AC44" s="1">
        <f>[1]Results!AF1404</f>
        <v>2.5484579700000012</v>
      </c>
      <c r="AD44" s="1">
        <f>[1]Results!AG1404</f>
        <v>2.5988036599999988</v>
      </c>
      <c r="AE44" s="1">
        <f>[1]Results!AH1404</f>
        <v>2.6466990100000003</v>
      </c>
      <c r="AF44" s="1">
        <f>[1]Results!AI1404</f>
        <v>2.6918540299999987</v>
      </c>
      <c r="AG44" s="1">
        <f>[1]Results!AJ1404</f>
        <v>2.7341174699999997</v>
      </c>
      <c r="AH44" s="1">
        <f>[1]Results!AK1404</f>
        <v>2.7733058899999996</v>
      </c>
      <c r="AI44" s="1">
        <f>[1]Results!AL1404</f>
        <v>2.8093429399999978</v>
      </c>
      <c r="AJ44" s="1">
        <f>[1]Results!AM1404</f>
        <v>2.8422732700000006</v>
      </c>
      <c r="AK44" s="1">
        <f>[1]Results!AN1404</f>
        <v>2.8721945299999998</v>
      </c>
      <c r="AL44" s="1">
        <f>[1]Results!AO1404</f>
        <v>2.8992318500000005</v>
      </c>
      <c r="AM44" s="1">
        <f>[1]Results!AP1404</f>
        <v>2.9238138199999986</v>
      </c>
      <c r="AN44" s="1">
        <f>[1]Results!AQ1404</f>
        <v>2.943948269999999</v>
      </c>
      <c r="AO44" s="1">
        <f>[1]Results!AR1404</f>
        <v>2.9599839899999978</v>
      </c>
      <c r="AP44" s="1">
        <f>[1]Results!AS1404</f>
        <v>2.9725029099999993</v>
      </c>
      <c r="AQ44" s="1">
        <f>[1]Results!AT1404</f>
        <v>2.9821358500000006</v>
      </c>
      <c r="AR44" s="1">
        <f>[1]Results!AU1404</f>
        <v>2.9894439200000011</v>
      </c>
      <c r="AS44" s="1">
        <f>[1]Results!AV1404</f>
        <v>2.9947696200000014</v>
      </c>
      <c r="AT44" s="1">
        <f>[1]Results!AW1404</f>
        <v>2.9985113399999985</v>
      </c>
      <c r="AU44" s="1">
        <f>[1]Results!AX1404</f>
        <v>3.0010314699999983</v>
      </c>
      <c r="AV44" s="1">
        <f>[1]Results!AY1404</f>
        <v>3.0026298700000007</v>
      </c>
      <c r="AW44" s="1">
        <f>[1]Results!AZ1404</f>
        <v>3.0035635099999984</v>
      </c>
      <c r="AX44" s="1">
        <f>[1]Results!BA1404</f>
        <v>3.0034692499999989</v>
      </c>
      <c r="AY44" s="1">
        <f>[1]Results!BB1404</f>
        <v>2.9059769099999992</v>
      </c>
      <c r="AZ44" s="1">
        <f>[1]Results!BC1404</f>
        <v>2.81103375</v>
      </c>
      <c r="BA44" s="1">
        <f>[1]Results!BD1404</f>
        <v>2.7108496399999988</v>
      </c>
      <c r="BB44" s="1">
        <f>[1]Results!BE1404</f>
        <v>-8.9909590000000761E-2</v>
      </c>
      <c r="BC44" s="1">
        <f>[1]Results!BF1404</f>
        <v>-9.4422660000001435E-2</v>
      </c>
      <c r="BD44" s="1">
        <f>[1]Results!BG1404</f>
        <v>-9.911473000000226E-2</v>
      </c>
      <c r="BE44" s="1">
        <f>[1]Results!BH1404</f>
        <v>-0.10399653000000009</v>
      </c>
      <c r="BF44" s="1">
        <f>[1]Results!BI1404</f>
        <v>-0.10905186999999872</v>
      </c>
    </row>
    <row r="45" spans="1:58" x14ac:dyDescent="0.35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-1.2296534974212234</v>
      </c>
      <c r="D45" s="1">
        <f>[1]Results!G1405</f>
        <v>-1.3412011153183818</v>
      </c>
      <c r="E45" s="1">
        <f>[1]Results!H1405</f>
        <v>-1.418190146497444</v>
      </c>
      <c r="F45" s="1">
        <f>[1]Results!I1405</f>
        <v>-1.4705661135387373</v>
      </c>
      <c r="G45" s="1">
        <f>[1]Results!J1405</f>
        <v>-1.4963588146125837</v>
      </c>
      <c r="H45" s="1">
        <f>[1]Results!K1405</f>
        <v>-1.5004043987049682</v>
      </c>
      <c r="I45" s="1">
        <f>[1]Results!L1405</f>
        <v>-1.4913399371969709</v>
      </c>
      <c r="J45" s="1">
        <f>[1]Results!M1405</f>
        <v>-1.4757818107743441</v>
      </c>
      <c r="K45" s="1">
        <f>[1]Results!N1405</f>
        <v>-1.4609162853436231</v>
      </c>
      <c r="L45" s="1">
        <f>[1]Results!O1405</f>
        <v>-1.4519497633806056</v>
      </c>
      <c r="M45" s="1">
        <f>[1]Results!P1405</f>
        <v>-1.4521561894440291</v>
      </c>
      <c r="N45" s="1">
        <f>[1]Results!Q1405</f>
        <v>-1.4674284733504215</v>
      </c>
      <c r="O45" s="1">
        <f>[1]Results!R1405</f>
        <v>-1.4907209714691487</v>
      </c>
      <c r="P45" s="1">
        <f>[1]Results!S1405</f>
        <v>-1.5219636915981396</v>
      </c>
      <c r="Q45" s="1">
        <f>[1]Results!T1405</f>
        <v>-1.5593109069729743</v>
      </c>
      <c r="R45" s="1">
        <f>[1]Results!U1405</f>
        <v>-1.6007832633672354</v>
      </c>
      <c r="S45" s="1">
        <f>[1]Results!V1405</f>
        <v>-1.6493801382017625</v>
      </c>
      <c r="T45" s="1">
        <f>[1]Results!W1405</f>
        <v>-1.6973761780338541</v>
      </c>
      <c r="U45" s="1">
        <f>[1]Results!X1405</f>
        <v>-1.7449604362529607</v>
      </c>
      <c r="V45" s="1">
        <f>[1]Results!Y1405</f>
        <v>-1.7916856847428049</v>
      </c>
      <c r="W45" s="1">
        <f>[1]Results!Z1405</f>
        <v>-1.8371075243550195</v>
      </c>
      <c r="X45" s="1">
        <f>[1]Results!AA1405</f>
        <v>-1.8814642414061844</v>
      </c>
      <c r="Y45" s="1">
        <f>[1]Results!AB1405</f>
        <v>-1.925249908683081</v>
      </c>
      <c r="Z45" s="1">
        <f>[1]Results!AC1405</f>
        <v>-1.9681139977060738</v>
      </c>
      <c r="AA45" s="1">
        <f>[1]Results!AD1405</f>
        <v>-2.0101719334300894</v>
      </c>
      <c r="AB45" s="1">
        <f>[1]Results!AE1405</f>
        <v>-2.0505796089951076</v>
      </c>
      <c r="AC45" s="1">
        <f>[1]Results!AF1405</f>
        <v>-2.088864734821648</v>
      </c>
      <c r="AD45" s="1">
        <f>[1]Results!AG1405</f>
        <v>-2.1283628326308617</v>
      </c>
      <c r="AE45" s="1">
        <f>[1]Results!AH1405</f>
        <v>-2.1678219612684773</v>
      </c>
      <c r="AF45" s="1">
        <f>[1]Results!AI1405</f>
        <v>-2.2071148833917897</v>
      </c>
      <c r="AG45" s="1">
        <f>[1]Results!AJ1405</f>
        <v>-2.246138810280272</v>
      </c>
      <c r="AH45" s="1">
        <f>[1]Results!AK1405</f>
        <v>-2.2839660414785503</v>
      </c>
      <c r="AI45" s="1">
        <f>[1]Results!AL1405</f>
        <v>-2.3217337446206678</v>
      </c>
      <c r="AJ45" s="1">
        <f>[1]Results!AM1405</f>
        <v>-2.3591146767873927</v>
      </c>
      <c r="AK45" s="1">
        <f>[1]Results!AN1405</f>
        <v>-2.3960387644593242</v>
      </c>
      <c r="AL45" s="1">
        <f>[1]Results!AO1405</f>
        <v>-2.4324597272423389</v>
      </c>
      <c r="AM45" s="1">
        <f>[1]Results!AP1405</f>
        <v>-2.4611202049011949</v>
      </c>
      <c r="AN45" s="1">
        <f>[1]Results!AQ1405</f>
        <v>-2.4923412272288439</v>
      </c>
      <c r="AO45" s="1">
        <f>[1]Results!AR1405</f>
        <v>-2.5238494098513544</v>
      </c>
      <c r="AP45" s="1">
        <f>[1]Results!AS1405</f>
        <v>-2.5552928824270782</v>
      </c>
      <c r="AQ45" s="1">
        <f>[1]Results!AT1405</f>
        <v>-2.5864706053066087</v>
      </c>
      <c r="AR45" s="1">
        <f>[1]Results!AU1405</f>
        <v>-2.6162466503971276</v>
      </c>
      <c r="AS45" s="1">
        <f>[1]Results!AV1405</f>
        <v>-2.6461458065813912</v>
      </c>
      <c r="AT45" s="1">
        <f>[1]Results!AW1405</f>
        <v>-2.6757902713365289</v>
      </c>
      <c r="AU45" s="1">
        <f>[1]Results!AX1405</f>
        <v>-2.7051813623107046</v>
      </c>
      <c r="AV45" s="1">
        <f>[1]Results!AY1405</f>
        <v>-2.7343460249097045</v>
      </c>
      <c r="AW45" s="1">
        <f>[1]Results!AZ1405</f>
        <v>-2.7600135778756494</v>
      </c>
      <c r="AX45" s="1">
        <f>[1]Results!BA1405</f>
        <v>-2.7871693923925007</v>
      </c>
      <c r="AY45" s="1">
        <f>[1]Results!BB1405</f>
        <v>-3.2188691464999404</v>
      </c>
      <c r="AZ45" s="1">
        <f>[1]Results!BC1405</f>
        <v>-3.6828065973095985</v>
      </c>
      <c r="BA45" s="1">
        <f>[1]Results!BD1405</f>
        <v>-4.1612634912446502</v>
      </c>
      <c r="BB45" s="1">
        <f>[1]Results!BE1405</f>
        <v>2.5088340241877227E-2</v>
      </c>
      <c r="BC45" s="1">
        <f>[1]Results!BF1405</f>
        <v>2.3677838209086803E-2</v>
      </c>
      <c r="BD45" s="1">
        <f>[1]Results!BG1405</f>
        <v>2.2157323216682578E-2</v>
      </c>
      <c r="BE45" s="1">
        <f>[1]Results!BH1405</f>
        <v>2.0562063689133103E-2</v>
      </c>
      <c r="BF45" s="1">
        <f>[1]Results!BI1405</f>
        <v>1.8911098973554932E-2</v>
      </c>
    </row>
    <row r="46" spans="1:58" x14ac:dyDescent="0.35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4.6735794159673792E-2</v>
      </c>
      <c r="D46" s="1">
        <f>[1]Results!G1406</f>
        <v>5.5761702454805613E-2</v>
      </c>
      <c r="E46" s="1">
        <f>[1]Results!H1406</f>
        <v>7.0190240031473172E-2</v>
      </c>
      <c r="F46" s="1">
        <f>[1]Results!I1406</f>
        <v>8.4551177648519923E-2</v>
      </c>
      <c r="G46" s="1">
        <f>[1]Results!J1406</f>
        <v>9.7682166502572637E-2</v>
      </c>
      <c r="H46" s="1">
        <f>[1]Results!K1406</f>
        <v>0.10930539502962411</v>
      </c>
      <c r="I46" s="1">
        <f>[1]Results!L1406</f>
        <v>0.11939195367594702</v>
      </c>
      <c r="J46" s="1">
        <f>[1]Results!M1406</f>
        <v>0.12779803256131195</v>
      </c>
      <c r="K46" s="1">
        <f>[1]Results!N1406</f>
        <v>0.13450534412191451</v>
      </c>
      <c r="L46" s="1">
        <f>[1]Results!O1406</f>
        <v>0.13955425217030779</v>
      </c>
      <c r="M46" s="1">
        <f>[1]Results!P1406</f>
        <v>0.14298610720184304</v>
      </c>
      <c r="N46" s="1">
        <f>[1]Results!Q1406</f>
        <v>0.14516706889787201</v>
      </c>
      <c r="O46" s="1">
        <f>[1]Results!R1406</f>
        <v>0.1460354351362268</v>
      </c>
      <c r="P46" s="1">
        <f>[1]Results!S1406</f>
        <v>0.14582556752453599</v>
      </c>
      <c r="Q46" s="1">
        <f>[1]Results!T1406</f>
        <v>0.14474586925993602</v>
      </c>
      <c r="R46" s="1">
        <f>[1]Results!U1406</f>
        <v>0.14299462107066757</v>
      </c>
      <c r="S46" s="1">
        <f>[1]Results!V1406</f>
        <v>0.14087747192077696</v>
      </c>
      <c r="T46" s="1">
        <f>[1]Results!W1406</f>
        <v>0.13840221429706981</v>
      </c>
      <c r="U46" s="1">
        <f>[1]Results!X1406</f>
        <v>0.13573858997777688</v>
      </c>
      <c r="V46" s="1">
        <f>[1]Results!Y1406</f>
        <v>0.13300830623176502</v>
      </c>
      <c r="W46" s="1">
        <f>[1]Results!Z1406</f>
        <v>0.13032525222217811</v>
      </c>
      <c r="X46" s="1">
        <f>[1]Results!AA1406</f>
        <v>0.12771500372154437</v>
      </c>
      <c r="Y46" s="1">
        <f>[1]Results!AB1406</f>
        <v>0.12525354708985675</v>
      </c>
      <c r="Z46" s="1">
        <f>[1]Results!AC1406</f>
        <v>0.12296148148495736</v>
      </c>
      <c r="AA46" s="1">
        <f>[1]Results!AD1406</f>
        <v>0.12085143339705187</v>
      </c>
      <c r="AB46" s="1">
        <f>[1]Results!AE1406</f>
        <v>0.11896769968545076</v>
      </c>
      <c r="AC46" s="1">
        <f>[1]Results!AF1406</f>
        <v>0.1172177232888422</v>
      </c>
      <c r="AD46" s="1">
        <f>[1]Results!AG1406</f>
        <v>0.11568217341210336</v>
      </c>
      <c r="AE46" s="1">
        <f>[1]Results!AH1406</f>
        <v>0.11432864865919667</v>
      </c>
      <c r="AF46" s="1">
        <f>[1]Results!AI1406</f>
        <v>0.1131342055843948</v>
      </c>
      <c r="AG46" s="1">
        <f>[1]Results!AJ1406</f>
        <v>0.11207671628437418</v>
      </c>
      <c r="AH46" s="1">
        <f>[1]Results!AK1406</f>
        <v>0.1111157396016452</v>
      </c>
      <c r="AI46" s="1">
        <f>[1]Results!AL1406</f>
        <v>0.11025760078571256</v>
      </c>
      <c r="AJ46" s="1">
        <f>[1]Results!AM1406</f>
        <v>0.10947770886857618</v>
      </c>
      <c r="AK46" s="1">
        <f>[1]Results!AN1406</f>
        <v>0.1087566571751554</v>
      </c>
      <c r="AL46" s="1">
        <f>[1]Results!AO1406</f>
        <v>0.10807765291979722</v>
      </c>
      <c r="AM46" s="1">
        <f>[1]Results!AP1406</f>
        <v>0.1072809675690959</v>
      </c>
      <c r="AN46" s="1">
        <f>[1]Results!AQ1406</f>
        <v>0.10657524219217854</v>
      </c>
      <c r="AO46" s="1">
        <f>[1]Results!AR1406</f>
        <v>0.10590946141399177</v>
      </c>
      <c r="AP46" s="1">
        <f>[1]Results!AS1406</f>
        <v>0.10526370403258056</v>
      </c>
      <c r="AQ46" s="1">
        <f>[1]Results!AT1406</f>
        <v>0.10462731618262039</v>
      </c>
      <c r="AR46" s="1">
        <f>[1]Results!AU1406</f>
        <v>0.10397192491921059</v>
      </c>
      <c r="AS46" s="1">
        <f>[1]Results!AV1406</f>
        <v>0.10332543053377247</v>
      </c>
      <c r="AT46" s="1">
        <f>[1]Results!AW1406</f>
        <v>0.10267832044623515</v>
      </c>
      <c r="AU46" s="1">
        <f>[1]Results!AX1406</f>
        <v>0.10202709534403043</v>
      </c>
      <c r="AV46" s="1">
        <f>[1]Results!AY1406</f>
        <v>0.10137087763006812</v>
      </c>
      <c r="AW46" s="1">
        <f>[1]Results!AZ1406</f>
        <v>0.10064463856081082</v>
      </c>
      <c r="AX46" s="1">
        <f>[1]Results!BA1406</f>
        <v>9.9952656936406953E-2</v>
      </c>
      <c r="AY46" s="1">
        <f>[1]Results!BB1406</f>
        <v>0.13375357016025363</v>
      </c>
      <c r="AZ46" s="1">
        <f>[1]Results!BC1406</f>
        <v>0.1720590127112247</v>
      </c>
      <c r="BA46" s="1">
        <f>[1]Results!BD1406</f>
        <v>0.2123765482706928</v>
      </c>
      <c r="BB46" s="1">
        <f>[1]Results!BE1406</f>
        <v>-1.4290277810535823E-2</v>
      </c>
      <c r="BC46" s="1">
        <f>[1]Results!BF1406</f>
        <v>-1.4575120011606733E-2</v>
      </c>
      <c r="BD46" s="1">
        <f>[1]Results!BG1406</f>
        <v>-1.4850600843896618E-2</v>
      </c>
      <c r="BE46" s="1">
        <f>[1]Results!BH1406</f>
        <v>-1.5118730917251105E-2</v>
      </c>
      <c r="BF46" s="1">
        <f>[1]Results!BI1406</f>
        <v>-1.5380040732979224E-2</v>
      </c>
    </row>
    <row r="47" spans="1:58" x14ac:dyDescent="0.35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0.61866698966400058</v>
      </c>
      <c r="D47" s="1">
        <f>[1]Results!G1407</f>
        <v>1.1217840108579207</v>
      </c>
      <c r="E47" s="1">
        <f>[1]Results!H1407</f>
        <v>1.5273227909686944</v>
      </c>
      <c r="F47" s="1">
        <f>[1]Results!I1407</f>
        <v>1.8555692952529581</v>
      </c>
      <c r="G47" s="1">
        <f>[1]Results!J1407</f>
        <v>2.1193194284499484</v>
      </c>
      <c r="H47" s="1">
        <f>[1]Results!K1407</f>
        <v>2.3286784311489197</v>
      </c>
      <c r="I47" s="1">
        <f>[1]Results!L1407</f>
        <v>2.491928041324992</v>
      </c>
      <c r="J47" s="1">
        <f>[1]Results!M1407</f>
        <v>2.6145950589852398</v>
      </c>
      <c r="K47" s="1">
        <f>[1]Results!N1407</f>
        <v>2.7006777612848398</v>
      </c>
      <c r="L47" s="1">
        <f>[1]Results!O1407</f>
        <v>2.7537823771360013</v>
      </c>
      <c r="M47" s="1">
        <f>[1]Results!P1407</f>
        <v>2.7786218991782805</v>
      </c>
      <c r="N47" s="1">
        <f>[1]Results!Q1407</f>
        <v>2.7810845543830283</v>
      </c>
      <c r="O47" s="1">
        <f>[1]Results!R1407</f>
        <v>2.7657970110476411</v>
      </c>
      <c r="P47" s="1">
        <f>[1]Results!S1407</f>
        <v>2.7385063247239994</v>
      </c>
      <c r="Q47" s="1">
        <f>[1]Results!T1407</f>
        <v>2.7045828824760649</v>
      </c>
      <c r="R47" s="1">
        <f>[1]Results!U1407</f>
        <v>2.6689339707351123</v>
      </c>
      <c r="S47" s="1">
        <f>[1]Results!V1407</f>
        <v>2.63834119302755</v>
      </c>
      <c r="T47" s="1">
        <f>[1]Results!W1407</f>
        <v>2.6142936099840179</v>
      </c>
      <c r="U47" s="1">
        <f>[1]Results!X1407</f>
        <v>2.598515110530343</v>
      </c>
      <c r="V47" s="1">
        <f>[1]Results!Y1407</f>
        <v>2.5917393797856825</v>
      </c>
      <c r="W47" s="1">
        <f>[1]Results!Z1407</f>
        <v>2.5935960983503938</v>
      </c>
      <c r="X47" s="1">
        <f>[1]Results!AA1407</f>
        <v>2.6048093728097443</v>
      </c>
      <c r="Y47" s="1">
        <f>[1]Results!AB1407</f>
        <v>2.6236770103659079</v>
      </c>
      <c r="Z47" s="1">
        <f>[1]Results!AC1407</f>
        <v>2.6489695464961458</v>
      </c>
      <c r="AA47" s="1">
        <f>[1]Results!AD1407</f>
        <v>2.6795788729037233</v>
      </c>
      <c r="AB47" s="1">
        <f>[1]Results!AE1407</f>
        <v>2.7128758131594752</v>
      </c>
      <c r="AC47" s="1">
        <f>[1]Results!AF1407</f>
        <v>2.7503127074092339</v>
      </c>
      <c r="AD47" s="1">
        <f>[1]Results!AG1407</f>
        <v>2.7900599265403154</v>
      </c>
      <c r="AE47" s="1">
        <f>[1]Results!AH1407</f>
        <v>2.8309226288179947</v>
      </c>
      <c r="AF47" s="1">
        <f>[1]Results!AI1407</f>
        <v>2.8721982306413172</v>
      </c>
      <c r="AG47" s="1">
        <f>[1]Results!AJ1407</f>
        <v>2.9133189225135183</v>
      </c>
      <c r="AH47" s="1">
        <f>[1]Results!AK1407</f>
        <v>2.9533419743451699</v>
      </c>
      <c r="AI47" s="1">
        <f>[1]Results!AL1407</f>
        <v>2.9922368266410229</v>
      </c>
      <c r="AJ47" s="1">
        <f>[1]Results!AM1407</f>
        <v>3.0297999965471227</v>
      </c>
      <c r="AK47" s="1">
        <f>[1]Results!AN1407</f>
        <v>3.0659141664489091</v>
      </c>
      <c r="AL47" s="1">
        <f>[1]Results!AO1407</f>
        <v>3.1005083314231769</v>
      </c>
      <c r="AM47" s="1">
        <f>[1]Results!AP1407</f>
        <v>3.1289455852424792</v>
      </c>
      <c r="AN47" s="1">
        <f>[1]Results!AQ1407</f>
        <v>3.1545797839948944</v>
      </c>
      <c r="AO47" s="1">
        <f>[1]Results!AR1407</f>
        <v>3.1778183689402812</v>
      </c>
      <c r="AP47" s="1">
        <f>[1]Results!AS1407</f>
        <v>3.1991142281154974</v>
      </c>
      <c r="AQ47" s="1">
        <f>[1]Results!AT1407</f>
        <v>3.2188531742327013</v>
      </c>
      <c r="AR47" s="1">
        <f>[1]Results!AU1407</f>
        <v>3.2367391627826745</v>
      </c>
      <c r="AS47" s="1">
        <f>[1]Results!AV1407</f>
        <v>3.2534704545111106</v>
      </c>
      <c r="AT47" s="1">
        <f>[1]Results!AW1407</f>
        <v>3.2693655774442152</v>
      </c>
      <c r="AU47" s="1">
        <f>[1]Results!AX1407</f>
        <v>3.2847432336037152</v>
      </c>
      <c r="AV47" s="1">
        <f>[1]Results!AY1407</f>
        <v>3.2998846940284174</v>
      </c>
      <c r="AW47" s="1">
        <f>[1]Results!AZ1407</f>
        <v>3.3130756800498955</v>
      </c>
      <c r="AX47" s="1">
        <f>[1]Results!BA1407</f>
        <v>3.3257874150059061</v>
      </c>
      <c r="AY47" s="1">
        <f>[1]Results!BB1407</f>
        <v>3.4963305813310477</v>
      </c>
      <c r="AZ47" s="1">
        <f>[1]Results!BC1407</f>
        <v>4.2724830045233562</v>
      </c>
      <c r="BA47" s="1">
        <f>[1]Results!BD1407</f>
        <v>5.3697805466903032</v>
      </c>
      <c r="BB47" s="1">
        <f>[1]Results!BE1407</f>
        <v>-3.3322679994021893E-2</v>
      </c>
      <c r="BC47" s="1">
        <f>[1]Results!BF1407</f>
        <v>-3.5692533237813295E-2</v>
      </c>
      <c r="BD47" s="1">
        <f>[1]Results!BG1407</f>
        <v>-3.8023948859414007E-2</v>
      </c>
      <c r="BE47" s="1">
        <f>[1]Results!BH1407</f>
        <v>-4.0292657603382964E-2</v>
      </c>
      <c r="BF47" s="1">
        <f>[1]Results!BI1407</f>
        <v>-4.248222650924012E-2</v>
      </c>
    </row>
    <row r="48" spans="1:58" x14ac:dyDescent="0.35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0.66660342540367101</v>
      </c>
      <c r="D48" s="1">
        <f>[1]Results!G1408</f>
        <v>0.79390227070255082</v>
      </c>
      <c r="E48" s="1">
        <f>[1]Results!H1408</f>
        <v>1.1033834945186061</v>
      </c>
      <c r="F48" s="1">
        <f>[1]Results!I1408</f>
        <v>1.3307391503673813</v>
      </c>
      <c r="G48" s="1">
        <f>[1]Results!J1408</f>
        <v>1.5770500632448343</v>
      </c>
      <c r="H48" s="1">
        <f>[1]Results!K1408</f>
        <v>1.8480760624226871</v>
      </c>
      <c r="I48" s="1">
        <f>[1]Results!L1408</f>
        <v>2.1339212957568647</v>
      </c>
      <c r="J48" s="1">
        <f>[1]Results!M1408</f>
        <v>2.421198587175367</v>
      </c>
      <c r="K48" s="1">
        <f>[1]Results!N1408</f>
        <v>2.6926399862999659</v>
      </c>
      <c r="L48" s="1">
        <f>[1]Results!O1408</f>
        <v>2.9386251915422692</v>
      </c>
      <c r="M48" s="1">
        <f>[1]Results!P1408</f>
        <v>3.1523113321113043</v>
      </c>
      <c r="N48" s="1">
        <f>[1]Results!Q1408</f>
        <v>3.3312987511030761</v>
      </c>
      <c r="O48" s="1">
        <f>[1]Results!R1408</f>
        <v>3.4846942921645656</v>
      </c>
      <c r="P48" s="1">
        <f>[1]Results!S1408</f>
        <v>3.6032515960460074</v>
      </c>
      <c r="Q48" s="1">
        <f>[1]Results!T1408</f>
        <v>3.6973771391795078</v>
      </c>
      <c r="R48" s="1">
        <f>[1]Results!U1408</f>
        <v>3.7725323283184515</v>
      </c>
      <c r="S48" s="1">
        <f>[1]Results!V1408</f>
        <v>3.837226772639593</v>
      </c>
      <c r="T48" s="1">
        <f>[1]Results!W1408</f>
        <v>3.8968786968070339</v>
      </c>
      <c r="U48" s="1">
        <f>[1]Results!X1408</f>
        <v>3.9521518250882917</v>
      </c>
      <c r="V48" s="1">
        <f>[1]Results!Y1408</f>
        <v>4.007065551030407</v>
      </c>
      <c r="W48" s="1">
        <f>[1]Results!Z1408</f>
        <v>4.0641849728137114</v>
      </c>
      <c r="X48" s="1">
        <f>[1]Results!AA1408</f>
        <v>4.1254756590318218</v>
      </c>
      <c r="Y48" s="1">
        <f>[1]Results!AB1408</f>
        <v>4.183911046948249</v>
      </c>
      <c r="Z48" s="1">
        <f>[1]Results!AC1408</f>
        <v>4.2501032775947278</v>
      </c>
      <c r="AA48" s="1">
        <f>[1]Results!AD1408</f>
        <v>4.3194940383381102</v>
      </c>
      <c r="AB48" s="1">
        <f>[1]Results!AE1408</f>
        <v>4.3940757992963322</v>
      </c>
      <c r="AC48" s="1">
        <f>[1]Results!AF1408</f>
        <v>4.4765316728084832</v>
      </c>
      <c r="AD48" s="1">
        <f>[1]Results!AG1408</f>
        <v>4.5439850301462279</v>
      </c>
      <c r="AE48" s="1">
        <f>[1]Results!AH1408</f>
        <v>4.6209725069377798</v>
      </c>
      <c r="AF48" s="1">
        <f>[1]Results!AI1408</f>
        <v>4.6983744207950497</v>
      </c>
      <c r="AG48" s="1">
        <f>[1]Results!AJ1408</f>
        <v>4.7768124013545483</v>
      </c>
      <c r="AH48" s="1">
        <f>[1]Results!AK1408</f>
        <v>4.8563451694718953</v>
      </c>
      <c r="AI48" s="1">
        <f>[1]Results!AL1408</f>
        <v>4.9370718168783769</v>
      </c>
      <c r="AJ48" s="1">
        <f>[1]Results!AM1408</f>
        <v>5.0202354240780451</v>
      </c>
      <c r="AK48" s="1">
        <f>[1]Results!AN1408</f>
        <v>5.105680909123067</v>
      </c>
      <c r="AL48" s="1">
        <f>[1]Results!AO1408</f>
        <v>5.1933707162132157</v>
      </c>
      <c r="AM48" s="1">
        <f>[1]Results!AP1408</f>
        <v>5.2791343191299864</v>
      </c>
      <c r="AN48" s="1">
        <f>[1]Results!AQ1408</f>
        <v>5.3601290877596224</v>
      </c>
      <c r="AO48" s="1">
        <f>[1]Results!AR1408</f>
        <v>5.4397853396019089</v>
      </c>
      <c r="AP48" s="1">
        <f>[1]Results!AS1408</f>
        <v>5.519408390748012</v>
      </c>
      <c r="AQ48" s="1">
        <f>[1]Results!AT1408</f>
        <v>5.5990255359585861</v>
      </c>
      <c r="AR48" s="1">
        <f>[1]Results!AU1408</f>
        <v>5.6781012078346267</v>
      </c>
      <c r="AS48" s="1">
        <f>[1]Results!AV1408</f>
        <v>5.7560938194118307</v>
      </c>
      <c r="AT48" s="1">
        <f>[1]Results!AW1408</f>
        <v>5.8348281686186931</v>
      </c>
      <c r="AU48" s="1">
        <f>[1]Results!AX1408</f>
        <v>5.9141940991856199</v>
      </c>
      <c r="AV48" s="1">
        <f>[1]Results!AY1408</f>
        <v>5.9944766029078016</v>
      </c>
      <c r="AW48" s="1">
        <f>[1]Results!AZ1408</f>
        <v>6.0736908688263824</v>
      </c>
      <c r="AX48" s="1">
        <f>[1]Results!BA1408</f>
        <v>6.1488603782592177</v>
      </c>
      <c r="AY48" s="1">
        <f>[1]Results!BB1408</f>
        <v>6.5303914758188082</v>
      </c>
      <c r="AZ48" s="1">
        <f>[1]Results!BC1408</f>
        <v>5.3174895797915225</v>
      </c>
      <c r="BA48" s="1">
        <f>[1]Results!BD1408</f>
        <v>5.3717499143387943</v>
      </c>
      <c r="BB48" s="1">
        <f>[1]Results!BE1408</f>
        <v>-2.889316514713032E-2</v>
      </c>
      <c r="BC48" s="1">
        <f>[1]Results!BF1408</f>
        <v>-3.2486357194434073E-2</v>
      </c>
      <c r="BD48" s="1">
        <f>[1]Results!BG1408</f>
        <v>-3.6087102957965168E-2</v>
      </c>
      <c r="BE48" s="1">
        <f>[1]Results!BH1408</f>
        <v>-3.964266266881554E-2</v>
      </c>
      <c r="BF48" s="1">
        <f>[1]Results!BI1408</f>
        <v>-4.3128238461639587E-2</v>
      </c>
    </row>
    <row r="49" spans="1:58" x14ac:dyDescent="0.35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2.8702785859217927</v>
      </c>
      <c r="D49" s="1">
        <f>[1]Results!G1409</f>
        <v>4.755683022399726</v>
      </c>
      <c r="E49" s="1">
        <f>[1]Results!H1409</f>
        <v>6.9306290727113362</v>
      </c>
      <c r="F49" s="1">
        <f>[1]Results!I1409</f>
        <v>9.1999570809031752</v>
      </c>
      <c r="G49" s="1">
        <f>[1]Results!J1409</f>
        <v>11.524844012929691</v>
      </c>
      <c r="H49" s="1">
        <f>[1]Results!K1409</f>
        <v>13.901091798922693</v>
      </c>
      <c r="I49" s="1">
        <f>[1]Results!L1409</f>
        <v>16.340593210461396</v>
      </c>
      <c r="J49" s="1">
        <f>[1]Results!M1409</f>
        <v>18.831545325232046</v>
      </c>
      <c r="K49" s="1">
        <f>[1]Results!N1409</f>
        <v>21.355822160907877</v>
      </c>
      <c r="L49" s="1">
        <f>[1]Results!O1409</f>
        <v>23.889812125488486</v>
      </c>
      <c r="M49" s="1">
        <f>[1]Results!P1409</f>
        <v>26.381204076795171</v>
      </c>
      <c r="N49" s="1">
        <f>[1]Results!Q1409</f>
        <v>28.856677786025521</v>
      </c>
      <c r="O49" s="1">
        <f>[1]Results!R1409</f>
        <v>31.283107907008322</v>
      </c>
      <c r="P49" s="1">
        <f>[1]Results!S1409</f>
        <v>33.644769761471515</v>
      </c>
      <c r="Q49" s="1">
        <f>[1]Results!T1409</f>
        <v>35.937642500339294</v>
      </c>
      <c r="R49" s="1">
        <f>[1]Results!U1409</f>
        <v>38.163986592074984</v>
      </c>
      <c r="S49" s="1">
        <f>[1]Results!V1409</f>
        <v>40.340494341182932</v>
      </c>
      <c r="T49" s="1">
        <f>[1]Results!W1409</f>
        <v>42.475021974109481</v>
      </c>
      <c r="U49" s="1">
        <f>[1]Results!X1409</f>
        <v>44.579406329665005</v>
      </c>
      <c r="V49" s="1">
        <f>[1]Results!Y1409</f>
        <v>46.66595599772856</v>
      </c>
      <c r="W49" s="1">
        <f>[1]Results!Z1409</f>
        <v>48.778299635426215</v>
      </c>
      <c r="X49" s="1">
        <f>[1]Results!AA1409</f>
        <v>50.873654426810909</v>
      </c>
      <c r="Y49" s="1">
        <f>[1]Results!AB1409</f>
        <v>52.973769130713031</v>
      </c>
      <c r="Z49" s="1">
        <f>[1]Results!AC1409</f>
        <v>55.08708970762671</v>
      </c>
      <c r="AA49" s="1">
        <f>[1]Results!AD1409</f>
        <v>57.216508777073237</v>
      </c>
      <c r="AB49" s="1">
        <f>[1]Results!AE1409</f>
        <v>59.470052199010567</v>
      </c>
      <c r="AC49" s="1">
        <f>[1]Results!AF1409</f>
        <v>61.727084712151516</v>
      </c>
      <c r="AD49" s="1">
        <f>[1]Results!AG1409</f>
        <v>64.007129821950926</v>
      </c>
      <c r="AE49" s="1">
        <f>[1]Results!AH1409</f>
        <v>66.31267564495063</v>
      </c>
      <c r="AF49" s="1">
        <f>[1]Results!AI1409</f>
        <v>68.638617684511132</v>
      </c>
      <c r="AG49" s="1">
        <f>[1]Results!AJ1409</f>
        <v>70.980279917061864</v>
      </c>
      <c r="AH49" s="1">
        <f>[1]Results!AK1409</f>
        <v>73.332139794691301</v>
      </c>
      <c r="AI49" s="1">
        <f>[1]Results!AL1409</f>
        <v>75.691119522693839</v>
      </c>
      <c r="AJ49" s="1">
        <f>[1]Results!AM1409</f>
        <v>78.054591636946995</v>
      </c>
      <c r="AK49" s="1">
        <f>[1]Results!AN1409</f>
        <v>80.420361330540445</v>
      </c>
      <c r="AL49" s="1">
        <f>[1]Results!AO1409</f>
        <v>82.786712038544238</v>
      </c>
      <c r="AM49" s="1">
        <f>[1]Results!AP1409</f>
        <v>85.172029320794778</v>
      </c>
      <c r="AN49" s="1">
        <f>[1]Results!AQ1409</f>
        <v>87.557661723271494</v>
      </c>
      <c r="AO49" s="1">
        <f>[1]Results!AR1409</f>
        <v>89.938594194559954</v>
      </c>
      <c r="AP49" s="1">
        <f>[1]Results!AS1409</f>
        <v>92.312202164224573</v>
      </c>
      <c r="AQ49" s="1">
        <f>[1]Results!AT1409</f>
        <v>94.676654822106343</v>
      </c>
      <c r="AR49" s="1">
        <f>[1]Results!AU1409</f>
        <v>97.028977400965104</v>
      </c>
      <c r="AS49" s="1">
        <f>[1]Results!AV1409</f>
        <v>99.368490501176495</v>
      </c>
      <c r="AT49" s="1">
        <f>[1]Results!AW1409</f>
        <v>101.69502962619453</v>
      </c>
      <c r="AU49" s="1">
        <f>[1]Results!AX1409</f>
        <v>104.00883090676652</v>
      </c>
      <c r="AV49" s="1">
        <f>[1]Results!AY1409</f>
        <v>106.31069552759347</v>
      </c>
      <c r="AW49" s="1">
        <f>[1]Results!AZ1409</f>
        <v>108.5933020736272</v>
      </c>
      <c r="AX49" s="1">
        <f>[1]Results!BA1409</f>
        <v>110.85961785886415</v>
      </c>
      <c r="AY49" s="1">
        <f>[1]Results!BB1409</f>
        <v>118.96009690312259</v>
      </c>
      <c r="AZ49" s="1">
        <f>[1]Results!BC1409</f>
        <v>126.35446790204048</v>
      </c>
      <c r="BA49" s="1">
        <f>[1]Results!BD1409</f>
        <v>133.99700546400732</v>
      </c>
      <c r="BB49" s="1">
        <f>[1]Results!BE1409</f>
        <v>-0.31622750646672637</v>
      </c>
      <c r="BC49" s="1">
        <f>[1]Results!BF1409</f>
        <v>-0.35047498363949825</v>
      </c>
      <c r="BD49" s="1">
        <f>[1]Results!BG1409</f>
        <v>-0.38649508567719648</v>
      </c>
      <c r="BE49" s="1">
        <f>[1]Results!BH1409</f>
        <v>-0.42419383410826628</v>
      </c>
      <c r="BF49" s="1">
        <f>[1]Results!BI1409</f>
        <v>-0.46344306992865403</v>
      </c>
    </row>
    <row r="50" spans="1:58" x14ac:dyDescent="0.35">
      <c r="A50" s="3" t="str">
        <f>[1]Results!E1410</f>
        <v>GDP_2</v>
      </c>
      <c r="B50" t="str">
        <f>[1]Results!C1410</f>
        <v>PIB</v>
      </c>
      <c r="C50" s="1">
        <f>[1]Results!F1410</f>
        <v>2165578.844</v>
      </c>
      <c r="D50" s="1">
        <f>[1]Results!G1410</f>
        <v>2185726.392</v>
      </c>
      <c r="E50" s="1">
        <f>[1]Results!H1410</f>
        <v>2209496.4750000001</v>
      </c>
      <c r="F50" s="1">
        <f>[1]Results!I1410</f>
        <v>2235635.7140000002</v>
      </c>
      <c r="G50" s="1">
        <f>[1]Results!J1410</f>
        <v>2263510.7999999998</v>
      </c>
      <c r="H50" s="1">
        <f>[1]Results!K1410</f>
        <v>2292635.8390000002</v>
      </c>
      <c r="I50" s="1">
        <f>[1]Results!L1410</f>
        <v>2321115.943</v>
      </c>
      <c r="J50" s="1">
        <f>[1]Results!M1410</f>
        <v>2350135.0580000002</v>
      </c>
      <c r="K50" s="1">
        <f>[1]Results!N1410</f>
        <v>2379794.429</v>
      </c>
      <c r="L50" s="1">
        <f>[1]Results!O1410</f>
        <v>2410234.7570000002</v>
      </c>
      <c r="M50" s="1">
        <f>[1]Results!P1410</f>
        <v>2444310.179</v>
      </c>
      <c r="N50" s="1">
        <f>[1]Results!Q1410</f>
        <v>2477024.3190000001</v>
      </c>
      <c r="O50" s="1">
        <f>[1]Results!R1410</f>
        <v>2510529.8420000002</v>
      </c>
      <c r="P50" s="1">
        <f>[1]Results!S1410</f>
        <v>2544753.3459999999</v>
      </c>
      <c r="Q50" s="1">
        <f>[1]Results!T1410</f>
        <v>2579618.0049999999</v>
      </c>
      <c r="R50" s="1">
        <f>[1]Results!U1410</f>
        <v>2615035.2659999998</v>
      </c>
      <c r="S50" s="1">
        <f>[1]Results!V1410</f>
        <v>2650725.676</v>
      </c>
      <c r="T50" s="1">
        <f>[1]Results!W1410</f>
        <v>2686757.7439999999</v>
      </c>
      <c r="U50" s="1">
        <f>[1]Results!X1410</f>
        <v>2723068.693</v>
      </c>
      <c r="V50" s="1">
        <f>[1]Results!Y1410</f>
        <v>2759620.264</v>
      </c>
      <c r="W50" s="1">
        <f>[1]Results!Z1410</f>
        <v>2794413.8909999998</v>
      </c>
      <c r="X50" s="1">
        <f>[1]Results!AA1410</f>
        <v>2830961.307</v>
      </c>
      <c r="Y50" s="1">
        <f>[1]Results!AB1410</f>
        <v>2867849.764</v>
      </c>
      <c r="Z50" s="1">
        <f>[1]Results!AC1410</f>
        <v>2905124.2039999999</v>
      </c>
      <c r="AA50" s="1">
        <f>[1]Results!AD1410</f>
        <v>2942808.9720000001</v>
      </c>
      <c r="AB50" s="1">
        <f>[1]Results!AE1410</f>
        <v>2975277.2990000001</v>
      </c>
      <c r="AC50" s="1">
        <f>[1]Results!AF1410</f>
        <v>3009929.08</v>
      </c>
      <c r="AD50" s="1">
        <f>[1]Results!AG1410</f>
        <v>3044684.3879999998</v>
      </c>
      <c r="AE50" s="1">
        <f>[1]Results!AH1410</f>
        <v>3079722.0649999999</v>
      </c>
      <c r="AF50" s="1">
        <f>[1]Results!AI1410</f>
        <v>3115158.1460000002</v>
      </c>
      <c r="AG50" s="1">
        <f>[1]Results!AJ1410</f>
        <v>3151063.537</v>
      </c>
      <c r="AH50" s="1">
        <f>[1]Results!AK1410</f>
        <v>3187518.591</v>
      </c>
      <c r="AI50" s="1">
        <f>[1]Results!AL1410</f>
        <v>3224505.4640000002</v>
      </c>
      <c r="AJ50" s="1">
        <f>[1]Results!AM1410</f>
        <v>3262025.5789999999</v>
      </c>
      <c r="AK50" s="1">
        <f>[1]Results!AN1410</f>
        <v>3300074.3709999998</v>
      </c>
      <c r="AL50" s="1">
        <f>[1]Results!AO1410</f>
        <v>3338646.3420000002</v>
      </c>
      <c r="AM50" s="1">
        <f>[1]Results!AP1410</f>
        <v>3376793.9419999998</v>
      </c>
      <c r="AN50" s="1">
        <f>[1]Results!AQ1410</f>
        <v>3415228.1359999999</v>
      </c>
      <c r="AO50" s="1">
        <f>[1]Results!AR1410</f>
        <v>3453991.8089999999</v>
      </c>
      <c r="AP50" s="1">
        <f>[1]Results!AS1410</f>
        <v>3493129.4279999998</v>
      </c>
      <c r="AQ50" s="1">
        <f>[1]Results!AT1410</f>
        <v>3532678.304</v>
      </c>
      <c r="AR50" s="1">
        <f>[1]Results!AU1410</f>
        <v>3572726.7480000001</v>
      </c>
      <c r="AS50" s="1">
        <f>[1]Results!AV1410</f>
        <v>3613242.7429999998</v>
      </c>
      <c r="AT50" s="1">
        <f>[1]Results!AW1410</f>
        <v>3654226.9670000002</v>
      </c>
      <c r="AU50" s="1">
        <f>[1]Results!AX1410</f>
        <v>3695672.2149999999</v>
      </c>
      <c r="AV50" s="1">
        <f>[1]Results!AY1410</f>
        <v>3737568.398</v>
      </c>
      <c r="AW50" s="1">
        <f>[1]Results!AZ1410</f>
        <v>3780237.341</v>
      </c>
      <c r="AX50" s="1">
        <f>[1]Results!BA1410</f>
        <v>3823429.3859999999</v>
      </c>
      <c r="AY50" s="1">
        <f>[1]Results!BB1410</f>
        <v>3846391.5389999999</v>
      </c>
      <c r="AZ50" s="1">
        <f>[1]Results!BC1410</f>
        <v>3861383.8160000001</v>
      </c>
      <c r="BA50" s="1">
        <f>[1]Results!BD1410</f>
        <v>3873695.7579999999</v>
      </c>
      <c r="BB50" s="1">
        <f>[1]Results!BE1410</f>
        <v>4934052.733</v>
      </c>
      <c r="BC50" s="1">
        <f>[1]Results!BF1410</f>
        <v>5016319.7319999998</v>
      </c>
      <c r="BD50" s="1">
        <f>[1]Results!BG1410</f>
        <v>5099876.3890000004</v>
      </c>
      <c r="BE50" s="1">
        <f>[1]Results!BH1410</f>
        <v>5184742.5460000001</v>
      </c>
      <c r="BF50" s="1">
        <f>[1]Results!BI1410</f>
        <v>5270939.8990000002</v>
      </c>
    </row>
    <row r="51" spans="1:58" x14ac:dyDescent="0.35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0</v>
      </c>
      <c r="D51" s="1">
        <f>[1]Results!G1411</f>
        <v>0</v>
      </c>
      <c r="E51" s="1">
        <f>[1]Results!H1411</f>
        <v>0</v>
      </c>
      <c r="F51" s="1">
        <f>[1]Results!I1411</f>
        <v>0</v>
      </c>
      <c r="G51" s="1">
        <f>[1]Results!J1411</f>
        <v>0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-4.0371028742214321E-8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-3.721958297120409E-8</v>
      </c>
      <c r="U51" s="1">
        <f>[1]Results!X1411</f>
        <v>0</v>
      </c>
      <c r="V51" s="1">
        <f>[1]Results!Y1411</f>
        <v>-3.6236880163187379E-8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0</v>
      </c>
      <c r="AI51" s="1">
        <f>[1]Results!AL1411</f>
        <v>0</v>
      </c>
      <c r="AJ51" s="1">
        <f>[1]Results!AM1411</f>
        <v>0</v>
      </c>
      <c r="AK51" s="1">
        <f>[1]Results!AN1411</f>
        <v>0</v>
      </c>
      <c r="AL51" s="1">
        <f>[1]Results!AO1411</f>
        <v>0</v>
      </c>
      <c r="AM51" s="1">
        <f>[1]Results!AP1411</f>
        <v>0</v>
      </c>
      <c r="AN51" s="1">
        <f>[1]Results!AQ1411</f>
        <v>0</v>
      </c>
      <c r="AO51" s="1">
        <f>[1]Results!AR1411</f>
        <v>0</v>
      </c>
      <c r="AP51" s="1">
        <f>[1]Results!AS1411</f>
        <v>0</v>
      </c>
      <c r="AQ51" s="1">
        <f>[1]Results!AT1411</f>
        <v>0</v>
      </c>
      <c r="AR51" s="1">
        <f>[1]Results!AU1411</f>
        <v>0</v>
      </c>
      <c r="AS51" s="1">
        <f>[1]Results!AV1411</f>
        <v>0</v>
      </c>
      <c r="AT51" s="1">
        <f>[1]Results!AW1411</f>
        <v>0</v>
      </c>
      <c r="AU51" s="1">
        <f>[1]Results!AX1411</f>
        <v>0</v>
      </c>
      <c r="AV51" s="1">
        <f>[1]Results!AY1411</f>
        <v>-2.6755364590513864E-8</v>
      </c>
      <c r="AW51" s="1">
        <f>[1]Results!AZ1411</f>
        <v>0</v>
      </c>
      <c r="AX51" s="1">
        <f>[1]Results!BA1411</f>
        <v>0</v>
      </c>
      <c r="AY51" s="1">
        <f>[1]Results!BB1411</f>
        <v>-0.65124334706997411</v>
      </c>
      <c r="AZ51" s="1">
        <f>[1]Results!BC1411</f>
        <v>-1.06313860409053</v>
      </c>
      <c r="BA51" s="1">
        <f>[1]Results!BD1411</f>
        <v>-1.3762256855072375</v>
      </c>
      <c r="BB51" s="1">
        <f>[1]Results!BE1411</f>
        <v>0</v>
      </c>
      <c r="BC51" s="1">
        <f>[1]Results!BF1411</f>
        <v>0</v>
      </c>
      <c r="BD51" s="1">
        <f>[1]Results!BG1411</f>
        <v>0</v>
      </c>
      <c r="BE51" s="1">
        <f>[1]Results!BH1411</f>
        <v>0</v>
      </c>
      <c r="BF51" s="1">
        <f>[1]Results!BI1411</f>
        <v>-1.8971946236234771E-8</v>
      </c>
    </row>
    <row r="52" spans="1:58" x14ac:dyDescent="0.35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1174138.9779999999</v>
      </c>
      <c r="D52" s="1">
        <f>[1]Results!G1412</f>
        <v>1200175.8319999999</v>
      </c>
      <c r="E52" s="1">
        <f>[1]Results!H1412</f>
        <v>1234351.9739999999</v>
      </c>
      <c r="F52" s="1">
        <f>[1]Results!I1412</f>
        <v>1268545.145</v>
      </c>
      <c r="G52" s="1">
        <f>[1]Results!J1412</f>
        <v>1307694.1040000001</v>
      </c>
      <c r="H52" s="1">
        <f>[1]Results!K1412</f>
        <v>1352232.423</v>
      </c>
      <c r="I52" s="1">
        <f>[1]Results!L1412</f>
        <v>1401078.69</v>
      </c>
      <c r="J52" s="1">
        <f>[1]Results!M1412</f>
        <v>1455483.08</v>
      </c>
      <c r="K52" s="1">
        <f>[1]Results!N1412</f>
        <v>1514937.149</v>
      </c>
      <c r="L52" s="1">
        <f>[1]Results!O1412</f>
        <v>1579413.09</v>
      </c>
      <c r="M52" s="1">
        <f>[1]Results!P1412</f>
        <v>1651067.02</v>
      </c>
      <c r="N52" s="1">
        <f>[1]Results!Q1412</f>
        <v>1724764.193</v>
      </c>
      <c r="O52" s="1">
        <f>[1]Results!R1412</f>
        <v>1803395.345</v>
      </c>
      <c r="P52" s="1">
        <f>[1]Results!S1412</f>
        <v>1885560.4350000001</v>
      </c>
      <c r="Q52" s="1">
        <f>[1]Results!T1412</f>
        <v>1971578.43</v>
      </c>
      <c r="R52" s="1">
        <f>[1]Results!U1412</f>
        <v>2061229.085</v>
      </c>
      <c r="S52" s="1">
        <f>[1]Results!V1412</f>
        <v>2154402.3870000001</v>
      </c>
      <c r="T52" s="1">
        <f>[1]Results!W1412</f>
        <v>2251055.1839999999</v>
      </c>
      <c r="U52" s="1">
        <f>[1]Results!X1412</f>
        <v>2351042.9</v>
      </c>
      <c r="V52" s="1">
        <f>[1]Results!Y1412</f>
        <v>2454418.304</v>
      </c>
      <c r="W52" s="1">
        <f>[1]Results!Z1412</f>
        <v>2558849.7319999998</v>
      </c>
      <c r="X52" s="1">
        <f>[1]Results!AA1412</f>
        <v>2669155.2680000002</v>
      </c>
      <c r="Y52" s="1">
        <f>[1]Results!AB1412</f>
        <v>2782434.0550000002</v>
      </c>
      <c r="Z52" s="1">
        <f>[1]Results!AC1412</f>
        <v>2899939.0970000001</v>
      </c>
      <c r="AA52" s="1">
        <f>[1]Results!AD1412</f>
        <v>3021379.1069999998</v>
      </c>
      <c r="AB52" s="1">
        <f>[1]Results!AE1412</f>
        <v>3139195.5290000001</v>
      </c>
      <c r="AC52" s="1">
        <f>[1]Results!AF1412</f>
        <v>3265417.4139999999</v>
      </c>
      <c r="AD52" s="1">
        <f>[1]Results!AG1412</f>
        <v>3393896.6349999998</v>
      </c>
      <c r="AE52" s="1">
        <f>[1]Results!AH1412</f>
        <v>3527491.25</v>
      </c>
      <c r="AF52" s="1">
        <f>[1]Results!AI1412</f>
        <v>3665457.0070000002</v>
      </c>
      <c r="AG52" s="1">
        <f>[1]Results!AJ1412</f>
        <v>3808172.0869999998</v>
      </c>
      <c r="AH52" s="1">
        <f>[1]Results!AK1412</f>
        <v>3956041.5430000001</v>
      </c>
      <c r="AI52" s="1">
        <f>[1]Results!AL1412</f>
        <v>4109482.4440000001</v>
      </c>
      <c r="AJ52" s="1">
        <f>[1]Results!AM1412</f>
        <v>4269009.5760000004</v>
      </c>
      <c r="AK52" s="1">
        <f>[1]Results!AN1412</f>
        <v>4435059.8099999996</v>
      </c>
      <c r="AL52" s="1">
        <f>[1]Results!AO1412</f>
        <v>4608078.3080000002</v>
      </c>
      <c r="AM52" s="1">
        <f>[1]Results!AP1412</f>
        <v>4785801.9179999996</v>
      </c>
      <c r="AN52" s="1">
        <f>[1]Results!AQ1412</f>
        <v>4970582.5199999996</v>
      </c>
      <c r="AO52" s="1">
        <f>[1]Results!AR1412</f>
        <v>5162695.0949999997</v>
      </c>
      <c r="AP52" s="1">
        <f>[1]Results!AS1412</f>
        <v>5362760.04</v>
      </c>
      <c r="AQ52" s="1">
        <f>[1]Results!AT1412</f>
        <v>5571083.9119999995</v>
      </c>
      <c r="AR52" s="1">
        <f>[1]Results!AU1412</f>
        <v>5787979.1090000002</v>
      </c>
      <c r="AS52" s="1">
        <f>[1]Results!AV1412</f>
        <v>6013759.0130000003</v>
      </c>
      <c r="AT52" s="1">
        <f>[1]Results!AW1412</f>
        <v>6248996.2850000001</v>
      </c>
      <c r="AU52" s="1">
        <f>[1]Results!AX1412</f>
        <v>6494122.8229999999</v>
      </c>
      <c r="AV52" s="1">
        <f>[1]Results!AY1412</f>
        <v>6749628.9230000004</v>
      </c>
      <c r="AW52" s="1">
        <f>[1]Results!AZ1412</f>
        <v>7016103.7060000002</v>
      </c>
      <c r="AX52" s="1">
        <f>[1]Results!BA1412</f>
        <v>7293364.6830000002</v>
      </c>
      <c r="AY52" s="1">
        <f>[1]Results!BB1412</f>
        <v>7459320.8880000003</v>
      </c>
      <c r="AZ52" s="1">
        <f>[1]Results!BC1412</f>
        <v>7373794.9239999996</v>
      </c>
      <c r="BA52" s="1">
        <f>[1]Results!BD1412</f>
        <v>7392064.5209999997</v>
      </c>
      <c r="BB52" s="1">
        <f>[1]Results!BE1412</f>
        <v>6406006.1739999996</v>
      </c>
      <c r="BC52" s="1">
        <f>[1]Results!BF1412</f>
        <v>6609777.1940000001</v>
      </c>
      <c r="BD52" s="1">
        <f>[1]Results!BG1412</f>
        <v>6819700.4450000003</v>
      </c>
      <c r="BE52" s="1">
        <f>[1]Results!BH1412</f>
        <v>7035997.3969999999</v>
      </c>
      <c r="BF52" s="1">
        <f>[1]Results!BI1412</f>
        <v>7258896.4110000003</v>
      </c>
    </row>
    <row r="53" spans="1:58" x14ac:dyDescent="0.35">
      <c r="A53" s="3" t="str">
        <f>[1]Results!E1413</f>
        <v>INC_G_VAL_2</v>
      </c>
      <c r="B53" t="str">
        <f>[1]Results!C1413</f>
        <v>Recettes publiques</v>
      </c>
      <c r="C53" s="1">
        <f>[1]Results!F1413</f>
        <v>994263.01430000004</v>
      </c>
      <c r="D53" s="1">
        <f>[1]Results!G1413</f>
        <v>1011245.515</v>
      </c>
      <c r="E53" s="1">
        <f>[1]Results!H1413</f>
        <v>1029514.133</v>
      </c>
      <c r="F53" s="1">
        <f>[1]Results!I1413</f>
        <v>1050333.4550000001</v>
      </c>
      <c r="G53" s="1">
        <f>[1]Results!J1413</f>
        <v>1074563.987</v>
      </c>
      <c r="H53" s="1">
        <f>[1]Results!K1413</f>
        <v>1102864.5120000001</v>
      </c>
      <c r="I53" s="1">
        <f>[1]Results!L1413</f>
        <v>1135047.4180000001</v>
      </c>
      <c r="J53" s="1">
        <f>[1]Results!M1413</f>
        <v>1171604.1440000001</v>
      </c>
      <c r="K53" s="1">
        <f>[1]Results!N1413</f>
        <v>1212736.1910000001</v>
      </c>
      <c r="L53" s="1">
        <f>[1]Results!O1413</f>
        <v>1258512.9129999999</v>
      </c>
      <c r="M53" s="1">
        <f>[1]Results!P1413</f>
        <v>1310094.2779999999</v>
      </c>
      <c r="N53" s="1">
        <f>[1]Results!Q1413</f>
        <v>1365767.9990000001</v>
      </c>
      <c r="O53" s="1">
        <f>[1]Results!R1413</f>
        <v>1425633.202</v>
      </c>
      <c r="P53" s="1">
        <f>[1]Results!S1413</f>
        <v>1489465.8019999999</v>
      </c>
      <c r="Q53" s="1">
        <f>[1]Results!T1413</f>
        <v>1556972.3319999999</v>
      </c>
      <c r="R53" s="1">
        <f>[1]Results!U1413</f>
        <v>1627860.024</v>
      </c>
      <c r="S53" s="1">
        <f>[1]Results!V1413</f>
        <v>1701799.7609999999</v>
      </c>
      <c r="T53" s="1">
        <f>[1]Results!W1413</f>
        <v>1778551.649</v>
      </c>
      <c r="U53" s="1">
        <f>[1]Results!X1413</f>
        <v>1857922.291</v>
      </c>
      <c r="V53" s="1">
        <f>[1]Results!Y1413</f>
        <v>1939765.9990000001</v>
      </c>
      <c r="W53" s="1">
        <f>[1]Results!Z1413</f>
        <v>2022810.4979999999</v>
      </c>
      <c r="X53" s="1">
        <f>[1]Results!AA1413</f>
        <v>2108554.4109999998</v>
      </c>
      <c r="Y53" s="1">
        <f>[1]Results!AB1413</f>
        <v>2196738.6630000002</v>
      </c>
      <c r="Z53" s="1">
        <f>[1]Results!AC1413</f>
        <v>2287411.7149999999</v>
      </c>
      <c r="AA53" s="1">
        <f>[1]Results!AD1413</f>
        <v>2380694.8620000002</v>
      </c>
      <c r="AB53" s="1">
        <f>[1]Results!AE1413</f>
        <v>2472870.1030000001</v>
      </c>
      <c r="AC53" s="1">
        <f>[1]Results!AF1413</f>
        <v>2567299.6770000001</v>
      </c>
      <c r="AD53" s="1">
        <f>[1]Results!AG1413</f>
        <v>2663765.4709999999</v>
      </c>
      <c r="AE53" s="1">
        <f>[1]Results!AH1413</f>
        <v>2762495.6839999999</v>
      </c>
      <c r="AF53" s="1">
        <f>[1]Results!AI1413</f>
        <v>2863804.4890000001</v>
      </c>
      <c r="AG53" s="1">
        <f>[1]Results!AJ1413</f>
        <v>2968004.6660000002</v>
      </c>
      <c r="AH53" s="1">
        <f>[1]Results!AK1413</f>
        <v>3075425.6690000002</v>
      </c>
      <c r="AI53" s="1">
        <f>[1]Results!AL1413</f>
        <v>3186390.628</v>
      </c>
      <c r="AJ53" s="1">
        <f>[1]Results!AM1413</f>
        <v>3301225.41</v>
      </c>
      <c r="AK53" s="1">
        <f>[1]Results!AN1413</f>
        <v>3420259.4550000001</v>
      </c>
      <c r="AL53" s="1">
        <f>[1]Results!AO1413</f>
        <v>3543820.469</v>
      </c>
      <c r="AM53" s="1">
        <f>[1]Results!AP1413</f>
        <v>3671123.8640000001</v>
      </c>
      <c r="AN53" s="1">
        <f>[1]Results!AQ1413</f>
        <v>3802791.9640000002</v>
      </c>
      <c r="AO53" s="1">
        <f>[1]Results!AR1413</f>
        <v>3939137.9160000002</v>
      </c>
      <c r="AP53" s="1">
        <f>[1]Results!AS1413</f>
        <v>4080469.966</v>
      </c>
      <c r="AQ53" s="1">
        <f>[1]Results!AT1413</f>
        <v>4227100.1399999997</v>
      </c>
      <c r="AR53" s="1">
        <f>[1]Results!AU1413</f>
        <v>4379348.6409999998</v>
      </c>
      <c r="AS53" s="1">
        <f>[1]Results!AV1413</f>
        <v>4537516.6890000002</v>
      </c>
      <c r="AT53" s="1">
        <f>[1]Results!AW1413</f>
        <v>4701899.03</v>
      </c>
      <c r="AU53" s="1">
        <f>[1]Results!AX1413</f>
        <v>4872795.0999999996</v>
      </c>
      <c r="AV53" s="1">
        <f>[1]Results!AY1413</f>
        <v>5050506.3459999999</v>
      </c>
      <c r="AW53" s="1">
        <f>[1]Results!AZ1413</f>
        <v>5235502.841</v>
      </c>
      <c r="AX53" s="1">
        <f>[1]Results!BA1413</f>
        <v>5428041.6440000003</v>
      </c>
      <c r="AY53" s="1">
        <f>[1]Results!BB1413</f>
        <v>5500596.557</v>
      </c>
      <c r="AZ53" s="1">
        <f>[1]Results!BC1413</f>
        <v>5507916.4270000001</v>
      </c>
      <c r="BA53" s="1">
        <f>[1]Results!BD1413</f>
        <v>5479487.0010000002</v>
      </c>
      <c r="BB53" s="1">
        <f>[1]Results!BE1413</f>
        <v>6227547.3530000001</v>
      </c>
      <c r="BC53" s="1">
        <f>[1]Results!BF1413</f>
        <v>6447101.7589999996</v>
      </c>
      <c r="BD53" s="1">
        <f>[1]Results!BG1413</f>
        <v>6673897.7949999999</v>
      </c>
      <c r="BE53" s="1">
        <f>[1]Results!BH1413</f>
        <v>6908213.1090000002</v>
      </c>
      <c r="BF53" s="1">
        <f>[1]Results!BI1413</f>
        <v>7150343.2790000001</v>
      </c>
    </row>
    <row r="54" spans="1:58" x14ac:dyDescent="0.35">
      <c r="A54" s="3" t="str">
        <f>[1]Results!E1414</f>
        <v>Bal_G_tot_VAL_2</v>
      </c>
      <c r="B54" t="str">
        <f>[1]Results!C1414</f>
        <v>Solde public</v>
      </c>
      <c r="C54" s="1">
        <f>[1]Results!F1414</f>
        <v>-77898.896240000002</v>
      </c>
      <c r="D54" s="1">
        <f>[1]Results!G1414</f>
        <v>-83058.304579999996</v>
      </c>
      <c r="E54" s="1">
        <f>[1]Results!H1414</f>
        <v>-94812.913700000005</v>
      </c>
      <c r="F54" s="1">
        <f>[1]Results!I1414</f>
        <v>-103446.11749999999</v>
      </c>
      <c r="G54" s="1">
        <f>[1]Results!J1414</f>
        <v>-113192.23789999999</v>
      </c>
      <c r="H54" s="1">
        <f>[1]Results!K1414</f>
        <v>-123770.41989999999</v>
      </c>
      <c r="I54" s="1">
        <f>[1]Results!L1414</f>
        <v>-134245.2599</v>
      </c>
      <c r="J54" s="1">
        <f>[1]Results!M1414</f>
        <v>-145380.6606</v>
      </c>
      <c r="K54" s="1">
        <f>[1]Results!N1414</f>
        <v>-156433.64939999999</v>
      </c>
      <c r="L54" s="1">
        <f>[1]Results!O1414</f>
        <v>-167311.18599999999</v>
      </c>
      <c r="M54" s="1">
        <f>[1]Results!P1414</f>
        <v>-179018.19270000001</v>
      </c>
      <c r="N54" s="1">
        <f>[1]Results!Q1414</f>
        <v>-188090.73439999999</v>
      </c>
      <c r="O54" s="1">
        <f>[1]Results!R1414</f>
        <v>-197452.14679999999</v>
      </c>
      <c r="P54" s="1">
        <f>[1]Results!S1414</f>
        <v>-205912.02900000001</v>
      </c>
      <c r="Q54" s="1">
        <f>[1]Results!T1414</f>
        <v>-214127.89290000001</v>
      </c>
      <c r="R54" s="1">
        <f>[1]Results!U1414</f>
        <v>-222184.46179999999</v>
      </c>
      <c r="S54" s="1">
        <f>[1]Results!V1414</f>
        <v>-230308.80350000001</v>
      </c>
      <c r="T54" s="1">
        <f>[1]Results!W1414</f>
        <v>-238694.27170000001</v>
      </c>
      <c r="U54" s="1">
        <f>[1]Results!X1414</f>
        <v>-247376.6329</v>
      </c>
      <c r="V54" s="1">
        <f>[1]Results!Y1414</f>
        <v>-256539.49720000001</v>
      </c>
      <c r="W54" s="1">
        <f>[1]Results!Z1414</f>
        <v>-265099.45039999997</v>
      </c>
      <c r="X54" s="1">
        <f>[1]Results!AA1414</f>
        <v>-276406.10139999999</v>
      </c>
      <c r="Y54" s="1">
        <f>[1]Results!AB1414</f>
        <v>-287680.33110000001</v>
      </c>
      <c r="Z54" s="1">
        <f>[1]Results!AC1414</f>
        <v>-300128.30479999998</v>
      </c>
      <c r="AA54" s="1">
        <f>[1]Results!AD1414</f>
        <v>-313278.75270000001</v>
      </c>
      <c r="AB54" s="1">
        <f>[1]Results!AE1414</f>
        <v>-323255.9963</v>
      </c>
      <c r="AC54" s="1">
        <f>[1]Results!AF1414</f>
        <v>-338885.50719999999</v>
      </c>
      <c r="AD54" s="1">
        <f>[1]Results!AG1414</f>
        <v>-353954.65820000001</v>
      </c>
      <c r="AE54" s="1">
        <f>[1]Results!AH1414</f>
        <v>-371121.32809999998</v>
      </c>
      <c r="AF54" s="1">
        <f>[1]Results!AI1414</f>
        <v>-389222.21309999999</v>
      </c>
      <c r="AG54" s="1">
        <f>[1]Results!AJ1414</f>
        <v>-408276.0061</v>
      </c>
      <c r="AH54" s="1">
        <f>[1]Results!AK1414</f>
        <v>-428310.65789999999</v>
      </c>
      <c r="AI54" s="1">
        <f>[1]Results!AL1414</f>
        <v>-449371.0673</v>
      </c>
      <c r="AJ54" s="1">
        <f>[1]Results!AM1414</f>
        <v>-471594.86410000001</v>
      </c>
      <c r="AK54" s="1">
        <f>[1]Results!AN1414</f>
        <v>-495031.30940000003</v>
      </c>
      <c r="AL54" s="1">
        <f>[1]Results!AO1414</f>
        <v>-519737.22810000001</v>
      </c>
      <c r="AM54" s="1">
        <f>[1]Results!AP1414</f>
        <v>-544170.58180000004</v>
      </c>
      <c r="AN54" s="1">
        <f>[1]Results!AQ1414</f>
        <v>-570074.55449999997</v>
      </c>
      <c r="AO54" s="1">
        <f>[1]Results!AR1414</f>
        <v>-597337.45059999998</v>
      </c>
      <c r="AP54" s="1">
        <f>[1]Results!AS1414</f>
        <v>-626203.47290000005</v>
      </c>
      <c r="AQ54" s="1">
        <f>[1]Results!AT1414</f>
        <v>-656586.99690000003</v>
      </c>
      <c r="AR54" s="1">
        <f>[1]Results!AU1414</f>
        <v>-688404.34360000002</v>
      </c>
      <c r="AS54" s="1">
        <f>[1]Results!AV1414</f>
        <v>-721595.98230000003</v>
      </c>
      <c r="AT54" s="1">
        <f>[1]Results!AW1414</f>
        <v>-756371.11450000003</v>
      </c>
      <c r="AU54" s="1">
        <f>[1]Results!AX1414</f>
        <v>-792783.02709999995</v>
      </c>
      <c r="AV54" s="1">
        <f>[1]Results!AY1414</f>
        <v>-830938.72919999994</v>
      </c>
      <c r="AW54" s="1">
        <f>[1]Results!AZ1414</f>
        <v>-870870.08030000003</v>
      </c>
      <c r="AX54" s="1">
        <f>[1]Results!BA1414</f>
        <v>-912048.75080000004</v>
      </c>
      <c r="AY54" s="1">
        <f>[1]Results!BB1414</f>
        <v>-959847.60510000004</v>
      </c>
      <c r="AZ54" s="1">
        <f>[1]Results!BC1414</f>
        <v>-819009.39139999996</v>
      </c>
      <c r="BA54" s="1">
        <f>[1]Results!BD1414</f>
        <v>-824757.94400000002</v>
      </c>
      <c r="BB54" s="1">
        <f>[1]Results!BE1414</f>
        <v>77863.230030000006</v>
      </c>
      <c r="BC54" s="1">
        <f>[1]Results!BF1414</f>
        <v>89753.453880000001</v>
      </c>
      <c r="BD54" s="1">
        <f>[1]Results!BG1414</f>
        <v>102138.5665</v>
      </c>
      <c r="BE54" s="1">
        <f>[1]Results!BH1414</f>
        <v>115050</v>
      </c>
      <c r="BF54" s="1">
        <f>[1]Results!BI1414</f>
        <v>128528.6568</v>
      </c>
    </row>
    <row r="55" spans="1:58" x14ac:dyDescent="0.35">
      <c r="A55" s="3" t="str">
        <f>[1]Results!E1415</f>
        <v>DEBT_G_VAL_2</v>
      </c>
      <c r="B55" t="str">
        <f>[1]Results!C1415</f>
        <v>Dette publique</v>
      </c>
      <c r="C55" s="1">
        <f>[1]Results!F1415</f>
        <v>2117440.25</v>
      </c>
      <c r="D55" s="1">
        <f>[1]Results!G1415</f>
        <v>2200498.554</v>
      </c>
      <c r="E55" s="1">
        <f>[1]Results!H1415</f>
        <v>2295311.4679999999</v>
      </c>
      <c r="F55" s="1">
        <f>[1]Results!I1415</f>
        <v>2398757.585</v>
      </c>
      <c r="G55" s="1">
        <f>[1]Results!J1415</f>
        <v>2511949.8229999999</v>
      </c>
      <c r="H55" s="1">
        <f>[1]Results!K1415</f>
        <v>2635720.2429999998</v>
      </c>
      <c r="I55" s="1">
        <f>[1]Results!L1415</f>
        <v>2769965.503</v>
      </c>
      <c r="J55" s="1">
        <f>[1]Results!M1415</f>
        <v>2915346.1639999999</v>
      </c>
      <c r="K55" s="1">
        <f>[1]Results!N1415</f>
        <v>3071779.8130000001</v>
      </c>
      <c r="L55" s="1">
        <f>[1]Results!O1415</f>
        <v>3239090.9989999998</v>
      </c>
      <c r="M55" s="1">
        <f>[1]Results!P1415</f>
        <v>3418109.1919999998</v>
      </c>
      <c r="N55" s="1">
        <f>[1]Results!Q1415</f>
        <v>3606199.926</v>
      </c>
      <c r="O55" s="1">
        <f>[1]Results!R1415</f>
        <v>3803652.0729999999</v>
      </c>
      <c r="P55" s="1">
        <f>[1]Results!S1415</f>
        <v>4009564.102</v>
      </c>
      <c r="Q55" s="1">
        <f>[1]Results!T1415</f>
        <v>4223691.9950000001</v>
      </c>
      <c r="R55" s="1">
        <f>[1]Results!U1415</f>
        <v>4445876.4570000004</v>
      </c>
      <c r="S55" s="1">
        <f>[1]Results!V1415</f>
        <v>4676185.26</v>
      </c>
      <c r="T55" s="1">
        <f>[1]Results!W1415</f>
        <v>4914879.5319999997</v>
      </c>
      <c r="U55" s="1">
        <f>[1]Results!X1415</f>
        <v>5162256.165</v>
      </c>
      <c r="V55" s="1">
        <f>[1]Results!Y1415</f>
        <v>5418795.6619999995</v>
      </c>
      <c r="W55" s="1">
        <f>[1]Results!Z1415</f>
        <v>5683895.1119999997</v>
      </c>
      <c r="X55" s="1">
        <f>[1]Results!AA1415</f>
        <v>5960301.2139999997</v>
      </c>
      <c r="Y55" s="1">
        <f>[1]Results!AB1415</f>
        <v>6247981.5449999999</v>
      </c>
      <c r="Z55" s="1">
        <f>[1]Results!AC1415</f>
        <v>6548109.8499999996</v>
      </c>
      <c r="AA55" s="1">
        <f>[1]Results!AD1415</f>
        <v>6861388.602</v>
      </c>
      <c r="AB55" s="1">
        <f>[1]Results!AE1415</f>
        <v>7184644.5990000004</v>
      </c>
      <c r="AC55" s="1">
        <f>[1]Results!AF1415</f>
        <v>7523530.1059999997</v>
      </c>
      <c r="AD55" s="1">
        <f>[1]Results!AG1415</f>
        <v>7877484.7640000004</v>
      </c>
      <c r="AE55" s="1">
        <f>[1]Results!AH1415</f>
        <v>8248606.0920000002</v>
      </c>
      <c r="AF55" s="1">
        <f>[1]Results!AI1415</f>
        <v>8637828.3049999997</v>
      </c>
      <c r="AG55" s="1">
        <f>[1]Results!AJ1415</f>
        <v>9046104.3120000008</v>
      </c>
      <c r="AH55" s="1">
        <f>[1]Results!AK1415</f>
        <v>9474414.9690000005</v>
      </c>
      <c r="AI55" s="1">
        <f>[1]Results!AL1415</f>
        <v>9923786.0370000005</v>
      </c>
      <c r="AJ55" s="1">
        <f>[1]Results!AM1415</f>
        <v>10395380.9</v>
      </c>
      <c r="AK55" s="1">
        <f>[1]Results!AN1415</f>
        <v>10890412.210000001</v>
      </c>
      <c r="AL55" s="1">
        <f>[1]Results!AO1415</f>
        <v>11410149.439999999</v>
      </c>
      <c r="AM55" s="1">
        <f>[1]Results!AP1415</f>
        <v>11954320.02</v>
      </c>
      <c r="AN55" s="1">
        <f>[1]Results!AQ1415</f>
        <v>12524394.57</v>
      </c>
      <c r="AO55" s="1">
        <f>[1]Results!AR1415</f>
        <v>13121732.029999999</v>
      </c>
      <c r="AP55" s="1">
        <f>[1]Results!AS1415</f>
        <v>13747935.5</v>
      </c>
      <c r="AQ55" s="1">
        <f>[1]Results!AT1415</f>
        <v>14404522.49</v>
      </c>
      <c r="AR55" s="1">
        <f>[1]Results!AU1415</f>
        <v>15092926.84</v>
      </c>
      <c r="AS55" s="1">
        <f>[1]Results!AV1415</f>
        <v>15814522.82</v>
      </c>
      <c r="AT55" s="1">
        <f>[1]Results!AW1415</f>
        <v>16570893.939999999</v>
      </c>
      <c r="AU55" s="1">
        <f>[1]Results!AX1415</f>
        <v>17363676.960000001</v>
      </c>
      <c r="AV55" s="1">
        <f>[1]Results!AY1415</f>
        <v>18194615.690000001</v>
      </c>
      <c r="AW55" s="1">
        <f>[1]Results!AZ1415</f>
        <v>19065485.77</v>
      </c>
      <c r="AX55" s="1">
        <f>[1]Results!BA1415</f>
        <v>19977534.52</v>
      </c>
      <c r="AY55" s="1">
        <f>[1]Results!BB1415</f>
        <v>20937382.129999999</v>
      </c>
      <c r="AZ55" s="1">
        <f>[1]Results!BC1415</f>
        <v>21756391.52</v>
      </c>
      <c r="BA55" s="1">
        <f>[1]Results!BD1415</f>
        <v>22581149.460000001</v>
      </c>
      <c r="BB55" s="1">
        <f>[1]Results!BE1415</f>
        <v>5048577.7790000001</v>
      </c>
      <c r="BC55" s="1">
        <f>[1]Results!BF1415</f>
        <v>4958824.3250000002</v>
      </c>
      <c r="BD55" s="1">
        <f>[1]Results!BG1415</f>
        <v>4856685.7580000004</v>
      </c>
      <c r="BE55" s="1">
        <f>[1]Results!BH1415</f>
        <v>4741635.7580000004</v>
      </c>
      <c r="BF55" s="1">
        <f>[1]Results!BI1415</f>
        <v>4613107.102</v>
      </c>
    </row>
    <row r="56" spans="1:58" x14ac:dyDescent="0.35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</row>
    <row r="57" spans="1:58" x14ac:dyDescent="0.35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</row>
    <row r="58" spans="1:58" x14ac:dyDescent="0.35">
      <c r="A58" s="13" t="s">
        <v>49</v>
      </c>
      <c r="B58" t="s">
        <v>4</v>
      </c>
      <c r="C58" s="1">
        <f>[1]Results!F1731</f>
        <v>1203299.6270000001</v>
      </c>
      <c r="D58" s="1">
        <f>[1]Results!G1731</f>
        <v>1218038.3689999999</v>
      </c>
      <c r="E58" s="1">
        <f>[1]Results!H1731</f>
        <v>1234097.1200000001</v>
      </c>
      <c r="F58" s="1">
        <f>[1]Results!I1731</f>
        <v>1250972.925</v>
      </c>
      <c r="G58" s="1">
        <f>[1]Results!J1731</f>
        <v>1268648.905</v>
      </c>
      <c r="H58" s="1">
        <f>[1]Results!K1731</f>
        <v>1287226.9839999999</v>
      </c>
      <c r="I58" s="1">
        <f>[1]Results!L1731</f>
        <v>1306148.6499999999</v>
      </c>
      <c r="J58" s="1">
        <f>[1]Results!M1731</f>
        <v>1325722.4169999999</v>
      </c>
      <c r="K58" s="1">
        <f>[1]Results!N1731</f>
        <v>1346000.4879999999</v>
      </c>
      <c r="L58" s="1">
        <f>[1]Results!O1731</f>
        <v>1366984.9129999999</v>
      </c>
      <c r="M58" s="1">
        <f>[1]Results!P1731</f>
        <v>1389771.4369999999</v>
      </c>
      <c r="N58" s="1">
        <f>[1]Results!Q1731</f>
        <v>1412699.5970000001</v>
      </c>
      <c r="O58" s="1">
        <f>[1]Results!R1731</f>
        <v>1436013.4839999999</v>
      </c>
      <c r="P58" s="1">
        <f>[1]Results!S1731</f>
        <v>1459623.632</v>
      </c>
      <c r="Q58" s="1">
        <f>[1]Results!T1731</f>
        <v>1483454.588</v>
      </c>
      <c r="R58" s="1">
        <f>[1]Results!U1731</f>
        <v>1507448.6869999999</v>
      </c>
      <c r="S58" s="1">
        <f>[1]Results!V1731</f>
        <v>1531560.0759999999</v>
      </c>
      <c r="T58" s="1">
        <f>[1]Results!W1731</f>
        <v>1555751.4909999999</v>
      </c>
      <c r="U58" s="1">
        <f>[1]Results!X1731</f>
        <v>1579994.061</v>
      </c>
      <c r="V58" s="1">
        <f>[1]Results!Y1731</f>
        <v>1604268.385</v>
      </c>
      <c r="W58" s="1">
        <f>[1]Results!Z1731</f>
        <v>1627730.2649999999</v>
      </c>
      <c r="X58" s="1">
        <f>[1]Results!AA1731</f>
        <v>1651545.203</v>
      </c>
      <c r="Y58" s="1">
        <f>[1]Results!AB1731</f>
        <v>1675500.19</v>
      </c>
      <c r="Z58" s="1">
        <f>[1]Results!AC1731</f>
        <v>1699614.334</v>
      </c>
      <c r="AA58" s="1">
        <f>[1]Results!AD1731</f>
        <v>1723902.557</v>
      </c>
      <c r="AB58" s="1">
        <f>[1]Results!AE1731</f>
        <v>1745979.7220000001</v>
      </c>
      <c r="AC58" s="1">
        <f>[1]Results!AF1731</f>
        <v>1768053.263</v>
      </c>
      <c r="AD58" s="1">
        <f>[1]Results!AG1731</f>
        <v>1789941.2150000001</v>
      </c>
      <c r="AE58" s="1">
        <f>[1]Results!AH1731</f>
        <v>1811798.1259999999</v>
      </c>
      <c r="AF58" s="1">
        <f>[1]Results!AI1731</f>
        <v>1833749.5049999999</v>
      </c>
      <c r="AG58" s="1">
        <f>[1]Results!AJ1731</f>
        <v>1855881.216</v>
      </c>
      <c r="AH58" s="1">
        <f>[1]Results!AK1731</f>
        <v>1878249.737</v>
      </c>
      <c r="AI58" s="1">
        <f>[1]Results!AL1731</f>
        <v>1900893.9850000001</v>
      </c>
      <c r="AJ58" s="1">
        <f>[1]Results!AM1731</f>
        <v>1923843.916</v>
      </c>
      <c r="AK58" s="1">
        <f>[1]Results!AN1731</f>
        <v>1947125.4469999999</v>
      </c>
      <c r="AL58" s="1">
        <f>[1]Results!AO1731</f>
        <v>1970762.534</v>
      </c>
      <c r="AM58" s="1">
        <f>[1]Results!AP1731</f>
        <v>1994210.8230000001</v>
      </c>
      <c r="AN58" s="1">
        <f>[1]Results!AQ1731</f>
        <v>2017700.7560000001</v>
      </c>
      <c r="AO58" s="1">
        <f>[1]Results!AR1731</f>
        <v>2041318.6170000001</v>
      </c>
      <c r="AP58" s="1">
        <f>[1]Results!AS1731</f>
        <v>2065146.375</v>
      </c>
      <c r="AQ58" s="1">
        <f>[1]Results!AT1731</f>
        <v>2089254.284</v>
      </c>
      <c r="AR58" s="1">
        <f>[1]Results!AU1731</f>
        <v>2113694.8829999999</v>
      </c>
      <c r="AS58" s="1">
        <f>[1]Results!AV1731</f>
        <v>2138502.9640000002</v>
      </c>
      <c r="AT58" s="1">
        <f>[1]Results!AW1731</f>
        <v>2163699.1669999999</v>
      </c>
      <c r="AU58" s="1">
        <f>[1]Results!AX1731</f>
        <v>2189294.6460000002</v>
      </c>
      <c r="AV58" s="1">
        <f>[1]Results!AY1731</f>
        <v>2215295.2459999998</v>
      </c>
      <c r="AW58" s="1">
        <f>[1]Results!AZ1731</f>
        <v>2241754.7969999998</v>
      </c>
      <c r="AX58" s="1">
        <f>[1]Results!BA1731</f>
        <v>2268658.219</v>
      </c>
      <c r="AY58" s="1">
        <f>[1]Results!BB1731</f>
        <v>2296002.8769999999</v>
      </c>
      <c r="AZ58" s="1">
        <f>[1]Results!BC1731</f>
        <v>2323786.7599999998</v>
      </c>
      <c r="BA58" s="1">
        <f>[1]Results!BD1731</f>
        <v>2352008.9079999998</v>
      </c>
      <c r="BB58" s="1">
        <f>[1]Results!BE1731</f>
        <v>2577085.8969999999</v>
      </c>
      <c r="BC58" s="1">
        <f>[1]Results!BF1731</f>
        <v>2615222.8059999999</v>
      </c>
      <c r="BD58" s="1">
        <f>[1]Results!BG1731</f>
        <v>2653889.335</v>
      </c>
      <c r="BE58" s="1">
        <f>[1]Results!BH1731</f>
        <v>2693104.4959999998</v>
      </c>
      <c r="BF58" s="1">
        <f>[1]Results!BI1731</f>
        <v>2732888.68</v>
      </c>
    </row>
    <row r="59" spans="1:58" x14ac:dyDescent="0.35">
      <c r="A59" s="14"/>
      <c r="B59" t="s">
        <v>6</v>
      </c>
      <c r="C59" s="1">
        <f>[1]Results!F1702</f>
        <v>1198267.1680000001</v>
      </c>
      <c r="D59" s="1">
        <f>[1]Results!G1702</f>
        <v>1205442.361</v>
      </c>
      <c r="E59" s="1">
        <f>[1]Results!H1702</f>
        <v>1213893.736</v>
      </c>
      <c r="F59" s="1">
        <f>[1]Results!I1702</f>
        <v>1223426.952</v>
      </c>
      <c r="G59" s="1">
        <f>[1]Results!J1702</f>
        <v>1234028.7320000001</v>
      </c>
      <c r="H59" s="1">
        <f>[1]Results!K1702</f>
        <v>1245822.3970000001</v>
      </c>
      <c r="I59" s="1">
        <f>[1]Results!L1702</f>
        <v>1258347.986</v>
      </c>
      <c r="J59" s="1">
        <f>[1]Results!M1702</f>
        <v>1272083.0919999999</v>
      </c>
      <c r="K59" s="1">
        <f>[1]Results!N1702</f>
        <v>1287249.0090000001</v>
      </c>
      <c r="L59" s="1">
        <f>[1]Results!O1702</f>
        <v>1303977.946</v>
      </c>
      <c r="M59" s="1">
        <f>[1]Results!P1702</f>
        <v>1323391.7930000001</v>
      </c>
      <c r="N59" s="1">
        <f>[1]Results!Q1702</f>
        <v>1343814.2949999999</v>
      </c>
      <c r="O59" s="1">
        <f>[1]Results!R1702</f>
        <v>1365438.87</v>
      </c>
      <c r="P59" s="1">
        <f>[1]Results!S1702</f>
        <v>1388059.4750000001</v>
      </c>
      <c r="Q59" s="1">
        <f>[1]Results!T1702</f>
        <v>1411446.966</v>
      </c>
      <c r="R59" s="1">
        <f>[1]Results!U1702</f>
        <v>1435374.2080000001</v>
      </c>
      <c r="S59" s="1">
        <f>[1]Results!V1702</f>
        <v>1459574.2819999999</v>
      </c>
      <c r="T59" s="1">
        <f>[1]Results!W1702</f>
        <v>1483881.879</v>
      </c>
      <c r="U59" s="1">
        <f>[1]Results!X1702</f>
        <v>1508155.08</v>
      </c>
      <c r="V59" s="1">
        <f>[1]Results!Y1702</f>
        <v>1532293.11</v>
      </c>
      <c r="W59" s="1">
        <f>[1]Results!Z1702</f>
        <v>1555422.9480000001</v>
      </c>
      <c r="X59" s="1">
        <f>[1]Results!AA1702</f>
        <v>1578657.257</v>
      </c>
      <c r="Y59" s="1">
        <f>[1]Results!AB1702</f>
        <v>1601771.1170000001</v>
      </c>
      <c r="Z59" s="1">
        <f>[1]Results!AC1702</f>
        <v>1624785.503</v>
      </c>
      <c r="AA59" s="1">
        <f>[1]Results!AD1702</f>
        <v>1647727.754</v>
      </c>
      <c r="AB59" s="1">
        <f>[1]Results!AE1702</f>
        <v>1668305.4269999999</v>
      </c>
      <c r="AC59" s="1">
        <f>[1]Results!AF1702</f>
        <v>1688743.4709999999</v>
      </c>
      <c r="AD59" s="1">
        <f>[1]Results!AG1702</f>
        <v>1708868.875</v>
      </c>
      <c r="AE59" s="1">
        <f>[1]Results!AH1702</f>
        <v>1728848.294</v>
      </c>
      <c r="AF59" s="1">
        <f>[1]Results!AI1702</f>
        <v>1748817.5649999999</v>
      </c>
      <c r="AG59" s="1">
        <f>[1]Results!AJ1702</f>
        <v>1768873.1510000001</v>
      </c>
      <c r="AH59" s="1">
        <f>[1]Results!AK1702</f>
        <v>1789097.5430000001</v>
      </c>
      <c r="AI59" s="1">
        <f>[1]Results!AL1702</f>
        <v>1809533.737</v>
      </c>
      <c r="AJ59" s="1">
        <f>[1]Results!AM1702</f>
        <v>1830218.932</v>
      </c>
      <c r="AK59" s="1">
        <f>[1]Results!AN1702</f>
        <v>1851185.0830000001</v>
      </c>
      <c r="AL59" s="1">
        <f>[1]Results!AO1702</f>
        <v>1872461.415</v>
      </c>
      <c r="AM59" s="1">
        <f>[1]Results!AP1702</f>
        <v>1893671.5020000001</v>
      </c>
      <c r="AN59" s="1">
        <f>[1]Results!AQ1702</f>
        <v>1914991.3430000001</v>
      </c>
      <c r="AO59" s="1">
        <f>[1]Results!AR1702</f>
        <v>1936487.1029999999</v>
      </c>
      <c r="AP59" s="1">
        <f>[1]Results!AS1702</f>
        <v>1958217.2790000001</v>
      </c>
      <c r="AQ59" s="1">
        <f>[1]Results!AT1702</f>
        <v>1980231.1159999999</v>
      </c>
      <c r="AR59" s="1">
        <f>[1]Results!AU1702</f>
        <v>2002588.453</v>
      </c>
      <c r="AS59" s="1">
        <f>[1]Results!AV1702</f>
        <v>2025301.757</v>
      </c>
      <c r="AT59" s="1">
        <f>[1]Results!AW1702</f>
        <v>2048379.1969999999</v>
      </c>
      <c r="AU59" s="1">
        <f>[1]Results!AX1702</f>
        <v>2071821.75</v>
      </c>
      <c r="AV59" s="1">
        <f>[1]Results!AY1702</f>
        <v>2095627.1459999999</v>
      </c>
      <c r="AW59" s="1">
        <f>[1]Results!AZ1702</f>
        <v>2119924.3509999998</v>
      </c>
      <c r="AX59" s="1">
        <f>[1]Results!BA1702</f>
        <v>2144655.2080000001</v>
      </c>
      <c r="AY59" s="1">
        <f>[1]Results!BB1702</f>
        <v>2151473.6469999999</v>
      </c>
      <c r="AZ59" s="1">
        <f>[1]Results!BC1702</f>
        <v>2151749.1660000002</v>
      </c>
      <c r="BA59" s="1">
        <f>[1]Results!BD1702</f>
        <v>2149781.7889999999</v>
      </c>
      <c r="BB59" s="1">
        <f>[1]Results!BE1702</f>
        <v>2578303.1260000002</v>
      </c>
      <c r="BC59" s="1">
        <f>[1]Results!BF1702</f>
        <v>2616559.395</v>
      </c>
      <c r="BD59" s="1">
        <f>[1]Results!BG1702</f>
        <v>2655344.5720000002</v>
      </c>
      <c r="BE59" s="1">
        <f>[1]Results!BH1702</f>
        <v>2694674.9</v>
      </c>
      <c r="BF59" s="1">
        <f>[1]Results!BI1702</f>
        <v>2734568.8939999999</v>
      </c>
    </row>
    <row r="60" spans="1:58" x14ac:dyDescent="0.35">
      <c r="A60" s="14"/>
      <c r="C60" s="1"/>
      <c r="D60" s="1"/>
      <c r="E60" s="1"/>
      <c r="F60" s="1"/>
      <c r="G60" s="1"/>
      <c r="H60" s="4">
        <f t="shared" ref="H60:U60" si="0">H58/G58-1</f>
        <v>1.4643987731183916E-2</v>
      </c>
      <c r="I60" s="4">
        <f t="shared" si="0"/>
        <v>1.469955667119538E-2</v>
      </c>
      <c r="J60" s="4">
        <f t="shared" si="0"/>
        <v>1.4985864740586718E-2</v>
      </c>
      <c r="K60" s="4">
        <f t="shared" si="0"/>
        <v>1.5295864911063051E-2</v>
      </c>
      <c r="L60" s="4">
        <f t="shared" si="0"/>
        <v>1.5590206086166125E-2</v>
      </c>
      <c r="M60" s="4">
        <f t="shared" si="0"/>
        <v>1.6669184702260198E-2</v>
      </c>
      <c r="N60" s="4">
        <f t="shared" si="0"/>
        <v>1.6497791931523231E-2</v>
      </c>
      <c r="O60" s="4">
        <f t="shared" si="0"/>
        <v>1.6503074715607635E-2</v>
      </c>
      <c r="P60" s="4">
        <f t="shared" si="0"/>
        <v>1.6441452857555605E-2</v>
      </c>
      <c r="Q60" s="4">
        <f t="shared" si="0"/>
        <v>1.6326781423336101E-2</v>
      </c>
      <c r="R60" s="4">
        <f t="shared" si="0"/>
        <v>1.6174474900744196E-2</v>
      </c>
      <c r="S60" s="4">
        <f t="shared" si="0"/>
        <v>1.5994832333553255E-2</v>
      </c>
      <c r="T60" s="4">
        <f t="shared" si="0"/>
        <v>1.579527658045321E-2</v>
      </c>
      <c r="U60" s="4">
        <f t="shared" si="0"/>
        <v>1.5582546531527131E-2</v>
      </c>
      <c r="V60" s="4">
        <f>V58/U58-1</f>
        <v>1.5363553951991626E-2</v>
      </c>
      <c r="W60" s="4">
        <f t="shared" ref="W60:AL60" si="1">W58/V58-1</f>
        <v>1.4624660199857864E-2</v>
      </c>
      <c r="X60" s="4">
        <f t="shared" si="1"/>
        <v>1.463076439142097E-2</v>
      </c>
      <c r="Y60" s="4">
        <f t="shared" si="1"/>
        <v>1.45045905837069E-2</v>
      </c>
      <c r="Z60" s="4">
        <f t="shared" si="1"/>
        <v>1.4392206067132651E-2</v>
      </c>
      <c r="AA60" s="4">
        <f t="shared" si="1"/>
        <v>1.4290431961019312E-2</v>
      </c>
      <c r="AB60" s="4">
        <f t="shared" si="1"/>
        <v>1.2806504004738928E-2</v>
      </c>
      <c r="AC60" s="4">
        <f t="shared" si="1"/>
        <v>1.2642495626876471E-2</v>
      </c>
      <c r="AD60" s="4">
        <f t="shared" si="1"/>
        <v>1.2379690396238985E-2</v>
      </c>
      <c r="AE60" s="4">
        <f t="shared" si="1"/>
        <v>1.221096582213721E-2</v>
      </c>
      <c r="AF60" s="4">
        <f t="shared" si="1"/>
        <v>1.2115797386579308E-2</v>
      </c>
      <c r="AG60" s="4">
        <f t="shared" si="1"/>
        <v>1.2069102644420404E-2</v>
      </c>
      <c r="AH60" s="4">
        <f t="shared" si="1"/>
        <v>1.2052776226816331E-2</v>
      </c>
      <c r="AI60" s="4">
        <f t="shared" si="1"/>
        <v>1.2056036827226224E-2</v>
      </c>
      <c r="AJ60" s="4">
        <f t="shared" si="1"/>
        <v>1.2073230375338362E-2</v>
      </c>
      <c r="AK60" s="4">
        <f t="shared" si="1"/>
        <v>1.2101569574524573E-2</v>
      </c>
      <c r="AL60" s="4">
        <f t="shared" si="1"/>
        <v>1.2139478242872537E-2</v>
      </c>
      <c r="AM60" s="4">
        <f t="shared" ref="AM60" si="2">AM58/AL58-1</f>
        <v>1.189807934515974E-2</v>
      </c>
      <c r="AN60" s="4">
        <f t="shared" ref="AN60" si="3">AN58/AM58-1</f>
        <v>1.1779062037514665E-2</v>
      </c>
      <c r="AO60" s="4">
        <f t="shared" ref="AO60" si="4">AO58/AN58-1</f>
        <v>1.1705333870628776E-2</v>
      </c>
      <c r="AP60" s="4">
        <f t="shared" ref="AP60" si="5">AP58/AO58-1</f>
        <v>1.167272850086376E-2</v>
      </c>
      <c r="AQ60" s="4">
        <f t="shared" ref="AQ60" si="6">AQ58/AP58-1</f>
        <v>1.1673704727104495E-2</v>
      </c>
      <c r="AR60" s="4">
        <f t="shared" ref="AR60" si="7">AR58/AQ58-1</f>
        <v>1.169824046176271E-2</v>
      </c>
      <c r="AS60" s="4">
        <f t="shared" ref="AS60" si="8">AS58/AR58-1</f>
        <v>1.1736831649414636E-2</v>
      </c>
      <c r="AT60" s="4">
        <f t="shared" ref="AT60" si="9">AT58/AS58-1</f>
        <v>1.1782168846224517E-2</v>
      </c>
      <c r="AU60" s="4">
        <f t="shared" ref="AU60" si="10">AU58/AT58-1</f>
        <v>1.1829499863185156E-2</v>
      </c>
      <c r="AV60" s="4">
        <f t="shared" ref="AV60" si="11">AV58/AU58-1</f>
        <v>1.1876245185866052E-2</v>
      </c>
      <c r="AW60" s="4">
        <f t="shared" ref="AW60" si="12">AW58/AV58-1</f>
        <v>1.1944029152672231E-2</v>
      </c>
      <c r="AX60" s="4">
        <f t="shared" ref="AX60" si="13">AX58/AW58-1</f>
        <v>1.2001054725522708E-2</v>
      </c>
      <c r="AY60" s="4">
        <f t="shared" ref="AY60" si="14">AY58/AX58-1</f>
        <v>1.2053229424771272E-2</v>
      </c>
      <c r="AZ60" s="4">
        <f t="shared" ref="AZ60" si="15">AZ58/AY58-1</f>
        <v>1.2100979174861859E-2</v>
      </c>
      <c r="BA60" s="4">
        <f t="shared" ref="BA60" si="16">BA58/AZ58-1</f>
        <v>1.21448957734831E-2</v>
      </c>
      <c r="BB60" s="4">
        <f t="shared" ref="BB60" si="17">BB58/BA58-1</f>
        <v>9.5695636285404673E-2</v>
      </c>
      <c r="BC60" s="4">
        <f t="shared" ref="BC60" si="18">BC58/BB58-1</f>
        <v>1.4798462497658926E-2</v>
      </c>
      <c r="BD60" s="4">
        <f t="shared" ref="BD60" si="19">BD58/BC58-1</f>
        <v>1.4785175821841579E-2</v>
      </c>
      <c r="BE60" s="4">
        <f t="shared" ref="BE60" si="20">BE58/BD58-1</f>
        <v>1.4776486902759123E-2</v>
      </c>
      <c r="BF60" s="4">
        <f t="shared" ref="BF60" si="21">BF58/BE58-1</f>
        <v>1.4772610590896518E-2</v>
      </c>
    </row>
    <row r="61" spans="1:58" x14ac:dyDescent="0.35">
      <c r="A61" s="16" t="s">
        <v>3</v>
      </c>
      <c r="B61" t="s">
        <v>4</v>
      </c>
      <c r="C61" s="1">
        <f>[1]Results!F1789</f>
        <v>0.9987261274</v>
      </c>
      <c r="D61" s="1">
        <f>[1]Results!G1789</f>
        <v>1.0188694170000001</v>
      </c>
      <c r="E61" s="1">
        <f>[1]Results!H1789</f>
        <v>1.0388094299999999</v>
      </c>
      <c r="F61" s="1">
        <f>[1]Results!I1789</f>
        <v>1.060068668</v>
      </c>
      <c r="G61" s="1">
        <f>[1]Results!J1789</f>
        <v>1.0826897900000001</v>
      </c>
      <c r="H61" s="1">
        <f>[1]Results!K1789</f>
        <v>1.106779119</v>
      </c>
      <c r="I61" s="1">
        <f>[1]Results!L1789</f>
        <v>1.1324691259999999</v>
      </c>
      <c r="J61" s="1">
        <f>[1]Results!M1789</f>
        <v>1.159526754</v>
      </c>
      <c r="K61" s="1">
        <f>[1]Results!N1789</f>
        <v>1.188024926</v>
      </c>
      <c r="L61" s="1">
        <f>[1]Results!O1789</f>
        <v>1.217898556</v>
      </c>
      <c r="M61" s="1">
        <f>[1]Results!P1789</f>
        <v>1.248952614</v>
      </c>
      <c r="N61" s="1">
        <f>[1]Results!Q1789</f>
        <v>1.281678877</v>
      </c>
      <c r="O61" s="1">
        <f>[1]Results!R1789</f>
        <v>1.3153990120000001</v>
      </c>
      <c r="P61" s="1">
        <f>[1]Results!S1789</f>
        <v>1.350228207</v>
      </c>
      <c r="Q61" s="1">
        <f>[1]Results!T1789</f>
        <v>1.386063764</v>
      </c>
      <c r="R61" s="1">
        <f>[1]Results!U1789</f>
        <v>1.422811965</v>
      </c>
      <c r="S61" s="1">
        <f>[1]Results!V1789</f>
        <v>1.4603933419999999</v>
      </c>
      <c r="T61" s="1">
        <f>[1]Results!W1789</f>
        <v>1.498745574</v>
      </c>
      <c r="U61" s="1">
        <f>[1]Results!X1789</f>
        <v>1.5378242849999999</v>
      </c>
      <c r="V61" s="1">
        <f>[1]Results!Y1789</f>
        <v>1.57760236</v>
      </c>
      <c r="W61" s="1">
        <f>[1]Results!Z1789</f>
        <v>1.6181580739999999</v>
      </c>
      <c r="X61" s="1">
        <f>[1]Results!AA1789</f>
        <v>1.659057722</v>
      </c>
      <c r="Y61" s="1">
        <f>[1]Results!AB1789</f>
        <v>1.700774499</v>
      </c>
      <c r="Z61" s="1">
        <f>[1]Results!AC1789</f>
        <v>1.743180731</v>
      </c>
      <c r="AA61" s="1">
        <f>[1]Results!AD1789</f>
        <v>1.7863286009999999</v>
      </c>
      <c r="AB61" s="1">
        <f>[1]Results!AE1789</f>
        <v>1.83053811</v>
      </c>
      <c r="AC61" s="1">
        <f>[1]Results!AF1789</f>
        <v>1.874706516</v>
      </c>
      <c r="AD61" s="1">
        <f>[1]Results!AG1789</f>
        <v>1.9197601769999999</v>
      </c>
      <c r="AE61" s="1">
        <f>[1]Results!AH1789</f>
        <v>1.9654554909999999</v>
      </c>
      <c r="AF61" s="1">
        <f>[1]Results!AI1789</f>
        <v>2.0118432799999999</v>
      </c>
      <c r="AG61" s="1">
        <f>[1]Results!AJ1789</f>
        <v>2.058998259</v>
      </c>
      <c r="AH61" s="1">
        <f>[1]Results!AK1789</f>
        <v>2.1070102570000002</v>
      </c>
      <c r="AI61" s="1">
        <f>[1]Results!AL1789</f>
        <v>2.1559755979999999</v>
      </c>
      <c r="AJ61" s="1">
        <f>[1]Results!AM1789</f>
        <v>2.2059902899999999</v>
      </c>
      <c r="AK61" s="1">
        <f>[1]Results!AN1789</f>
        <v>2.2571453849999998</v>
      </c>
      <c r="AL61" s="1">
        <f>[1]Results!AO1789</f>
        <v>2.3095243139999999</v>
      </c>
      <c r="AM61" s="1">
        <f>[1]Results!AP1789</f>
        <v>2.3632670760000001</v>
      </c>
      <c r="AN61" s="1">
        <f>[1]Results!AQ1789</f>
        <v>2.41817847</v>
      </c>
      <c r="AO61" s="1">
        <f>[1]Results!AR1789</f>
        <v>2.4743992279999998</v>
      </c>
      <c r="AP61" s="1">
        <f>[1]Results!AS1789</f>
        <v>2.5319482739999999</v>
      </c>
      <c r="AQ61" s="1">
        <f>[1]Results!AT1789</f>
        <v>2.590853428</v>
      </c>
      <c r="AR61" s="1">
        <f>[1]Results!AU1789</f>
        <v>2.651153731</v>
      </c>
      <c r="AS61" s="1">
        <f>[1]Results!AV1789</f>
        <v>2.7128989649999999</v>
      </c>
      <c r="AT61" s="1">
        <f>[1]Results!AW1789</f>
        <v>2.7761473919999999</v>
      </c>
      <c r="AU61" s="1">
        <f>[1]Results!AX1789</f>
        <v>2.8409628329999999</v>
      </c>
      <c r="AV61" s="1">
        <f>[1]Results!AY1789</f>
        <v>2.9074118879999999</v>
      </c>
      <c r="AW61" s="1">
        <f>[1]Results!AZ1789</f>
        <v>2.9755555509999998</v>
      </c>
      <c r="AX61" s="1">
        <f>[1]Results!BA1789</f>
        <v>3.0454851559999998</v>
      </c>
      <c r="AY61" s="1">
        <f>[1]Results!BB1789</f>
        <v>3.1172571250000001</v>
      </c>
      <c r="AZ61" s="1">
        <f>[1]Results!BC1789</f>
        <v>3.1909372029999998</v>
      </c>
      <c r="BA61" s="1">
        <f>[1]Results!BD1789</f>
        <v>3.266588155</v>
      </c>
      <c r="BB61" s="1">
        <f>[1]Results!BE1789</f>
        <v>2.7865971890000001</v>
      </c>
      <c r="BC61" s="1">
        <f>[1]Results!BF1789</f>
        <v>2.8403224690000002</v>
      </c>
      <c r="BD61" s="1">
        <f>[1]Results!BG1789</f>
        <v>2.894939376</v>
      </c>
      <c r="BE61" s="1">
        <f>[1]Results!BH1789</f>
        <v>2.950470615</v>
      </c>
      <c r="BF61" s="1">
        <f>[1]Results!BI1789</f>
        <v>3.0069409239999998</v>
      </c>
    </row>
    <row r="62" spans="1:58" x14ac:dyDescent="0.35">
      <c r="A62" s="16"/>
      <c r="B62" t="s">
        <v>6</v>
      </c>
      <c r="C62" s="1">
        <f>[1]Results!F1760</f>
        <v>0.99038800640000002</v>
      </c>
      <c r="D62" s="1">
        <f>[1]Results!G1760</f>
        <v>1.00353504</v>
      </c>
      <c r="E62" s="1">
        <f>[1]Results!H1760</f>
        <v>1.0149279200000001</v>
      </c>
      <c r="F62" s="1">
        <f>[1]Results!I1760</f>
        <v>1.027661827</v>
      </c>
      <c r="G62" s="1">
        <f>[1]Results!J1760</f>
        <v>1.0424177450000001</v>
      </c>
      <c r="H62" s="1">
        <f>[1]Results!K1760</f>
        <v>1.0596261490000001</v>
      </c>
      <c r="I62" s="1">
        <f>[1]Results!L1760</f>
        <v>1.0795502189999999</v>
      </c>
      <c r="J62" s="1">
        <f>[1]Results!M1760</f>
        <v>1.101957187</v>
      </c>
      <c r="K62" s="1">
        <f>[1]Results!N1760</f>
        <v>1.126843984</v>
      </c>
      <c r="L62" s="1">
        <f>[1]Results!O1760</f>
        <v>1.154032041</v>
      </c>
      <c r="M62" s="1">
        <f>[1]Results!P1760</f>
        <v>1.1831996709999999</v>
      </c>
      <c r="N62" s="1">
        <f>[1]Results!Q1760</f>
        <v>1.21472399</v>
      </c>
      <c r="O62" s="1">
        <f>[1]Results!R1760</f>
        <v>1.2477804720000001</v>
      </c>
      <c r="P62" s="1">
        <f>[1]Results!S1760</f>
        <v>1.2823816640000001</v>
      </c>
      <c r="Q62" s="1">
        <f>[1]Results!T1760</f>
        <v>1.3183359079999999</v>
      </c>
      <c r="R62" s="1">
        <f>[1]Results!U1760</f>
        <v>1.355477287</v>
      </c>
      <c r="S62" s="1">
        <f>[1]Results!V1760</f>
        <v>1.3937118100000001</v>
      </c>
      <c r="T62" s="1">
        <f>[1]Results!W1760</f>
        <v>1.432879118</v>
      </c>
      <c r="U62" s="1">
        <f>[1]Results!X1760</f>
        <v>1.4729061809999999</v>
      </c>
      <c r="V62" s="1">
        <f>[1]Results!Y1760</f>
        <v>1.513728792</v>
      </c>
      <c r="W62" s="1">
        <f>[1]Results!Z1760</f>
        <v>1.5553893889999999</v>
      </c>
      <c r="X62" s="1">
        <f>[1]Results!AA1760</f>
        <v>1.5974336330000001</v>
      </c>
      <c r="Y62" s="1">
        <f>[1]Results!AB1760</f>
        <v>1.640311292</v>
      </c>
      <c r="Z62" s="1">
        <f>[1]Results!AC1760</f>
        <v>1.68387799</v>
      </c>
      <c r="AA62" s="1">
        <f>[1]Results!AD1760</f>
        <v>1.728174026</v>
      </c>
      <c r="AB62" s="1">
        <f>[1]Results!AE1760</f>
        <v>1.7735022519999999</v>
      </c>
      <c r="AC62" s="1">
        <f>[1]Results!AF1760</f>
        <v>1.8187321839999999</v>
      </c>
      <c r="AD62" s="1">
        <f>[1]Results!AG1760</f>
        <v>1.8648248780000001</v>
      </c>
      <c r="AE62" s="1">
        <f>[1]Results!AH1760</f>
        <v>1.9115344510000001</v>
      </c>
      <c r="AF62" s="1">
        <f>[1]Results!AI1760</f>
        <v>1.9589235149999999</v>
      </c>
      <c r="AG62" s="1">
        <f>[1]Results!AJ1760</f>
        <v>2.0070806999999999</v>
      </c>
      <c r="AH62" s="1">
        <f>[1]Results!AK1760</f>
        <v>2.0560922100000001</v>
      </c>
      <c r="AI62" s="1">
        <f>[1]Results!AL1760</f>
        <v>2.1060893809999999</v>
      </c>
      <c r="AJ62" s="1">
        <f>[1]Results!AM1760</f>
        <v>2.1571834110000001</v>
      </c>
      <c r="AK62" s="1">
        <f>[1]Results!AN1760</f>
        <v>2.2094869799999999</v>
      </c>
      <c r="AL62" s="1">
        <f>[1]Results!AO1760</f>
        <v>2.2631059480000002</v>
      </c>
      <c r="AM62" s="1">
        <f>[1]Results!AP1760</f>
        <v>2.3179981199999999</v>
      </c>
      <c r="AN62" s="1">
        <f>[1]Results!AQ1760</f>
        <v>2.374160899</v>
      </c>
      <c r="AO62" s="1">
        <f>[1]Results!AR1760</f>
        <v>2.4317211809999999</v>
      </c>
      <c r="AP62" s="1">
        <f>[1]Results!AS1760</f>
        <v>2.4907308050000001</v>
      </c>
      <c r="AQ62" s="1">
        <f>[1]Results!AT1760</f>
        <v>2.551246999</v>
      </c>
      <c r="AR62" s="1">
        <f>[1]Results!AU1760</f>
        <v>2.6132959310000001</v>
      </c>
      <c r="AS62" s="1">
        <f>[1]Results!AV1760</f>
        <v>2.6769801279999998</v>
      </c>
      <c r="AT62" s="1">
        <f>[1]Results!AW1760</f>
        <v>2.7423680570000002</v>
      </c>
      <c r="AU62" s="1">
        <f>[1]Results!AX1760</f>
        <v>2.8095389590000002</v>
      </c>
      <c r="AV62" s="1">
        <f>[1]Results!AY1760</f>
        <v>2.8785708400000001</v>
      </c>
      <c r="AW62" s="1">
        <f>[1]Results!AZ1760</f>
        <v>2.9493823790000002</v>
      </c>
      <c r="AX62" s="1">
        <f>[1]Results!BA1760</f>
        <v>3.0221905229999999</v>
      </c>
      <c r="AY62" s="1">
        <f>[1]Results!BB1760</f>
        <v>3.0221894059999999</v>
      </c>
      <c r="AZ62" s="1">
        <f>[1]Results!BC1760</f>
        <v>3.0221882120000001</v>
      </c>
      <c r="BA62" s="1">
        <f>[1]Results!BD1760</f>
        <v>3.022188345</v>
      </c>
      <c r="BB62" s="1">
        <f>[1]Results!BE1760</f>
        <v>2.807915903</v>
      </c>
      <c r="BC62" s="1">
        <f>[1]Results!BF1760</f>
        <v>2.8628385230000002</v>
      </c>
      <c r="BD62" s="1">
        <f>[1]Results!BG1760</f>
        <v>2.9186834789999998</v>
      </c>
      <c r="BE62" s="1">
        <f>[1]Results!BH1760</f>
        <v>2.9754758730000002</v>
      </c>
      <c r="BF62" s="1">
        <f>[1]Results!BI1760</f>
        <v>3.0332420710000001</v>
      </c>
    </row>
    <row r="63" spans="1:58" x14ac:dyDescent="0.35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</row>
    <row r="64" spans="1:58" x14ac:dyDescent="0.35">
      <c r="A64" s="16" t="s">
        <v>1</v>
      </c>
      <c r="B64" t="str">
        <f>B61</f>
        <v>Baseline</v>
      </c>
      <c r="D64" s="1">
        <f t="shared" ref="D64:AL64" si="22">(D61/C61-1)*100</f>
        <v>2.016898231393971</v>
      </c>
      <c r="E64" s="1">
        <f t="shared" si="22"/>
        <v>1.9570724832149722</v>
      </c>
      <c r="F64" s="1">
        <f t="shared" si="22"/>
        <v>2.0465002902409157</v>
      </c>
      <c r="G64" s="1">
        <f t="shared" si="22"/>
        <v>2.1339298748144886</v>
      </c>
      <c r="H64" s="1">
        <f t="shared" si="22"/>
        <v>2.2249520797642308</v>
      </c>
      <c r="I64" s="1">
        <f t="shared" si="22"/>
        <v>2.321150314365461</v>
      </c>
      <c r="J64" s="1">
        <f t="shared" si="22"/>
        <v>2.3892596609295991</v>
      </c>
      <c r="K64" s="1">
        <f t="shared" si="22"/>
        <v>2.4577416520740192</v>
      </c>
      <c r="L64" s="1">
        <f t="shared" si="22"/>
        <v>2.5145625606175281</v>
      </c>
      <c r="M64" s="1">
        <f t="shared" si="22"/>
        <v>2.5498066195260405</v>
      </c>
      <c r="N64" s="1">
        <f t="shared" si="22"/>
        <v>2.62029660958778</v>
      </c>
      <c r="O64" s="1">
        <f t="shared" si="22"/>
        <v>2.6309347532455396</v>
      </c>
      <c r="P64" s="1">
        <f t="shared" si="22"/>
        <v>2.6478045583327559</v>
      </c>
      <c r="Q64" s="1">
        <f t="shared" si="22"/>
        <v>2.6540370593813201</v>
      </c>
      <c r="R64" s="1">
        <f t="shared" si="22"/>
        <v>2.651263380116764</v>
      </c>
      <c r="S64" s="1">
        <f t="shared" si="22"/>
        <v>2.6413453024342504</v>
      </c>
      <c r="T64" s="1">
        <f t="shared" si="22"/>
        <v>2.6261576862214975</v>
      </c>
      <c r="U64" s="1">
        <f t="shared" si="22"/>
        <v>2.6074279502759534</v>
      </c>
      <c r="V64" s="1">
        <f t="shared" si="22"/>
        <v>2.586646302051343</v>
      </c>
      <c r="W64" s="1">
        <f t="shared" si="22"/>
        <v>2.5707183906596098</v>
      </c>
      <c r="X64" s="1">
        <f t="shared" si="22"/>
        <v>2.5275434246605055</v>
      </c>
      <c r="Y64" s="1">
        <f t="shared" si="22"/>
        <v>2.5144861716872802</v>
      </c>
      <c r="Z64" s="1">
        <f t="shared" si="22"/>
        <v>2.4933482966103648</v>
      </c>
      <c r="AA64" s="1">
        <f t="shared" si="22"/>
        <v>2.4752378931613972</v>
      </c>
      <c r="AB64" s="1">
        <f t="shared" si="22"/>
        <v>2.4748811039162266</v>
      </c>
      <c r="AC64" s="1">
        <f t="shared" si="22"/>
        <v>2.4128645975035168</v>
      </c>
      <c r="AD64" s="1">
        <f t="shared" si="22"/>
        <v>2.4032380863608038</v>
      </c>
      <c r="AE64" s="1">
        <f t="shared" si="22"/>
        <v>2.3802615841009844</v>
      </c>
      <c r="AF64" s="1">
        <f t="shared" si="22"/>
        <v>2.3601546416295749</v>
      </c>
      <c r="AG64" s="1">
        <f t="shared" si="22"/>
        <v>2.3438693992108517</v>
      </c>
      <c r="AH64" s="1">
        <f t="shared" si="22"/>
        <v>2.3318134335537755</v>
      </c>
      <c r="AI64" s="1">
        <f t="shared" si="22"/>
        <v>2.323925136924454</v>
      </c>
      <c r="AJ64" s="1">
        <f t="shared" si="22"/>
        <v>2.319817165203375</v>
      </c>
      <c r="AK64" s="1">
        <f t="shared" si="22"/>
        <v>2.3189175052987121</v>
      </c>
      <c r="AL64" s="1">
        <f t="shared" si="22"/>
        <v>2.3205828631193803</v>
      </c>
      <c r="AM64" s="1">
        <f t="shared" ref="AM64:AM65" si="23">(AM61/AL61-1)*100</f>
        <v>2.3270056813959217</v>
      </c>
      <c r="AN64" s="1">
        <f t="shared" ref="AN64:AN65" si="24">(AN61/AM61-1)*100</f>
        <v>2.3235373842274809</v>
      </c>
      <c r="AO64" s="1">
        <f t="shared" ref="AO64:AO65" si="25">(AO61/AN61-1)*100</f>
        <v>2.3249217829649949</v>
      </c>
      <c r="AP64" s="1">
        <f t="shared" ref="AP64:AP65" si="26">(AP61/AO61-1)*100</f>
        <v>2.325778530351208</v>
      </c>
      <c r="AQ64" s="1">
        <f t="shared" ref="AQ64:AQ65" si="27">(AQ61/AP61-1)*100</f>
        <v>2.3264754104530327</v>
      </c>
      <c r="AR64" s="1">
        <f t="shared" ref="AR64:AR65" si="28">(AR61/AQ61-1)*100</f>
        <v>2.32743011813481</v>
      </c>
      <c r="AS64" s="1">
        <f t="shared" ref="AS64:AS65" si="29">(AS61/AR61-1)*100</f>
        <v>2.3289948552591033</v>
      </c>
      <c r="AT64" s="1">
        <f t="shared" ref="AT64:AT65" si="30">(AT61/AS61-1)*100</f>
        <v>2.3313963334421484</v>
      </c>
      <c r="AU64" s="1">
        <f t="shared" ref="AU64:AU65" si="31">(AU61/AT61-1)*100</f>
        <v>2.3347262175912542</v>
      </c>
      <c r="AV64" s="1">
        <f t="shared" ref="AV64:AV65" si="32">(AV61/AU61-1)*100</f>
        <v>2.3389624893413785</v>
      </c>
      <c r="AW64" s="1">
        <f t="shared" ref="AW64:AW65" si="33">(AW61/AV61-1)*100</f>
        <v>2.3437911663378275</v>
      </c>
      <c r="AX64" s="1">
        <f t="shared" ref="AX64:AX65" si="34">(AX61/AW61-1)*100</f>
        <v>2.3501360939639948</v>
      </c>
      <c r="AY64" s="1">
        <f t="shared" ref="AY64:AY65" si="35">(AY61/AX61-1)*100</f>
        <v>2.3566678320070089</v>
      </c>
      <c r="AZ64" s="1">
        <f t="shared" ref="AZ64:AZ65" si="36">(AZ61/AY61-1)*100</f>
        <v>2.363618881775742</v>
      </c>
      <c r="BA64" s="1">
        <f t="shared" ref="BA64:BA65" si="37">(BA61/AZ61-1)*100</f>
        <v>2.3708066686137119</v>
      </c>
      <c r="BB64" s="1">
        <f t="shared" ref="BB64:BB65" si="38">(BB61/BA61-1)*100</f>
        <v>-14.693954157193101</v>
      </c>
      <c r="BC64" s="1">
        <f t="shared" ref="BC64:BC65" si="39">(BC61/BB61-1)*100</f>
        <v>1.9279887388130135</v>
      </c>
      <c r="BD64" s="1">
        <f t="shared" ref="BD64:BD65" si="40">(BD61/BC61-1)*100</f>
        <v>1.9229121902918589</v>
      </c>
      <c r="BE64" s="1">
        <f t="shared" ref="BE64:BE65" si="41">(BE61/BD61-1)*100</f>
        <v>1.9182176822206465</v>
      </c>
      <c r="BF64" s="1">
        <f t="shared" ref="BF64:BF65" si="42">(BF61/BE61-1)*100</f>
        <v>1.9139424305027353</v>
      </c>
    </row>
    <row r="65" spans="1:58" x14ac:dyDescent="0.35">
      <c r="A65" s="16"/>
      <c r="B65" t="str">
        <f>B62</f>
        <v>NZ50</v>
      </c>
      <c r="D65" s="1">
        <f t="shared" ref="D65:AL65" si="43">(D62/C62-1)*100</f>
        <v>1.3274629251406989</v>
      </c>
      <c r="E65" s="1">
        <f t="shared" si="43"/>
        <v>1.1352747583183609</v>
      </c>
      <c r="F65" s="1">
        <f t="shared" si="43"/>
        <v>1.2546612177148475</v>
      </c>
      <c r="G65" s="1">
        <f t="shared" si="43"/>
        <v>1.4358729313782348</v>
      </c>
      <c r="H65" s="1">
        <f t="shared" si="43"/>
        <v>1.6508164872039766</v>
      </c>
      <c r="I65" s="1">
        <f t="shared" si="43"/>
        <v>1.8802924049017511</v>
      </c>
      <c r="J65" s="1">
        <f t="shared" si="43"/>
        <v>2.0755836649040571</v>
      </c>
      <c r="K65" s="1">
        <f t="shared" si="43"/>
        <v>2.2584177764430668</v>
      </c>
      <c r="L65" s="1">
        <f t="shared" si="43"/>
        <v>2.4127614280274656</v>
      </c>
      <c r="M65" s="1">
        <f t="shared" si="43"/>
        <v>2.5274540882526342</v>
      </c>
      <c r="N65" s="1">
        <f t="shared" si="43"/>
        <v>2.6643279044657575</v>
      </c>
      <c r="O65" s="1">
        <f t="shared" si="43"/>
        <v>2.7213163049492506</v>
      </c>
      <c r="P65" s="1">
        <f t="shared" si="43"/>
        <v>2.7730191949982608</v>
      </c>
      <c r="Q65" s="1">
        <f t="shared" si="43"/>
        <v>2.8037085221455316</v>
      </c>
      <c r="R65" s="1">
        <f t="shared" si="43"/>
        <v>2.8172925257225145</v>
      </c>
      <c r="S65" s="1">
        <f t="shared" si="43"/>
        <v>2.820742432698542</v>
      </c>
      <c r="T65" s="1">
        <f t="shared" si="43"/>
        <v>2.8102874438582726</v>
      </c>
      <c r="U65" s="1">
        <f t="shared" si="43"/>
        <v>2.7934710260743678</v>
      </c>
      <c r="V65" s="1">
        <f t="shared" si="43"/>
        <v>2.7715689924177278</v>
      </c>
      <c r="W65" s="1">
        <f t="shared" si="43"/>
        <v>2.7521836950036738</v>
      </c>
      <c r="X65" s="1">
        <f t="shared" si="43"/>
        <v>2.7031330094794859</v>
      </c>
      <c r="Y65" s="1">
        <f t="shared" si="43"/>
        <v>2.6841590232124402</v>
      </c>
      <c r="Z65" s="1">
        <f t="shared" si="43"/>
        <v>2.6560018340713754</v>
      </c>
      <c r="AA65" s="1">
        <f t="shared" si="43"/>
        <v>2.6305965315218671</v>
      </c>
      <c r="AB65" s="1">
        <f t="shared" si="43"/>
        <v>2.6228970762230297</v>
      </c>
      <c r="AC65" s="1">
        <f t="shared" si="43"/>
        <v>2.5503171450159456</v>
      </c>
      <c r="AD65" s="1">
        <f t="shared" si="43"/>
        <v>2.5343310249575479</v>
      </c>
      <c r="AE65" s="1">
        <f t="shared" si="43"/>
        <v>2.5047699411912205</v>
      </c>
      <c r="AF65" s="1">
        <f t="shared" si="43"/>
        <v>2.4791111651275122</v>
      </c>
      <c r="AG65" s="1">
        <f t="shared" si="43"/>
        <v>2.4583494266747774</v>
      </c>
      <c r="AH65" s="1">
        <f t="shared" si="43"/>
        <v>2.441930212372645</v>
      </c>
      <c r="AI65" s="1">
        <f t="shared" si="43"/>
        <v>2.4316599594528698</v>
      </c>
      <c r="AJ65" s="1">
        <f t="shared" si="43"/>
        <v>2.4260143211842333</v>
      </c>
      <c r="AK65" s="1">
        <f t="shared" si="43"/>
        <v>2.4246231791553274</v>
      </c>
      <c r="AL65" s="1">
        <f t="shared" si="43"/>
        <v>2.4267609850319394</v>
      </c>
      <c r="AM65" s="1">
        <f t="shared" si="23"/>
        <v>2.4255237386703099</v>
      </c>
      <c r="AN65" s="1">
        <f t="shared" si="24"/>
        <v>2.4229001100311454</v>
      </c>
      <c r="AO65" s="1">
        <f t="shared" si="25"/>
        <v>2.4244473920973286</v>
      </c>
      <c r="AP65" s="1">
        <f t="shared" si="26"/>
        <v>2.4266607726685763</v>
      </c>
      <c r="AQ65" s="1">
        <f t="shared" si="27"/>
        <v>2.4296561426275787</v>
      </c>
      <c r="AR65" s="1">
        <f t="shared" si="28"/>
        <v>2.4321021063159032</v>
      </c>
      <c r="AS65" s="1">
        <f t="shared" si="29"/>
        <v>2.4369301709979085</v>
      </c>
      <c r="AT65" s="1">
        <f t="shared" si="30"/>
        <v>2.4426004629646725</v>
      </c>
      <c r="AU65" s="1">
        <f t="shared" si="31"/>
        <v>2.4493758898826101</v>
      </c>
      <c r="AV65" s="1">
        <f t="shared" si="32"/>
        <v>2.4570537019557914</v>
      </c>
      <c r="AW65" s="1">
        <f t="shared" si="33"/>
        <v>2.4599547114150688</v>
      </c>
      <c r="AX65" s="1">
        <f t="shared" si="34"/>
        <v>2.4685895093970789</v>
      </c>
      <c r="AY65" s="1">
        <f t="shared" si="35"/>
        <v>-3.6959946492221007E-5</v>
      </c>
      <c r="AZ65" s="1">
        <f t="shared" si="36"/>
        <v>-3.9507781923742158E-5</v>
      </c>
      <c r="BA65" s="1">
        <f t="shared" si="37"/>
        <v>4.400784825442372E-6</v>
      </c>
      <c r="BB65" s="1">
        <f t="shared" si="38"/>
        <v>-7.0899764521459634</v>
      </c>
      <c r="BC65" s="1">
        <f t="shared" si="39"/>
        <v>1.9559923408432711</v>
      </c>
      <c r="BD65" s="1">
        <f t="shared" si="40"/>
        <v>1.950684802909497</v>
      </c>
      <c r="BE65" s="1">
        <f t="shared" si="41"/>
        <v>1.9458222999726882</v>
      </c>
      <c r="BF65" s="1">
        <f t="shared" si="42"/>
        <v>1.9414103983897313</v>
      </c>
    </row>
    <row r="66" spans="1:58" x14ac:dyDescent="0.35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58" x14ac:dyDescent="0.35">
      <c r="A67" s="15" t="s">
        <v>2</v>
      </c>
      <c r="B67" t="str">
        <f>B64</f>
        <v>Baseline</v>
      </c>
      <c r="C67" s="6">
        <f>[1]Emissions!B820</f>
        <v>350.56780099999997</v>
      </c>
      <c r="D67" s="6">
        <f>[1]Emissions!C820</f>
        <v>352.95129300000002</v>
      </c>
      <c r="E67" s="6">
        <f>[1]Emissions!D820</f>
        <v>355.06172720000001</v>
      </c>
      <c r="F67" s="6">
        <f>[1]Emissions!E820</f>
        <v>357.43533389999999</v>
      </c>
      <c r="G67" s="6">
        <f>[1]Emissions!F820</f>
        <v>360.22980919999998</v>
      </c>
      <c r="H67" s="6">
        <f>[1]Emissions!G820</f>
        <v>363.44432999999998</v>
      </c>
      <c r="I67" s="6">
        <f>[1]Emissions!H820</f>
        <v>366.8496323</v>
      </c>
      <c r="J67" s="6">
        <f>[1]Emissions!I820</f>
        <v>370.46238840000001</v>
      </c>
      <c r="K67" s="6">
        <f>[1]Emissions!J820</f>
        <v>374.25175089999999</v>
      </c>
      <c r="L67" s="6">
        <f>[1]Emissions!K820</f>
        <v>378.1786358</v>
      </c>
      <c r="M67" s="6">
        <f>[1]Emissions!L820</f>
        <v>382.50815039999998</v>
      </c>
      <c r="N67" s="6">
        <f>[1]Emissions!M820</f>
        <v>386.76306010000002</v>
      </c>
      <c r="O67" s="6">
        <f>[1]Emissions!N820</f>
        <v>391.01417249999997</v>
      </c>
      <c r="P67" s="6">
        <f>[1]Emissions!O820</f>
        <v>395.27655600000003</v>
      </c>
      <c r="Q67" s="6">
        <f>[1]Emissions!P820</f>
        <v>399.54966139999999</v>
      </c>
      <c r="R67" s="6">
        <f>[1]Emissions!Q820</f>
        <v>403.83108090000002</v>
      </c>
      <c r="S67" s="6">
        <f>[1]Emissions!R820</f>
        <v>408.12046359999999</v>
      </c>
      <c r="T67" s="6">
        <f>[1]Emissions!S820</f>
        <v>412.41994299999999</v>
      </c>
      <c r="U67" s="6">
        <f>[1]Emissions!T820</f>
        <v>416.73419560000002</v>
      </c>
      <c r="V67" s="6">
        <f>[1]Emissions!U820</f>
        <v>421.06970310000003</v>
      </c>
      <c r="W67" s="6">
        <f>[1]Emissions!V820</f>
        <v>425.21727750000002</v>
      </c>
      <c r="X67" s="6">
        <f>[1]Emissions!W820</f>
        <v>429.5089183</v>
      </c>
      <c r="Y67" s="6">
        <f>[1]Emissions!X820</f>
        <v>433.88625400000001</v>
      </c>
      <c r="Z67" s="6">
        <f>[1]Emissions!Y820</f>
        <v>438.33530289999999</v>
      </c>
      <c r="AA67" s="6">
        <f>[1]Emissions!Z820</f>
        <v>442.85611499999999</v>
      </c>
      <c r="AB67" s="6">
        <f>[1]Emissions!AA820</f>
        <v>446.83546280000002</v>
      </c>
      <c r="AC67" s="6">
        <f>[1]Emissions!AB820</f>
        <v>450.90674689999997</v>
      </c>
      <c r="AD67" s="6">
        <f>[1]Emissions!AC820</f>
        <v>455.02475879999997</v>
      </c>
      <c r="AE67" s="6">
        <f>[1]Emissions!AD820</f>
        <v>459.1837587</v>
      </c>
      <c r="AF67" s="6">
        <f>[1]Emissions!AE820</f>
        <v>463.39057889999998</v>
      </c>
      <c r="AG67" s="6">
        <f>[1]Emissions!AF820</f>
        <v>467.65443269999997</v>
      </c>
      <c r="AH67" s="6">
        <f>[1]Emissions!AG820</f>
        <v>471.98342239999999</v>
      </c>
      <c r="AI67" s="6">
        <f>[1]Emissions!AH820</f>
        <v>476.38359070000001</v>
      </c>
      <c r="AJ67" s="6">
        <f>[1]Emissions!AI820</f>
        <v>480.85870340000002</v>
      </c>
      <c r="AK67" s="6">
        <f>[1]Emissions!AJ820</f>
        <v>485.41044970000002</v>
      </c>
      <c r="AL67" s="6">
        <f>[1]Emissions!AK820</f>
        <v>490.0388246</v>
      </c>
      <c r="AM67" s="6">
        <f>[1]Emissions!AL820</f>
        <v>494.5979279</v>
      </c>
      <c r="AN67" s="6">
        <f>[1]Emissions!AM820</f>
        <v>499.15612090000002</v>
      </c>
      <c r="AO67" s="6">
        <f>[1]Emissions!AN820</f>
        <v>503.73694490000003</v>
      </c>
      <c r="AP67" s="6">
        <f>[1]Emissions!AO820</f>
        <v>508.35001599999998</v>
      </c>
      <c r="AQ67" s="6">
        <f>[1]Emissions!AP820</f>
        <v>513.00082250000003</v>
      </c>
      <c r="AR67" s="6">
        <f>[1]Emissions!AQ820</f>
        <v>517.69358999999997</v>
      </c>
      <c r="AS67" s="6">
        <f>[1]Emissions!AR820</f>
        <v>522.43199570000002</v>
      </c>
      <c r="AT67" s="6">
        <f>[1]Emissions!AS820</f>
        <v>527.2192556</v>
      </c>
      <c r="AU67" s="6">
        <f>[1]Emissions!AT820</f>
        <v>532.05808030000003</v>
      </c>
      <c r="AV67" s="6">
        <f>[1]Emissions!AU820</f>
        <v>536.95065799999998</v>
      </c>
      <c r="AW67" s="6">
        <f>[1]Emissions!AV820</f>
        <v>541.91145100000006</v>
      </c>
      <c r="AX67" s="6">
        <f>[1]Emissions!AW820</f>
        <v>546.93553029999998</v>
      </c>
      <c r="AY67" s="6">
        <f>[1]Emissions!AX820</f>
        <v>552.02165930000001</v>
      </c>
      <c r="AZ67" s="6">
        <f>[1]Emissions!AY820</f>
        <v>557.16965679999998</v>
      </c>
      <c r="BA67" s="6">
        <f>[1]Emissions!AZ820</f>
        <v>562.37966830000005</v>
      </c>
      <c r="BB67" s="6">
        <f>[1]Emissions!BA820</f>
        <v>639.6781585</v>
      </c>
      <c r="BC67" s="6">
        <f>[1]Emissions!BB820</f>
        <v>648.44547050000006</v>
      </c>
      <c r="BD67" s="6">
        <f>[1]Emissions!BC820</f>
        <v>657.34065229999999</v>
      </c>
      <c r="BE67" s="6">
        <f>[1]Emissions!BD820</f>
        <v>666.36737129999995</v>
      </c>
      <c r="BF67" s="6">
        <f>[1]Emissions!BE820</f>
        <v>675.52932920000001</v>
      </c>
    </row>
    <row r="68" spans="1:58" x14ac:dyDescent="0.35">
      <c r="A68" s="11"/>
      <c r="B68" t="s">
        <v>25</v>
      </c>
      <c r="C68" s="6">
        <f>[1]Emissions!B824</f>
        <v>119.490486</v>
      </c>
      <c r="D68" s="6">
        <f>[1]Emissions!C824</f>
        <v>119.2695946</v>
      </c>
      <c r="E68" s="6">
        <f>[1]Emissions!D824</f>
        <v>118.6722673</v>
      </c>
      <c r="F68" s="6">
        <f>[1]Emissions!E824</f>
        <v>118.1256324</v>
      </c>
      <c r="G68" s="6">
        <f>[1]Emissions!F824</f>
        <v>117.7519503</v>
      </c>
      <c r="H68" s="6">
        <f>[1]Emissions!G824</f>
        <v>117.55945180000001</v>
      </c>
      <c r="I68" s="6">
        <f>[1]Emissions!H824</f>
        <v>117.4938138</v>
      </c>
      <c r="J68" s="6">
        <f>[1]Emissions!I824</f>
        <v>117.5343555</v>
      </c>
      <c r="K68" s="6">
        <f>[1]Emissions!J824</f>
        <v>117.65840660000001</v>
      </c>
      <c r="L68" s="6">
        <f>[1]Emissions!K824</f>
        <v>117.8465109</v>
      </c>
      <c r="M68" s="6">
        <f>[1]Emissions!L824</f>
        <v>118.1288933</v>
      </c>
      <c r="N68" s="6">
        <f>[1]Emissions!M824</f>
        <v>118.4286261</v>
      </c>
      <c r="O68" s="6">
        <f>[1]Emissions!N824</f>
        <v>118.7472731</v>
      </c>
      <c r="P68" s="6">
        <f>[1]Emissions!O824</f>
        <v>119.083034</v>
      </c>
      <c r="Q68" s="6">
        <f>[1]Emissions!P824</f>
        <v>119.4324179</v>
      </c>
      <c r="R68" s="6">
        <f>[1]Emissions!Q824</f>
        <v>119.79169659999999</v>
      </c>
      <c r="S68" s="6">
        <f>[1]Emissions!R824</f>
        <v>120.15745819999999</v>
      </c>
      <c r="T68" s="6">
        <f>[1]Emissions!S824</f>
        <v>120.52657019999999</v>
      </c>
      <c r="U68" s="6">
        <f>[1]Emissions!T824</f>
        <v>120.8966695</v>
      </c>
      <c r="V68" s="6">
        <f>[1]Emissions!U824</f>
        <v>121.2660879</v>
      </c>
      <c r="W68" s="6">
        <f>[1]Emissions!V824</f>
        <v>121.6032735</v>
      </c>
      <c r="X68" s="6">
        <f>[1]Emissions!W824</f>
        <v>121.9509509</v>
      </c>
      <c r="Y68" s="6">
        <f>[1]Emissions!X824</f>
        <v>122.30270160000001</v>
      </c>
      <c r="Z68" s="6">
        <f>[1]Emissions!Y824</f>
        <v>122.6552592</v>
      </c>
      <c r="AA68" s="6">
        <f>[1]Emissions!Z824</f>
        <v>123.0076612</v>
      </c>
      <c r="AB68" s="6">
        <f>[1]Emissions!AA824</f>
        <v>123.2760461</v>
      </c>
      <c r="AC68" s="6">
        <f>[1]Emissions!AB824</f>
        <v>123.5407101</v>
      </c>
      <c r="AD68" s="6">
        <f>[1]Emissions!AC824</f>
        <v>123.8016434</v>
      </c>
      <c r="AE68" s="6">
        <f>[1]Emissions!AD824</f>
        <v>124.05866</v>
      </c>
      <c r="AF68" s="6">
        <f>[1]Emissions!AE824</f>
        <v>124.3127605</v>
      </c>
      <c r="AG68" s="6">
        <f>[1]Emissions!AF824</f>
        <v>124.5653451</v>
      </c>
      <c r="AH68" s="6">
        <f>[1]Emissions!AG824</f>
        <v>124.81781669999999</v>
      </c>
      <c r="AI68" s="6">
        <f>[1]Emissions!AH824</f>
        <v>125.0715964</v>
      </c>
      <c r="AJ68" s="6">
        <f>[1]Emissions!AI824</f>
        <v>125.32804230000001</v>
      </c>
      <c r="AK68" s="6">
        <f>[1]Emissions!AJ824</f>
        <v>125.58841200000001</v>
      </c>
      <c r="AL68" s="6">
        <f>[1]Emissions!AK824</f>
        <v>125.8538408</v>
      </c>
      <c r="AM68" s="6">
        <f>[1]Emissions!AL824</f>
        <v>126.1071625</v>
      </c>
      <c r="AN68" s="6">
        <f>[1]Emissions!AM824</f>
        <v>126.35689960000001</v>
      </c>
      <c r="AO68" s="6">
        <f>[1]Emissions!AN824</f>
        <v>126.6075816</v>
      </c>
      <c r="AP68" s="6">
        <f>[1]Emissions!AO824</f>
        <v>126.8616468</v>
      </c>
      <c r="AQ68" s="6">
        <f>[1]Emissions!AP824</f>
        <v>127.12059259999999</v>
      </c>
      <c r="AR68" s="6">
        <f>[1]Emissions!AQ824</f>
        <v>127.3854609</v>
      </c>
      <c r="AS68" s="6">
        <f>[1]Emissions!AR824</f>
        <v>127.6570469</v>
      </c>
      <c r="AT68" s="6">
        <f>[1]Emissions!AS824</f>
        <v>127.93599810000001</v>
      </c>
      <c r="AU68" s="6">
        <f>[1]Emissions!AT824</f>
        <v>128.22286980000001</v>
      </c>
      <c r="AV68" s="6">
        <f>[1]Emissions!AU824</f>
        <v>128.51816049999999</v>
      </c>
      <c r="AW68" s="6">
        <f>[1]Emissions!AV824</f>
        <v>128.82381720000001</v>
      </c>
      <c r="AX68" s="6">
        <f>[1]Emissions!AW824</f>
        <v>129.13966809999999</v>
      </c>
      <c r="AY68" s="6">
        <f>[1]Emissions!AX824</f>
        <v>129.4658355</v>
      </c>
      <c r="AZ68" s="6">
        <f>[1]Emissions!AY824</f>
        <v>129.80259000000001</v>
      </c>
      <c r="BA68" s="6">
        <f>[1]Emissions!AZ824</f>
        <v>130.15026159999999</v>
      </c>
      <c r="BB68" s="6">
        <f>[1]Emissions!BA824</f>
        <v>129.0574852</v>
      </c>
      <c r="BC68" s="6">
        <f>[1]Emissions!BB824</f>
        <v>129.4656449</v>
      </c>
      <c r="BD68" s="6">
        <f>[1]Emissions!BC824</f>
        <v>129.88106049999999</v>
      </c>
      <c r="BE68" s="6">
        <f>[1]Emissions!BD824</f>
        <v>130.30458100000001</v>
      </c>
      <c r="BF68" s="6">
        <f>[1]Emissions!BE824</f>
        <v>130.73693650000001</v>
      </c>
    </row>
    <row r="69" spans="1:58" x14ac:dyDescent="0.35">
      <c r="A69" s="11"/>
      <c r="B69" t="s">
        <v>26</v>
      </c>
      <c r="C69" s="6">
        <f>SUM(C70:C72)</f>
        <v>231.07731508809999</v>
      </c>
      <c r="D69" s="6">
        <f t="shared" ref="D69:AL69" si="44">SUM(D70:D72)</f>
        <v>233.6816983654</v>
      </c>
      <c r="E69" s="6">
        <f t="shared" si="44"/>
        <v>236.38945989219999</v>
      </c>
      <c r="F69" s="6">
        <f t="shared" si="44"/>
        <v>239.30970145330002</v>
      </c>
      <c r="G69" s="6">
        <f t="shared" si="44"/>
        <v>242.47785881990001</v>
      </c>
      <c r="H69" s="6">
        <f t="shared" si="44"/>
        <v>245.8848781017</v>
      </c>
      <c r="I69" s="6">
        <f t="shared" si="44"/>
        <v>249.35581848450002</v>
      </c>
      <c r="J69" s="6">
        <f t="shared" si="44"/>
        <v>252.9280329334</v>
      </c>
      <c r="K69" s="6">
        <f t="shared" si="44"/>
        <v>256.59334429749998</v>
      </c>
      <c r="L69" s="6">
        <f t="shared" si="44"/>
        <v>260.33212493579998</v>
      </c>
      <c r="M69" s="6">
        <f t="shared" si="44"/>
        <v>264.37925713559997</v>
      </c>
      <c r="N69" s="6">
        <f t="shared" si="44"/>
        <v>268.33443394749997</v>
      </c>
      <c r="O69" s="6">
        <f t="shared" si="44"/>
        <v>272.26689945920003</v>
      </c>
      <c r="P69" s="6">
        <f t="shared" si="44"/>
        <v>276.19352206980005</v>
      </c>
      <c r="Q69" s="6">
        <f t="shared" si="44"/>
        <v>280.11724355789994</v>
      </c>
      <c r="R69" s="6">
        <f t="shared" si="44"/>
        <v>284.03938426100001</v>
      </c>
      <c r="S69" s="6">
        <f t="shared" si="44"/>
        <v>287.96300535950002</v>
      </c>
      <c r="T69" s="6">
        <f t="shared" si="44"/>
        <v>291.89337276139997</v>
      </c>
      <c r="U69" s="6">
        <f t="shared" si="44"/>
        <v>295.8375261617</v>
      </c>
      <c r="V69" s="6">
        <f t="shared" si="44"/>
        <v>299.80361514239996</v>
      </c>
      <c r="W69" s="6">
        <f t="shared" si="44"/>
        <v>303.61400405030003</v>
      </c>
      <c r="X69" s="6">
        <f t="shared" si="44"/>
        <v>307.5579673702</v>
      </c>
      <c r="Y69" s="6">
        <f t="shared" si="44"/>
        <v>311.58355236790004</v>
      </c>
      <c r="Z69" s="6">
        <f t="shared" si="44"/>
        <v>315.68004378399996</v>
      </c>
      <c r="AA69" s="6">
        <f t="shared" si="44"/>
        <v>319.84845371839998</v>
      </c>
      <c r="AB69" s="6">
        <f t="shared" si="44"/>
        <v>323.5594167077</v>
      </c>
      <c r="AC69" s="6">
        <f t="shared" si="44"/>
        <v>327.36603673000002</v>
      </c>
      <c r="AD69" s="6">
        <f t="shared" si="44"/>
        <v>331.22311549889997</v>
      </c>
      <c r="AE69" s="6">
        <f t="shared" si="44"/>
        <v>335.12509862490003</v>
      </c>
      <c r="AF69" s="6">
        <f t="shared" si="44"/>
        <v>339.07781847929999</v>
      </c>
      <c r="AG69" s="6">
        <f t="shared" si="44"/>
        <v>343.0890875975</v>
      </c>
      <c r="AH69" s="6">
        <f t="shared" si="44"/>
        <v>347.16560567599998</v>
      </c>
      <c r="AI69" s="6">
        <f t="shared" si="44"/>
        <v>351.31199430530006</v>
      </c>
      <c r="AJ69" s="6">
        <f t="shared" si="44"/>
        <v>355.5306610746</v>
      </c>
      <c r="AK69" s="6">
        <f t="shared" si="44"/>
        <v>359.82203770639995</v>
      </c>
      <c r="AL69" s="6">
        <f t="shared" si="44"/>
        <v>364.18498377110001</v>
      </c>
      <c r="AM69" s="6">
        <f t="shared" ref="AM69:BC69" si="45">SUM(AM70:AM72)</f>
        <v>368.49076533800002</v>
      </c>
      <c r="AN69" s="6">
        <f t="shared" si="45"/>
        <v>372.79922132049995</v>
      </c>
      <c r="AO69" s="6">
        <f t="shared" si="45"/>
        <v>377.12936336559994</v>
      </c>
      <c r="AP69" s="6">
        <f t="shared" si="45"/>
        <v>381.48836921640003</v>
      </c>
      <c r="AQ69" s="6">
        <f t="shared" si="45"/>
        <v>385.88022994380003</v>
      </c>
      <c r="AR69" s="6">
        <f t="shared" si="45"/>
        <v>390.30812902920002</v>
      </c>
      <c r="AS69" s="6">
        <f t="shared" si="45"/>
        <v>394.7749488371</v>
      </c>
      <c r="AT69" s="6">
        <f t="shared" si="45"/>
        <v>399.28325750449994</v>
      </c>
      <c r="AU69" s="6">
        <f t="shared" si="45"/>
        <v>403.8352104773</v>
      </c>
      <c r="AV69" s="6">
        <f t="shared" si="45"/>
        <v>408.43249753610002</v>
      </c>
      <c r="AW69" s="6">
        <f t="shared" si="45"/>
        <v>413.08763370519995</v>
      </c>
      <c r="AX69" s="6">
        <f t="shared" si="45"/>
        <v>417.79586215460006</v>
      </c>
      <c r="AY69" s="6">
        <f t="shared" si="45"/>
        <v>422.5558237605</v>
      </c>
      <c r="AZ69" s="6">
        <f t="shared" si="45"/>
        <v>427.36706680430001</v>
      </c>
      <c r="BA69" s="6">
        <f t="shared" si="45"/>
        <v>432.22940667860001</v>
      </c>
      <c r="BB69" s="6">
        <f t="shared" si="45"/>
        <v>510.62067320610004</v>
      </c>
      <c r="BC69" s="6">
        <f t="shared" si="45"/>
        <v>518.9798256391</v>
      </c>
      <c r="BD69" s="6">
        <f t="shared" ref="BD69:BF69" si="46">SUM(BD70:BD72)</f>
        <v>527.45959178570001</v>
      </c>
      <c r="BE69" s="6">
        <f t="shared" si="46"/>
        <v>536.06279036800004</v>
      </c>
      <c r="BF69" s="6">
        <f t="shared" si="46"/>
        <v>544.79239261509997</v>
      </c>
    </row>
    <row r="70" spans="1:58" x14ac:dyDescent="0.35">
      <c r="A70" s="11"/>
      <c r="B70" t="s">
        <v>50</v>
      </c>
      <c r="C70" s="6">
        <f>[1]Emissions!B821</f>
        <v>215.79568739999999</v>
      </c>
      <c r="D70" s="6">
        <f>[1]Emissions!C821</f>
        <v>218.19942810000001</v>
      </c>
      <c r="E70" s="6">
        <f>[1]Emissions!D821</f>
        <v>220.6893202</v>
      </c>
      <c r="F70" s="6">
        <f>[1]Emissions!E821</f>
        <v>223.37924580000001</v>
      </c>
      <c r="G70" s="6">
        <f>[1]Emissions!F821</f>
        <v>226.3068103</v>
      </c>
      <c r="H70" s="6">
        <f>[1]Emissions!G821</f>
        <v>229.4645721</v>
      </c>
      <c r="I70" s="6">
        <f>[1]Emissions!H821</f>
        <v>232.68840990000001</v>
      </c>
      <c r="J70" s="6">
        <f>[1]Emissions!I821</f>
        <v>236.0108391</v>
      </c>
      <c r="K70" s="6">
        <f>[1]Emissions!J821</f>
        <v>239.42293839999999</v>
      </c>
      <c r="L70" s="6">
        <f>[1]Emissions!K821</f>
        <v>242.90490919999999</v>
      </c>
      <c r="M70" s="6">
        <f>[1]Emissions!L821</f>
        <v>246.6748892</v>
      </c>
      <c r="N70" s="6">
        <f>[1]Emissions!M821</f>
        <v>250.35931009999999</v>
      </c>
      <c r="O70" s="6">
        <f>[1]Emissions!N821</f>
        <v>254.01958250000001</v>
      </c>
      <c r="P70" s="6">
        <f>[1]Emissions!O821</f>
        <v>257.67107750000002</v>
      </c>
      <c r="Q70" s="6">
        <f>[1]Emissions!P821</f>
        <v>261.31622199999998</v>
      </c>
      <c r="R70" s="6">
        <f>[1]Emissions!Q821</f>
        <v>264.95596660000001</v>
      </c>
      <c r="S70" s="6">
        <f>[1]Emissions!R821</f>
        <v>268.59302680000002</v>
      </c>
      <c r="T70" s="6">
        <f>[1]Emissions!S821</f>
        <v>272.23235019999998</v>
      </c>
      <c r="U70" s="6">
        <f>[1]Emissions!T821</f>
        <v>275.88070169999997</v>
      </c>
      <c r="V70" s="6">
        <f>[1]Emissions!U821</f>
        <v>279.54600729999999</v>
      </c>
      <c r="W70" s="6">
        <f>[1]Emissions!V821</f>
        <v>283.0626762</v>
      </c>
      <c r="X70" s="6">
        <f>[1]Emissions!W821</f>
        <v>286.70016820000001</v>
      </c>
      <c r="Y70" s="6">
        <f>[1]Emissions!X821</f>
        <v>290.4120613</v>
      </c>
      <c r="Z70" s="6">
        <f>[1]Emissions!Y821</f>
        <v>294.18855589999998</v>
      </c>
      <c r="AA70" s="6">
        <f>[1]Emissions!Z821</f>
        <v>298.03089899999998</v>
      </c>
      <c r="AB70" s="6">
        <f>[1]Emissions!AA821</f>
        <v>301.44505750000002</v>
      </c>
      <c r="AC70" s="6">
        <f>[1]Emissions!AB821</f>
        <v>304.9444125</v>
      </c>
      <c r="AD70" s="6">
        <f>[1]Emissions!AC821</f>
        <v>308.49011259999997</v>
      </c>
      <c r="AE70" s="6">
        <f>[1]Emissions!AD821</f>
        <v>312.07711810000001</v>
      </c>
      <c r="AF70" s="6">
        <f>[1]Emissions!AE821</f>
        <v>315.71101859999999</v>
      </c>
      <c r="AG70" s="6">
        <f>[1]Emissions!AF821</f>
        <v>319.39943479999999</v>
      </c>
      <c r="AH70" s="6">
        <f>[1]Emissions!AG821</f>
        <v>323.14904460000002</v>
      </c>
      <c r="AI70" s="6">
        <f>[1]Emissions!AH821</f>
        <v>326.96459190000002</v>
      </c>
      <c r="AJ70" s="6">
        <f>[1]Emissions!AI821</f>
        <v>330.84869420000001</v>
      </c>
      <c r="AK70" s="6">
        <f>[1]Emissions!AJ821</f>
        <v>334.80202759999997</v>
      </c>
      <c r="AL70" s="6">
        <f>[1]Emissions!AK821</f>
        <v>338.82369119999998</v>
      </c>
      <c r="AM70" s="6">
        <f>[1]Emissions!AL821</f>
        <v>342.79362950000001</v>
      </c>
      <c r="AN70" s="6">
        <f>[1]Emissions!AM821</f>
        <v>346.76681389999999</v>
      </c>
      <c r="AO70" s="6">
        <f>[1]Emissions!AN821</f>
        <v>350.76115579999998</v>
      </c>
      <c r="AP70" s="6">
        <f>[1]Emissions!AO821</f>
        <v>354.78334310000002</v>
      </c>
      <c r="AQ70" s="6">
        <f>[1]Emissions!AP821</f>
        <v>358.83701430000002</v>
      </c>
      <c r="AR70" s="6">
        <f>[1]Emissions!AQ821</f>
        <v>362.92508220000002</v>
      </c>
      <c r="AS70" s="6">
        <f>[1]Emissions!AR821</f>
        <v>367.05024129999998</v>
      </c>
      <c r="AT70" s="6">
        <f>[1]Emissions!AS821</f>
        <v>371.21494949999999</v>
      </c>
      <c r="AU70" s="6">
        <f>[1]Emissions!AT821</f>
        <v>375.42131260000002</v>
      </c>
      <c r="AV70" s="6">
        <f>[1]Emissions!AU821</f>
        <v>379.67100859999999</v>
      </c>
      <c r="AW70" s="6">
        <f>[1]Emissions!AV821</f>
        <v>383.97579489999998</v>
      </c>
      <c r="AX70" s="6">
        <f>[1]Emissions!AW821</f>
        <v>388.3313698</v>
      </c>
      <c r="AY70" s="6">
        <f>[1]Emissions!AX821</f>
        <v>392.73647130000001</v>
      </c>
      <c r="AZ70" s="6">
        <f>[1]Emissions!AY821</f>
        <v>397.19066559999999</v>
      </c>
      <c r="BA70" s="6">
        <f>[1]Emissions!AZ821</f>
        <v>401.69374829999998</v>
      </c>
      <c r="BB70" s="6">
        <f>[1]Emissions!BA821</f>
        <v>474.56909780000001</v>
      </c>
      <c r="BC70" s="6">
        <f>[1]Emissions!BB821</f>
        <v>482.29074939999998</v>
      </c>
      <c r="BD70" s="6">
        <f>[1]Emissions!BC821</f>
        <v>490.12448920000003</v>
      </c>
      <c r="BE70" s="6">
        <f>[1]Emissions!BD821</f>
        <v>498.07311490000001</v>
      </c>
      <c r="BF70" s="6">
        <f>[1]Emissions!BE821</f>
        <v>506.13955979999997</v>
      </c>
    </row>
    <row r="71" spans="1:58" x14ac:dyDescent="0.35">
      <c r="A71" s="11"/>
      <c r="B71" t="s">
        <v>51</v>
      </c>
      <c r="C71" s="6">
        <f>[1]Emissions!B822</f>
        <v>2.7581148100000001E-2</v>
      </c>
      <c r="D71" s="6">
        <f>[1]Emissions!C822</f>
        <v>2.77458654E-2</v>
      </c>
      <c r="E71" s="6">
        <f>[1]Emissions!D822</f>
        <v>2.7884312200000001E-2</v>
      </c>
      <c r="F71" s="6">
        <f>[1]Emissions!E822</f>
        <v>2.80157633E-2</v>
      </c>
      <c r="G71" s="6">
        <f>[1]Emissions!F822</f>
        <v>2.81485499E-2</v>
      </c>
      <c r="H71" s="6">
        <f>[1]Emissions!G822</f>
        <v>2.8283961699999999E-2</v>
      </c>
      <c r="I71" s="6">
        <f>[1]Emissions!H822</f>
        <v>2.8398054499999999E-2</v>
      </c>
      <c r="J71" s="6">
        <f>[1]Emissions!I822</f>
        <v>2.8501213399999999E-2</v>
      </c>
      <c r="K71" s="6">
        <f>[1]Emissions!J822</f>
        <v>2.8597037499999998E-2</v>
      </c>
      <c r="L71" s="6">
        <f>[1]Emissions!K822</f>
        <v>2.8687745800000001E-2</v>
      </c>
      <c r="M71" s="6">
        <f>[1]Emissions!L822</f>
        <v>2.8811775599999999E-2</v>
      </c>
      <c r="N71" s="6">
        <f>[1]Emissions!M822</f>
        <v>2.8911757499999999E-2</v>
      </c>
      <c r="O71" s="6">
        <f>[1]Emissions!N822</f>
        <v>2.9001209199999999E-2</v>
      </c>
      <c r="P71" s="6">
        <f>[1]Emissions!O822</f>
        <v>2.9085109800000002E-2</v>
      </c>
      <c r="Q71" s="6">
        <f>[1]Emissions!P822</f>
        <v>2.9167037900000001E-2</v>
      </c>
      <c r="R71" s="6">
        <f>[1]Emissions!Q822</f>
        <v>2.9249601E-2</v>
      </c>
      <c r="S71" s="6">
        <f>[1]Emissions!R822</f>
        <v>2.9334559499999999E-2</v>
      </c>
      <c r="T71" s="6">
        <f>[1]Emissions!S822</f>
        <v>2.9422911400000001E-2</v>
      </c>
      <c r="U71" s="6">
        <f>[1]Emissions!T822</f>
        <v>2.95150117E-2</v>
      </c>
      <c r="V71" s="6">
        <f>[1]Emissions!U822</f>
        <v>2.9610722400000001E-2</v>
      </c>
      <c r="W71" s="6">
        <f>[1]Emissions!V822</f>
        <v>2.9685450299999999E-2</v>
      </c>
      <c r="X71" s="6">
        <f>[1]Emissions!W822</f>
        <v>2.9777030199999999E-2</v>
      </c>
      <c r="Y71" s="6">
        <f>[1]Emissions!X822</f>
        <v>2.9876757899999998E-2</v>
      </c>
      <c r="Z71" s="6">
        <f>[1]Emissions!Y822</f>
        <v>2.9981443999999999E-2</v>
      </c>
      <c r="AA71" s="6">
        <f>[1]Emissions!Z822</f>
        <v>3.00887684E-2</v>
      </c>
      <c r="AB71" s="6">
        <f>[1]Emissions!AA822</f>
        <v>3.0131347700000002E-2</v>
      </c>
      <c r="AC71" s="6">
        <f>[1]Emissions!AB822</f>
        <v>3.018185E-2</v>
      </c>
      <c r="AD71" s="6">
        <f>[1]Emissions!AC822</f>
        <v>3.0236108899999999E-2</v>
      </c>
      <c r="AE71" s="6">
        <f>[1]Emissions!AD822</f>
        <v>3.02950549E-2</v>
      </c>
      <c r="AF71" s="6">
        <f>[1]Emissions!AE822</f>
        <v>3.0358789300000001E-2</v>
      </c>
      <c r="AG71" s="6">
        <f>[1]Emissions!AF822</f>
        <v>3.0426627500000001E-2</v>
      </c>
      <c r="AH71" s="6">
        <f>[1]Emissions!AG822</f>
        <v>3.0497386000000001E-2</v>
      </c>
      <c r="AI71" s="6">
        <f>[1]Emissions!AH822</f>
        <v>3.05697053E-2</v>
      </c>
      <c r="AJ71" s="6">
        <f>[1]Emissions!AI822</f>
        <v>3.0642314600000001E-2</v>
      </c>
      <c r="AK71" s="6">
        <f>[1]Emissions!AJ822</f>
        <v>3.0714206399999999E-2</v>
      </c>
      <c r="AL71" s="6">
        <f>[1]Emissions!AK822</f>
        <v>3.0784721099999999E-2</v>
      </c>
      <c r="AM71" s="6">
        <f>[1]Emissions!AL822</f>
        <v>3.0839628000000001E-2</v>
      </c>
      <c r="AN71" s="6">
        <f>[1]Emissions!AM822</f>
        <v>3.08871805E-2</v>
      </c>
      <c r="AO71" s="6">
        <f>[1]Emissions!AN822</f>
        <v>3.0931265600000001E-2</v>
      </c>
      <c r="AP71" s="6">
        <f>[1]Emissions!AO822</f>
        <v>3.0974476399999999E-2</v>
      </c>
      <c r="AQ71" s="6">
        <f>[1]Emissions!AP822</f>
        <v>3.10184638E-2</v>
      </c>
      <c r="AR71" s="6">
        <f>[1]Emissions!AQ822</f>
        <v>3.10641192E-2</v>
      </c>
      <c r="AS71" s="6">
        <f>[1]Emissions!AR822</f>
        <v>3.1111737099999998E-2</v>
      </c>
      <c r="AT71" s="6">
        <f>[1]Emissions!AS822</f>
        <v>3.1161184500000001E-2</v>
      </c>
      <c r="AU71" s="6">
        <f>[1]Emissions!AT822</f>
        <v>3.12120673E-2</v>
      </c>
      <c r="AV71" s="6">
        <f>[1]Emissions!AU822</f>
        <v>3.1263876099999997E-2</v>
      </c>
      <c r="AW71" s="6">
        <f>[1]Emissions!AV822</f>
        <v>3.1317215199999998E-2</v>
      </c>
      <c r="AX71" s="6">
        <f>[1]Emissions!AW822</f>
        <v>3.13709946E-2</v>
      </c>
      <c r="AY71" s="6">
        <f>[1]Emissions!AX822</f>
        <v>3.1424610499999998E-2</v>
      </c>
      <c r="AZ71" s="6">
        <f>[1]Emissions!AY822</f>
        <v>3.1477704299999999E-2</v>
      </c>
      <c r="BA71" s="6">
        <f>[1]Emissions!AZ822</f>
        <v>3.1530118599999997E-2</v>
      </c>
      <c r="BB71" s="6">
        <f>[1]Emissions!BA822</f>
        <v>6.0566186100000002E-2</v>
      </c>
      <c r="BC71" s="6">
        <f>[1]Emissions!BB822</f>
        <v>6.1565169099999997E-2</v>
      </c>
      <c r="BD71" s="6">
        <f>[1]Emissions!BC822</f>
        <v>6.25808957E-2</v>
      </c>
      <c r="BE71" s="6">
        <f>[1]Emissions!BD822</f>
        <v>6.3613768000000001E-2</v>
      </c>
      <c r="BF71" s="6">
        <f>[1]Emissions!BE822</f>
        <v>6.4664205099999997E-2</v>
      </c>
    </row>
    <row r="72" spans="1:58" x14ac:dyDescent="0.35">
      <c r="A72" s="11"/>
      <c r="B72" t="s">
        <v>52</v>
      </c>
      <c r="C72" s="6">
        <f>[1]Emissions!B823</f>
        <v>15.254046539999999</v>
      </c>
      <c r="D72" s="6">
        <f>[1]Emissions!C823</f>
        <v>15.4545244</v>
      </c>
      <c r="E72" s="6">
        <f>[1]Emissions!D823</f>
        <v>15.672255379999999</v>
      </c>
      <c r="F72" s="6">
        <f>[1]Emissions!E823</f>
        <v>15.90243989</v>
      </c>
      <c r="G72" s="6">
        <f>[1]Emissions!F823</f>
        <v>16.142899969999998</v>
      </c>
      <c r="H72" s="6">
        <f>[1]Emissions!G823</f>
        <v>16.392022040000001</v>
      </c>
      <c r="I72" s="6">
        <f>[1]Emissions!H823</f>
        <v>16.63901053</v>
      </c>
      <c r="J72" s="6">
        <f>[1]Emissions!I823</f>
        <v>16.88869262</v>
      </c>
      <c r="K72" s="6">
        <f>[1]Emissions!J823</f>
        <v>17.141808860000001</v>
      </c>
      <c r="L72" s="6">
        <f>[1]Emissions!K823</f>
        <v>17.398527990000002</v>
      </c>
      <c r="M72" s="6">
        <f>[1]Emissions!L823</f>
        <v>17.675556159999999</v>
      </c>
      <c r="N72" s="6">
        <f>[1]Emissions!M823</f>
        <v>17.94621209</v>
      </c>
      <c r="O72" s="6">
        <f>[1]Emissions!N823</f>
        <v>18.218315749999999</v>
      </c>
      <c r="P72" s="6">
        <f>[1]Emissions!O823</f>
        <v>18.493359460000001</v>
      </c>
      <c r="Q72" s="6">
        <f>[1]Emissions!P823</f>
        <v>18.771854520000002</v>
      </c>
      <c r="R72" s="6">
        <f>[1]Emissions!Q823</f>
        <v>19.054168059999999</v>
      </c>
      <c r="S72" s="6">
        <f>[1]Emissions!R823</f>
        <v>19.340644000000001</v>
      </c>
      <c r="T72" s="6">
        <f>[1]Emissions!S823</f>
        <v>19.631599649999998</v>
      </c>
      <c r="U72" s="6">
        <f>[1]Emissions!T823</f>
        <v>19.927309449999999</v>
      </c>
      <c r="V72" s="6">
        <f>[1]Emissions!U823</f>
        <v>20.227997120000001</v>
      </c>
      <c r="W72" s="6">
        <f>[1]Emissions!V823</f>
        <v>20.521642400000001</v>
      </c>
      <c r="X72" s="6">
        <f>[1]Emissions!W823</f>
        <v>20.828022140000002</v>
      </c>
      <c r="Y72" s="6">
        <f>[1]Emissions!X823</f>
        <v>21.141614310000001</v>
      </c>
      <c r="Z72" s="6">
        <f>[1]Emissions!Y823</f>
        <v>21.461506440000001</v>
      </c>
      <c r="AA72" s="6">
        <f>[1]Emissions!Z823</f>
        <v>21.787465950000001</v>
      </c>
      <c r="AB72" s="6">
        <f>[1]Emissions!AA823</f>
        <v>22.084227859999999</v>
      </c>
      <c r="AC72" s="6">
        <f>[1]Emissions!AB823</f>
        <v>22.391442380000001</v>
      </c>
      <c r="AD72" s="6">
        <f>[1]Emissions!AC823</f>
        <v>22.702766789999998</v>
      </c>
      <c r="AE72" s="6">
        <f>[1]Emissions!AD823</f>
        <v>23.01768547</v>
      </c>
      <c r="AF72" s="6">
        <f>[1]Emissions!AE823</f>
        <v>23.336441090000001</v>
      </c>
      <c r="AG72" s="6">
        <f>[1]Emissions!AF823</f>
        <v>23.65922617</v>
      </c>
      <c r="AH72" s="6">
        <f>[1]Emissions!AG823</f>
        <v>23.986063690000002</v>
      </c>
      <c r="AI72" s="6">
        <f>[1]Emissions!AH823</f>
        <v>24.316832699999999</v>
      </c>
      <c r="AJ72" s="6">
        <f>[1]Emissions!AI823</f>
        <v>24.651324559999999</v>
      </c>
      <c r="AK72" s="6">
        <f>[1]Emissions!AJ823</f>
        <v>24.989295899999998</v>
      </c>
      <c r="AL72" s="6">
        <f>[1]Emissions!AK823</f>
        <v>25.33050785</v>
      </c>
      <c r="AM72" s="6">
        <f>[1]Emissions!AL823</f>
        <v>25.666296209999999</v>
      </c>
      <c r="AN72" s="6">
        <f>[1]Emissions!AM823</f>
        <v>26.001520240000001</v>
      </c>
      <c r="AO72" s="6">
        <f>[1]Emissions!AN823</f>
        <v>26.337276299999999</v>
      </c>
      <c r="AP72" s="6">
        <f>[1]Emissions!AO823</f>
        <v>26.674051639999998</v>
      </c>
      <c r="AQ72" s="6">
        <f>[1]Emissions!AP823</f>
        <v>27.012197180000001</v>
      </c>
      <c r="AR72" s="6">
        <f>[1]Emissions!AQ823</f>
        <v>27.351982710000001</v>
      </c>
      <c r="AS72" s="6">
        <f>[1]Emissions!AR823</f>
        <v>27.693595800000001</v>
      </c>
      <c r="AT72" s="6">
        <f>[1]Emissions!AS823</f>
        <v>28.03714682</v>
      </c>
      <c r="AU72" s="6">
        <f>[1]Emissions!AT823</f>
        <v>28.382685810000002</v>
      </c>
      <c r="AV72" s="6">
        <f>[1]Emissions!AU823</f>
        <v>28.730225059999999</v>
      </c>
      <c r="AW72" s="6">
        <f>[1]Emissions!AV823</f>
        <v>29.08052159</v>
      </c>
      <c r="AX72" s="6">
        <f>[1]Emissions!AW823</f>
        <v>29.433121360000001</v>
      </c>
      <c r="AY72" s="6">
        <f>[1]Emissions!AX823</f>
        <v>29.787927849999999</v>
      </c>
      <c r="AZ72" s="6">
        <f>[1]Emissions!AY823</f>
        <v>30.144923500000001</v>
      </c>
      <c r="BA72" s="6">
        <f>[1]Emissions!AZ823</f>
        <v>30.504128260000002</v>
      </c>
      <c r="BB72" s="6">
        <f>[1]Emissions!BA823</f>
        <v>35.991009220000002</v>
      </c>
      <c r="BC72" s="6">
        <f>[1]Emissions!BB823</f>
        <v>36.627511069999997</v>
      </c>
      <c r="BD72" s="6">
        <f>[1]Emissions!BC823</f>
        <v>37.272521689999998</v>
      </c>
      <c r="BE72" s="6">
        <f>[1]Emissions!BD823</f>
        <v>37.926061699999998</v>
      </c>
      <c r="BF72" s="6">
        <f>[1]Emissions!BE823</f>
        <v>38.588168609999997</v>
      </c>
    </row>
    <row r="73" spans="1:58" x14ac:dyDescent="0.35">
      <c r="A73" s="11"/>
      <c r="B73" t="str">
        <f>B65</f>
        <v>NZ50</v>
      </c>
      <c r="C73" s="6">
        <f>[1]Emissions!B825</f>
        <v>345.95056140000003</v>
      </c>
      <c r="D73" s="6">
        <f>[1]Emissions!C825</f>
        <v>346.30684680000002</v>
      </c>
      <c r="E73" s="6">
        <f>[1]Emissions!D825</f>
        <v>346.8074135</v>
      </c>
      <c r="F73" s="6">
        <f>[1]Emissions!E825</f>
        <v>347.75810790000003</v>
      </c>
      <c r="G73" s="6">
        <f>[1]Emissions!F825</f>
        <v>349.33482550000002</v>
      </c>
      <c r="H73" s="6">
        <f>[1]Emissions!G825</f>
        <v>351.55375700000002</v>
      </c>
      <c r="I73" s="6">
        <f>[1]Emissions!H825</f>
        <v>354.17438950000002</v>
      </c>
      <c r="J73" s="6">
        <f>[1]Emissions!I825</f>
        <v>357.17400470000001</v>
      </c>
      <c r="K73" s="6">
        <f>[1]Emissions!J825</f>
        <v>360.47826789999999</v>
      </c>
      <c r="L73" s="6">
        <f>[1]Emissions!K825</f>
        <v>364.01000049999999</v>
      </c>
      <c r="M73" s="6">
        <f>[1]Emissions!L825</f>
        <v>367.98838599999999</v>
      </c>
      <c r="N73" s="6">
        <f>[1]Emissions!M825</f>
        <v>371.91245989999999</v>
      </c>
      <c r="O73" s="6">
        <f>[1]Emissions!N825</f>
        <v>375.83453600000001</v>
      </c>
      <c r="P73" s="6">
        <f>[1]Emissions!O825</f>
        <v>379.75571189999999</v>
      </c>
      <c r="Q73" s="6">
        <f>[1]Emissions!P825</f>
        <v>383.66417689999997</v>
      </c>
      <c r="R73" s="6">
        <f>[1]Emissions!Q825</f>
        <v>387.5491404</v>
      </c>
      <c r="S73" s="6">
        <f>[1]Emissions!R825</f>
        <v>391.39071130000002</v>
      </c>
      <c r="T73" s="6">
        <f>[1]Emissions!S825</f>
        <v>395.19492409999998</v>
      </c>
      <c r="U73" s="6">
        <f>[1]Emissions!T825</f>
        <v>398.96864649999998</v>
      </c>
      <c r="V73" s="6">
        <f>[1]Emissions!U825</f>
        <v>402.7206046</v>
      </c>
      <c r="W73" s="6">
        <f>[1]Emissions!V825</f>
        <v>406.25471229999999</v>
      </c>
      <c r="X73" s="6">
        <f>[1]Emissions!W825</f>
        <v>409.8916931</v>
      </c>
      <c r="Y73" s="6">
        <f>[1]Emissions!X825</f>
        <v>413.5824758</v>
      </c>
      <c r="Z73" s="6">
        <f>[1]Emissions!Y825</f>
        <v>417.31881700000002</v>
      </c>
      <c r="AA73" s="6">
        <f>[1]Emissions!Z825</f>
        <v>421.1059161</v>
      </c>
      <c r="AB73" s="6">
        <f>[1]Emissions!AA825</f>
        <v>424.36888429999999</v>
      </c>
      <c r="AC73" s="6">
        <f>[1]Emissions!AB825</f>
        <v>427.71445219999998</v>
      </c>
      <c r="AD73" s="6">
        <f>[1]Emissions!AC825</f>
        <v>431.10695240000001</v>
      </c>
      <c r="AE73" s="6">
        <f>[1]Emissions!AD825</f>
        <v>434.54468589999999</v>
      </c>
      <c r="AF73" s="6">
        <f>[1]Emissions!AE825</f>
        <v>438.03730180000002</v>
      </c>
      <c r="AG73" s="6">
        <f>[1]Emissions!AF825</f>
        <v>441.59613899999999</v>
      </c>
      <c r="AH73" s="6">
        <f>[1]Emissions!AG825</f>
        <v>445.23300749999999</v>
      </c>
      <c r="AI73" s="6">
        <f>[1]Emissions!AH825</f>
        <v>448.95465589999998</v>
      </c>
      <c r="AJ73" s="6">
        <f>[1]Emissions!AI825</f>
        <v>452.7653459</v>
      </c>
      <c r="AK73" s="6">
        <f>[1]Emissions!AJ825</f>
        <v>456.66733119999998</v>
      </c>
      <c r="AL73" s="6">
        <f>[1]Emissions!AK825</f>
        <v>460.66110179999998</v>
      </c>
      <c r="AM73" s="6">
        <f>[1]Emissions!AL825</f>
        <v>464.62541720000002</v>
      </c>
      <c r="AN73" s="6">
        <f>[1]Emissions!AM825</f>
        <v>468.61998340000002</v>
      </c>
      <c r="AO73" s="6">
        <f>[1]Emissions!AN825</f>
        <v>472.66327990000002</v>
      </c>
      <c r="AP73" s="6">
        <f>[1]Emissions!AO825</f>
        <v>476.76251439999999</v>
      </c>
      <c r="AQ73" s="6">
        <f>[1]Emissions!AP825</f>
        <v>480.92132609999999</v>
      </c>
      <c r="AR73" s="6">
        <f>[1]Emissions!AQ825</f>
        <v>485.14380840000001</v>
      </c>
      <c r="AS73" s="6">
        <f>[1]Emissions!AR825</f>
        <v>489.43140440000002</v>
      </c>
      <c r="AT73" s="6">
        <f>[1]Emissions!AS825</f>
        <v>493.78454540000001</v>
      </c>
      <c r="AU73" s="6">
        <f>[1]Emissions!AT825</f>
        <v>498.20347600000002</v>
      </c>
      <c r="AV73" s="6">
        <f>[1]Emissions!AU825</f>
        <v>502.68814500000002</v>
      </c>
      <c r="AW73" s="6">
        <f>[1]Emissions!AV825</f>
        <v>507.25471649999997</v>
      </c>
      <c r="AX73" s="6">
        <f>[1]Emissions!AW825</f>
        <v>511.89796050000001</v>
      </c>
      <c r="AY73" s="6">
        <f>[1]Emissions!AX825</f>
        <v>513.27661069999999</v>
      </c>
      <c r="AZ73" s="6">
        <f>[1]Emissions!AY825</f>
        <v>516.72687280000002</v>
      </c>
      <c r="BA73" s="6">
        <f>[1]Emissions!AZ825</f>
        <v>517.12944579999998</v>
      </c>
      <c r="BB73" s="6">
        <f>[1]Emissions!BA825</f>
        <v>638.12864630000001</v>
      </c>
      <c r="BC73" s="6">
        <f>[1]Emissions!BB825</f>
        <v>646.94552759999999</v>
      </c>
      <c r="BD73" s="6">
        <f>[1]Emissions!BC825</f>
        <v>655.8961663</v>
      </c>
      <c r="BE73" s="6">
        <f>[1]Emissions!BD825</f>
        <v>664.98381870000003</v>
      </c>
      <c r="BF73" s="6">
        <f>[1]Emissions!BE825</f>
        <v>674.21214689999999</v>
      </c>
    </row>
    <row r="74" spans="1:58" x14ac:dyDescent="0.35">
      <c r="A74" s="8"/>
      <c r="B74" t="s">
        <v>25</v>
      </c>
      <c r="C74" s="6">
        <f>[1]Emissions!B829</f>
        <v>119.490486</v>
      </c>
      <c r="D74" s="6">
        <f>[1]Emissions!C829</f>
        <v>119.14151560000001</v>
      </c>
      <c r="E74" s="6">
        <f>[1]Emissions!D829</f>
        <v>118.2210645</v>
      </c>
      <c r="F74" s="6">
        <f>[1]Emissions!E829</f>
        <v>117.25862859999999</v>
      </c>
      <c r="G74" s="6">
        <f>[1]Emissions!F829</f>
        <v>116.44516659999999</v>
      </c>
      <c r="H74" s="6">
        <f>[1]Emissions!G829</f>
        <v>115.8346245</v>
      </c>
      <c r="I74" s="6">
        <f>[1]Emissions!H829</f>
        <v>115.39634270000001</v>
      </c>
      <c r="J74" s="6">
        <f>[1]Emissions!I829</f>
        <v>115.1135963</v>
      </c>
      <c r="K74" s="6">
        <f>[1]Emissions!J829</f>
        <v>114.95985570000001</v>
      </c>
      <c r="L74" s="6">
        <f>[1]Emissions!K829</f>
        <v>114.911511</v>
      </c>
      <c r="M74" s="6">
        <f>[1]Emissions!L829</f>
        <v>114.9914275</v>
      </c>
      <c r="N74" s="6">
        <f>[1]Emissions!M829</f>
        <v>115.11434490000001</v>
      </c>
      <c r="O74" s="6">
        <f>[1]Emissions!N829</f>
        <v>115.27963560000001</v>
      </c>
      <c r="P74" s="6">
        <f>[1]Emissions!O829</f>
        <v>115.4829115</v>
      </c>
      <c r="Q74" s="6">
        <f>[1]Emissions!P829</f>
        <v>115.7172554</v>
      </c>
      <c r="R74" s="6">
        <f>[1]Emissions!Q829</f>
        <v>115.9752069</v>
      </c>
      <c r="S74" s="6">
        <f>[1]Emissions!R829</f>
        <v>116.2440888</v>
      </c>
      <c r="T74" s="6">
        <f>[1]Emissions!S829</f>
        <v>116.52071050000001</v>
      </c>
      <c r="U74" s="6">
        <f>[1]Emissions!T829</f>
        <v>116.8012174</v>
      </c>
      <c r="V74" s="6">
        <f>[1]Emissions!U829</f>
        <v>117.08205100000001</v>
      </c>
      <c r="W74" s="6">
        <f>[1]Emissions!V829</f>
        <v>117.3309919</v>
      </c>
      <c r="X74" s="6">
        <f>[1]Emissions!W829</f>
        <v>117.5882189</v>
      </c>
      <c r="Y74" s="6">
        <f>[1]Emissions!X829</f>
        <v>117.8465752</v>
      </c>
      <c r="Z74" s="6">
        <f>[1]Emissions!Y829</f>
        <v>118.1023761</v>
      </c>
      <c r="AA74" s="6">
        <f>[1]Emissions!Z829</f>
        <v>118.35453750000001</v>
      </c>
      <c r="AB74" s="6">
        <f>[1]Emissions!AA829</f>
        <v>118.5229411</v>
      </c>
      <c r="AC74" s="6">
        <f>[1]Emissions!AB829</f>
        <v>118.6873271</v>
      </c>
      <c r="AD74" s="6">
        <f>[1]Emissions!AC829</f>
        <v>118.8467052</v>
      </c>
      <c r="AE74" s="6">
        <f>[1]Emissions!AD829</f>
        <v>119.0006978</v>
      </c>
      <c r="AF74" s="6">
        <f>[1]Emissions!AE829</f>
        <v>119.15050789999999</v>
      </c>
      <c r="AG74" s="6">
        <f>[1]Emissions!AF829</f>
        <v>119.2979296</v>
      </c>
      <c r="AH74" s="6">
        <f>[1]Emissions!AG829</f>
        <v>119.44617049999999</v>
      </c>
      <c r="AI74" s="6">
        <f>[1]Emissions!AH829</f>
        <v>119.5964094</v>
      </c>
      <c r="AJ74" s="6">
        <f>[1]Emissions!AI829</f>
        <v>119.7501094</v>
      </c>
      <c r="AK74" s="6">
        <f>[1]Emissions!AJ829</f>
        <v>119.9087949</v>
      </c>
      <c r="AL74" s="6">
        <f>[1]Emissions!AK829</f>
        <v>120.07393089999999</v>
      </c>
      <c r="AM74" s="6">
        <f>[1]Emissions!AL829</f>
        <v>120.24076599999999</v>
      </c>
      <c r="AN74" s="6">
        <f>[1]Emissions!AM829</f>
        <v>120.4112286</v>
      </c>
      <c r="AO74" s="6">
        <f>[1]Emissions!AN829</f>
        <v>120.587149</v>
      </c>
      <c r="AP74" s="6">
        <f>[1]Emissions!AO829</f>
        <v>120.77001370000001</v>
      </c>
      <c r="AQ74" s="6">
        <f>[1]Emissions!AP829</f>
        <v>120.96112100000001</v>
      </c>
      <c r="AR74" s="6">
        <f>[1]Emissions!AQ829</f>
        <v>121.1633575</v>
      </c>
      <c r="AS74" s="6">
        <f>[1]Emissions!AR829</f>
        <v>121.3768042</v>
      </c>
      <c r="AT74" s="6">
        <f>[1]Emissions!AS829</f>
        <v>121.6019862</v>
      </c>
      <c r="AU74" s="6">
        <f>[1]Emissions!AT829</f>
        <v>121.8396266</v>
      </c>
      <c r="AV74" s="6">
        <f>[1]Emissions!AU829</f>
        <v>122.09051789999999</v>
      </c>
      <c r="AW74" s="6">
        <f>[1]Emissions!AV829</f>
        <v>122.3625132</v>
      </c>
      <c r="AX74" s="6">
        <f>[1]Emissions!AW829</f>
        <v>122.6526532</v>
      </c>
      <c r="AY74" s="6">
        <f>[1]Emissions!AX829</f>
        <v>122.6184088</v>
      </c>
      <c r="AZ74" s="6">
        <f>[1]Emissions!AY829</f>
        <v>122.622738</v>
      </c>
      <c r="BA74" s="6">
        <f>[1]Emissions!AZ829</f>
        <v>122.63034519999999</v>
      </c>
      <c r="BB74" s="6">
        <f>[1]Emissions!BA829</f>
        <v>126.47587660000001</v>
      </c>
      <c r="BC74" s="6">
        <f>[1]Emissions!BB829</f>
        <v>126.845287</v>
      </c>
      <c r="BD74" s="6">
        <f>[1]Emissions!BC829</f>
        <v>127.2240729</v>
      </c>
      <c r="BE74" s="6">
        <f>[1]Emissions!BD829</f>
        <v>127.6125328</v>
      </c>
      <c r="BF74" s="6">
        <f>[1]Emissions!BE829</f>
        <v>128.01129209999999</v>
      </c>
    </row>
    <row r="75" spans="1:58" x14ac:dyDescent="0.35">
      <c r="A75" s="8"/>
      <c r="B75" t="s">
        <v>26</v>
      </c>
      <c r="C75" s="6">
        <f>SUM(C76:C78)</f>
        <v>226.46007542480001</v>
      </c>
      <c r="D75" s="6">
        <f t="shared" ref="D75:AL75" si="47">SUM(D76:D78)</f>
        <v>227.16533110729998</v>
      </c>
      <c r="E75" s="6">
        <f t="shared" si="47"/>
        <v>228.58634898789998</v>
      </c>
      <c r="F75" s="6">
        <f t="shared" si="47"/>
        <v>230.49947931630001</v>
      </c>
      <c r="G75" s="6">
        <f t="shared" si="47"/>
        <v>232.88965883740002</v>
      </c>
      <c r="H75" s="6">
        <f t="shared" si="47"/>
        <v>235.71913254020001</v>
      </c>
      <c r="I75" s="6">
        <f t="shared" si="47"/>
        <v>238.77804683439999</v>
      </c>
      <c r="J75" s="6">
        <f t="shared" si="47"/>
        <v>242.060408497</v>
      </c>
      <c r="K75" s="6">
        <f t="shared" si="47"/>
        <v>245.51841218950003</v>
      </c>
      <c r="L75" s="6">
        <f t="shared" si="47"/>
        <v>249.0984894504</v>
      </c>
      <c r="M75" s="6">
        <f t="shared" si="47"/>
        <v>252.9969585151</v>
      </c>
      <c r="N75" s="6">
        <f t="shared" si="47"/>
        <v>256.79811496600001</v>
      </c>
      <c r="O75" s="6">
        <f t="shared" si="47"/>
        <v>260.5549003452</v>
      </c>
      <c r="P75" s="6">
        <f t="shared" si="47"/>
        <v>264.27280038629999</v>
      </c>
      <c r="Q75" s="6">
        <f t="shared" si="47"/>
        <v>267.94692156479999</v>
      </c>
      <c r="R75" s="6">
        <f t="shared" si="47"/>
        <v>271.5739333642</v>
      </c>
      <c r="S75" s="6">
        <f t="shared" si="47"/>
        <v>275.14662252840003</v>
      </c>
      <c r="T75" s="6">
        <f t="shared" si="47"/>
        <v>278.67421364250004</v>
      </c>
      <c r="U75" s="6">
        <f t="shared" si="47"/>
        <v>282.1674290903</v>
      </c>
      <c r="V75" s="6">
        <f t="shared" si="47"/>
        <v>285.63855360369996</v>
      </c>
      <c r="W75" s="6">
        <f t="shared" si="47"/>
        <v>288.92372036090001</v>
      </c>
      <c r="X75" s="6">
        <f t="shared" si="47"/>
        <v>292.30347426769998</v>
      </c>
      <c r="Y75" s="6">
        <f t="shared" si="47"/>
        <v>295.73590061220006</v>
      </c>
      <c r="Z75" s="6">
        <f t="shared" si="47"/>
        <v>299.21644084349998</v>
      </c>
      <c r="AA75" s="6">
        <f t="shared" si="47"/>
        <v>302.75137855949998</v>
      </c>
      <c r="AB75" s="6">
        <f t="shared" si="47"/>
        <v>305.84594315530001</v>
      </c>
      <c r="AC75" s="6">
        <f t="shared" si="47"/>
        <v>309.02712507600006</v>
      </c>
      <c r="AD75" s="6">
        <f t="shared" si="47"/>
        <v>312.26024713500004</v>
      </c>
      <c r="AE75" s="6">
        <f t="shared" si="47"/>
        <v>315.54398798199998</v>
      </c>
      <c r="AF75" s="6">
        <f t="shared" si="47"/>
        <v>318.88679399440002</v>
      </c>
      <c r="AG75" s="6">
        <f t="shared" si="47"/>
        <v>322.29820943430002</v>
      </c>
      <c r="AH75" s="6">
        <f t="shared" si="47"/>
        <v>325.78683699009997</v>
      </c>
      <c r="AI75" s="6">
        <f t="shared" si="47"/>
        <v>329.35824644759998</v>
      </c>
      <c r="AJ75" s="6">
        <f t="shared" si="47"/>
        <v>333.01523644219998</v>
      </c>
      <c r="AK75" s="6">
        <f t="shared" si="47"/>
        <v>336.75853634239996</v>
      </c>
      <c r="AL75" s="6">
        <f t="shared" si="47"/>
        <v>340.58717091310001</v>
      </c>
      <c r="AM75" s="6">
        <f t="shared" ref="AM75:BC75" si="48">SUM(AM76:AM78)</f>
        <v>344.3846511886</v>
      </c>
      <c r="AN75" s="6">
        <f t="shared" si="48"/>
        <v>348.20875478290003</v>
      </c>
      <c r="AO75" s="6">
        <f t="shared" si="48"/>
        <v>352.07613090569998</v>
      </c>
      <c r="AP75" s="6">
        <f t="shared" si="48"/>
        <v>355.99250074329996</v>
      </c>
      <c r="AQ75" s="6">
        <f t="shared" si="48"/>
        <v>359.96020505169997</v>
      </c>
      <c r="AR75" s="6">
        <f t="shared" si="48"/>
        <v>363.98045085759998</v>
      </c>
      <c r="AS75" s="6">
        <f t="shared" si="48"/>
        <v>368.05460019909998</v>
      </c>
      <c r="AT75" s="6">
        <f t="shared" si="48"/>
        <v>372.18255922200001</v>
      </c>
      <c r="AU75" s="6">
        <f t="shared" si="48"/>
        <v>376.36384943889999</v>
      </c>
      <c r="AV75" s="6">
        <f t="shared" si="48"/>
        <v>380.59762708379998</v>
      </c>
      <c r="AW75" s="6">
        <f t="shared" si="48"/>
        <v>384.89220331069993</v>
      </c>
      <c r="AX75" s="6">
        <f t="shared" si="48"/>
        <v>389.24530729780003</v>
      </c>
      <c r="AY75" s="6">
        <f t="shared" si="48"/>
        <v>390.65820192900003</v>
      </c>
      <c r="AZ75" s="6">
        <f t="shared" si="48"/>
        <v>394.10413481609999</v>
      </c>
      <c r="BA75" s="6">
        <f t="shared" si="48"/>
        <v>394.49910062790002</v>
      </c>
      <c r="BB75" s="6">
        <f t="shared" si="48"/>
        <v>511.65276973030001</v>
      </c>
      <c r="BC75" s="6">
        <f t="shared" si="48"/>
        <v>520.10024065540006</v>
      </c>
      <c r="BD75" s="6">
        <f t="shared" ref="BD75:BF75" si="49">SUM(BD76:BD78)</f>
        <v>528.67209333389997</v>
      </c>
      <c r="BE75" s="6">
        <f t="shared" si="49"/>
        <v>537.37128591229998</v>
      </c>
      <c r="BF75" s="6">
        <f t="shared" si="49"/>
        <v>546.20085474270002</v>
      </c>
    </row>
    <row r="76" spans="1:58" x14ac:dyDescent="0.35">
      <c r="A76" s="8"/>
      <c r="B76" t="s">
        <v>50</v>
      </c>
      <c r="C76" s="5">
        <f>[1]Emissions!B826</f>
        <v>211.38424509999999</v>
      </c>
      <c r="D76" s="5">
        <f>[1]Emissions!C826</f>
        <v>211.96264959999999</v>
      </c>
      <c r="E76" s="5">
        <f>[1]Emissions!D826</f>
        <v>213.2035841</v>
      </c>
      <c r="F76" s="5">
        <f>[1]Emissions!E826</f>
        <v>214.91079909999999</v>
      </c>
      <c r="G76" s="5">
        <f>[1]Emissions!F826</f>
        <v>217.08062810000001</v>
      </c>
      <c r="H76" s="5">
        <f>[1]Emissions!G826</f>
        <v>219.68217250000001</v>
      </c>
      <c r="I76" s="5">
        <f>[1]Emissions!H826</f>
        <v>222.51925750000001</v>
      </c>
      <c r="J76" s="5">
        <f>[1]Emissions!I826</f>
        <v>225.58195979999999</v>
      </c>
      <c r="K76" s="5">
        <f>[1]Emissions!J826</f>
        <v>228.82140720000001</v>
      </c>
      <c r="L76" s="5">
        <f>[1]Emissions!K826</f>
        <v>232.18289429999999</v>
      </c>
      <c r="M76" s="5">
        <f>[1]Emissions!L826</f>
        <v>235.8452757</v>
      </c>
      <c r="N76" s="5">
        <f>[1]Emissions!M826</f>
        <v>239.41895360000001</v>
      </c>
      <c r="O76" s="5">
        <f>[1]Emissions!N826</f>
        <v>242.9477909</v>
      </c>
      <c r="P76" s="5">
        <f>[1]Emissions!O826</f>
        <v>246.43517309999999</v>
      </c>
      <c r="Q76" s="5">
        <f>[1]Emissions!P826</f>
        <v>249.87546219999999</v>
      </c>
      <c r="R76" s="5">
        <f>[1]Emissions!Q826</f>
        <v>253.2649816</v>
      </c>
      <c r="S76" s="5">
        <f>[1]Emissions!R826</f>
        <v>256.59736220000002</v>
      </c>
      <c r="T76" s="5">
        <f>[1]Emissions!S826</f>
        <v>259.88111689999999</v>
      </c>
      <c r="U76" s="5">
        <f>[1]Emissions!T826</f>
        <v>263.12674270000002</v>
      </c>
      <c r="V76" s="5">
        <f>[1]Emissions!U826</f>
        <v>266.34637459999999</v>
      </c>
      <c r="W76" s="5">
        <f>[1]Emissions!V826</f>
        <v>269.38772519999998</v>
      </c>
      <c r="X76" s="5">
        <f>[1]Emissions!W826</f>
        <v>272.51214349999998</v>
      </c>
      <c r="Y76" s="5">
        <f>[1]Emissions!X826</f>
        <v>275.68299710000002</v>
      </c>
      <c r="Z76" s="5">
        <f>[1]Emissions!Y826</f>
        <v>278.89648829999999</v>
      </c>
      <c r="AA76" s="5">
        <f>[1]Emissions!Z826</f>
        <v>282.15898019999997</v>
      </c>
      <c r="AB76" s="5">
        <f>[1]Emissions!AA826</f>
        <v>285.00920059999999</v>
      </c>
      <c r="AC76" s="5">
        <f>[1]Emissions!AB826</f>
        <v>287.93540680000001</v>
      </c>
      <c r="AD76" s="5">
        <f>[1]Emissions!AC826</f>
        <v>290.90914470000001</v>
      </c>
      <c r="AE76" s="5">
        <f>[1]Emissions!AD826</f>
        <v>293.92953920000002</v>
      </c>
      <c r="AF76" s="5">
        <f>[1]Emissions!AE826</f>
        <v>297.00476040000001</v>
      </c>
      <c r="AG76" s="5">
        <f>[1]Emissions!AF826</f>
        <v>300.14414190000002</v>
      </c>
      <c r="AH76" s="5">
        <f>[1]Emissions!AG826</f>
        <v>303.35602069999999</v>
      </c>
      <c r="AI76" s="5">
        <f>[1]Emissions!AH826</f>
        <v>306.64619879999998</v>
      </c>
      <c r="AJ76" s="5">
        <f>[1]Emissions!AI826</f>
        <v>310.01770579999999</v>
      </c>
      <c r="AK76" s="5">
        <f>[1]Emissions!AJ826</f>
        <v>313.47152599999998</v>
      </c>
      <c r="AL76" s="5">
        <f>[1]Emissions!AK826</f>
        <v>317.00693710000002</v>
      </c>
      <c r="AM76" s="5">
        <f>[1]Emissions!AL826</f>
        <v>320.51359609999997</v>
      </c>
      <c r="AN76" s="5">
        <f>[1]Emissions!AM826</f>
        <v>324.04572580000001</v>
      </c>
      <c r="AO76" s="5">
        <f>[1]Emissions!AN826</f>
        <v>327.61924219999997</v>
      </c>
      <c r="AP76" s="5">
        <f>[1]Emissions!AO826</f>
        <v>331.23960879999998</v>
      </c>
      <c r="AQ76" s="5">
        <f>[1]Emissions!AP826</f>
        <v>334.9090228</v>
      </c>
      <c r="AR76" s="5">
        <f>[1]Emissions!AQ826</f>
        <v>338.62827959999998</v>
      </c>
      <c r="AS76" s="5">
        <f>[1]Emissions!AR826</f>
        <v>342.39887659999999</v>
      </c>
      <c r="AT76" s="5">
        <f>[1]Emissions!AS826</f>
        <v>346.22078520000002</v>
      </c>
      <c r="AU76" s="5">
        <f>[1]Emissions!AT826</f>
        <v>350.09360959999998</v>
      </c>
      <c r="AV76" s="5">
        <f>[1]Emissions!AU826</f>
        <v>354.0166016</v>
      </c>
      <c r="AW76" s="5">
        <f>[1]Emissions!AV826</f>
        <v>357.99633189999997</v>
      </c>
      <c r="AX76" s="5">
        <f>[1]Emissions!AW826</f>
        <v>362.0315688</v>
      </c>
      <c r="AY76" s="5">
        <f>[1]Emissions!AX826</f>
        <v>363.41513170000002</v>
      </c>
      <c r="AZ76" s="5">
        <f>[1]Emissions!AY826</f>
        <v>366.85687969999998</v>
      </c>
      <c r="BA76" s="5">
        <f>[1]Emissions!AZ826</f>
        <v>367.25618300000002</v>
      </c>
      <c r="BB76" s="5">
        <f>[1]Emissions!BA826</f>
        <v>475.66387520000001</v>
      </c>
      <c r="BC76" s="5">
        <f>[1]Emissions!BB826</f>
        <v>483.47314180000001</v>
      </c>
      <c r="BD76" s="5">
        <f>[1]Emissions!BC826</f>
        <v>491.39786800000002</v>
      </c>
      <c r="BE76" s="5">
        <f>[1]Emissions!BD826</f>
        <v>499.44100100000003</v>
      </c>
      <c r="BF76" s="5">
        <f>[1]Emissions!BE826</f>
        <v>507.60555479999999</v>
      </c>
    </row>
    <row r="77" spans="1:58" x14ac:dyDescent="0.35">
      <c r="A77" s="8"/>
      <c r="B77" t="s">
        <v>51</v>
      </c>
      <c r="C77" s="5">
        <f>[1]Emissions!B827</f>
        <v>2.7047184799999999E-2</v>
      </c>
      <c r="D77" s="5">
        <f>[1]Emissions!C827</f>
        <v>2.72398773E-2</v>
      </c>
      <c r="E77" s="5">
        <f>[1]Emissions!D827</f>
        <v>2.75072879E-2</v>
      </c>
      <c r="F77" s="5">
        <f>[1]Emissions!E827</f>
        <v>2.7795796300000002E-2</v>
      </c>
      <c r="G77" s="5">
        <f>[1]Emissions!F827</f>
        <v>2.80702174E-2</v>
      </c>
      <c r="H77" s="5">
        <f>[1]Emissions!G827</f>
        <v>2.83060802E-2</v>
      </c>
      <c r="I77" s="5">
        <f>[1]Emissions!H827</f>
        <v>2.8467064399999999E-2</v>
      </c>
      <c r="J77" s="5">
        <f>[1]Emissions!I827</f>
        <v>2.8563257000000002E-2</v>
      </c>
      <c r="K77" s="5">
        <f>[1]Emissions!J827</f>
        <v>2.8605469500000001E-2</v>
      </c>
      <c r="L77" s="5">
        <f>[1]Emissions!K827</f>
        <v>2.8607620399999999E-2</v>
      </c>
      <c r="M77" s="5">
        <f>[1]Emissions!L827</f>
        <v>2.86212351E-2</v>
      </c>
      <c r="N77" s="5">
        <f>[1]Emissions!M827</f>
        <v>2.8599825999999998E-2</v>
      </c>
      <c r="O77" s="5">
        <f>[1]Emissions!N827</f>
        <v>2.8568845200000002E-2</v>
      </c>
      <c r="P77" s="5">
        <f>[1]Emissions!O827</f>
        <v>2.8541026300000001E-2</v>
      </c>
      <c r="Q77" s="5">
        <f>[1]Emissions!P827</f>
        <v>2.85246548E-2</v>
      </c>
      <c r="R77" s="5">
        <f>[1]Emissions!Q827</f>
        <v>2.8524324199999999E-2</v>
      </c>
      <c r="S77" s="5">
        <f>[1]Emissions!R827</f>
        <v>2.8539938399999999E-2</v>
      </c>
      <c r="T77" s="5">
        <f>[1]Emissions!S827</f>
        <v>2.8571922499999999E-2</v>
      </c>
      <c r="U77" s="5">
        <f>[1]Emissions!T827</f>
        <v>2.86180503E-2</v>
      </c>
      <c r="V77" s="5">
        <f>[1]Emissions!U827</f>
        <v>2.8675263699999998E-2</v>
      </c>
      <c r="W77" s="5">
        <f>[1]Emissions!V827</f>
        <v>2.8716900900000002E-2</v>
      </c>
      <c r="X77" s="5">
        <f>[1]Emissions!W827</f>
        <v>2.8776747700000001E-2</v>
      </c>
      <c r="Y77" s="5">
        <f>[1]Emissions!X827</f>
        <v>2.8844392199999999E-2</v>
      </c>
      <c r="Z77" s="5">
        <f>[1]Emissions!Y827</f>
        <v>2.8914923499999998E-2</v>
      </c>
      <c r="AA77" s="5">
        <f>[1]Emissions!Z827</f>
        <v>2.89847895E-2</v>
      </c>
      <c r="AB77" s="5">
        <f>[1]Emissions!AA827</f>
        <v>2.8988545300000002E-2</v>
      </c>
      <c r="AC77" s="5">
        <f>[1]Emissions!AB827</f>
        <v>2.8995825999999999E-2</v>
      </c>
      <c r="AD77" s="5">
        <f>[1]Emissions!AC827</f>
        <v>2.9003025000000002E-2</v>
      </c>
      <c r="AE77" s="5">
        <f>[1]Emissions!AD827</f>
        <v>2.9011392E-2</v>
      </c>
      <c r="AF77" s="5">
        <f>[1]Emissions!AE827</f>
        <v>2.90214744E-2</v>
      </c>
      <c r="AG77" s="5">
        <f>[1]Emissions!AF827</f>
        <v>2.9033164300000001E-2</v>
      </c>
      <c r="AH77" s="5">
        <f>[1]Emissions!AG827</f>
        <v>2.9046240099999999E-2</v>
      </c>
      <c r="AI77" s="5">
        <f>[1]Emissions!AH827</f>
        <v>2.9059917599999999E-2</v>
      </c>
      <c r="AJ77" s="5">
        <f>[1]Emissions!AI827</f>
        <v>2.90736022E-2</v>
      </c>
      <c r="AK77" s="5">
        <f>[1]Emissions!AJ827</f>
        <v>2.9086852400000002E-2</v>
      </c>
      <c r="AL77" s="5">
        <f>[1]Emissions!AK827</f>
        <v>2.90994431E-2</v>
      </c>
      <c r="AM77" s="5">
        <f>[1]Emissions!AL827</f>
        <v>2.9100688600000001E-2</v>
      </c>
      <c r="AN77" s="5">
        <f>[1]Emissions!AM827</f>
        <v>2.9097562899999999E-2</v>
      </c>
      <c r="AO77" s="5">
        <f>[1]Emissions!AN827</f>
        <v>2.9093925699999999E-2</v>
      </c>
      <c r="AP77" s="5">
        <f>[1]Emissions!AO827</f>
        <v>2.9091943299999999E-2</v>
      </c>
      <c r="AQ77" s="5">
        <f>[1]Emissions!AP827</f>
        <v>2.90926317E-2</v>
      </c>
      <c r="AR77" s="5">
        <f>[1]Emissions!AQ827</f>
        <v>2.9096547600000001E-2</v>
      </c>
      <c r="AS77" s="5">
        <f>[1]Emissions!AR827</f>
        <v>2.9103269099999999E-2</v>
      </c>
      <c r="AT77" s="5">
        <f>[1]Emissions!AS827</f>
        <v>2.9112151999999999E-2</v>
      </c>
      <c r="AU77" s="5">
        <f>[1]Emissions!AT827</f>
        <v>2.9122368900000001E-2</v>
      </c>
      <c r="AV77" s="5">
        <f>[1]Emissions!AU827</f>
        <v>2.9133083800000001E-2</v>
      </c>
      <c r="AW77" s="5">
        <f>[1]Emissions!AV827</f>
        <v>2.9145690700000001E-2</v>
      </c>
      <c r="AX77" s="5">
        <f>[1]Emissions!AW827</f>
        <v>2.9158887800000002E-2</v>
      </c>
      <c r="AY77" s="5">
        <f>[1]Emissions!AX827</f>
        <v>2.9158648999999998E-2</v>
      </c>
      <c r="AZ77" s="5">
        <f>[1]Emissions!AY827</f>
        <v>2.91580561E-2</v>
      </c>
      <c r="BA77" s="5">
        <f>[1]Emissions!AZ827</f>
        <v>2.9157987900000001E-2</v>
      </c>
      <c r="BB77" s="5">
        <f>[1]Emissions!BA827</f>
        <v>6.0330790299999999E-2</v>
      </c>
      <c r="BC77" s="5">
        <f>[1]Emissions!BB827</f>
        <v>6.1318025399999997E-2</v>
      </c>
      <c r="BD77" s="5">
        <f>[1]Emissions!BC827</f>
        <v>6.2321753899999999E-2</v>
      </c>
      <c r="BE77" s="5">
        <f>[1]Emissions!BD827</f>
        <v>6.3342322300000004E-2</v>
      </c>
      <c r="BF77" s="5">
        <f>[1]Emissions!BE827</f>
        <v>6.4380092700000002E-2</v>
      </c>
    </row>
    <row r="78" spans="1:58" x14ac:dyDescent="0.35">
      <c r="B78" t="s">
        <v>52</v>
      </c>
      <c r="C78" s="5">
        <f>[1]Emissions!B828</f>
        <v>15.048783139999999</v>
      </c>
      <c r="D78" s="5">
        <f>[1]Emissions!C828</f>
        <v>15.17544163</v>
      </c>
      <c r="E78" s="5">
        <f>[1]Emissions!D828</f>
        <v>15.3552576</v>
      </c>
      <c r="F78" s="5">
        <f>[1]Emissions!E828</f>
        <v>15.560884420000001</v>
      </c>
      <c r="G78" s="5">
        <f>[1]Emissions!F828</f>
        <v>15.780960520000001</v>
      </c>
      <c r="H78" s="5">
        <f>[1]Emissions!G828</f>
        <v>16.00865396</v>
      </c>
      <c r="I78" s="5">
        <f>[1]Emissions!H828</f>
        <v>16.230322269999998</v>
      </c>
      <c r="J78" s="5">
        <f>[1]Emissions!I828</f>
        <v>16.449885439999999</v>
      </c>
      <c r="K78" s="5">
        <f>[1]Emissions!J828</f>
        <v>16.668399520000001</v>
      </c>
      <c r="L78" s="5">
        <f>[1]Emissions!K828</f>
        <v>16.886987529999999</v>
      </c>
      <c r="M78" s="5">
        <f>[1]Emissions!L828</f>
        <v>17.123061580000002</v>
      </c>
      <c r="N78" s="5">
        <f>[1]Emissions!M828</f>
        <v>17.350561540000001</v>
      </c>
      <c r="O78" s="5">
        <f>[1]Emissions!N828</f>
        <v>17.5785406</v>
      </c>
      <c r="P78" s="5">
        <f>[1]Emissions!O828</f>
        <v>17.809086260000001</v>
      </c>
      <c r="Q78" s="5">
        <f>[1]Emissions!P828</f>
        <v>18.042934710000001</v>
      </c>
      <c r="R78" s="5">
        <f>[1]Emissions!Q828</f>
        <v>18.28042744</v>
      </c>
      <c r="S78" s="5">
        <f>[1]Emissions!R828</f>
        <v>18.520720390000001</v>
      </c>
      <c r="T78" s="5">
        <f>[1]Emissions!S828</f>
        <v>18.764524819999998</v>
      </c>
      <c r="U78" s="5">
        <f>[1]Emissions!T828</f>
        <v>19.012068339999999</v>
      </c>
      <c r="V78" s="5">
        <f>[1]Emissions!U828</f>
        <v>19.263503740000001</v>
      </c>
      <c r="W78" s="5">
        <f>[1]Emissions!V828</f>
        <v>19.50727826</v>
      </c>
      <c r="X78" s="5">
        <f>[1]Emissions!W828</f>
        <v>19.76255402</v>
      </c>
      <c r="Y78" s="5">
        <f>[1]Emissions!X828</f>
        <v>20.02405912</v>
      </c>
      <c r="Z78" s="5">
        <f>[1]Emissions!Y828</f>
        <v>20.291037620000001</v>
      </c>
      <c r="AA78" s="5">
        <f>[1]Emissions!Z828</f>
        <v>20.563413570000002</v>
      </c>
      <c r="AB78" s="5">
        <f>[1]Emissions!AA828</f>
        <v>20.80775401</v>
      </c>
      <c r="AC78" s="5">
        <f>[1]Emissions!AB828</f>
        <v>21.062722449999999</v>
      </c>
      <c r="AD78" s="5">
        <f>[1]Emissions!AC828</f>
        <v>21.32209941</v>
      </c>
      <c r="AE78" s="5">
        <f>[1]Emissions!AD828</f>
        <v>21.585437389999999</v>
      </c>
      <c r="AF78" s="5">
        <f>[1]Emissions!AE828</f>
        <v>21.853012119999999</v>
      </c>
      <c r="AG78" s="5">
        <f>[1]Emissions!AF828</f>
        <v>22.125034370000002</v>
      </c>
      <c r="AH78" s="5">
        <f>[1]Emissions!AG828</f>
        <v>22.40177005</v>
      </c>
      <c r="AI78" s="5">
        <f>[1]Emissions!AH828</f>
        <v>22.682987730000001</v>
      </c>
      <c r="AJ78" s="5">
        <f>[1]Emissions!AI828</f>
        <v>22.968457040000001</v>
      </c>
      <c r="AK78" s="5">
        <f>[1]Emissions!AJ828</f>
        <v>23.25792349</v>
      </c>
      <c r="AL78" s="5">
        <f>[1]Emissions!AK828</f>
        <v>23.55113437</v>
      </c>
      <c r="AM78" s="5">
        <f>[1]Emissions!AL828</f>
        <v>23.841954399999999</v>
      </c>
      <c r="AN78" s="5">
        <f>[1]Emissions!AM828</f>
        <v>24.13393142</v>
      </c>
      <c r="AO78" s="5">
        <f>[1]Emissions!AN828</f>
        <v>24.427794779999999</v>
      </c>
      <c r="AP78" s="5">
        <f>[1]Emissions!AO828</f>
        <v>24.723800000000001</v>
      </c>
      <c r="AQ78" s="5">
        <f>[1]Emissions!AP828</f>
        <v>25.022089619999999</v>
      </c>
      <c r="AR78" s="5">
        <f>[1]Emissions!AQ828</f>
        <v>25.32307471</v>
      </c>
      <c r="AS78" s="5">
        <f>[1]Emissions!AR828</f>
        <v>25.626620330000002</v>
      </c>
      <c r="AT78" s="5">
        <f>[1]Emissions!AS828</f>
        <v>25.93266187</v>
      </c>
      <c r="AU78" s="5">
        <f>[1]Emissions!AT828</f>
        <v>26.241117469999999</v>
      </c>
      <c r="AV78" s="5">
        <f>[1]Emissions!AU828</f>
        <v>26.5518924</v>
      </c>
      <c r="AW78" s="5">
        <f>[1]Emissions!AV828</f>
        <v>26.866725720000002</v>
      </c>
      <c r="AX78" s="5">
        <f>[1]Emissions!AW828</f>
        <v>27.18457961</v>
      </c>
      <c r="AY78" s="5">
        <f>[1]Emissions!AX828</f>
        <v>27.213911580000001</v>
      </c>
      <c r="AZ78" s="5">
        <f>[1]Emissions!AY828</f>
        <v>27.218097060000002</v>
      </c>
      <c r="BA78" s="5">
        <f>[1]Emissions!AZ828</f>
        <v>27.213759639999999</v>
      </c>
      <c r="BB78" s="5">
        <f>[1]Emissions!BA828</f>
        <v>35.928563740000001</v>
      </c>
      <c r="BC78" s="5">
        <f>[1]Emissions!BB828</f>
        <v>36.565780830000001</v>
      </c>
      <c r="BD78" s="5">
        <f>[1]Emissions!BC828</f>
        <v>37.211903579999998</v>
      </c>
      <c r="BE78" s="5">
        <f>[1]Emissions!BD828</f>
        <v>37.866942590000001</v>
      </c>
      <c r="BF78" s="5">
        <f>[1]Emissions!BE828</f>
        <v>38.530919849999997</v>
      </c>
    </row>
    <row r="79" spans="1:58" x14ac:dyDescent="0.35">
      <c r="B79" t="s">
        <v>13</v>
      </c>
      <c r="C79" s="6">
        <f>[1]Results!F1551</f>
        <v>1969714.702</v>
      </c>
      <c r="D79" s="6">
        <f>[1]Results!G1551</f>
        <v>1994113.311</v>
      </c>
      <c r="E79" s="6">
        <f>[1]Results!H1551</f>
        <v>2021159.0430000001</v>
      </c>
      <c r="F79" s="6">
        <f>[1]Results!I1551</f>
        <v>2049630.1529999999</v>
      </c>
      <c r="G79" s="6">
        <f>[1]Results!J1551</f>
        <v>2079405.182</v>
      </c>
      <c r="H79" s="6">
        <f>[1]Results!K1551</f>
        <v>2110352.9</v>
      </c>
      <c r="I79" s="6">
        <f>[1]Results!L1551</f>
        <v>2140847.2940000002</v>
      </c>
      <c r="J79" s="6">
        <f>[1]Results!M1551</f>
        <v>2171958.6519999998</v>
      </c>
      <c r="K79" s="6">
        <f>[1]Results!N1551</f>
        <v>2203639.446</v>
      </c>
      <c r="L79" s="6">
        <f>[1]Results!O1551</f>
        <v>2235865.4</v>
      </c>
      <c r="M79" s="6">
        <f>[1]Results!P1551</f>
        <v>2271222.7289999998</v>
      </c>
      <c r="N79" s="6">
        <f>[1]Results!Q1551</f>
        <v>2305007.2689999999</v>
      </c>
      <c r="O79" s="6">
        <f>[1]Results!R1551</f>
        <v>2339173.3139999998</v>
      </c>
      <c r="P79" s="6">
        <f>[1]Results!S1551</f>
        <v>2373675.5189999999</v>
      </c>
      <c r="Q79" s="6">
        <f>[1]Results!T1551</f>
        <v>2408511.514</v>
      </c>
      <c r="R79" s="6">
        <f>[1]Results!U1551</f>
        <v>2443693.8990000002</v>
      </c>
      <c r="S79" s="6">
        <f>[1]Results!V1551</f>
        <v>2479241.0269999998</v>
      </c>
      <c r="T79" s="6">
        <f>[1]Results!W1551</f>
        <v>2515171.9019999998</v>
      </c>
      <c r="U79" s="6">
        <f>[1]Results!X1551</f>
        <v>2551504.2250000001</v>
      </c>
      <c r="V79" s="6">
        <f>[1]Results!Y1551</f>
        <v>2588254.3080000002</v>
      </c>
      <c r="W79" s="6">
        <f>[1]Results!Z1551</f>
        <v>2623530.7259999998</v>
      </c>
      <c r="X79" s="6">
        <f>[1]Results!AA1551</f>
        <v>2660762.395</v>
      </c>
      <c r="Y79" s="6">
        <f>[1]Results!AB1551</f>
        <v>2698533.3470000001</v>
      </c>
      <c r="Z79" s="6">
        <f>[1]Results!AC1551</f>
        <v>2736879.03</v>
      </c>
      <c r="AA79" s="6">
        <f>[1]Results!AD1551</f>
        <v>2775804.6359999999</v>
      </c>
      <c r="AB79" s="6">
        <f>[1]Results!AE1551</f>
        <v>2809833.1529999999</v>
      </c>
      <c r="AC79" s="6">
        <f>[1]Results!AF1551</f>
        <v>2846147.9169999999</v>
      </c>
      <c r="AD79" s="6">
        <f>[1]Results!AG1551</f>
        <v>2882662.1170000001</v>
      </c>
      <c r="AE79" s="6">
        <f>[1]Results!AH1551</f>
        <v>2919524.3259999999</v>
      </c>
      <c r="AF79" s="6">
        <f>[1]Results!AI1551</f>
        <v>2956825.6039999998</v>
      </c>
      <c r="AG79" s="6">
        <f>[1]Results!AJ1551</f>
        <v>2994618.2769999998</v>
      </c>
      <c r="AH79" s="6">
        <f>[1]Results!AK1551</f>
        <v>3032925.5419999999</v>
      </c>
      <c r="AI79" s="6">
        <f>[1]Results!AL1551</f>
        <v>3071751.9730000002</v>
      </c>
      <c r="AJ79" s="6">
        <f>[1]Results!AM1551</f>
        <v>3111092.4410000001</v>
      </c>
      <c r="AK79" s="6">
        <f>[1]Results!AN1551</f>
        <v>3150938.4109999998</v>
      </c>
      <c r="AL79" s="6">
        <f>[1]Results!AO1551</f>
        <v>3191281.696</v>
      </c>
      <c r="AM79" s="6">
        <f>[1]Results!AP1551</f>
        <v>3230808.4029999999</v>
      </c>
      <c r="AN79" s="6">
        <f>[1]Results!AQ1551</f>
        <v>3270528.5950000002</v>
      </c>
      <c r="AO79" s="6">
        <f>[1]Results!AR1551</f>
        <v>3310488.9219999998</v>
      </c>
      <c r="AP79" s="6">
        <f>[1]Results!AS1551</f>
        <v>3350750.7850000001</v>
      </c>
      <c r="AQ79" s="6">
        <f>[1]Results!AT1551</f>
        <v>3391369.5359999998</v>
      </c>
      <c r="AR79" s="6">
        <f>[1]Results!AU1551</f>
        <v>3432387.3769999999</v>
      </c>
      <c r="AS79" s="6">
        <f>[1]Results!AV1551</f>
        <v>3473831.9709999999</v>
      </c>
      <c r="AT79" s="6">
        <f>[1]Results!AW1551</f>
        <v>3515718.4929999998</v>
      </c>
      <c r="AU79" s="6">
        <f>[1]Results!AX1551</f>
        <v>3558053.182</v>
      </c>
      <c r="AV79" s="6">
        <f>[1]Results!AY1551</f>
        <v>3600837.0290000001</v>
      </c>
      <c r="AW79" s="6">
        <f>[1]Results!AZ1551</f>
        <v>3644185.7740000002</v>
      </c>
      <c r="AX79" s="6">
        <f>[1]Results!BA1551</f>
        <v>3688007.5720000002</v>
      </c>
      <c r="AY79" s="6">
        <f>[1]Results!BB1551</f>
        <v>3732298.0809999998</v>
      </c>
      <c r="AZ79" s="6">
        <f>[1]Results!BC1551</f>
        <v>3777053.4569999999</v>
      </c>
      <c r="BA79" s="6">
        <f>[1]Results!BD1551</f>
        <v>3822272.1290000002</v>
      </c>
      <c r="BB79" s="6">
        <f>[1]Results!BE1551</f>
        <v>4443934.8679999998</v>
      </c>
      <c r="BC79" s="6">
        <f>[1]Results!BF1551</f>
        <v>4518812.6409999998</v>
      </c>
      <c r="BD79" s="6">
        <f>[1]Results!BG1551</f>
        <v>4594869.43</v>
      </c>
      <c r="BE79" s="6">
        <f>[1]Results!BH1551</f>
        <v>4672125.4069999997</v>
      </c>
      <c r="BF79" s="6">
        <f>[1]Results!BI1551</f>
        <v>4750601.8959999997</v>
      </c>
    </row>
    <row r="80" spans="1:58" x14ac:dyDescent="0.3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</row>
    <row r="81" spans="1:58" x14ac:dyDescent="0.35">
      <c r="A81" s="12" t="s">
        <v>78</v>
      </c>
      <c r="B81" t="s">
        <v>13</v>
      </c>
      <c r="C81" s="6">
        <f>[1]Results!F1551</f>
        <v>1969714.702</v>
      </c>
      <c r="D81" s="6">
        <f>[1]Results!G1551</f>
        <v>1994113.311</v>
      </c>
      <c r="E81" s="6">
        <f>[1]Results!H1551</f>
        <v>2021159.0430000001</v>
      </c>
      <c r="F81" s="6">
        <f>[1]Results!I1551</f>
        <v>2049630.1529999999</v>
      </c>
      <c r="G81" s="6">
        <f>[1]Results!J1551</f>
        <v>2079405.182</v>
      </c>
      <c r="H81" s="6">
        <f>[1]Results!K1551</f>
        <v>2110352.9</v>
      </c>
      <c r="I81" s="6">
        <f>[1]Results!L1551</f>
        <v>2140847.2940000002</v>
      </c>
      <c r="J81" s="6">
        <f>[1]Results!M1551</f>
        <v>2171958.6519999998</v>
      </c>
      <c r="K81" s="6">
        <f>[1]Results!N1551</f>
        <v>2203639.446</v>
      </c>
      <c r="L81" s="6">
        <f>[1]Results!O1551</f>
        <v>2235865.4</v>
      </c>
      <c r="M81" s="6">
        <f>[1]Results!P1551</f>
        <v>2271222.7289999998</v>
      </c>
      <c r="N81" s="6">
        <f>[1]Results!Q1551</f>
        <v>2305007.2689999999</v>
      </c>
      <c r="O81" s="6">
        <f>[1]Results!R1551</f>
        <v>2339173.3139999998</v>
      </c>
      <c r="P81" s="6">
        <f>[1]Results!S1551</f>
        <v>2373675.5189999999</v>
      </c>
      <c r="Q81" s="6">
        <f>[1]Results!T1551</f>
        <v>2408511.514</v>
      </c>
      <c r="R81" s="6">
        <f>[1]Results!U1551</f>
        <v>2443693.8990000002</v>
      </c>
      <c r="S81" s="6">
        <f>[1]Results!V1551</f>
        <v>2479241.0269999998</v>
      </c>
      <c r="T81" s="6">
        <f>[1]Results!W1551</f>
        <v>2515171.9019999998</v>
      </c>
      <c r="U81" s="6">
        <f>[1]Results!X1551</f>
        <v>2551504.2250000001</v>
      </c>
      <c r="V81" s="6">
        <f>[1]Results!Y1551</f>
        <v>2588254.3080000002</v>
      </c>
      <c r="W81" s="6">
        <f>[1]Results!Z1551</f>
        <v>2623530.7259999998</v>
      </c>
      <c r="X81" s="6">
        <f>[1]Results!AA1551</f>
        <v>2660762.395</v>
      </c>
      <c r="Y81" s="6">
        <f>[1]Results!AB1551</f>
        <v>2698533.3470000001</v>
      </c>
      <c r="Z81" s="6">
        <f>[1]Results!AC1551</f>
        <v>2736879.03</v>
      </c>
      <c r="AA81" s="6">
        <f>[1]Results!AD1551</f>
        <v>2775804.6359999999</v>
      </c>
      <c r="AB81" s="6">
        <f>[1]Results!AE1551</f>
        <v>2809833.1529999999</v>
      </c>
      <c r="AC81" s="6">
        <f>[1]Results!AF1551</f>
        <v>2846147.9169999999</v>
      </c>
      <c r="AD81" s="6">
        <f>[1]Results!AG1551</f>
        <v>2882662.1170000001</v>
      </c>
      <c r="AE81" s="6">
        <f>[1]Results!AH1551</f>
        <v>2919524.3259999999</v>
      </c>
      <c r="AF81" s="6">
        <f>[1]Results!AI1551</f>
        <v>2956825.6039999998</v>
      </c>
      <c r="AG81" s="6">
        <f>[1]Results!AJ1551</f>
        <v>2994618.2769999998</v>
      </c>
      <c r="AH81" s="6">
        <f>[1]Results!AK1551</f>
        <v>3032925.5419999999</v>
      </c>
      <c r="AI81" s="6">
        <f>[1]Results!AL1551</f>
        <v>3071751.9730000002</v>
      </c>
      <c r="AJ81" s="6">
        <f>[1]Results!AM1551</f>
        <v>3111092.4410000001</v>
      </c>
      <c r="AK81" s="6">
        <f>[1]Results!AN1551</f>
        <v>3150938.4109999998</v>
      </c>
      <c r="AL81" s="6">
        <f>[1]Results!AO1551</f>
        <v>3191281.696</v>
      </c>
      <c r="AM81" s="6">
        <f>[1]Results!AP1551</f>
        <v>3230808.4029999999</v>
      </c>
      <c r="AN81" s="6">
        <f>[1]Results!AQ1551</f>
        <v>3270528.5950000002</v>
      </c>
      <c r="AO81" s="6">
        <f>[1]Results!AR1551</f>
        <v>3310488.9219999998</v>
      </c>
      <c r="AP81" s="6">
        <f>[1]Results!AS1551</f>
        <v>3350750.7850000001</v>
      </c>
      <c r="AQ81" s="6">
        <f>[1]Results!AT1551</f>
        <v>3391369.5359999998</v>
      </c>
      <c r="AR81" s="6">
        <f>[1]Results!AU1551</f>
        <v>3432387.3769999999</v>
      </c>
      <c r="AS81" s="6">
        <f>[1]Results!AV1551</f>
        <v>3473831.9709999999</v>
      </c>
      <c r="AT81" s="6">
        <f>[1]Results!AW1551</f>
        <v>3515718.4929999998</v>
      </c>
      <c r="AU81" s="6">
        <f>[1]Results!AX1551</f>
        <v>3558053.182</v>
      </c>
      <c r="AV81" s="6">
        <f>[1]Results!AY1551</f>
        <v>3600837.0290000001</v>
      </c>
      <c r="AW81" s="6">
        <f>[1]Results!AZ1551</f>
        <v>3644185.7740000002</v>
      </c>
      <c r="AX81" s="6">
        <f>[1]Results!BA1551</f>
        <v>3688007.5720000002</v>
      </c>
      <c r="AY81" s="6">
        <f>[1]Results!BB1551</f>
        <v>3732298.0809999998</v>
      </c>
      <c r="AZ81" s="6">
        <f>[1]Results!BC1551</f>
        <v>3777053.4569999999</v>
      </c>
      <c r="BA81" s="6">
        <f>[1]Results!BD1551</f>
        <v>3822272.1290000002</v>
      </c>
      <c r="BB81" s="6">
        <f>[1]Results!BE1551</f>
        <v>4443934.8679999998</v>
      </c>
      <c r="BC81" s="6">
        <f>[1]Results!BF1551</f>
        <v>4518812.6409999998</v>
      </c>
      <c r="BD81" s="6">
        <f>[1]Results!BG1551</f>
        <v>4594869.43</v>
      </c>
      <c r="BE81" s="6">
        <f>[1]Results!BH1551</f>
        <v>4672125.4069999997</v>
      </c>
      <c r="BF81" s="6">
        <f>[1]Results!BI1551</f>
        <v>4750601.8959999997</v>
      </c>
    </row>
    <row r="82" spans="1:58" x14ac:dyDescent="0.35">
      <c r="A82" t="s">
        <v>38</v>
      </c>
      <c r="B82" t="s">
        <v>7</v>
      </c>
      <c r="C82" s="6">
        <f>[1]Results!F1552</f>
        <v>36148.602800000001</v>
      </c>
      <c r="D82" s="6">
        <f>[1]Results!G1552</f>
        <v>36286.772770000003</v>
      </c>
      <c r="E82" s="6">
        <f>[1]Results!H1552</f>
        <v>36420.026210000004</v>
      </c>
      <c r="F82" s="6">
        <f>[1]Results!I1552</f>
        <v>36550.850859999999</v>
      </c>
      <c r="G82" s="6">
        <f>[1]Results!J1552</f>
        <v>36686.152889999998</v>
      </c>
      <c r="H82" s="6">
        <f>[1]Results!K1552</f>
        <v>36826.52996</v>
      </c>
      <c r="I82" s="6">
        <f>[1]Results!L1552</f>
        <v>36939.173519999997</v>
      </c>
      <c r="J82" s="6">
        <f>[1]Results!M1552</f>
        <v>37043.26655</v>
      </c>
      <c r="K82" s="6">
        <f>[1]Results!N1552</f>
        <v>37141.959450000002</v>
      </c>
      <c r="L82" s="6">
        <f>[1]Results!O1552</f>
        <v>37237.16676</v>
      </c>
      <c r="M82" s="6">
        <f>[1]Results!P1552</f>
        <v>37380.985379999998</v>
      </c>
      <c r="N82" s="6">
        <f>[1]Results!Q1552</f>
        <v>37486.742400000003</v>
      </c>
      <c r="O82" s="6">
        <f>[1]Results!R1552</f>
        <v>37583.792479999996</v>
      </c>
      <c r="P82" s="6">
        <f>[1]Results!S1552</f>
        <v>37677.074869999997</v>
      </c>
      <c r="Q82" s="6">
        <f>[1]Results!T1552</f>
        <v>37770.021000000001</v>
      </c>
      <c r="R82" s="6">
        <f>[1]Results!U1552</f>
        <v>37865.158889999999</v>
      </c>
      <c r="S82" s="6">
        <f>[1]Results!V1552</f>
        <v>37964.171249999999</v>
      </c>
      <c r="T82" s="6">
        <f>[1]Results!W1552</f>
        <v>38067.917159999997</v>
      </c>
      <c r="U82" s="6">
        <f>[1]Results!X1552</f>
        <v>38176.620799999997</v>
      </c>
      <c r="V82" s="6">
        <f>[1]Results!Y1552</f>
        <v>38290.020649999999</v>
      </c>
      <c r="W82" s="6">
        <f>[1]Results!Z1552</f>
        <v>38374.280019999998</v>
      </c>
      <c r="X82" s="6">
        <f>[1]Results!AA1552</f>
        <v>38486.378900000003</v>
      </c>
      <c r="Y82" s="6">
        <f>[1]Results!AB1552</f>
        <v>38607.17697</v>
      </c>
      <c r="Z82" s="6">
        <f>[1]Results!AC1552</f>
        <v>38733.411350000002</v>
      </c>
      <c r="AA82" s="6">
        <f>[1]Results!AD1552</f>
        <v>38862.772409999998</v>
      </c>
      <c r="AB82" s="6">
        <f>[1]Results!AE1552</f>
        <v>38902.812080000003</v>
      </c>
      <c r="AC82" s="6">
        <f>[1]Results!AF1552</f>
        <v>38967.123630000002</v>
      </c>
      <c r="AD82" s="6">
        <f>[1]Results!AG1552</f>
        <v>39036.241049999997</v>
      </c>
      <c r="AE82" s="6">
        <f>[1]Results!AH1552</f>
        <v>39110.829769999997</v>
      </c>
      <c r="AF82" s="6">
        <f>[1]Results!AI1552</f>
        <v>39190.926449999999</v>
      </c>
      <c r="AG82" s="6">
        <f>[1]Results!AJ1552</f>
        <v>39275.716740000003</v>
      </c>
      <c r="AH82" s="6">
        <f>[1]Results!AK1552</f>
        <v>39363.85368</v>
      </c>
      <c r="AI82" s="6">
        <f>[1]Results!AL1552</f>
        <v>39453.844089999999</v>
      </c>
      <c r="AJ82" s="6">
        <f>[1]Results!AM1552</f>
        <v>39544.326699999998</v>
      </c>
      <c r="AK82" s="6">
        <f>[1]Results!AN1552</f>
        <v>39634.248520000001</v>
      </c>
      <c r="AL82" s="6">
        <f>[1]Results!AO1552</f>
        <v>39722.943720000003</v>
      </c>
      <c r="AM82" s="6">
        <f>[1]Results!AP1552</f>
        <v>39790.800569999999</v>
      </c>
      <c r="AN82" s="6">
        <f>[1]Results!AQ1552</f>
        <v>39852.064140000002</v>
      </c>
      <c r="AO82" s="6">
        <f>[1]Results!AR1552</f>
        <v>39910.543680000002</v>
      </c>
      <c r="AP82" s="6">
        <f>[1]Results!AS1552</f>
        <v>39968.764690000004</v>
      </c>
      <c r="AQ82" s="6">
        <f>[1]Results!AT1552</f>
        <v>40028.345690000002</v>
      </c>
      <c r="AR82" s="6">
        <f>[1]Results!AU1552</f>
        <v>40090.142059999998</v>
      </c>
      <c r="AS82" s="6">
        <f>[1]Results!AV1552</f>
        <v>40154.398829999998</v>
      </c>
      <c r="AT82" s="6">
        <f>[1]Results!AW1552</f>
        <v>40220.926240000001</v>
      </c>
      <c r="AU82" s="6">
        <f>[1]Results!AX1552</f>
        <v>40289.275079999999</v>
      </c>
      <c r="AV82" s="6">
        <f>[1]Results!AY1552</f>
        <v>40358.890059999998</v>
      </c>
      <c r="AW82" s="6">
        <f>[1]Results!AZ1552</f>
        <v>40430.782520000001</v>
      </c>
      <c r="AX82" s="6">
        <f>[1]Results!BA1552</f>
        <v>40503.363279999998</v>
      </c>
      <c r="AY82" s="6">
        <f>[1]Results!BB1552</f>
        <v>40576.032760000002</v>
      </c>
      <c r="AZ82" s="6">
        <f>[1]Results!BC1552</f>
        <v>40648.446320000003</v>
      </c>
      <c r="BA82" s="6">
        <f>[1]Results!BD1552</f>
        <v>40720.464820000001</v>
      </c>
      <c r="BB82" s="6">
        <f>[1]Results!BE1552</f>
        <v>73673.009269999995</v>
      </c>
      <c r="BC82" s="6">
        <f>[1]Results!BF1552</f>
        <v>74830.096340000004</v>
      </c>
      <c r="BD82" s="6">
        <f>[1]Results!BG1552</f>
        <v>76006.871119999996</v>
      </c>
      <c r="BE82" s="6">
        <f>[1]Results!BH1552</f>
        <v>77203.811189999993</v>
      </c>
      <c r="BF82" s="6">
        <f>[1]Results!BI1552</f>
        <v>78421.397010000001</v>
      </c>
    </row>
    <row r="83" spans="1:58" x14ac:dyDescent="0.35">
      <c r="B83" t="s">
        <v>30</v>
      </c>
      <c r="C83" s="6">
        <f>[1]Results!F1555</f>
        <v>332303.84350000002</v>
      </c>
      <c r="D83" s="6">
        <f>[1]Results!G1555</f>
        <v>336412.4926</v>
      </c>
      <c r="E83" s="6">
        <f>[1]Results!H1555</f>
        <v>340950.19530000002</v>
      </c>
      <c r="F83" s="6">
        <f>[1]Results!I1555</f>
        <v>345588.88170000003</v>
      </c>
      <c r="G83" s="6">
        <f>[1]Results!J1555</f>
        <v>350308.25319999998</v>
      </c>
      <c r="H83" s="6">
        <f>[1]Results!K1555</f>
        <v>355098.96600000001</v>
      </c>
      <c r="I83" s="6">
        <f>[1]Results!L1555</f>
        <v>359691.63829999999</v>
      </c>
      <c r="J83" s="6">
        <f>[1]Results!M1555</f>
        <v>364318.55989999999</v>
      </c>
      <c r="K83" s="6">
        <f>[1]Results!N1555</f>
        <v>368980.06069999997</v>
      </c>
      <c r="L83" s="6">
        <f>[1]Results!O1555</f>
        <v>373688.54129999998</v>
      </c>
      <c r="M83" s="6">
        <f>[1]Results!P1555</f>
        <v>378913.3553</v>
      </c>
      <c r="N83" s="6">
        <f>[1]Results!Q1555</f>
        <v>383804.61430000002</v>
      </c>
      <c r="O83" s="6">
        <f>[1]Results!R1555</f>
        <v>388779.00530000002</v>
      </c>
      <c r="P83" s="6">
        <f>[1]Results!S1555</f>
        <v>393825.81040000002</v>
      </c>
      <c r="Q83" s="6">
        <f>[1]Results!T1555</f>
        <v>398952.91489999997</v>
      </c>
      <c r="R83" s="6">
        <f>[1]Results!U1555</f>
        <v>404170.74160000001</v>
      </c>
      <c r="S83" s="6">
        <f>[1]Results!V1555</f>
        <v>409488.36940000003</v>
      </c>
      <c r="T83" s="6">
        <f>[1]Results!W1555</f>
        <v>414912.54080000002</v>
      </c>
      <c r="U83" s="6">
        <f>[1]Results!X1555</f>
        <v>420447.53730000003</v>
      </c>
      <c r="V83" s="6">
        <f>[1]Results!Y1555</f>
        <v>426095.47019999998</v>
      </c>
      <c r="W83" s="6">
        <f>[1]Results!Z1555</f>
        <v>431530.54060000001</v>
      </c>
      <c r="X83" s="6">
        <f>[1]Results!AA1555</f>
        <v>437365.04749999999</v>
      </c>
      <c r="Y83" s="6">
        <f>[1]Results!AB1555</f>
        <v>443308.49219999998</v>
      </c>
      <c r="Z83" s="6">
        <f>[1]Results!AC1555</f>
        <v>449372.69349999999</v>
      </c>
      <c r="AA83" s="6">
        <f>[1]Results!AD1555</f>
        <v>455554.4375</v>
      </c>
      <c r="AB83" s="6">
        <f>[1]Results!AE1555</f>
        <v>460919.2684</v>
      </c>
      <c r="AC83" s="6">
        <f>[1]Results!AF1555</f>
        <v>466761.56579999998</v>
      </c>
      <c r="AD83" s="6">
        <f>[1]Results!AG1555</f>
        <v>472637.02480000001</v>
      </c>
      <c r="AE83" s="6">
        <f>[1]Results!AH1555</f>
        <v>478577.39990000002</v>
      </c>
      <c r="AF83" s="6">
        <f>[1]Results!AI1555</f>
        <v>484592.14649999997</v>
      </c>
      <c r="AG83" s="6">
        <f>[1]Results!AJ1555</f>
        <v>490681.80209999997</v>
      </c>
      <c r="AH83" s="6">
        <f>[1]Results!AK1555</f>
        <v>496841.99910000002</v>
      </c>
      <c r="AI83" s="6">
        <f>[1]Results!AL1555</f>
        <v>503065.7292</v>
      </c>
      <c r="AJ83" s="6">
        <f>[1]Results!AM1555</f>
        <v>509345.10359999997</v>
      </c>
      <c r="AK83" s="6">
        <f>[1]Results!AN1555</f>
        <v>515672.61379999999</v>
      </c>
      <c r="AL83" s="6">
        <f>[1]Results!AO1555</f>
        <v>522041.88880000002</v>
      </c>
      <c r="AM83" s="6">
        <f>[1]Results!AP1555</f>
        <v>528229.65159999998</v>
      </c>
      <c r="AN83" s="6">
        <f>[1]Results!AQ1555</f>
        <v>534420.451</v>
      </c>
      <c r="AO83" s="6">
        <f>[1]Results!AR1555</f>
        <v>540610.06680000003</v>
      </c>
      <c r="AP83" s="6">
        <f>[1]Results!AS1555</f>
        <v>546805.06790000002</v>
      </c>
      <c r="AQ83" s="6">
        <f>[1]Results!AT1555</f>
        <v>553012.54410000006</v>
      </c>
      <c r="AR83" s="6">
        <f>[1]Results!AU1555</f>
        <v>559237.67579999997</v>
      </c>
      <c r="AS83" s="6">
        <f>[1]Results!AV1555</f>
        <v>565483.32420000003</v>
      </c>
      <c r="AT83" s="6">
        <f>[1]Results!AW1555</f>
        <v>571750.36120000004</v>
      </c>
      <c r="AU83" s="6">
        <f>[1]Results!AX1555</f>
        <v>578038.30909999995</v>
      </c>
      <c r="AV83" s="6">
        <f>[1]Results!AY1555</f>
        <v>584346.03460000001</v>
      </c>
      <c r="AW83" s="6">
        <f>[1]Results!AZ1555</f>
        <v>590691.57960000006</v>
      </c>
      <c r="AX83" s="6">
        <f>[1]Results!BA1555</f>
        <v>597057.56949999998</v>
      </c>
      <c r="AY83" s="6">
        <f>[1]Results!BB1555</f>
        <v>603443.98439999996</v>
      </c>
      <c r="AZ83" s="6">
        <f>[1]Results!BC1555</f>
        <v>609850.60349999997</v>
      </c>
      <c r="BA83" s="6">
        <f>[1]Results!BD1555</f>
        <v>616277.86820000003</v>
      </c>
      <c r="BB83" s="6">
        <f>[1]Results!BE1555</f>
        <v>781663.80500000005</v>
      </c>
      <c r="BC83" s="6">
        <f>[1]Results!BF1555</f>
        <v>795467.88820000004</v>
      </c>
      <c r="BD83" s="6">
        <f>[1]Results!BG1555</f>
        <v>809456.06830000004</v>
      </c>
      <c r="BE83" s="6">
        <f>[1]Results!BH1555</f>
        <v>823628.62589999998</v>
      </c>
      <c r="BF83" s="6">
        <f>[1]Results!BI1555</f>
        <v>837986.17110000004</v>
      </c>
    </row>
    <row r="84" spans="1:58" x14ac:dyDescent="0.35">
      <c r="B84" t="s">
        <v>9</v>
      </c>
      <c r="C84" s="6">
        <f>[1]Results!F1567</f>
        <v>48577.403939999997</v>
      </c>
      <c r="D84" s="6">
        <f>[1]Results!G1567</f>
        <v>49144.300900000002</v>
      </c>
      <c r="E84" s="6">
        <f>[1]Results!H1567</f>
        <v>49769.350209999997</v>
      </c>
      <c r="F84" s="6">
        <f>[1]Results!I1567</f>
        <v>50423.168539999999</v>
      </c>
      <c r="G84" s="6">
        <f>[1]Results!J1567</f>
        <v>51104.322800000002</v>
      </c>
      <c r="H84" s="6">
        <f>[1]Results!K1567</f>
        <v>51809.348969999999</v>
      </c>
      <c r="I84" s="6">
        <f>[1]Results!L1567</f>
        <v>52496.351790000001</v>
      </c>
      <c r="J84" s="6">
        <f>[1]Results!M1567</f>
        <v>53195.057359999999</v>
      </c>
      <c r="K84" s="6">
        <f>[1]Results!N1567</f>
        <v>53902.007460000001</v>
      </c>
      <c r="L84" s="6">
        <f>[1]Results!O1567</f>
        <v>54615.649230000003</v>
      </c>
      <c r="M84" s="6">
        <f>[1]Results!P1567</f>
        <v>55401.15928</v>
      </c>
      <c r="N84" s="6">
        <f>[1]Results!Q1567</f>
        <v>56133.23818</v>
      </c>
      <c r="O84" s="6">
        <f>[1]Results!R1567</f>
        <v>56869.998140000003</v>
      </c>
      <c r="P84" s="6">
        <f>[1]Results!S1567</f>
        <v>57608.421560000003</v>
      </c>
      <c r="Q84" s="6">
        <f>[1]Results!T1567</f>
        <v>58348.422299999998</v>
      </c>
      <c r="R84" s="6">
        <f>[1]Results!U1567</f>
        <v>59090.730949999997</v>
      </c>
      <c r="S84" s="6">
        <f>[1]Results!V1567</f>
        <v>59836.381939999999</v>
      </c>
      <c r="T84" s="6">
        <f>[1]Results!W1567</f>
        <v>60586.519809999998</v>
      </c>
      <c r="U84" s="6">
        <f>[1]Results!X1567</f>
        <v>61342.307659999999</v>
      </c>
      <c r="V84" s="6">
        <f>[1]Results!Y1567</f>
        <v>62104.882749999997</v>
      </c>
      <c r="W84" s="6">
        <f>[1]Results!Z1567</f>
        <v>62827.342420000001</v>
      </c>
      <c r="X84" s="6">
        <f>[1]Results!AA1567</f>
        <v>63600.672480000001</v>
      </c>
      <c r="Y84" s="6">
        <f>[1]Results!AB1567</f>
        <v>64383.666850000001</v>
      </c>
      <c r="Z84" s="6">
        <f>[1]Results!AC1567</f>
        <v>65179.18838</v>
      </c>
      <c r="AA84" s="6">
        <f>[1]Results!AD1567</f>
        <v>65988.031130000003</v>
      </c>
      <c r="AB84" s="6">
        <f>[1]Results!AE1567</f>
        <v>66673.388479999994</v>
      </c>
      <c r="AC84" s="6">
        <f>[1]Results!AF1567</f>
        <v>67426.960789999997</v>
      </c>
      <c r="AD84" s="6">
        <f>[1]Results!AG1567</f>
        <v>68184.652000000002</v>
      </c>
      <c r="AE84" s="6">
        <f>[1]Results!AH1567</f>
        <v>68951.845319999993</v>
      </c>
      <c r="AF84" s="6">
        <f>[1]Results!AI1567</f>
        <v>69731.006829999998</v>
      </c>
      <c r="AG84" s="6">
        <f>[1]Results!AJ1567</f>
        <v>70523.422070000001</v>
      </c>
      <c r="AH84" s="6">
        <f>[1]Results!AK1567</f>
        <v>71329.647490000003</v>
      </c>
      <c r="AI84" s="6">
        <f>[1]Results!AL1567</f>
        <v>72149.768200000006</v>
      </c>
      <c r="AJ84" s="6">
        <f>[1]Results!AM1567</f>
        <v>72983.590849999993</v>
      </c>
      <c r="AK84" s="6">
        <f>[1]Results!AN1567</f>
        <v>73830.780870000002</v>
      </c>
      <c r="AL84" s="6">
        <f>[1]Results!AO1567</f>
        <v>74690.951289999997</v>
      </c>
      <c r="AM84" s="6">
        <f>[1]Results!AP1567</f>
        <v>75531.179889999999</v>
      </c>
      <c r="AN84" s="6">
        <f>[1]Results!AQ1567</f>
        <v>76379.054409999997</v>
      </c>
      <c r="AO84" s="6">
        <f>[1]Results!AR1567</f>
        <v>77234.070630000002</v>
      </c>
      <c r="AP84" s="6">
        <f>[1]Results!AS1567</f>
        <v>78097.133329999997</v>
      </c>
      <c r="AQ84" s="6">
        <f>[1]Results!AT1567</f>
        <v>78969.234989999997</v>
      </c>
      <c r="AR84" s="6">
        <f>[1]Results!AU1567</f>
        <v>79851.153200000001</v>
      </c>
      <c r="AS84" s="6">
        <f>[1]Results!AV1567</f>
        <v>80743.393320000003</v>
      </c>
      <c r="AT84" s="6">
        <f>[1]Results!AW1567</f>
        <v>81646.219700000001</v>
      </c>
      <c r="AU84" s="6">
        <f>[1]Results!AX1567</f>
        <v>82559.719620000003</v>
      </c>
      <c r="AV84" s="6">
        <f>[1]Results!AY1567</f>
        <v>83483.870389999996</v>
      </c>
      <c r="AW84" s="6">
        <f>[1]Results!AZ1567</f>
        <v>84421.495200000005</v>
      </c>
      <c r="AX84" s="6">
        <f>[1]Results!BA1567</f>
        <v>85370.015880000006</v>
      </c>
      <c r="AY84" s="6">
        <f>[1]Results!BB1567</f>
        <v>86329.368929999997</v>
      </c>
      <c r="AZ84" s="6">
        <f>[1]Results!BC1567</f>
        <v>87299.389120000007</v>
      </c>
      <c r="BA84" s="6">
        <f>[1]Results!BD1567</f>
        <v>88279.930890000003</v>
      </c>
      <c r="BB84" s="6">
        <f>[1]Results!BE1567</f>
        <v>104551.2357</v>
      </c>
      <c r="BC84" s="6">
        <f>[1]Results!BF1567</f>
        <v>106267.7761</v>
      </c>
      <c r="BD84" s="6">
        <f>[1]Results!BG1567</f>
        <v>108015.0258</v>
      </c>
      <c r="BE84" s="6">
        <f>[1]Results!BH1567</f>
        <v>109793.6344</v>
      </c>
      <c r="BF84" s="6">
        <f>[1]Results!BI1567</f>
        <v>111604.26330000001</v>
      </c>
    </row>
    <row r="85" spans="1:58" x14ac:dyDescent="0.35">
      <c r="B85" t="s">
        <v>10</v>
      </c>
      <c r="C85" s="6">
        <f>[1]Results!F1572</f>
        <v>1514087.1470000001</v>
      </c>
      <c r="D85" s="6">
        <f>[1]Results!G1572</f>
        <v>1533401.8049999999</v>
      </c>
      <c r="E85" s="6">
        <f>[1]Results!H1572</f>
        <v>1554896.1610000001</v>
      </c>
      <c r="F85" s="6">
        <f>[1]Results!I1572</f>
        <v>1577675.594</v>
      </c>
      <c r="G85" s="6">
        <f>[1]Results!J1572</f>
        <v>1601624.811</v>
      </c>
      <c r="H85" s="6">
        <f>[1]Results!K1572</f>
        <v>1626625.5619999999</v>
      </c>
      <c r="I85" s="6">
        <f>[1]Results!L1572</f>
        <v>1651423.5789999999</v>
      </c>
      <c r="J85" s="6">
        <f>[1]Results!M1572</f>
        <v>1676796.5789999999</v>
      </c>
      <c r="K85" s="6">
        <f>[1]Results!N1572</f>
        <v>1702699.48</v>
      </c>
      <c r="L85" s="6">
        <f>[1]Results!O1572</f>
        <v>1729098.0379999999</v>
      </c>
      <c r="M85" s="6">
        <f>[1]Results!P1572</f>
        <v>1757953.7479999999</v>
      </c>
      <c r="N85" s="6">
        <f>[1]Results!Q1572</f>
        <v>1785695.3389999999</v>
      </c>
      <c r="O85" s="6">
        <f>[1]Results!R1572</f>
        <v>1813749.014</v>
      </c>
      <c r="P85" s="6">
        <f>[1]Results!S1572</f>
        <v>1842076.669</v>
      </c>
      <c r="Q85" s="6">
        <f>[1]Results!T1572</f>
        <v>1870663.6340000001</v>
      </c>
      <c r="R85" s="6">
        <f>[1]Results!U1572</f>
        <v>1899507.662</v>
      </c>
      <c r="S85" s="6">
        <f>[1]Results!V1572</f>
        <v>1928613.8840000001</v>
      </c>
      <c r="T85" s="6">
        <f>[1]Results!W1572</f>
        <v>1957990.899</v>
      </c>
      <c r="U85" s="6">
        <f>[1]Results!X1572</f>
        <v>1987648.9469999999</v>
      </c>
      <c r="V85" s="6">
        <f>[1]Results!Y1572</f>
        <v>2017599.5330000001</v>
      </c>
      <c r="W85" s="6">
        <f>[1]Results!Z1572</f>
        <v>2046384.594</v>
      </c>
      <c r="X85" s="6">
        <f>[1]Results!AA1572</f>
        <v>2076621.84</v>
      </c>
      <c r="Y85" s="6">
        <f>[1]Results!AB1572</f>
        <v>2107262.6779999998</v>
      </c>
      <c r="Z85" s="6">
        <f>[1]Results!AC1572</f>
        <v>2138331.0929999999</v>
      </c>
      <c r="AA85" s="6">
        <f>[1]Results!AD1572</f>
        <v>2169836.554</v>
      </c>
      <c r="AB85" s="6">
        <f>[1]Results!AE1572</f>
        <v>2197545.7000000002</v>
      </c>
      <c r="AC85" s="6">
        <f>[1]Results!AF1572</f>
        <v>2226940.8059999999</v>
      </c>
      <c r="AD85" s="6">
        <f>[1]Results!AG1572</f>
        <v>2256486.3199999998</v>
      </c>
      <c r="AE85" s="6">
        <f>[1]Results!AH1572</f>
        <v>2286292.4360000002</v>
      </c>
      <c r="AF85" s="6">
        <f>[1]Results!AI1572</f>
        <v>2316437.477</v>
      </c>
      <c r="AG85" s="6">
        <f>[1]Results!AJ1572</f>
        <v>2346972.071</v>
      </c>
      <c r="AH85" s="6">
        <f>[1]Results!AK1572</f>
        <v>2377924.1120000002</v>
      </c>
      <c r="AI85" s="6">
        <f>[1]Results!AL1572</f>
        <v>2409306.4300000002</v>
      </c>
      <c r="AJ85" s="6">
        <f>[1]Results!AM1572</f>
        <v>2441123.4739999999</v>
      </c>
      <c r="AK85" s="6">
        <f>[1]Results!AN1572</f>
        <v>2473375.9909999999</v>
      </c>
      <c r="AL85" s="6">
        <f>[1]Results!AO1572</f>
        <v>2506063.7930000001</v>
      </c>
      <c r="AM85" s="6">
        <f>[1]Results!AP1572</f>
        <v>2538167.9950000001</v>
      </c>
      <c r="AN85" s="6">
        <f>[1]Results!AQ1572</f>
        <v>2570459.5249999999</v>
      </c>
      <c r="AO85" s="6">
        <f>[1]Results!AR1572</f>
        <v>2602985.0359999998</v>
      </c>
      <c r="AP85" s="6">
        <f>[1]Results!AS1572</f>
        <v>2635795.56</v>
      </c>
      <c r="AQ85" s="6">
        <f>[1]Results!AT1572</f>
        <v>2668936.548</v>
      </c>
      <c r="AR85" s="6">
        <f>[1]Results!AU1572</f>
        <v>2702443.2390000001</v>
      </c>
      <c r="AS85" s="6">
        <f>[1]Results!AV1572</f>
        <v>2736339.5520000001</v>
      </c>
      <c r="AT85" s="6">
        <f>[1]Results!AW1572</f>
        <v>2770639.61</v>
      </c>
      <c r="AU85" s="6">
        <f>[1]Results!AX1572</f>
        <v>2805350.4339999999</v>
      </c>
      <c r="AV85" s="6">
        <f>[1]Results!AY1572</f>
        <v>2840474.7340000002</v>
      </c>
      <c r="AW85" s="6">
        <f>[1]Results!AZ1572</f>
        <v>2876104.8309999998</v>
      </c>
      <c r="AX85" s="6">
        <f>[1]Results!BA1572</f>
        <v>2912171.7289999998</v>
      </c>
      <c r="AY85" s="6">
        <f>[1]Results!BB1572</f>
        <v>2948672.0630000001</v>
      </c>
      <c r="AZ85" s="6">
        <f>[1]Results!BC1572</f>
        <v>2985602.9950000001</v>
      </c>
      <c r="BA85" s="6">
        <f>[1]Results!BD1572</f>
        <v>3022963.0660000001</v>
      </c>
      <c r="BB85" s="6">
        <f>[1]Results!BE1572</f>
        <v>3421146.1329999999</v>
      </c>
      <c r="BC85" s="6">
        <f>[1]Results!BF1572</f>
        <v>3478549.7910000002</v>
      </c>
      <c r="BD85" s="6">
        <f>[1]Results!BG1572</f>
        <v>3536883.7719999999</v>
      </c>
      <c r="BE85" s="6">
        <f>[1]Results!BH1572</f>
        <v>3596166.577</v>
      </c>
      <c r="BF85" s="6">
        <f>[1]Results!BI1572</f>
        <v>3656417.5589999999</v>
      </c>
    </row>
    <row r="86" spans="1:58" x14ac:dyDescent="0.35">
      <c r="B86" t="s">
        <v>29</v>
      </c>
      <c r="C86" s="6">
        <f>C91-C87</f>
        <v>-1911.7869968</v>
      </c>
      <c r="D86" s="6">
        <f t="shared" ref="D86:AL86" si="50">D91-D87</f>
        <v>-1937.8396182999998</v>
      </c>
      <c r="E86" s="6">
        <f t="shared" si="50"/>
        <v>-1945.4158663000001</v>
      </c>
      <c r="F86" s="6">
        <f t="shared" si="50"/>
        <v>-1949.4533898999998</v>
      </c>
      <c r="G86" s="6">
        <f t="shared" si="50"/>
        <v>-1955.868868</v>
      </c>
      <c r="H86" s="6">
        <f t="shared" si="50"/>
        <v>-1966.2398789000001</v>
      </c>
      <c r="I86" s="6">
        <f t="shared" si="50"/>
        <v>-1981.2246770999998</v>
      </c>
      <c r="J86" s="6">
        <f t="shared" si="50"/>
        <v>-1997.1727345000002</v>
      </c>
      <c r="K86" s="6">
        <f t="shared" si="50"/>
        <v>-2014.5162458</v>
      </c>
      <c r="L86" s="6">
        <f t="shared" si="50"/>
        <v>-2032.9556627000002</v>
      </c>
      <c r="M86" s="6">
        <f t="shared" si="50"/>
        <v>-2050.3981365999998</v>
      </c>
      <c r="N86" s="6">
        <f t="shared" si="50"/>
        <v>-2073.1973185000002</v>
      </c>
      <c r="O86" s="6">
        <f t="shared" si="50"/>
        <v>-2094.0715885</v>
      </c>
      <c r="P86" s="6">
        <f t="shared" si="50"/>
        <v>-2114.5559736999999</v>
      </c>
      <c r="Q86" s="6">
        <f t="shared" si="50"/>
        <v>-2135.0051769000002</v>
      </c>
      <c r="R86" s="6">
        <f t="shared" si="50"/>
        <v>-2155.4852845999999</v>
      </c>
      <c r="S86" s="6">
        <f t="shared" si="50"/>
        <v>-2176.0053511000001</v>
      </c>
      <c r="T86" s="6">
        <f t="shared" si="50"/>
        <v>-2196.5720851000001</v>
      </c>
      <c r="U86" s="6">
        <f t="shared" si="50"/>
        <v>-2217.1997964000002</v>
      </c>
      <c r="V86" s="6">
        <f t="shared" si="50"/>
        <v>-2237.9098629999999</v>
      </c>
      <c r="W86" s="6">
        <f t="shared" si="50"/>
        <v>-2259.9886650000003</v>
      </c>
      <c r="X86" s="6">
        <f t="shared" si="50"/>
        <v>-2278.6513903999999</v>
      </c>
      <c r="Y86" s="6">
        <f t="shared" si="50"/>
        <v>-2299.1258165999998</v>
      </c>
      <c r="Z86" s="6">
        <f t="shared" si="50"/>
        <v>-2320.2201105999998</v>
      </c>
      <c r="AA86" s="6">
        <f t="shared" si="50"/>
        <v>-2341.6559979000003</v>
      </c>
      <c r="AB86" s="6">
        <f t="shared" si="50"/>
        <v>-2366.9791544999998</v>
      </c>
      <c r="AC86" s="6">
        <f t="shared" si="50"/>
        <v>-2384.1342184999999</v>
      </c>
      <c r="AD86" s="6">
        <f t="shared" si="50"/>
        <v>-2403.2339237000001</v>
      </c>
      <c r="AE86" s="6">
        <f t="shared" si="50"/>
        <v>-2422.9747182999999</v>
      </c>
      <c r="AF86" s="6">
        <f t="shared" si="50"/>
        <v>-2443.0586568999997</v>
      </c>
      <c r="AG86" s="6">
        <f t="shared" si="50"/>
        <v>-2463.4419226999999</v>
      </c>
      <c r="AH86" s="6">
        <f t="shared" si="50"/>
        <v>-2484.1369585000002</v>
      </c>
      <c r="AI86" s="6">
        <f t="shared" si="50"/>
        <v>-2505.1619185</v>
      </c>
      <c r="AJ86" s="6">
        <f t="shared" si="50"/>
        <v>-2526.5286874999997</v>
      </c>
      <c r="AK86" s="6">
        <f t="shared" si="50"/>
        <v>-2548.2415110000002</v>
      </c>
      <c r="AL86" s="6">
        <f t="shared" si="50"/>
        <v>-2570.2985722999997</v>
      </c>
      <c r="AM86" s="6">
        <f t="shared" ref="AM86:BC86" si="51">AM91-AM87</f>
        <v>-2593.5442751</v>
      </c>
      <c r="AN86" s="6">
        <f t="shared" si="51"/>
        <v>-2615.5586871</v>
      </c>
      <c r="AO86" s="6">
        <f t="shared" si="51"/>
        <v>-2637.4573793</v>
      </c>
      <c r="AP86" s="6">
        <f t="shared" si="51"/>
        <v>-2659.5143204999999</v>
      </c>
      <c r="AQ86" s="6">
        <f t="shared" si="51"/>
        <v>-2681.8001552000001</v>
      </c>
      <c r="AR86" s="6">
        <f t="shared" si="51"/>
        <v>-2704.3390804000001</v>
      </c>
      <c r="AS86" s="6">
        <f t="shared" si="51"/>
        <v>-2727.1450575999997</v>
      </c>
      <c r="AT86" s="6">
        <f t="shared" si="51"/>
        <v>-2750.2290174</v>
      </c>
      <c r="AU86" s="6">
        <f t="shared" si="51"/>
        <v>-2773.5997149999998</v>
      </c>
      <c r="AV86" s="6">
        <f t="shared" si="51"/>
        <v>-2797.2637256000003</v>
      </c>
      <c r="AW86" s="6">
        <f t="shared" si="51"/>
        <v>-2821.1502879999998</v>
      </c>
      <c r="AX86" s="6">
        <f t="shared" si="51"/>
        <v>-2845.4780113000002</v>
      </c>
      <c r="AY86" s="6">
        <f t="shared" si="51"/>
        <v>-2870.1479823</v>
      </c>
      <c r="AZ86" s="6">
        <f t="shared" si="51"/>
        <v>-2895.1376653000002</v>
      </c>
      <c r="BA86" s="6">
        <f t="shared" si="51"/>
        <v>-2920.4432012999996</v>
      </c>
      <c r="BB86" s="6">
        <f t="shared" si="51"/>
        <v>-3212.5964703</v>
      </c>
      <c r="BC86" s="6">
        <f t="shared" si="51"/>
        <v>-3251.6850312999995</v>
      </c>
      <c r="BD86" s="6">
        <f t="shared" ref="BD86:BF86" si="52">BD91-BD87</f>
        <v>-3291.3817263000001</v>
      </c>
      <c r="BE86" s="6">
        <f t="shared" si="52"/>
        <v>-3331.7048092999999</v>
      </c>
      <c r="BF86" s="6">
        <f t="shared" si="52"/>
        <v>-3372.6722903</v>
      </c>
    </row>
    <row r="87" spans="1:58" x14ac:dyDescent="0.35">
      <c r="B87" t="s">
        <v>36</v>
      </c>
      <c r="C87" s="6">
        <f>C89+C90</f>
        <v>-117.47891520000002</v>
      </c>
      <c r="D87" s="6">
        <f t="shared" ref="D87:AL87" si="53">D89+D90</f>
        <v>-123.54033369999996</v>
      </c>
      <c r="E87" s="6">
        <f t="shared" si="53"/>
        <v>-126.38328970000003</v>
      </c>
      <c r="F87" s="6">
        <f t="shared" si="53"/>
        <v>-129.12260810000004</v>
      </c>
      <c r="G87" s="6">
        <f t="shared" si="53"/>
        <v>-132.98647699999998</v>
      </c>
      <c r="H87" s="6">
        <f t="shared" si="53"/>
        <v>-138.18066809999999</v>
      </c>
      <c r="I87" s="6">
        <f t="shared" si="53"/>
        <v>-144.39119090000003</v>
      </c>
      <c r="J87" s="6">
        <f t="shared" si="53"/>
        <v>-151.21647649999994</v>
      </c>
      <c r="K87" s="6">
        <f t="shared" si="53"/>
        <v>-158.57372119999997</v>
      </c>
      <c r="L87" s="6">
        <f t="shared" si="53"/>
        <v>-166.32396230000001</v>
      </c>
      <c r="M87" s="6">
        <f t="shared" si="53"/>
        <v>-174.57297739999996</v>
      </c>
      <c r="N87" s="6">
        <f t="shared" si="53"/>
        <v>-183.25292150000001</v>
      </c>
      <c r="O87" s="6">
        <f t="shared" si="53"/>
        <v>-191.80398350000002</v>
      </c>
      <c r="P87" s="6">
        <f t="shared" si="53"/>
        <v>-200.38819129999996</v>
      </c>
      <c r="Q87" s="6">
        <f t="shared" si="53"/>
        <v>-209.02184210000001</v>
      </c>
      <c r="R87" s="6">
        <f t="shared" si="53"/>
        <v>-217.69693239999998</v>
      </c>
      <c r="S87" s="6">
        <f t="shared" si="53"/>
        <v>-226.40518289999994</v>
      </c>
      <c r="T87" s="6">
        <f t="shared" si="53"/>
        <v>-235.14248589999994</v>
      </c>
      <c r="U87" s="6">
        <f t="shared" si="53"/>
        <v>-243.90895159999997</v>
      </c>
      <c r="V87" s="6">
        <f t="shared" si="53"/>
        <v>-252.70806599999997</v>
      </c>
      <c r="W87" s="6">
        <f t="shared" si="53"/>
        <v>-261.38457299999999</v>
      </c>
      <c r="X87" s="6">
        <f t="shared" si="53"/>
        <v>-269.93894759999995</v>
      </c>
      <c r="Y87" s="6">
        <f t="shared" si="53"/>
        <v>-278.75027640000002</v>
      </c>
      <c r="Z87" s="6">
        <f t="shared" si="53"/>
        <v>-287.67910139999998</v>
      </c>
      <c r="AA87" s="6">
        <f t="shared" si="53"/>
        <v>-296.70368909999996</v>
      </c>
      <c r="AB87" s="6">
        <f t="shared" si="53"/>
        <v>-305.36289049999999</v>
      </c>
      <c r="AC87" s="6">
        <f t="shared" si="53"/>
        <v>-313.42513649999995</v>
      </c>
      <c r="AD87" s="6">
        <f t="shared" si="53"/>
        <v>-321.72849330000003</v>
      </c>
      <c r="AE87" s="6">
        <f t="shared" si="53"/>
        <v>-330.1185807</v>
      </c>
      <c r="AF87" s="6">
        <f t="shared" si="53"/>
        <v>-338.58004409999995</v>
      </c>
      <c r="AG87" s="6">
        <f t="shared" si="53"/>
        <v>-347.1236763</v>
      </c>
      <c r="AH87" s="6">
        <f t="shared" si="53"/>
        <v>-355.76352249999997</v>
      </c>
      <c r="AI87" s="6">
        <f t="shared" si="53"/>
        <v>-364.5115255</v>
      </c>
      <c r="AJ87" s="6">
        <f t="shared" si="53"/>
        <v>-373.37652350000002</v>
      </c>
      <c r="AK87" s="6">
        <f t="shared" si="53"/>
        <v>-382.36450199999996</v>
      </c>
      <c r="AL87" s="6">
        <f t="shared" si="53"/>
        <v>-391.47918069999997</v>
      </c>
      <c r="AM87" s="6">
        <f t="shared" ref="AM87:BC87" si="54">AM89+AM90</f>
        <v>-400.61200389999993</v>
      </c>
      <c r="AN87" s="6">
        <f t="shared" si="54"/>
        <v>-409.64846189999997</v>
      </c>
      <c r="AO87" s="6">
        <f t="shared" si="54"/>
        <v>-418.72654170000004</v>
      </c>
      <c r="AP87" s="6">
        <f t="shared" si="54"/>
        <v>-427.88076849999999</v>
      </c>
      <c r="AQ87" s="6">
        <f t="shared" si="54"/>
        <v>-437.12440280000004</v>
      </c>
      <c r="AR87" s="6">
        <f t="shared" si="54"/>
        <v>-446.46589560000001</v>
      </c>
      <c r="AS87" s="6">
        <f t="shared" si="54"/>
        <v>-455.91221539999998</v>
      </c>
      <c r="AT87" s="6">
        <f t="shared" si="54"/>
        <v>-465.46936060000002</v>
      </c>
      <c r="AU87" s="6">
        <f t="shared" si="54"/>
        <v>-475.14238600000004</v>
      </c>
      <c r="AV87" s="6">
        <f t="shared" si="54"/>
        <v>-484.93546139999995</v>
      </c>
      <c r="AW87" s="6">
        <f t="shared" si="54"/>
        <v>-494.86192999999997</v>
      </c>
      <c r="AX87" s="6">
        <f t="shared" si="54"/>
        <v>-504.93496569999996</v>
      </c>
      <c r="AY87" s="6">
        <f t="shared" si="54"/>
        <v>-515.1447126999999</v>
      </c>
      <c r="AZ87" s="6">
        <f t="shared" si="54"/>
        <v>-525.49055769999995</v>
      </c>
      <c r="BA87" s="6">
        <f t="shared" si="54"/>
        <v>-535.97380369999996</v>
      </c>
      <c r="BB87" s="6">
        <f t="shared" si="54"/>
        <v>-648.64541170000007</v>
      </c>
      <c r="BC87" s="6">
        <f t="shared" si="54"/>
        <v>-664.41563470000006</v>
      </c>
      <c r="BD87" s="6">
        <f t="shared" ref="BD87:BF87" si="55">BD89+BD90</f>
        <v>-680.42707369999994</v>
      </c>
      <c r="BE87" s="6">
        <f t="shared" si="55"/>
        <v>-696.68672370000013</v>
      </c>
      <c r="BF87" s="6">
        <f t="shared" si="55"/>
        <v>-713.20208670000011</v>
      </c>
    </row>
    <row r="88" spans="1:58" x14ac:dyDescent="0.35">
      <c r="B88" t="s">
        <v>33</v>
      </c>
      <c r="C88" s="6">
        <f>[1]Results!F1580</f>
        <v>40626.97135</v>
      </c>
      <c r="D88" s="6">
        <f>[1]Results!G1580</f>
        <v>40929.319869999999</v>
      </c>
      <c r="E88" s="6">
        <f>[1]Results!H1580</f>
        <v>41195.109929999999</v>
      </c>
      <c r="F88" s="6">
        <f>[1]Results!I1580</f>
        <v>41470.233379999998</v>
      </c>
      <c r="G88" s="6">
        <f>[1]Results!J1580</f>
        <v>41770.496809999997</v>
      </c>
      <c r="H88" s="6">
        <f>[1]Results!K1580</f>
        <v>42096.913560000001</v>
      </c>
      <c r="I88" s="6">
        <f>[1]Results!L1580</f>
        <v>42422.167509999999</v>
      </c>
      <c r="J88" s="6">
        <f>[1]Results!M1580</f>
        <v>42753.578730000001</v>
      </c>
      <c r="K88" s="6">
        <f>[1]Results!N1580</f>
        <v>43089.027770000001</v>
      </c>
      <c r="L88" s="6">
        <f>[1]Results!O1580</f>
        <v>43425.284619999999</v>
      </c>
      <c r="M88" s="6">
        <f>[1]Results!P1580</f>
        <v>43798.452530000002</v>
      </c>
      <c r="N88" s="6">
        <f>[1]Results!Q1580</f>
        <v>44143.786209999998</v>
      </c>
      <c r="O88" s="6">
        <f>[1]Results!R1580</f>
        <v>44477.379829999998</v>
      </c>
      <c r="P88" s="6">
        <f>[1]Results!S1580</f>
        <v>44802.487229999999</v>
      </c>
      <c r="Q88" s="6">
        <f>[1]Results!T1580</f>
        <v>45120.548210000001</v>
      </c>
      <c r="R88" s="6">
        <f>[1]Results!U1580</f>
        <v>45432.787729999996</v>
      </c>
      <c r="S88" s="6">
        <f>[1]Results!V1580</f>
        <v>45740.631410000002</v>
      </c>
      <c r="T88" s="6">
        <f>[1]Results!W1580</f>
        <v>46045.739750000001</v>
      </c>
      <c r="U88" s="6">
        <f>[1]Results!X1580</f>
        <v>46349.921560000003</v>
      </c>
      <c r="V88" s="6">
        <f>[1]Results!Y1580</f>
        <v>46655.019209999999</v>
      </c>
      <c r="W88" s="6">
        <f>[1]Results!Z1580</f>
        <v>46935.341639999999</v>
      </c>
      <c r="X88" s="6">
        <f>[1]Results!AA1580</f>
        <v>47237.045859999998</v>
      </c>
      <c r="Y88" s="6">
        <f>[1]Results!AB1580</f>
        <v>47549.208489999997</v>
      </c>
      <c r="Z88" s="6">
        <f>[1]Results!AC1580</f>
        <v>47870.543619999997</v>
      </c>
      <c r="AA88" s="6">
        <f>[1]Results!AD1580</f>
        <v>48201.200689999998</v>
      </c>
      <c r="AB88" s="6">
        <f>[1]Results!AE1580</f>
        <v>48464.325230000002</v>
      </c>
      <c r="AC88" s="6">
        <f>[1]Results!AF1580</f>
        <v>48749.020049999999</v>
      </c>
      <c r="AD88" s="6">
        <f>[1]Results!AG1580</f>
        <v>49042.841869999997</v>
      </c>
      <c r="AE88" s="6">
        <f>[1]Results!AH1580</f>
        <v>49344.908940000001</v>
      </c>
      <c r="AF88" s="6">
        <f>[1]Results!AI1580</f>
        <v>49655.685599999997</v>
      </c>
      <c r="AG88" s="6">
        <f>[1]Results!AJ1580</f>
        <v>49975.83135</v>
      </c>
      <c r="AH88" s="6">
        <f>[1]Results!AK1580</f>
        <v>50305.83079</v>
      </c>
      <c r="AI88" s="6">
        <f>[1]Results!AL1580</f>
        <v>50645.875290000004</v>
      </c>
      <c r="AJ88" s="6">
        <f>[1]Results!AM1580</f>
        <v>50995.851369999997</v>
      </c>
      <c r="AK88" s="6">
        <f>[1]Results!AN1580</f>
        <v>51355.382830000002</v>
      </c>
      <c r="AL88" s="6">
        <f>[1]Results!AO1580</f>
        <v>51723.897400000002</v>
      </c>
      <c r="AM88" s="6">
        <f>[1]Results!AP1580</f>
        <v>52082.932339999999</v>
      </c>
      <c r="AN88" s="6">
        <f>[1]Results!AQ1580</f>
        <v>52442.70779</v>
      </c>
      <c r="AO88" s="6">
        <f>[1]Results!AR1580</f>
        <v>52805.388339999998</v>
      </c>
      <c r="AP88" s="6">
        <f>[1]Results!AS1580</f>
        <v>53171.655100000004</v>
      </c>
      <c r="AQ88" s="6">
        <f>[1]Results!AT1580</f>
        <v>53541.788</v>
      </c>
      <c r="AR88" s="6">
        <f>[1]Results!AU1580</f>
        <v>53915.971109999999</v>
      </c>
      <c r="AS88" s="6">
        <f>[1]Results!AV1580</f>
        <v>54294.359640000002</v>
      </c>
      <c r="AT88" s="6">
        <f>[1]Results!AW1580</f>
        <v>54677.074990000001</v>
      </c>
      <c r="AU88" s="6">
        <f>[1]Results!AX1580</f>
        <v>55064.186300000001</v>
      </c>
      <c r="AV88" s="6">
        <f>[1]Results!AY1580</f>
        <v>55455.698810000002</v>
      </c>
      <c r="AW88" s="6">
        <f>[1]Results!AZ1580</f>
        <v>55853.097170000001</v>
      </c>
      <c r="AX88" s="6">
        <f>[1]Results!BA1580</f>
        <v>56255.307359999999</v>
      </c>
      <c r="AY88" s="6">
        <f>[1]Results!BB1580</f>
        <v>56661.924740000002</v>
      </c>
      <c r="AZ88" s="6">
        <f>[1]Results!BC1580</f>
        <v>57072.650600000001</v>
      </c>
      <c r="BA88" s="6">
        <f>[1]Results!BD1580</f>
        <v>57487.216180000003</v>
      </c>
      <c r="BB88" s="6">
        <f>[1]Results!BE1580</f>
        <v>66761.92697</v>
      </c>
      <c r="BC88" s="6">
        <f>[1]Results!BF1580</f>
        <v>67613.189150000006</v>
      </c>
      <c r="BD88" s="6">
        <f>[1]Results!BG1580</f>
        <v>68479.501260000005</v>
      </c>
      <c r="BE88" s="6">
        <f>[1]Results!BH1580</f>
        <v>69361.150169999994</v>
      </c>
      <c r="BF88" s="6">
        <f>[1]Results!BI1580</f>
        <v>70258.379430000001</v>
      </c>
    </row>
    <row r="89" spans="1:58" x14ac:dyDescent="0.35">
      <c r="B89" t="s">
        <v>35</v>
      </c>
      <c r="C89" s="6">
        <f>[1]Results!F1577</f>
        <v>-613.15918850000003</v>
      </c>
      <c r="D89" s="6">
        <f>[1]Results!G1577</f>
        <v>-619.22060699999997</v>
      </c>
      <c r="E89" s="6">
        <f>[1]Results!H1577</f>
        <v>-622.06356300000004</v>
      </c>
      <c r="F89" s="6">
        <f>[1]Results!I1577</f>
        <v>-624.80288140000005</v>
      </c>
      <c r="G89" s="6">
        <f>[1]Results!J1577</f>
        <v>-628.66675029999999</v>
      </c>
      <c r="H89" s="6">
        <f>[1]Results!K1577</f>
        <v>-633.8609414</v>
      </c>
      <c r="I89" s="6">
        <f>[1]Results!L1577</f>
        <v>-640.07146420000004</v>
      </c>
      <c r="J89" s="6">
        <f>[1]Results!M1577</f>
        <v>-646.89674979999995</v>
      </c>
      <c r="K89" s="6">
        <f>[1]Results!N1577</f>
        <v>-654.25399449999998</v>
      </c>
      <c r="L89" s="6">
        <f>[1]Results!O1577</f>
        <v>-662.00423560000002</v>
      </c>
      <c r="M89" s="6">
        <f>[1]Results!P1577</f>
        <v>-670.25325069999997</v>
      </c>
      <c r="N89" s="6">
        <f>[1]Results!Q1577</f>
        <v>-678.93319480000002</v>
      </c>
      <c r="O89" s="6">
        <f>[1]Results!R1577</f>
        <v>-687.48425680000003</v>
      </c>
      <c r="P89" s="6">
        <f>[1]Results!S1577</f>
        <v>-696.06846459999997</v>
      </c>
      <c r="Q89" s="6">
        <f>[1]Results!T1577</f>
        <v>-704.70211540000003</v>
      </c>
      <c r="R89" s="6">
        <f>[1]Results!U1577</f>
        <v>-713.37720569999999</v>
      </c>
      <c r="S89" s="6">
        <f>[1]Results!V1577</f>
        <v>-722.08545619999995</v>
      </c>
      <c r="T89" s="6">
        <f>[1]Results!W1577</f>
        <v>-730.82275919999995</v>
      </c>
      <c r="U89" s="6">
        <f>[1]Results!X1577</f>
        <v>-739.58922489999998</v>
      </c>
      <c r="V89" s="6">
        <f>[1]Results!Y1577</f>
        <v>-748.38833929999998</v>
      </c>
      <c r="W89" s="6">
        <f>[1]Results!Z1577</f>
        <v>-757.0648463</v>
      </c>
      <c r="X89" s="6">
        <f>[1]Results!AA1577</f>
        <v>-765.61922089999996</v>
      </c>
      <c r="Y89" s="6">
        <f>[1]Results!AB1577</f>
        <v>-774.43054970000003</v>
      </c>
      <c r="Z89" s="6">
        <f>[1]Results!AC1577</f>
        <v>-783.35937469999999</v>
      </c>
      <c r="AA89" s="6">
        <f>[1]Results!AD1577</f>
        <v>-792.38396239999997</v>
      </c>
      <c r="AB89" s="6">
        <f>[1]Results!AE1577</f>
        <v>-801.0431638</v>
      </c>
      <c r="AC89" s="6">
        <f>[1]Results!AF1577</f>
        <v>-809.10540979999996</v>
      </c>
      <c r="AD89" s="6">
        <f>[1]Results!AG1577</f>
        <v>-817.40876660000004</v>
      </c>
      <c r="AE89" s="6">
        <f>[1]Results!AH1577</f>
        <v>-825.79885400000001</v>
      </c>
      <c r="AF89" s="6">
        <f>[1]Results!AI1577</f>
        <v>-834.26031739999996</v>
      </c>
      <c r="AG89" s="6">
        <f>[1]Results!AJ1577</f>
        <v>-842.80394960000001</v>
      </c>
      <c r="AH89" s="6">
        <f>[1]Results!AK1577</f>
        <v>-851.44379579999998</v>
      </c>
      <c r="AI89" s="6">
        <f>[1]Results!AL1577</f>
        <v>-860.19179880000002</v>
      </c>
      <c r="AJ89" s="6">
        <f>[1]Results!AM1577</f>
        <v>-869.05679680000003</v>
      </c>
      <c r="AK89" s="6">
        <f>[1]Results!AN1577</f>
        <v>-878.04477529999997</v>
      </c>
      <c r="AL89" s="6">
        <f>[1]Results!AO1577</f>
        <v>-887.15945399999998</v>
      </c>
      <c r="AM89" s="6">
        <f>[1]Results!AP1577</f>
        <v>-896.29227719999994</v>
      </c>
      <c r="AN89" s="6">
        <f>[1]Results!AQ1577</f>
        <v>-905.32873519999998</v>
      </c>
      <c r="AO89" s="6">
        <f>[1]Results!AR1577</f>
        <v>-914.40681500000005</v>
      </c>
      <c r="AP89" s="6">
        <f>[1]Results!AS1577</f>
        <v>-923.5610418</v>
      </c>
      <c r="AQ89" s="6">
        <f>[1]Results!AT1577</f>
        <v>-932.80467610000005</v>
      </c>
      <c r="AR89" s="6">
        <f>[1]Results!AU1577</f>
        <v>-942.14616890000002</v>
      </c>
      <c r="AS89" s="6">
        <f>[1]Results!AV1577</f>
        <v>-951.59248869999999</v>
      </c>
      <c r="AT89" s="6">
        <f>[1]Results!AW1577</f>
        <v>-961.14963390000003</v>
      </c>
      <c r="AU89" s="6">
        <f>[1]Results!AX1577</f>
        <v>-970.82265930000005</v>
      </c>
      <c r="AV89" s="6">
        <f>[1]Results!AY1577</f>
        <v>-980.61573469999996</v>
      </c>
      <c r="AW89" s="6">
        <f>[1]Results!AZ1577</f>
        <v>-990.54220329999998</v>
      </c>
      <c r="AX89" s="6">
        <f>[1]Results!BA1577</f>
        <v>-1000.615239</v>
      </c>
      <c r="AY89" s="6">
        <f>[1]Results!BB1577</f>
        <v>-1010.824986</v>
      </c>
      <c r="AZ89" s="6">
        <f>[1]Results!BC1577</f>
        <v>-1021.170831</v>
      </c>
      <c r="BA89" s="6">
        <f>[1]Results!BD1577</f>
        <v>-1031.6540769999999</v>
      </c>
      <c r="BB89" s="6">
        <f>[1]Results!BE1577</f>
        <v>-1144.325685</v>
      </c>
      <c r="BC89" s="6">
        <f>[1]Results!BF1577</f>
        <v>-1160.095908</v>
      </c>
      <c r="BD89" s="6">
        <f>[1]Results!BG1577</f>
        <v>-1176.1073469999999</v>
      </c>
      <c r="BE89" s="6">
        <f>[1]Results!BH1577</f>
        <v>-1192.3669970000001</v>
      </c>
      <c r="BF89" s="6">
        <f>[1]Results!BI1577</f>
        <v>-1208.8823600000001</v>
      </c>
    </row>
    <row r="90" spans="1:58" x14ac:dyDescent="0.35">
      <c r="B90" t="s">
        <v>34</v>
      </c>
      <c r="C90" s="6">
        <f>[1]Results!$F1579</f>
        <v>495.68027330000001</v>
      </c>
      <c r="D90" s="6">
        <f>[1]Results!$F1579</f>
        <v>495.68027330000001</v>
      </c>
      <c r="E90" s="6">
        <f>[1]Results!$F1579</f>
        <v>495.68027330000001</v>
      </c>
      <c r="F90" s="6">
        <f>[1]Results!$F1579</f>
        <v>495.68027330000001</v>
      </c>
      <c r="G90" s="6">
        <f>[1]Results!$F1579</f>
        <v>495.68027330000001</v>
      </c>
      <c r="H90" s="6">
        <f>[1]Results!$F1579</f>
        <v>495.68027330000001</v>
      </c>
      <c r="I90" s="6">
        <f>[1]Results!$F1579</f>
        <v>495.68027330000001</v>
      </c>
      <c r="J90" s="6">
        <f>[1]Results!$F1579</f>
        <v>495.68027330000001</v>
      </c>
      <c r="K90" s="6">
        <f>[1]Results!$F1579</f>
        <v>495.68027330000001</v>
      </c>
      <c r="L90" s="6">
        <f>[1]Results!$F1579</f>
        <v>495.68027330000001</v>
      </c>
      <c r="M90" s="6">
        <f>[1]Results!$F1579</f>
        <v>495.68027330000001</v>
      </c>
      <c r="N90" s="6">
        <f>[1]Results!$F1579</f>
        <v>495.68027330000001</v>
      </c>
      <c r="O90" s="6">
        <f>[1]Results!$F1579</f>
        <v>495.68027330000001</v>
      </c>
      <c r="P90" s="6">
        <f>[1]Results!$F1579</f>
        <v>495.68027330000001</v>
      </c>
      <c r="Q90" s="6">
        <f>[1]Results!$F1579</f>
        <v>495.68027330000001</v>
      </c>
      <c r="R90" s="6">
        <f>[1]Results!$F1579</f>
        <v>495.68027330000001</v>
      </c>
      <c r="S90" s="6">
        <f>[1]Results!$F1579</f>
        <v>495.68027330000001</v>
      </c>
      <c r="T90" s="6">
        <f>[1]Results!$F1579</f>
        <v>495.68027330000001</v>
      </c>
      <c r="U90" s="6">
        <f>[1]Results!$F1579</f>
        <v>495.68027330000001</v>
      </c>
      <c r="V90" s="6">
        <f>[1]Results!$F1579</f>
        <v>495.68027330000001</v>
      </c>
      <c r="W90" s="6">
        <f>[1]Results!$F1579</f>
        <v>495.68027330000001</v>
      </c>
      <c r="X90" s="6">
        <f>[1]Results!$F1579</f>
        <v>495.68027330000001</v>
      </c>
      <c r="Y90" s="6">
        <f>[1]Results!$F1579</f>
        <v>495.68027330000001</v>
      </c>
      <c r="Z90" s="6">
        <f>[1]Results!$F1579</f>
        <v>495.68027330000001</v>
      </c>
      <c r="AA90" s="6">
        <f>[1]Results!$F1579</f>
        <v>495.68027330000001</v>
      </c>
      <c r="AB90" s="6">
        <f>[1]Results!$F1579</f>
        <v>495.68027330000001</v>
      </c>
      <c r="AC90" s="6">
        <f>[1]Results!$F1579</f>
        <v>495.68027330000001</v>
      </c>
      <c r="AD90" s="6">
        <f>[1]Results!$F1579</f>
        <v>495.68027330000001</v>
      </c>
      <c r="AE90" s="6">
        <f>[1]Results!$F1579</f>
        <v>495.68027330000001</v>
      </c>
      <c r="AF90" s="6">
        <f>[1]Results!$F1579</f>
        <v>495.68027330000001</v>
      </c>
      <c r="AG90" s="6">
        <f>[1]Results!$F1579</f>
        <v>495.68027330000001</v>
      </c>
      <c r="AH90" s="6">
        <f>[1]Results!$F1579</f>
        <v>495.68027330000001</v>
      </c>
      <c r="AI90" s="6">
        <f>[1]Results!$F1579</f>
        <v>495.68027330000001</v>
      </c>
      <c r="AJ90" s="6">
        <f>[1]Results!$F1579</f>
        <v>495.68027330000001</v>
      </c>
      <c r="AK90" s="6">
        <f>[1]Results!$F1579</f>
        <v>495.68027330000001</v>
      </c>
      <c r="AL90" s="6">
        <f>[1]Results!$F1579</f>
        <v>495.68027330000001</v>
      </c>
      <c r="AM90" s="6">
        <f>[1]Results!$F1579</f>
        <v>495.68027330000001</v>
      </c>
      <c r="AN90" s="6">
        <f>[1]Results!$F1579</f>
        <v>495.68027330000001</v>
      </c>
      <c r="AO90" s="6">
        <f>[1]Results!$F1579</f>
        <v>495.68027330000001</v>
      </c>
      <c r="AP90" s="6">
        <f>[1]Results!$F1579</f>
        <v>495.68027330000001</v>
      </c>
      <c r="AQ90" s="6">
        <f>[1]Results!$F1579</f>
        <v>495.68027330000001</v>
      </c>
      <c r="AR90" s="6">
        <f>[1]Results!$F1579</f>
        <v>495.68027330000001</v>
      </c>
      <c r="AS90" s="6">
        <f>[1]Results!$F1579</f>
        <v>495.68027330000001</v>
      </c>
      <c r="AT90" s="6">
        <f>[1]Results!$F1579</f>
        <v>495.68027330000001</v>
      </c>
      <c r="AU90" s="6">
        <f>[1]Results!$F1579</f>
        <v>495.68027330000001</v>
      </c>
      <c r="AV90" s="6">
        <f>[1]Results!$F1579</f>
        <v>495.68027330000001</v>
      </c>
      <c r="AW90" s="6">
        <f>[1]Results!$F1579</f>
        <v>495.68027330000001</v>
      </c>
      <c r="AX90" s="6">
        <f>[1]Results!$F1579</f>
        <v>495.68027330000001</v>
      </c>
      <c r="AY90" s="6">
        <f>[1]Results!$F1579</f>
        <v>495.68027330000001</v>
      </c>
      <c r="AZ90" s="6">
        <f>[1]Results!$F1579</f>
        <v>495.68027330000001</v>
      </c>
      <c r="BA90" s="6">
        <f>[1]Results!$F1579</f>
        <v>495.68027330000001</v>
      </c>
      <c r="BB90" s="6">
        <f>[1]Results!$F1579</f>
        <v>495.68027330000001</v>
      </c>
      <c r="BC90" s="6">
        <f>[1]Results!$F1579</f>
        <v>495.68027330000001</v>
      </c>
      <c r="BD90" s="6">
        <f>[1]Results!$F1579</f>
        <v>495.68027330000001</v>
      </c>
      <c r="BE90" s="6">
        <f>[1]Results!$F1579</f>
        <v>495.68027330000001</v>
      </c>
      <c r="BF90" s="6">
        <f>[1]Results!$F1579</f>
        <v>495.68027330000001</v>
      </c>
    </row>
    <row r="91" spans="1:58" x14ac:dyDescent="0.35">
      <c r="B91" t="s">
        <v>37</v>
      </c>
      <c r="C91" s="6">
        <f>[1]Results!F1575</f>
        <v>-2029.2659120000001</v>
      </c>
      <c r="D91" s="6">
        <f>[1]Results!G1575</f>
        <v>-2061.3799519999998</v>
      </c>
      <c r="E91" s="6">
        <f>[1]Results!H1575</f>
        <v>-2071.799156</v>
      </c>
      <c r="F91" s="6">
        <f>[1]Results!I1575</f>
        <v>-2078.5759979999998</v>
      </c>
      <c r="G91" s="6">
        <f>[1]Results!J1575</f>
        <v>-2088.8553449999999</v>
      </c>
      <c r="H91" s="6">
        <f>[1]Results!K1575</f>
        <v>-2104.4205470000002</v>
      </c>
      <c r="I91" s="6">
        <f>[1]Results!L1575</f>
        <v>-2125.6158679999999</v>
      </c>
      <c r="J91" s="6">
        <f>[1]Results!M1575</f>
        <v>-2148.3892110000002</v>
      </c>
      <c r="K91" s="6">
        <f>[1]Results!N1575</f>
        <v>-2173.0899669999999</v>
      </c>
      <c r="L91" s="6">
        <f>[1]Results!O1575</f>
        <v>-2199.2796250000001</v>
      </c>
      <c r="M91" s="6">
        <f>[1]Results!P1575</f>
        <v>-2224.9711139999999</v>
      </c>
      <c r="N91" s="6">
        <f>[1]Results!Q1575</f>
        <v>-2256.4502400000001</v>
      </c>
      <c r="O91" s="6">
        <f>[1]Results!R1575</f>
        <v>-2285.8755719999999</v>
      </c>
      <c r="P91" s="6">
        <f>[1]Results!S1575</f>
        <v>-2314.9441649999999</v>
      </c>
      <c r="Q91" s="6">
        <f>[1]Results!T1575</f>
        <v>-2344.0270190000001</v>
      </c>
      <c r="R91" s="6">
        <f>[1]Results!U1575</f>
        <v>-2373.182217</v>
      </c>
      <c r="S91" s="6">
        <f>[1]Results!V1575</f>
        <v>-2402.4105340000001</v>
      </c>
      <c r="T91" s="6">
        <f>[1]Results!W1575</f>
        <v>-2431.714571</v>
      </c>
      <c r="U91" s="6">
        <f>[1]Results!X1575</f>
        <v>-2461.1087480000001</v>
      </c>
      <c r="V91" s="6">
        <f>[1]Results!Y1575</f>
        <v>-2490.617929</v>
      </c>
      <c r="W91" s="6">
        <f>[1]Results!Z1575</f>
        <v>-2521.3732380000001</v>
      </c>
      <c r="X91" s="6">
        <f>[1]Results!AA1575</f>
        <v>-2548.590338</v>
      </c>
      <c r="Y91" s="6">
        <f>[1]Results!AB1575</f>
        <v>-2577.8760929999999</v>
      </c>
      <c r="Z91" s="6">
        <f>[1]Results!AC1575</f>
        <v>-2607.8992119999998</v>
      </c>
      <c r="AA91" s="6">
        <f>[1]Results!AD1575</f>
        <v>-2638.3596870000001</v>
      </c>
      <c r="AB91" s="6">
        <f>[1]Results!AE1575</f>
        <v>-2672.3420449999999</v>
      </c>
      <c r="AC91" s="6">
        <f>[1]Results!AF1575</f>
        <v>-2697.5593549999999</v>
      </c>
      <c r="AD91" s="6">
        <f>[1]Results!AG1575</f>
        <v>-2724.9624170000002</v>
      </c>
      <c r="AE91" s="6">
        <f>[1]Results!AH1575</f>
        <v>-2753.0932990000001</v>
      </c>
      <c r="AF91" s="6">
        <f>[1]Results!AI1575</f>
        <v>-2781.6387009999999</v>
      </c>
      <c r="AG91" s="6">
        <f>[1]Results!AJ1575</f>
        <v>-2810.565599</v>
      </c>
      <c r="AH91" s="6">
        <f>[1]Results!AK1575</f>
        <v>-2839.9004810000001</v>
      </c>
      <c r="AI91" s="6">
        <f>[1]Results!AL1575</f>
        <v>-2869.673444</v>
      </c>
      <c r="AJ91" s="6">
        <f>[1]Results!AM1575</f>
        <v>-2899.9052109999998</v>
      </c>
      <c r="AK91" s="6">
        <f>[1]Results!AN1575</f>
        <v>-2930.6060130000001</v>
      </c>
      <c r="AL91" s="6">
        <f>[1]Results!AO1575</f>
        <v>-2961.7777529999998</v>
      </c>
      <c r="AM91" s="6">
        <f>[1]Results!AP1575</f>
        <v>-2994.1562789999998</v>
      </c>
      <c r="AN91" s="6">
        <f>[1]Results!AQ1575</f>
        <v>-3025.2071489999998</v>
      </c>
      <c r="AO91" s="6">
        <f>[1]Results!AR1575</f>
        <v>-3056.1839209999998</v>
      </c>
      <c r="AP91" s="6">
        <f>[1]Results!AS1575</f>
        <v>-3087.3950890000001</v>
      </c>
      <c r="AQ91" s="6">
        <f>[1]Results!AT1575</f>
        <v>-3118.9245580000002</v>
      </c>
      <c r="AR91" s="6">
        <f>[1]Results!AU1575</f>
        <v>-3150.8049759999999</v>
      </c>
      <c r="AS91" s="6">
        <f>[1]Results!AV1575</f>
        <v>-3183.0572729999999</v>
      </c>
      <c r="AT91" s="6">
        <f>[1]Results!AW1575</f>
        <v>-3215.698378</v>
      </c>
      <c r="AU91" s="6">
        <f>[1]Results!AX1575</f>
        <v>-3248.7421009999998</v>
      </c>
      <c r="AV91" s="6">
        <f>[1]Results!AY1575</f>
        <v>-3282.1991870000002</v>
      </c>
      <c r="AW91" s="6">
        <f>[1]Results!AZ1575</f>
        <v>-3316.0122179999998</v>
      </c>
      <c r="AX91" s="6">
        <f>[1]Results!BA1575</f>
        <v>-3350.412977</v>
      </c>
      <c r="AY91" s="6">
        <f>[1]Results!BB1575</f>
        <v>-3385.2926950000001</v>
      </c>
      <c r="AZ91" s="6">
        <f>[1]Results!BC1575</f>
        <v>-3420.6282230000002</v>
      </c>
      <c r="BA91" s="6">
        <f>[1]Results!BD1575</f>
        <v>-3456.4170049999998</v>
      </c>
      <c r="BB91" s="6">
        <f>[1]Results!BE1575</f>
        <v>-3861.2418819999998</v>
      </c>
      <c r="BC91" s="6">
        <f>[1]Results!BF1575</f>
        <v>-3916.1006659999998</v>
      </c>
      <c r="BD91" s="6">
        <f>[1]Results!BG1575</f>
        <v>-3971.8087999999998</v>
      </c>
      <c r="BE91" s="6">
        <f>[1]Results!BH1575</f>
        <v>-4028.391533</v>
      </c>
      <c r="BF91" s="6">
        <f>[1]Results!BI1575</f>
        <v>-4085.8743770000001</v>
      </c>
    </row>
    <row r="93" spans="1:58" x14ac:dyDescent="0.35">
      <c r="A93" t="s">
        <v>39</v>
      </c>
      <c r="B93" t="s">
        <v>13</v>
      </c>
      <c r="C93" s="6">
        <f>[1]Results!F1512</f>
        <v>1936637.885</v>
      </c>
      <c r="D93" s="6">
        <f>[1]Results!G1512</f>
        <v>1955417.38</v>
      </c>
      <c r="E93" s="6">
        <f>[1]Results!H1512</f>
        <v>1977486.189</v>
      </c>
      <c r="F93" s="6">
        <f>[1]Results!I1512</f>
        <v>2001685.3810000001</v>
      </c>
      <c r="G93" s="6">
        <f>[1]Results!J1512</f>
        <v>2027409.524</v>
      </c>
      <c r="H93" s="6">
        <f>[1]Results!K1512</f>
        <v>2054173.517</v>
      </c>
      <c r="I93" s="6">
        <f>[1]Results!L1512</f>
        <v>2080193.2890000001</v>
      </c>
      <c r="J93" s="6">
        <f>[1]Results!M1512</f>
        <v>2106572.91</v>
      </c>
      <c r="K93" s="6">
        <f>[1]Results!N1512</f>
        <v>2133381.1230000001</v>
      </c>
      <c r="L93" s="6">
        <f>[1]Results!O1512</f>
        <v>2160737.5559999999</v>
      </c>
      <c r="M93" s="6">
        <f>[1]Results!P1512</f>
        <v>2191280.017</v>
      </c>
      <c r="N93" s="6">
        <f>[1]Results!Q1512</f>
        <v>2220339.5419999999</v>
      </c>
      <c r="O93" s="6">
        <f>[1]Results!R1512</f>
        <v>2250008.4700000002</v>
      </c>
      <c r="P93" s="6">
        <f>[1]Results!S1512</f>
        <v>2280237.46</v>
      </c>
      <c r="Q93" s="6">
        <f>[1]Results!T1512</f>
        <v>2310980.5350000001</v>
      </c>
      <c r="R93" s="6">
        <f>[1]Results!U1512</f>
        <v>2342180.8829999999</v>
      </c>
      <c r="S93" s="6">
        <f>[1]Results!V1512</f>
        <v>2373603.4909999999</v>
      </c>
      <c r="T93" s="6">
        <f>[1]Results!W1512</f>
        <v>2405335.8050000002</v>
      </c>
      <c r="U93" s="6">
        <f>[1]Results!X1512</f>
        <v>2437335.2519999999</v>
      </c>
      <c r="V93" s="6">
        <f>[1]Results!Y1512</f>
        <v>2469578.1880000001</v>
      </c>
      <c r="W93" s="6">
        <f>[1]Results!Z1512</f>
        <v>2500228.8190000001</v>
      </c>
      <c r="X93" s="6">
        <f>[1]Results!AA1512</f>
        <v>2532579.591</v>
      </c>
      <c r="Y93" s="6">
        <f>[1]Results!AB1512</f>
        <v>2565267.3539999998</v>
      </c>
      <c r="Z93" s="6">
        <f>[1]Results!AC1512</f>
        <v>2598336.196</v>
      </c>
      <c r="AA93" s="6">
        <f>[1]Results!AD1512</f>
        <v>2631807.0950000002</v>
      </c>
      <c r="AB93" s="6">
        <f>[1]Results!AE1512</f>
        <v>2660488.6850000001</v>
      </c>
      <c r="AC93" s="6">
        <f>[1]Results!AF1512</f>
        <v>2691340.8429999999</v>
      </c>
      <c r="AD93" s="6">
        <f>[1]Results!AG1512</f>
        <v>2722330.1519999998</v>
      </c>
      <c r="AE93" s="6">
        <f>[1]Results!AH1512</f>
        <v>2753611.8829999999</v>
      </c>
      <c r="AF93" s="6">
        <f>[1]Results!AI1512</f>
        <v>2785281.398</v>
      </c>
      <c r="AG93" s="6">
        <f>[1]Results!AJ1512</f>
        <v>2817394.9360000002</v>
      </c>
      <c r="AH93" s="6">
        <f>[1]Results!AK1512</f>
        <v>2850019.4360000002</v>
      </c>
      <c r="AI93" s="6">
        <f>[1]Results!AL1512</f>
        <v>2883132.0809999998</v>
      </c>
      <c r="AJ93" s="6">
        <f>[1]Results!AM1512</f>
        <v>2916729.58</v>
      </c>
      <c r="AK93" s="6">
        <f>[1]Results!AN1512</f>
        <v>2950803.4759999998</v>
      </c>
      <c r="AL93" s="6">
        <f>[1]Results!AO1512</f>
        <v>2985344.7570000002</v>
      </c>
      <c r="AM93" s="6">
        <f>[1]Results!AP1512</f>
        <v>3019473.912</v>
      </c>
      <c r="AN93" s="6">
        <f>[1]Results!AQ1512</f>
        <v>3053871.0819999999</v>
      </c>
      <c r="AO93" s="6">
        <f>[1]Results!AR1512</f>
        <v>3088567.6170000001</v>
      </c>
      <c r="AP93" s="6">
        <f>[1]Results!AS1512</f>
        <v>3123598.5359999998</v>
      </c>
      <c r="AQ93" s="6">
        <f>[1]Results!AT1512</f>
        <v>3158993.3420000002</v>
      </c>
      <c r="AR93" s="6">
        <f>[1]Results!AU1512</f>
        <v>3194829.4240000001</v>
      </c>
      <c r="AS93" s="6">
        <f>[1]Results!AV1512</f>
        <v>3231073.9470000002</v>
      </c>
      <c r="AT93" s="6">
        <f>[1]Results!AW1512</f>
        <v>3267726.4559999998</v>
      </c>
      <c r="AU93" s="6">
        <f>[1]Results!AX1512</f>
        <v>3304779.733</v>
      </c>
      <c r="AV93" s="6">
        <f>[1]Results!AY1512</f>
        <v>3342224.21</v>
      </c>
      <c r="AW93" s="6">
        <f>[1]Results!AZ1512</f>
        <v>3380355.0890000002</v>
      </c>
      <c r="AX93" s="6">
        <f>[1]Results!BA1512</f>
        <v>3418936.571</v>
      </c>
      <c r="AY93" s="6">
        <f>[1]Results!BB1512</f>
        <v>3415886.0920000002</v>
      </c>
      <c r="AZ93" s="6">
        <f>[1]Results!BC1512</f>
        <v>3414869.9350000001</v>
      </c>
      <c r="BA93" s="6">
        <f>[1]Results!BD1512</f>
        <v>3415240.7880000002</v>
      </c>
      <c r="BB93" s="6">
        <f>[1]Results!BE1512</f>
        <v>4435341.7680000002</v>
      </c>
      <c r="BC93" s="6">
        <f>[1]Results!BF1512</f>
        <v>4509946.5190000003</v>
      </c>
      <c r="BD93" s="6">
        <f>[1]Results!BG1512</f>
        <v>4585737.1710000001</v>
      </c>
      <c r="BE93" s="6">
        <f>[1]Results!BH1512</f>
        <v>4662731.2929999996</v>
      </c>
      <c r="BF93" s="6">
        <f>[1]Results!BI1512</f>
        <v>4740947.9249999998</v>
      </c>
    </row>
    <row r="94" spans="1:58" x14ac:dyDescent="0.35">
      <c r="B94" t="s">
        <v>7</v>
      </c>
      <c r="C94" s="6">
        <f>[1]Results!F1513</f>
        <v>35161.567479999998</v>
      </c>
      <c r="D94" s="6">
        <f>[1]Results!G1513</f>
        <v>35306.396919999999</v>
      </c>
      <c r="E94" s="6">
        <f>[1]Results!H1513</f>
        <v>35505.463210000002</v>
      </c>
      <c r="F94" s="6">
        <f>[1]Results!I1513</f>
        <v>35715.922809999996</v>
      </c>
      <c r="G94" s="6">
        <f>[1]Results!J1513</f>
        <v>35905.617010000002</v>
      </c>
      <c r="H94" s="6">
        <f>[1]Results!K1513</f>
        <v>36050.893150000004</v>
      </c>
      <c r="I94" s="6">
        <f>[1]Results!L1513</f>
        <v>36107.117140000002</v>
      </c>
      <c r="J94" s="6">
        <f>[1]Results!M1513</f>
        <v>36096.497309999999</v>
      </c>
      <c r="K94" s="6">
        <f>[1]Results!N1513</f>
        <v>36031.390879999999</v>
      </c>
      <c r="L94" s="6">
        <f>[1]Results!O1513</f>
        <v>35927.052100000001</v>
      </c>
      <c r="M94" s="6">
        <f>[1]Results!P1513</f>
        <v>35848.110200000003</v>
      </c>
      <c r="N94" s="6">
        <f>[1]Results!Q1513</f>
        <v>35715.022290000001</v>
      </c>
      <c r="O94" s="6">
        <f>[1]Results!R1513</f>
        <v>35574.979229999997</v>
      </c>
      <c r="P94" s="6">
        <f>[1]Results!S1513</f>
        <v>35441.015829999997</v>
      </c>
      <c r="Q94" s="6">
        <f>[1]Results!T1513</f>
        <v>35321.018510000002</v>
      </c>
      <c r="R94" s="6">
        <f>[1]Results!U1513</f>
        <v>35219.081480000001</v>
      </c>
      <c r="S94" s="6">
        <f>[1]Results!V1513</f>
        <v>35127.858610000003</v>
      </c>
      <c r="T94" s="6">
        <f>[1]Results!W1513</f>
        <v>35053.335169999998</v>
      </c>
      <c r="U94" s="6">
        <f>[1]Results!X1513</f>
        <v>34993.355649999998</v>
      </c>
      <c r="V94" s="6">
        <f>[1]Results!Y1513</f>
        <v>34944.611720000001</v>
      </c>
      <c r="W94" s="6">
        <f>[1]Results!Z1513</f>
        <v>34872.971960000003</v>
      </c>
      <c r="X94" s="6">
        <f>[1]Results!AA1513</f>
        <v>34828.664870000001</v>
      </c>
      <c r="Y94" s="6">
        <f>[1]Results!AB1513</f>
        <v>34791.212599999999</v>
      </c>
      <c r="Z94" s="6">
        <f>[1]Results!AC1513</f>
        <v>34755.698960000002</v>
      </c>
      <c r="AA94" s="6">
        <f>[1]Results!AD1513</f>
        <v>34718.719429999997</v>
      </c>
      <c r="AB94" s="6">
        <f>[1]Results!AE1513</f>
        <v>34596.284330000002</v>
      </c>
      <c r="AC94" s="6">
        <f>[1]Results!AF1513</f>
        <v>34495.838920000002</v>
      </c>
      <c r="AD94" s="6">
        <f>[1]Results!AG1513</f>
        <v>34395.951959999999</v>
      </c>
      <c r="AE94" s="6">
        <f>[1]Results!AH1513</f>
        <v>34297.071459999999</v>
      </c>
      <c r="AF94" s="6">
        <f>[1]Results!AI1513</f>
        <v>34199.55485</v>
      </c>
      <c r="AG94" s="6">
        <f>[1]Results!AJ1513</f>
        <v>34103.175340000002</v>
      </c>
      <c r="AH94" s="6">
        <f>[1]Results!AK1513</f>
        <v>34009.318019999999</v>
      </c>
      <c r="AI94" s="6">
        <f>[1]Results!AL1513</f>
        <v>33915.695189999999</v>
      </c>
      <c r="AJ94" s="6">
        <f>[1]Results!AM1513</f>
        <v>33821.574229999998</v>
      </c>
      <c r="AK94" s="6">
        <f>[1]Results!AN1513</f>
        <v>33726.521610000003</v>
      </c>
      <c r="AL94" s="6">
        <f>[1]Results!AO1513</f>
        <v>33630.349399999999</v>
      </c>
      <c r="AM94" s="6">
        <f>[1]Results!AP1513</f>
        <v>33533.889799999997</v>
      </c>
      <c r="AN94" s="6">
        <f>[1]Results!AQ1513</f>
        <v>33435.774830000002</v>
      </c>
      <c r="AO94" s="6">
        <f>[1]Results!AR1513</f>
        <v>33337.913979999998</v>
      </c>
      <c r="AP94" s="6">
        <f>[1]Results!AS1513</f>
        <v>33241.776919999997</v>
      </c>
      <c r="AQ94" s="6">
        <f>[1]Results!AT1513</f>
        <v>33148.048199999997</v>
      </c>
      <c r="AR94" s="6">
        <f>[1]Results!AU1513</f>
        <v>33059.528389999999</v>
      </c>
      <c r="AS94" s="6">
        <f>[1]Results!AV1513</f>
        <v>32973.605259999997</v>
      </c>
      <c r="AT94" s="6">
        <f>[1]Results!AW1513</f>
        <v>32889.385560000002</v>
      </c>
      <c r="AU94" s="6">
        <f>[1]Results!AX1513</f>
        <v>32806.025300000001</v>
      </c>
      <c r="AV94" s="6">
        <f>[1]Results!AY1513</f>
        <v>32722.73071</v>
      </c>
      <c r="AW94" s="6">
        <f>[1]Results!AZ1513</f>
        <v>32649.381130000002</v>
      </c>
      <c r="AX94" s="6">
        <f>[1]Results!BA1513</f>
        <v>32577.18518</v>
      </c>
      <c r="AY94" s="6">
        <f>[1]Results!BB1513</f>
        <v>32521.163850000001</v>
      </c>
      <c r="AZ94" s="6">
        <f>[1]Results!BC1513</f>
        <v>32411.02594</v>
      </c>
      <c r="BA94" s="6">
        <f>[1]Results!BD1513</f>
        <v>32391.573179999999</v>
      </c>
      <c r="BB94" s="6">
        <f>[1]Results!BE1513</f>
        <v>73046.369460000002</v>
      </c>
      <c r="BC94" s="6">
        <f>[1]Results!BF1513</f>
        <v>74178.173190000001</v>
      </c>
      <c r="BD94" s="6">
        <f>[1]Results!BG1513</f>
        <v>75329.311960000006</v>
      </c>
      <c r="BE94" s="6">
        <f>[1]Results!BH1513</f>
        <v>76500.127600000007</v>
      </c>
      <c r="BF94" s="6">
        <f>[1]Results!BI1513</f>
        <v>77691.000880000007</v>
      </c>
    </row>
    <row r="95" spans="1:58" x14ac:dyDescent="0.35">
      <c r="B95" t="s">
        <v>30</v>
      </c>
      <c r="C95" s="6">
        <f>[1]Results!F1516</f>
        <v>323108.8309</v>
      </c>
      <c r="D95" s="6">
        <f>[1]Results!G1516</f>
        <v>327660.26189999998</v>
      </c>
      <c r="E95" s="6">
        <f>[1]Results!H1516</f>
        <v>331982.73389999999</v>
      </c>
      <c r="F95" s="6">
        <f>[1]Results!I1516</f>
        <v>336398.72090000001</v>
      </c>
      <c r="G95" s="6">
        <f>[1]Results!J1516</f>
        <v>340822.5012</v>
      </c>
      <c r="H95" s="6">
        <f>[1]Results!K1516</f>
        <v>345148.03570000001</v>
      </c>
      <c r="I95" s="6">
        <f>[1]Results!L1516</f>
        <v>349056.87430000002</v>
      </c>
      <c r="J95" s="6">
        <f>[1]Results!M1516</f>
        <v>352786.8775</v>
      </c>
      <c r="K95" s="6">
        <f>[1]Results!N1516</f>
        <v>356371.20760000002</v>
      </c>
      <c r="L95" s="6">
        <f>[1]Results!O1516</f>
        <v>359868.4509</v>
      </c>
      <c r="M95" s="6">
        <f>[1]Results!P1516</f>
        <v>363777.26779999997</v>
      </c>
      <c r="N95" s="6">
        <f>[1]Results!Q1516</f>
        <v>367276.79879999999</v>
      </c>
      <c r="O95" s="6">
        <f>[1]Results!R1516</f>
        <v>370841.81890000001</v>
      </c>
      <c r="P95" s="6">
        <f>[1]Results!S1516</f>
        <v>374479.2169</v>
      </c>
      <c r="Q95" s="6">
        <f>[1]Results!T1516</f>
        <v>378206.4031</v>
      </c>
      <c r="R95" s="6">
        <f>[1]Results!U1516</f>
        <v>382035.52439999999</v>
      </c>
      <c r="S95" s="6">
        <f>[1]Results!V1516</f>
        <v>385927.49859999999</v>
      </c>
      <c r="T95" s="6">
        <f>[1]Results!W1516</f>
        <v>389927.84820000001</v>
      </c>
      <c r="U95" s="6">
        <f>[1]Results!X1516</f>
        <v>394031.17180000001</v>
      </c>
      <c r="V95" s="6">
        <f>[1]Results!Y1516</f>
        <v>398234.98959999997</v>
      </c>
      <c r="W95" s="6">
        <f>[1]Results!Z1516</f>
        <v>402232.65610000002</v>
      </c>
      <c r="X95" s="6">
        <f>[1]Results!AA1516</f>
        <v>406596.22840000002</v>
      </c>
      <c r="Y95" s="6">
        <f>[1]Results!AB1516</f>
        <v>411055.32980000001</v>
      </c>
      <c r="Z95" s="6">
        <f>[1]Results!AC1516</f>
        <v>415621.29800000001</v>
      </c>
      <c r="AA95" s="6">
        <f>[1]Results!AD1516</f>
        <v>420292.70760000002</v>
      </c>
      <c r="AB95" s="6">
        <f>[1]Results!AE1516</f>
        <v>424211.54220000003</v>
      </c>
      <c r="AC95" s="6">
        <f>[1]Results!AF1516</f>
        <v>428590.74670000002</v>
      </c>
      <c r="AD95" s="6">
        <f>[1]Results!AG1516</f>
        <v>433010.02059999999</v>
      </c>
      <c r="AE95" s="6">
        <f>[1]Results!AH1516</f>
        <v>437500.62390000001</v>
      </c>
      <c r="AF95" s="6">
        <f>[1]Results!AI1516</f>
        <v>442071.77299999999</v>
      </c>
      <c r="AG95" s="6">
        <f>[1]Results!AJ1516</f>
        <v>446723.84450000001</v>
      </c>
      <c r="AH95" s="6">
        <f>[1]Results!AK1516</f>
        <v>451462.40960000001</v>
      </c>
      <c r="AI95" s="6">
        <f>[1]Results!AL1516</f>
        <v>456271.33370000002</v>
      </c>
      <c r="AJ95" s="6">
        <f>[1]Results!AM1516</f>
        <v>461143.53200000001</v>
      </c>
      <c r="AK95" s="6">
        <f>[1]Results!AN1516</f>
        <v>466071.32189999998</v>
      </c>
      <c r="AL95" s="6">
        <f>[1]Results!AO1516</f>
        <v>471047.908</v>
      </c>
      <c r="AM95" s="6">
        <f>[1]Results!AP1516</f>
        <v>475959.67550000001</v>
      </c>
      <c r="AN95" s="6">
        <f>[1]Results!AQ1516</f>
        <v>480890.83069999999</v>
      </c>
      <c r="AO95" s="6">
        <f>[1]Results!AR1516</f>
        <v>485844.04149999999</v>
      </c>
      <c r="AP95" s="6">
        <f>[1]Results!AS1516</f>
        <v>490822.62699999998</v>
      </c>
      <c r="AQ95" s="6">
        <f>[1]Results!AT1516</f>
        <v>495829.12099999998</v>
      </c>
      <c r="AR95" s="6">
        <f>[1]Results!AU1516</f>
        <v>500878.65299999999</v>
      </c>
      <c r="AS95" s="6">
        <f>[1]Results!AV1516</f>
        <v>505958.27610000002</v>
      </c>
      <c r="AT95" s="6">
        <f>[1]Results!AW1516</f>
        <v>511067.2353</v>
      </c>
      <c r="AU95" s="6">
        <f>[1]Results!AX1516</f>
        <v>516202.8774</v>
      </c>
      <c r="AV95" s="6">
        <f>[1]Results!AY1516</f>
        <v>521362.28240000003</v>
      </c>
      <c r="AW95" s="6">
        <f>[1]Results!AZ1516</f>
        <v>526607.62470000004</v>
      </c>
      <c r="AX95" s="6">
        <f>[1]Results!BA1516</f>
        <v>531881.10419999994</v>
      </c>
      <c r="AY95" s="6">
        <f>[1]Results!BB1516</f>
        <v>530913.0183</v>
      </c>
      <c r="AZ95" s="6">
        <f>[1]Results!BC1516</f>
        <v>530430.93709999998</v>
      </c>
      <c r="BA95" s="6">
        <f>[1]Results!BD1516</f>
        <v>530524.54559999995</v>
      </c>
      <c r="BB95" s="6">
        <f>[1]Results!BE1516</f>
        <v>779782.38390000002</v>
      </c>
      <c r="BC95" s="6">
        <f>[1]Results!BF1516</f>
        <v>793578.7855</v>
      </c>
      <c r="BD95" s="6">
        <f>[1]Results!BG1516</f>
        <v>807567.57739999995</v>
      </c>
      <c r="BE95" s="6">
        <f>[1]Results!BH1516</f>
        <v>821748.6128</v>
      </c>
      <c r="BF95" s="6">
        <f>[1]Results!BI1516</f>
        <v>836122.06779999996</v>
      </c>
    </row>
    <row r="96" spans="1:58" x14ac:dyDescent="0.35">
      <c r="B96" t="s">
        <v>9</v>
      </c>
      <c r="C96" s="6">
        <f>[1]Results!F1528</f>
        <v>47346.156130000003</v>
      </c>
      <c r="D96" s="6">
        <f>[1]Results!G1528</f>
        <v>47893.642169999999</v>
      </c>
      <c r="E96" s="6">
        <f>[1]Results!H1528</f>
        <v>48407.463920000002</v>
      </c>
      <c r="F96" s="6">
        <f>[1]Results!I1528</f>
        <v>48956.863380000003</v>
      </c>
      <c r="G96" s="6">
        <f>[1]Results!J1528</f>
        <v>49545.009129999999</v>
      </c>
      <c r="H96" s="6">
        <f>[1]Results!K1528</f>
        <v>50163.20306</v>
      </c>
      <c r="I96" s="6">
        <f>[1]Results!L1528</f>
        <v>50765.304709999997</v>
      </c>
      <c r="J96" s="6">
        <f>[1]Results!M1528</f>
        <v>51379.646890000004</v>
      </c>
      <c r="K96" s="6">
        <f>[1]Results!N1528</f>
        <v>52002.630590000001</v>
      </c>
      <c r="L96" s="6">
        <f>[1]Results!O1528</f>
        <v>52633.128259999998</v>
      </c>
      <c r="M96" s="6">
        <f>[1]Results!P1528</f>
        <v>53334.034359999998</v>
      </c>
      <c r="N96" s="6">
        <f>[1]Results!Q1528</f>
        <v>53978.751949999998</v>
      </c>
      <c r="O96" s="6">
        <f>[1]Results!R1528</f>
        <v>54628.374190000002</v>
      </c>
      <c r="P96" s="6">
        <f>[1]Results!S1528</f>
        <v>55278.555979999997</v>
      </c>
      <c r="Q96" s="6">
        <f>[1]Results!T1528</f>
        <v>55927.791920000003</v>
      </c>
      <c r="R96" s="6">
        <f>[1]Results!U1528</f>
        <v>56575.308689999998</v>
      </c>
      <c r="S96" s="6">
        <f>[1]Results!V1528</f>
        <v>57214.749660000001</v>
      </c>
      <c r="T96" s="6">
        <f>[1]Results!W1528</f>
        <v>57852.222829999999</v>
      </c>
      <c r="U96" s="6">
        <f>[1]Results!X1528</f>
        <v>58487.825989999998</v>
      </c>
      <c r="V96" s="6">
        <f>[1]Results!Y1528</f>
        <v>59122.544860000002</v>
      </c>
      <c r="W96" s="6">
        <f>[1]Results!Z1528</f>
        <v>59712.416299999997</v>
      </c>
      <c r="X96" s="6">
        <f>[1]Results!AA1528</f>
        <v>60343.998440000003</v>
      </c>
      <c r="Y96" s="6">
        <f>[1]Results!AB1528</f>
        <v>60979.277679999999</v>
      </c>
      <c r="Z96" s="6">
        <f>[1]Results!AC1528</f>
        <v>61621.630259999998</v>
      </c>
      <c r="AA96" s="6">
        <f>[1]Results!AD1528</f>
        <v>62272.572010000004</v>
      </c>
      <c r="AB96" s="6">
        <f>[1]Results!AE1528</f>
        <v>62805.234020000004</v>
      </c>
      <c r="AC96" s="6">
        <f>[1]Results!AF1528</f>
        <v>63401.413529999998</v>
      </c>
      <c r="AD96" s="6">
        <f>[1]Results!AG1528</f>
        <v>64000.182679999998</v>
      </c>
      <c r="AE96" s="6">
        <f>[1]Results!AH1528</f>
        <v>64607.030279999999</v>
      </c>
      <c r="AF96" s="6">
        <f>[1]Results!AI1528</f>
        <v>65224.498390000001</v>
      </c>
      <c r="AG96" s="6">
        <f>[1]Results!AJ1528</f>
        <v>65853.90337</v>
      </c>
      <c r="AH96" s="6">
        <f>[1]Results!AK1528</f>
        <v>66497.124500000005</v>
      </c>
      <c r="AI96" s="6">
        <f>[1]Results!AL1528</f>
        <v>67152.961039999995</v>
      </c>
      <c r="AJ96" s="6">
        <f>[1]Results!AM1528</f>
        <v>67821.250759999995</v>
      </c>
      <c r="AK96" s="6">
        <f>[1]Results!AN1528</f>
        <v>68501.562309999994</v>
      </c>
      <c r="AL96" s="6">
        <f>[1]Results!AO1528</f>
        <v>69193.382580000005</v>
      </c>
      <c r="AM96" s="6">
        <f>[1]Results!AP1528</f>
        <v>69878.138349999994</v>
      </c>
      <c r="AN96" s="6">
        <f>[1]Results!AQ1528</f>
        <v>70569.718510000006</v>
      </c>
      <c r="AO96" s="6">
        <f>[1]Results!AR1528</f>
        <v>71268.343219999995</v>
      </c>
      <c r="AP96" s="6">
        <f>[1]Results!AS1528</f>
        <v>71974.448550000001</v>
      </c>
      <c r="AQ96" s="6">
        <f>[1]Results!AT1528</f>
        <v>72688.443230000004</v>
      </c>
      <c r="AR96" s="6">
        <f>[1]Results!AU1528</f>
        <v>73412.449489999999</v>
      </c>
      <c r="AS96" s="6">
        <f>[1]Results!AV1528</f>
        <v>74144.834010000006</v>
      </c>
      <c r="AT96" s="6">
        <f>[1]Results!AW1528</f>
        <v>74885.632620000004</v>
      </c>
      <c r="AU96" s="6">
        <f>[1]Results!AX1528</f>
        <v>75634.637740000006</v>
      </c>
      <c r="AV96" s="6">
        <f>[1]Results!AY1528</f>
        <v>76391.584959999993</v>
      </c>
      <c r="AW96" s="6">
        <f>[1]Results!AZ1528</f>
        <v>77165.119560000006</v>
      </c>
      <c r="AX96" s="6">
        <f>[1]Results!BA1528</f>
        <v>77947.066319999998</v>
      </c>
      <c r="AY96" s="6">
        <f>[1]Results!BB1528</f>
        <v>77788.133379999999</v>
      </c>
      <c r="AZ96" s="6">
        <f>[1]Results!BC1528</f>
        <v>77531.626579999996</v>
      </c>
      <c r="BA96" s="6">
        <f>[1]Results!BD1528</f>
        <v>77513.252349999995</v>
      </c>
      <c r="BB96" s="6">
        <f>[1]Results!BE1528</f>
        <v>104246.85159999999</v>
      </c>
      <c r="BC96" s="6">
        <f>[1]Results!BF1528</f>
        <v>105947.7721</v>
      </c>
      <c r="BD96" s="6">
        <f>[1]Results!BG1528</f>
        <v>107679.07919999999</v>
      </c>
      <c r="BE96" s="6">
        <f>[1]Results!BH1528</f>
        <v>109441.3615</v>
      </c>
      <c r="BF96" s="6">
        <f>[1]Results!BI1528</f>
        <v>111235.22809999999</v>
      </c>
    </row>
    <row r="97" spans="1:58" x14ac:dyDescent="0.35">
      <c r="B97" t="s">
        <v>10</v>
      </c>
      <c r="C97" s="6">
        <f>[1]Results!F1533</f>
        <v>1493289.602</v>
      </c>
      <c r="D97" s="6">
        <f>[1]Results!G1533</f>
        <v>1506714.095</v>
      </c>
      <c r="E97" s="6">
        <f>[1]Results!H1533</f>
        <v>1523690.993</v>
      </c>
      <c r="F97" s="6">
        <f>[1]Results!I1533</f>
        <v>1542622.0660000001</v>
      </c>
      <c r="G97" s="6">
        <f>[1]Results!J1533</f>
        <v>1562990.6329999999</v>
      </c>
      <c r="H97" s="6">
        <f>[1]Results!K1533</f>
        <v>1584451.9939999999</v>
      </c>
      <c r="I97" s="6">
        <f>[1]Results!L1533</f>
        <v>1605667.706</v>
      </c>
      <c r="J97" s="6">
        <f>[1]Results!M1533</f>
        <v>1627452.335</v>
      </c>
      <c r="K97" s="6">
        <f>[1]Results!N1533</f>
        <v>1649844.9480000001</v>
      </c>
      <c r="L97" s="6">
        <f>[1]Results!O1533</f>
        <v>1672903.4380000001</v>
      </c>
      <c r="M97" s="6">
        <f>[1]Results!P1533</f>
        <v>1698609.581</v>
      </c>
      <c r="N97" s="6">
        <f>[1]Results!Q1533</f>
        <v>1723398.5449999999</v>
      </c>
      <c r="O97" s="6">
        <f>[1]Results!R1533</f>
        <v>1748756.1340000001</v>
      </c>
      <c r="P97" s="6">
        <f>[1]Results!S1533</f>
        <v>1774616.99</v>
      </c>
      <c r="Q97" s="6">
        <f>[1]Results!T1533</f>
        <v>1800910.54</v>
      </c>
      <c r="R97" s="6">
        <f>[1]Results!U1533</f>
        <v>1827562.821</v>
      </c>
      <c r="S97" s="6">
        <f>[1]Results!V1533</f>
        <v>1854394.3089999999</v>
      </c>
      <c r="T97" s="6">
        <f>[1]Results!W1533</f>
        <v>1881427.99</v>
      </c>
      <c r="U97" s="6">
        <f>[1]Results!X1533</f>
        <v>1908624.9669999999</v>
      </c>
      <c r="V97" s="6">
        <f>[1]Results!Y1533</f>
        <v>1935962.72</v>
      </c>
      <c r="W97" s="6">
        <f>[1]Results!Z1533</f>
        <v>1962013.2409999999</v>
      </c>
      <c r="X97" s="6">
        <f>[1]Results!AA1533</f>
        <v>1989311.1980000001</v>
      </c>
      <c r="Y97" s="6">
        <f>[1]Results!AB1533</f>
        <v>2016835.993</v>
      </c>
      <c r="Z97" s="6">
        <f>[1]Results!AC1533</f>
        <v>2044620.963</v>
      </c>
      <c r="AA97" s="6">
        <f>[1]Results!AD1533</f>
        <v>2072689.1240000001</v>
      </c>
      <c r="AB97" s="6">
        <f>[1]Results!AE1533</f>
        <v>2096990.0249999999</v>
      </c>
      <c r="AC97" s="6">
        <f>[1]Results!AF1533</f>
        <v>2122886.2400000002</v>
      </c>
      <c r="AD97" s="6">
        <f>[1]Results!AG1533</f>
        <v>2148868.8139999998</v>
      </c>
      <c r="AE97" s="6">
        <f>[1]Results!AH1533</f>
        <v>2175055.5210000002</v>
      </c>
      <c r="AF97" s="6">
        <f>[1]Results!AI1533</f>
        <v>2201529.0180000002</v>
      </c>
      <c r="AG97" s="6">
        <f>[1]Results!AJ1533</f>
        <v>2228343.6189999999</v>
      </c>
      <c r="AH97" s="6">
        <f>[1]Results!AK1533</f>
        <v>2255556.0780000002</v>
      </c>
      <c r="AI97" s="6">
        <f>[1]Results!AL1533</f>
        <v>2283164.0950000002</v>
      </c>
      <c r="AJ97" s="6">
        <f>[1]Results!AM1533</f>
        <v>2311172.8470000001</v>
      </c>
      <c r="AK97" s="6">
        <f>[1]Results!AN1533</f>
        <v>2339583.1239999998</v>
      </c>
      <c r="AL97" s="6">
        <f>[1]Results!AO1533</f>
        <v>2368394.2549999999</v>
      </c>
      <c r="AM97" s="6">
        <f>[1]Results!AP1533</f>
        <v>2396865.3369999998</v>
      </c>
      <c r="AN97" s="6">
        <f>[1]Results!AQ1533</f>
        <v>2425575.8390000002</v>
      </c>
      <c r="AO97" s="6">
        <f>[1]Results!AR1533</f>
        <v>2454552.588</v>
      </c>
      <c r="AP97" s="6">
        <f>[1]Results!AS1533</f>
        <v>2483825.9160000002</v>
      </c>
      <c r="AQ97" s="6">
        <f>[1]Results!AT1533</f>
        <v>2513422.2429999998</v>
      </c>
      <c r="AR97" s="6">
        <f>[1]Results!AU1533</f>
        <v>2543397.804</v>
      </c>
      <c r="AS97" s="6">
        <f>[1]Results!AV1533</f>
        <v>2573738.4109999998</v>
      </c>
      <c r="AT97" s="6">
        <f>[1]Results!AW1533</f>
        <v>2604445.7030000002</v>
      </c>
      <c r="AU97" s="6">
        <f>[1]Results!AX1533</f>
        <v>2635516.591</v>
      </c>
      <c r="AV97" s="6">
        <f>[1]Results!AY1533</f>
        <v>2666945.9010000001</v>
      </c>
      <c r="AW97" s="6">
        <f>[1]Results!AZ1533</f>
        <v>2698941.9550000001</v>
      </c>
      <c r="AX97" s="6">
        <f>[1]Results!BA1533</f>
        <v>2731348.6979999999</v>
      </c>
      <c r="AY97" s="6">
        <f>[1]Results!BB1533</f>
        <v>2729653.4139999999</v>
      </c>
      <c r="AZ97" s="6">
        <f>[1]Results!BC1533</f>
        <v>2729880.7719999999</v>
      </c>
      <c r="BA97" s="6">
        <f>[1]Results!BD1533</f>
        <v>2730257.7710000002</v>
      </c>
      <c r="BB97" s="6">
        <f>[1]Results!BE1533</f>
        <v>3416677.1430000002</v>
      </c>
      <c r="BC97" s="6">
        <f>[1]Results!BF1533</f>
        <v>3473898.909</v>
      </c>
      <c r="BD97" s="6">
        <f>[1]Results!BG1533</f>
        <v>3532050.4369999999</v>
      </c>
      <c r="BE97" s="6">
        <f>[1]Results!BH1533</f>
        <v>3591148.4539999999</v>
      </c>
      <c r="BF97" s="6">
        <f>[1]Results!BI1533</f>
        <v>3651210.7570000002</v>
      </c>
    </row>
    <row r="98" spans="1:58" x14ac:dyDescent="0.35">
      <c r="B98" t="s">
        <v>29</v>
      </c>
      <c r="C98" s="6">
        <f>C103-C99</f>
        <v>-2021.0388657999999</v>
      </c>
      <c r="D98" s="6">
        <f t="shared" ref="D98:AL98" si="56">D103-D99</f>
        <v>-1973.6546331</v>
      </c>
      <c r="E98" s="6">
        <f t="shared" si="56"/>
        <v>-1973.1641006999998</v>
      </c>
      <c r="F98" s="6">
        <f t="shared" si="56"/>
        <v>-1980.3620797999997</v>
      </c>
      <c r="G98" s="6">
        <f t="shared" si="56"/>
        <v>-1990.9138667999998</v>
      </c>
      <c r="H98" s="6">
        <f t="shared" si="56"/>
        <v>-2005.1225053999999</v>
      </c>
      <c r="I98" s="6">
        <f t="shared" si="56"/>
        <v>-2023.1107581000001</v>
      </c>
      <c r="J98" s="6">
        <f t="shared" si="56"/>
        <v>-2042.1320184000001</v>
      </c>
      <c r="K98" s="6">
        <f t="shared" si="56"/>
        <v>-2062.5916365000003</v>
      </c>
      <c r="L98" s="6">
        <f t="shared" si="56"/>
        <v>-2084.1382045999999</v>
      </c>
      <c r="M98" s="6">
        <f t="shared" si="56"/>
        <v>-2105.8840160999998</v>
      </c>
      <c r="N98" s="6">
        <f t="shared" si="56"/>
        <v>-2131.4875532000001</v>
      </c>
      <c r="O98" s="6">
        <f t="shared" si="56"/>
        <v>-2154.9146676</v>
      </c>
      <c r="P98" s="6">
        <f t="shared" si="56"/>
        <v>-2177.7284635999999</v>
      </c>
      <c r="Q98" s="6">
        <f t="shared" si="56"/>
        <v>-2200.2900322999999</v>
      </c>
      <c r="R98" s="6">
        <f t="shared" si="56"/>
        <v>-2222.6666378</v>
      </c>
      <c r="S98" s="6">
        <f t="shared" si="56"/>
        <v>-2244.9424411999998</v>
      </c>
      <c r="T98" s="6">
        <f t="shared" si="56"/>
        <v>-2266.7488192999999</v>
      </c>
      <c r="U98" s="6">
        <f t="shared" si="56"/>
        <v>-2288.3798241</v>
      </c>
      <c r="V98" s="6">
        <f t="shared" si="56"/>
        <v>-2309.9302266</v>
      </c>
      <c r="W98" s="6">
        <f t="shared" si="56"/>
        <v>-2331.8065146999998</v>
      </c>
      <c r="X98" s="6">
        <f t="shared" si="56"/>
        <v>-2351.2943448999999</v>
      </c>
      <c r="Y98" s="6">
        <f t="shared" si="56"/>
        <v>-2372.3348884999996</v>
      </c>
      <c r="Z98" s="6">
        <f t="shared" si="56"/>
        <v>-2393.9625526</v>
      </c>
      <c r="AA98" s="6">
        <f t="shared" si="56"/>
        <v>-2415.9600491000001</v>
      </c>
      <c r="AB98" s="6">
        <f t="shared" si="56"/>
        <v>-2439.2841782</v>
      </c>
      <c r="AC98" s="6">
        <f t="shared" si="56"/>
        <v>-2456.5511980000001</v>
      </c>
      <c r="AD98" s="6">
        <f t="shared" si="56"/>
        <v>-2475.6351221000004</v>
      </c>
      <c r="AE98" s="6">
        <f t="shared" si="56"/>
        <v>-2495.4408069000001</v>
      </c>
      <c r="AF98" s="6">
        <f t="shared" si="56"/>
        <v>-2515.7295687000001</v>
      </c>
      <c r="AG98" s="6">
        <f t="shared" si="56"/>
        <v>-2536.4798848</v>
      </c>
      <c r="AH98" s="6">
        <f t="shared" si="56"/>
        <v>-2557.6967860999998</v>
      </c>
      <c r="AI98" s="6">
        <f t="shared" si="56"/>
        <v>-2579.4794707000001</v>
      </c>
      <c r="AJ98" s="6">
        <f t="shared" si="56"/>
        <v>-2601.7818494999997</v>
      </c>
      <c r="AK98" s="6">
        <f t="shared" si="56"/>
        <v>-2624.5909602000002</v>
      </c>
      <c r="AL98" s="6">
        <f t="shared" si="56"/>
        <v>-2647.8940861999999</v>
      </c>
      <c r="AM98" s="6">
        <f t="shared" ref="AM98:BC98" si="57">AM103-AM99</f>
        <v>-2671.7678789000001</v>
      </c>
      <c r="AN98" s="6">
        <f t="shared" si="57"/>
        <v>-2695.291592</v>
      </c>
      <c r="AO98" s="6">
        <f t="shared" si="57"/>
        <v>-2718.9154607</v>
      </c>
      <c r="AP98" s="6">
        <f t="shared" si="57"/>
        <v>-2742.8018090999999</v>
      </c>
      <c r="AQ98" s="6">
        <f t="shared" si="57"/>
        <v>-2767.0078861000002</v>
      </c>
      <c r="AR98" s="6">
        <f t="shared" si="57"/>
        <v>-2791.5337208000001</v>
      </c>
      <c r="AS98" s="6">
        <f t="shared" si="57"/>
        <v>-2816.4966187999999</v>
      </c>
      <c r="AT98" s="6">
        <f t="shared" si="57"/>
        <v>-2841.8277352</v>
      </c>
      <c r="AU98" s="6">
        <f t="shared" si="57"/>
        <v>-2867.5133990999998</v>
      </c>
      <c r="AV98" s="6">
        <f t="shared" si="57"/>
        <v>-2893.5483002000001</v>
      </c>
      <c r="AW98" s="6">
        <f t="shared" si="57"/>
        <v>-2919.8324703999997</v>
      </c>
      <c r="AX98" s="6">
        <f t="shared" si="57"/>
        <v>-2946.8609695999999</v>
      </c>
      <c r="AY98" s="6">
        <f t="shared" si="57"/>
        <v>-2965.0327826000002</v>
      </c>
      <c r="AZ98" s="6">
        <f t="shared" si="57"/>
        <v>-2982.3866125000004</v>
      </c>
      <c r="BA98" s="6">
        <f t="shared" si="57"/>
        <v>-2981.6966591</v>
      </c>
      <c r="BB98" s="6">
        <f t="shared" si="57"/>
        <v>-3870.5352363000002</v>
      </c>
      <c r="BC98" s="6">
        <f t="shared" si="57"/>
        <v>-3927.7372703999999</v>
      </c>
      <c r="BD98" s="6">
        <f t="shared" ref="BD98:BF98" si="58">BD103-BD99</f>
        <v>-3985.8874222999993</v>
      </c>
      <c r="BE98" s="6">
        <f t="shared" si="58"/>
        <v>-4045.0042201999995</v>
      </c>
      <c r="BF98" s="6">
        <f t="shared" si="58"/>
        <v>-4105.1096029999999</v>
      </c>
    </row>
    <row r="99" spans="1:58" x14ac:dyDescent="0.35">
      <c r="B99" t="s">
        <v>36</v>
      </c>
      <c r="C99" s="6">
        <f>C101+C102</f>
        <v>-122.83022220000004</v>
      </c>
      <c r="D99" s="6">
        <f t="shared" ref="D99:AL99" si="59">D101+D102</f>
        <v>-115.39377990000003</v>
      </c>
      <c r="E99" s="6">
        <f t="shared" si="59"/>
        <v>-112.15490029999995</v>
      </c>
      <c r="F99" s="6">
        <f t="shared" si="59"/>
        <v>-109.5461712</v>
      </c>
      <c r="G99" s="6">
        <f t="shared" si="59"/>
        <v>-107.60775820000003</v>
      </c>
      <c r="H99" s="6">
        <f t="shared" si="59"/>
        <v>-106.4332766</v>
      </c>
      <c r="I99" s="6">
        <f t="shared" si="59"/>
        <v>-106.15011989999999</v>
      </c>
      <c r="J99" s="6">
        <f t="shared" si="59"/>
        <v>-106.29359959999999</v>
      </c>
      <c r="K99" s="6">
        <f t="shared" si="59"/>
        <v>-106.86540450000007</v>
      </c>
      <c r="L99" s="6">
        <f t="shared" si="59"/>
        <v>-107.80868239999995</v>
      </c>
      <c r="M99" s="6">
        <f t="shared" si="59"/>
        <v>-108.71793090000006</v>
      </c>
      <c r="N99" s="6">
        <f t="shared" si="59"/>
        <v>-110.50853380000001</v>
      </c>
      <c r="O99" s="6">
        <f t="shared" si="59"/>
        <v>-112.34542740000006</v>
      </c>
      <c r="P99" s="6">
        <f t="shared" si="59"/>
        <v>-114.35157140000001</v>
      </c>
      <c r="Q99" s="6">
        <f t="shared" si="59"/>
        <v>-116.51405469999997</v>
      </c>
      <c r="R99" s="6">
        <f t="shared" si="59"/>
        <v>-118.79586719999998</v>
      </c>
      <c r="S99" s="6">
        <f t="shared" si="59"/>
        <v>-121.17432180000003</v>
      </c>
      <c r="T99" s="6">
        <f t="shared" si="59"/>
        <v>-123.56714069999998</v>
      </c>
      <c r="U99" s="6">
        <f t="shared" si="59"/>
        <v>-125.97262090000004</v>
      </c>
      <c r="V99" s="6">
        <f t="shared" si="59"/>
        <v>-128.37020240000004</v>
      </c>
      <c r="W99" s="6">
        <f t="shared" si="59"/>
        <v>-130.99065330000008</v>
      </c>
      <c r="X99" s="6">
        <f t="shared" si="59"/>
        <v>-133.15429110000002</v>
      </c>
      <c r="Y99" s="6">
        <f t="shared" si="59"/>
        <v>-135.39068350000002</v>
      </c>
      <c r="Z99" s="6">
        <f t="shared" si="59"/>
        <v>-137.59938639999996</v>
      </c>
      <c r="AA99" s="6">
        <f t="shared" si="59"/>
        <v>-139.76337390000003</v>
      </c>
      <c r="AB99" s="6">
        <f t="shared" si="59"/>
        <v>-142.57931280000003</v>
      </c>
      <c r="AC99" s="6">
        <f t="shared" si="59"/>
        <v>-144.49958399999991</v>
      </c>
      <c r="AD99" s="6">
        <f t="shared" si="59"/>
        <v>-146.51078789999997</v>
      </c>
      <c r="AE99" s="6">
        <f t="shared" si="59"/>
        <v>-148.48840610000002</v>
      </c>
      <c r="AF99" s="6">
        <f t="shared" si="59"/>
        <v>-150.41813830000001</v>
      </c>
      <c r="AG99" s="6">
        <f t="shared" si="59"/>
        <v>-152.30687519999992</v>
      </c>
      <c r="AH99" s="6">
        <f t="shared" si="59"/>
        <v>-154.16311089999999</v>
      </c>
      <c r="AI99" s="6">
        <f t="shared" si="59"/>
        <v>-156.00621630000001</v>
      </c>
      <c r="AJ99" s="6">
        <f t="shared" si="59"/>
        <v>-157.84029950000001</v>
      </c>
      <c r="AK99" s="6">
        <f t="shared" si="59"/>
        <v>-159.67392480000001</v>
      </c>
      <c r="AL99" s="6">
        <f t="shared" si="59"/>
        <v>-161.5155618</v>
      </c>
      <c r="AM99" s="6">
        <f t="shared" ref="AM99:BC99" si="60">AM101+AM102</f>
        <v>-163.51521709999997</v>
      </c>
      <c r="AN99" s="6">
        <f t="shared" si="60"/>
        <v>-165.47870799999998</v>
      </c>
      <c r="AO99" s="6">
        <f t="shared" si="60"/>
        <v>-167.44045329999994</v>
      </c>
      <c r="AP99" s="6">
        <f t="shared" si="60"/>
        <v>-169.41521090000003</v>
      </c>
      <c r="AQ99" s="6">
        <f t="shared" si="60"/>
        <v>-171.41131989999997</v>
      </c>
      <c r="AR99" s="6">
        <f t="shared" si="60"/>
        <v>-173.43338319999998</v>
      </c>
      <c r="AS99" s="6">
        <f t="shared" si="60"/>
        <v>-175.49813119999999</v>
      </c>
      <c r="AT99" s="6">
        <f t="shared" si="60"/>
        <v>-177.60331179999991</v>
      </c>
      <c r="AU99" s="6">
        <f t="shared" si="60"/>
        <v>-179.7535699</v>
      </c>
      <c r="AV99" s="6">
        <f t="shared" si="60"/>
        <v>-181.95414479999999</v>
      </c>
      <c r="AW99" s="6">
        <f t="shared" si="60"/>
        <v>-184.19110760000001</v>
      </c>
      <c r="AX99" s="6">
        <f t="shared" si="60"/>
        <v>-186.52672640000003</v>
      </c>
      <c r="AY99" s="6">
        <f t="shared" si="60"/>
        <v>-203.01465940000003</v>
      </c>
      <c r="AZ99" s="6">
        <f t="shared" si="60"/>
        <v>-245.70492549999994</v>
      </c>
      <c r="BA99" s="6">
        <f t="shared" si="60"/>
        <v>-251.13507690000006</v>
      </c>
      <c r="BB99" s="6">
        <f t="shared" si="60"/>
        <v>-199.6492727000001</v>
      </c>
      <c r="BC99" s="6">
        <f t="shared" si="60"/>
        <v>-201.67183060000002</v>
      </c>
      <c r="BD99" s="6">
        <f t="shared" ref="BD99:BF99" si="61">BD101+BD102</f>
        <v>-203.70929770000009</v>
      </c>
      <c r="BE99" s="6">
        <f t="shared" si="61"/>
        <v>-205.76491780000015</v>
      </c>
      <c r="BF99" s="6">
        <f t="shared" si="61"/>
        <v>-207.84193600000003</v>
      </c>
    </row>
    <row r="100" spans="1:58" x14ac:dyDescent="0.35">
      <c r="B100" t="s">
        <v>33</v>
      </c>
      <c r="C100" s="6">
        <f>[1]Results!F1541</f>
        <v>39793.283510000001</v>
      </c>
      <c r="D100" s="6">
        <f>[1]Results!G1541</f>
        <v>39841.085630000001</v>
      </c>
      <c r="E100" s="6">
        <f>[1]Results!H1541</f>
        <v>39889.422200000001</v>
      </c>
      <c r="F100" s="6">
        <f>[1]Results!I1541</f>
        <v>39982.280850000003</v>
      </c>
      <c r="G100" s="6">
        <f>[1]Results!J1541</f>
        <v>40141.279589999998</v>
      </c>
      <c r="H100" s="6">
        <f>[1]Results!K1541</f>
        <v>40364.885320000001</v>
      </c>
      <c r="I100" s="6">
        <f>[1]Results!L1541</f>
        <v>40617.252699999997</v>
      </c>
      <c r="J100" s="6">
        <f>[1]Results!M1541</f>
        <v>40895.750489999999</v>
      </c>
      <c r="K100" s="6">
        <f>[1]Results!N1541</f>
        <v>41188.576050000003</v>
      </c>
      <c r="L100" s="6">
        <f>[1]Results!O1541</f>
        <v>41484.318420000003</v>
      </c>
      <c r="M100" s="6">
        <f>[1]Results!P1541</f>
        <v>41810.903319999998</v>
      </c>
      <c r="N100" s="6">
        <f>[1]Results!Q1541</f>
        <v>42097.15984</v>
      </c>
      <c r="O100" s="6">
        <f>[1]Results!R1541</f>
        <v>42358.704449999997</v>
      </c>
      <c r="P100" s="6">
        <f>[1]Results!S1541</f>
        <v>42597.777479999997</v>
      </c>
      <c r="Q100" s="6">
        <f>[1]Results!T1541</f>
        <v>42815.516369999998</v>
      </c>
      <c r="R100" s="6">
        <f>[1]Results!U1541</f>
        <v>43013.596740000001</v>
      </c>
      <c r="S100" s="6">
        <f>[1]Results!V1541</f>
        <v>43189.367700000003</v>
      </c>
      <c r="T100" s="6">
        <f>[1]Results!W1541</f>
        <v>43349.119639999997</v>
      </c>
      <c r="U100" s="6">
        <f>[1]Results!X1541</f>
        <v>43496.92179</v>
      </c>
      <c r="V100" s="6">
        <f>[1]Results!Y1541</f>
        <v>43636.497329999998</v>
      </c>
      <c r="W100" s="6">
        <f>[1]Results!Z1541</f>
        <v>43745.839970000001</v>
      </c>
      <c r="X100" s="6">
        <f>[1]Results!AA1541</f>
        <v>43869.494409999999</v>
      </c>
      <c r="Y100" s="6">
        <f>[1]Results!AB1541</f>
        <v>43998.879079999999</v>
      </c>
      <c r="Z100" s="6">
        <f>[1]Results!AC1541</f>
        <v>44133.787850000001</v>
      </c>
      <c r="AA100" s="6">
        <f>[1]Results!AD1541</f>
        <v>44275.240250000003</v>
      </c>
      <c r="AB100" s="6">
        <f>[1]Results!AE1541</f>
        <v>44354.045899999997</v>
      </c>
      <c r="AC100" s="6">
        <f>[1]Results!AF1541</f>
        <v>44454.198239999998</v>
      </c>
      <c r="AD100" s="6">
        <f>[1]Results!AG1541</f>
        <v>44563.884850000002</v>
      </c>
      <c r="AE100" s="6">
        <f>[1]Results!AH1541</f>
        <v>44682.061390000003</v>
      </c>
      <c r="AF100" s="6">
        <f>[1]Results!AI1541</f>
        <v>44809.047330000001</v>
      </c>
      <c r="AG100" s="6">
        <f>[1]Results!AJ1541</f>
        <v>44945.28974</v>
      </c>
      <c r="AH100" s="6">
        <f>[1]Results!AK1541</f>
        <v>45092.152430000002</v>
      </c>
      <c r="AI100" s="6">
        <f>[1]Results!AL1541</f>
        <v>45248.8819</v>
      </c>
      <c r="AJ100" s="6">
        <f>[1]Results!AM1541</f>
        <v>45414.948550000001</v>
      </c>
      <c r="AK100" s="6">
        <f>[1]Results!AN1541</f>
        <v>45589.661930000002</v>
      </c>
      <c r="AL100" s="6">
        <f>[1]Results!AO1541</f>
        <v>45772.17871</v>
      </c>
      <c r="AM100" s="6">
        <f>[1]Results!AP1541</f>
        <v>45955.719530000002</v>
      </c>
      <c r="AN100" s="6">
        <f>[1]Results!AQ1541</f>
        <v>46142.853860000003</v>
      </c>
      <c r="AO100" s="6">
        <f>[1]Results!AR1541</f>
        <v>46333.820030000003</v>
      </c>
      <c r="AP100" s="6">
        <f>[1]Results!AS1541</f>
        <v>46528.267209999998</v>
      </c>
      <c r="AQ100" s="6">
        <f>[1]Results!AT1541</f>
        <v>46725.724150000002</v>
      </c>
      <c r="AR100" s="6">
        <f>[1]Results!AU1541</f>
        <v>46927.29754</v>
      </c>
      <c r="AS100" s="6">
        <f>[1]Results!AV1541</f>
        <v>47131.686540000002</v>
      </c>
      <c r="AT100" s="6">
        <f>[1]Results!AW1541</f>
        <v>47338.337189999998</v>
      </c>
      <c r="AU100" s="6">
        <f>[1]Results!AX1541</f>
        <v>47546.820500000002</v>
      </c>
      <c r="AV100" s="6">
        <f>[1]Results!AY1541</f>
        <v>47756.726999999999</v>
      </c>
      <c r="AW100" s="6">
        <f>[1]Results!AZ1541</f>
        <v>47974.091840000001</v>
      </c>
      <c r="AX100" s="6">
        <f>[1]Results!BA1541</f>
        <v>48194.57069</v>
      </c>
      <c r="AY100" s="6">
        <f>[1]Results!BB1541</f>
        <v>48082.556259999998</v>
      </c>
      <c r="AZ100" s="6">
        <f>[1]Results!BC1541</f>
        <v>47817.320780000002</v>
      </c>
      <c r="BA100" s="6">
        <f>[1]Results!BD1541</f>
        <v>47769.627710000001</v>
      </c>
      <c r="BB100" s="6">
        <f>[1]Results!BE1541</f>
        <v>65457.206310000001</v>
      </c>
      <c r="BC100" s="6">
        <f>[1]Results!BF1541</f>
        <v>66266.410640000002</v>
      </c>
      <c r="BD100" s="6">
        <f>[1]Results!BG1541</f>
        <v>67090.519190000006</v>
      </c>
      <c r="BE100" s="6">
        <f>[1]Results!BH1541</f>
        <v>67929.616699999999</v>
      </c>
      <c r="BF100" s="6">
        <f>[1]Results!BI1541</f>
        <v>68783.803939999998</v>
      </c>
    </row>
    <row r="101" spans="1:58" x14ac:dyDescent="0.35">
      <c r="B101" t="s">
        <v>35</v>
      </c>
      <c r="C101" s="6">
        <f>[1]Results!F1538</f>
        <v>-607.24478680000004</v>
      </c>
      <c r="D101" s="6">
        <f>[1]Results!G1538</f>
        <v>-602.075963</v>
      </c>
      <c r="E101" s="6">
        <f>[1]Results!H1538</f>
        <v>-601.66780289999997</v>
      </c>
      <c r="F101" s="6">
        <f>[1]Results!I1538</f>
        <v>-602.31832989999998</v>
      </c>
      <c r="G101" s="6">
        <f>[1]Results!J1538</f>
        <v>-604.20675840000001</v>
      </c>
      <c r="H101" s="6">
        <f>[1]Results!K1538</f>
        <v>-607.45130010000003</v>
      </c>
      <c r="I101" s="6">
        <f>[1]Results!L1538</f>
        <v>-611.77915489999998</v>
      </c>
      <c r="J101" s="6">
        <f>[1]Results!M1538</f>
        <v>-616.82616819999998</v>
      </c>
      <c r="K101" s="6">
        <f>[1]Results!N1538</f>
        <v>-622.52529370000002</v>
      </c>
      <c r="L101" s="6">
        <f>[1]Results!O1538</f>
        <v>-628.74243349999995</v>
      </c>
      <c r="M101" s="6">
        <f>[1]Results!P1538</f>
        <v>-635.56379760000004</v>
      </c>
      <c r="N101" s="6">
        <f>[1]Results!Q1538</f>
        <v>-642.88968560000001</v>
      </c>
      <c r="O101" s="6">
        <f>[1]Results!R1538</f>
        <v>-650.16161780000004</v>
      </c>
      <c r="P101" s="6">
        <f>[1]Results!S1538</f>
        <v>-657.53528819999997</v>
      </c>
      <c r="Q101" s="6">
        <f>[1]Results!T1538</f>
        <v>-665.00548939999999</v>
      </c>
      <c r="R101" s="6">
        <f>[1]Results!U1538</f>
        <v>-672.54037159999996</v>
      </c>
      <c r="S101" s="6">
        <f>[1]Results!V1538</f>
        <v>-680.08798290000004</v>
      </c>
      <c r="T101" s="6">
        <f>[1]Results!W1538</f>
        <v>-687.60635179999997</v>
      </c>
      <c r="U101" s="6">
        <f>[1]Results!X1538</f>
        <v>-695.1118275</v>
      </c>
      <c r="V101" s="6">
        <f>[1]Results!Y1538</f>
        <v>-702.60112340000001</v>
      </c>
      <c r="W101" s="6">
        <f>[1]Results!Z1538</f>
        <v>-709.92701750000003</v>
      </c>
      <c r="X101" s="6">
        <f>[1]Results!AA1538</f>
        <v>-717.08636120000006</v>
      </c>
      <c r="Y101" s="6">
        <f>[1]Results!AB1538</f>
        <v>-724.42414210000004</v>
      </c>
      <c r="Z101" s="6">
        <f>[1]Results!AC1538</f>
        <v>-731.82058659999996</v>
      </c>
      <c r="AA101" s="6">
        <f>[1]Results!AD1538</f>
        <v>-739.26056649999998</v>
      </c>
      <c r="AB101" s="6">
        <f>[1]Results!AE1538</f>
        <v>-746.33543459999999</v>
      </c>
      <c r="AC101" s="6">
        <f>[1]Results!AF1538</f>
        <v>-752.84753739999996</v>
      </c>
      <c r="AD101" s="6">
        <f>[1]Results!AG1538</f>
        <v>-759.55779949999999</v>
      </c>
      <c r="AE101" s="6">
        <f>[1]Results!AH1538</f>
        <v>-766.33027860000004</v>
      </c>
      <c r="AF101" s="6">
        <f>[1]Results!AI1538</f>
        <v>-773.157239</v>
      </c>
      <c r="AG101" s="6">
        <f>[1]Results!AJ1538</f>
        <v>-780.05421609999996</v>
      </c>
      <c r="AH101" s="6">
        <f>[1]Results!AK1538</f>
        <v>-787.04309120000005</v>
      </c>
      <c r="AI101" s="6">
        <f>[1]Results!AL1538</f>
        <v>-794.14232670000001</v>
      </c>
      <c r="AJ101" s="6">
        <f>[1]Results!AM1538</f>
        <v>-801.35661140000002</v>
      </c>
      <c r="AK101" s="6">
        <f>[1]Results!AN1538</f>
        <v>-808.69318299999998</v>
      </c>
      <c r="AL101" s="6">
        <f>[1]Results!AO1538</f>
        <v>-816.15759319999995</v>
      </c>
      <c r="AM101" s="6">
        <f>[1]Results!AP1538</f>
        <v>-823.69352419999996</v>
      </c>
      <c r="AN101" s="6">
        <f>[1]Results!AQ1538</f>
        <v>-831.2318295</v>
      </c>
      <c r="AO101" s="6">
        <f>[1]Results!AR1538</f>
        <v>-838.83567989999995</v>
      </c>
      <c r="AP101" s="6">
        <f>[1]Results!AS1538</f>
        <v>-846.53006530000005</v>
      </c>
      <c r="AQ101" s="6">
        <f>[1]Results!AT1538</f>
        <v>-854.32740049999995</v>
      </c>
      <c r="AR101" s="6">
        <f>[1]Results!AU1538</f>
        <v>-862.24151210000002</v>
      </c>
      <c r="AS101" s="6">
        <f>[1]Results!AV1538</f>
        <v>-870.28345430000002</v>
      </c>
      <c r="AT101" s="6">
        <f>[1]Results!AW1538</f>
        <v>-878.44937819999996</v>
      </c>
      <c r="AU101" s="6">
        <f>[1]Results!AX1538</f>
        <v>-886.7421081</v>
      </c>
      <c r="AV101" s="6">
        <f>[1]Results!AY1538</f>
        <v>-895.16478859999995</v>
      </c>
      <c r="AW101" s="6">
        <f>[1]Results!AZ1538</f>
        <v>-903.74785280000003</v>
      </c>
      <c r="AX101" s="6">
        <f>[1]Results!BA1538</f>
        <v>-912.51932580000005</v>
      </c>
      <c r="AY101" s="6">
        <f>[1]Results!BB1538</f>
        <v>-926.39248329999998</v>
      </c>
      <c r="AZ101" s="6">
        <f>[1]Results!BC1538</f>
        <v>-957.12903889999995</v>
      </c>
      <c r="BA101" s="6">
        <f>[1]Results!BD1538</f>
        <v>-960.82070820000001</v>
      </c>
      <c r="BB101" s="6">
        <f>[1]Results!BE1538</f>
        <v>-1146.8100690000001</v>
      </c>
      <c r="BC101" s="6">
        <f>[1]Results!BF1538</f>
        <v>-1162.752213</v>
      </c>
      <c r="BD101" s="6">
        <f>[1]Results!BG1538</f>
        <v>-1178.9435550000001</v>
      </c>
      <c r="BE101" s="6">
        <f>[1]Results!BH1538</f>
        <v>-1195.3919310000001</v>
      </c>
      <c r="BF101" s="6">
        <f>[1]Results!BI1538</f>
        <v>-1212.105595</v>
      </c>
    </row>
    <row r="102" spans="1:58" x14ac:dyDescent="0.35">
      <c r="B102" t="s">
        <v>34</v>
      </c>
      <c r="C102" s="6">
        <f>[1]Results!F1540</f>
        <v>484.41456460000001</v>
      </c>
      <c r="D102" s="6">
        <f>[1]Results!G1540</f>
        <v>486.68218309999997</v>
      </c>
      <c r="E102" s="6">
        <f>[1]Results!H1540</f>
        <v>489.51290260000002</v>
      </c>
      <c r="F102" s="6">
        <f>[1]Results!I1540</f>
        <v>492.77215869999998</v>
      </c>
      <c r="G102" s="6">
        <f>[1]Results!J1540</f>
        <v>496.59900019999998</v>
      </c>
      <c r="H102" s="6">
        <f>[1]Results!K1540</f>
        <v>501.01802350000003</v>
      </c>
      <c r="I102" s="6">
        <f>[1]Results!L1540</f>
        <v>505.62903499999999</v>
      </c>
      <c r="J102" s="6">
        <f>[1]Results!M1540</f>
        <v>510.53256859999999</v>
      </c>
      <c r="K102" s="6">
        <f>[1]Results!N1540</f>
        <v>515.65988919999995</v>
      </c>
      <c r="L102" s="6">
        <f>[1]Results!O1540</f>
        <v>520.93375109999999</v>
      </c>
      <c r="M102" s="6">
        <f>[1]Results!P1540</f>
        <v>526.84586669999999</v>
      </c>
      <c r="N102" s="6">
        <f>[1]Results!Q1540</f>
        <v>532.3811518</v>
      </c>
      <c r="O102" s="6">
        <f>[1]Results!R1540</f>
        <v>537.81619039999998</v>
      </c>
      <c r="P102" s="6">
        <f>[1]Results!S1540</f>
        <v>543.18371679999996</v>
      </c>
      <c r="Q102" s="6">
        <f>[1]Results!T1540</f>
        <v>548.49143470000001</v>
      </c>
      <c r="R102" s="6">
        <f>[1]Results!U1540</f>
        <v>553.74450439999998</v>
      </c>
      <c r="S102" s="6">
        <f>[1]Results!V1540</f>
        <v>558.91366110000001</v>
      </c>
      <c r="T102" s="6">
        <f>[1]Results!W1540</f>
        <v>564.03921109999999</v>
      </c>
      <c r="U102" s="6">
        <f>[1]Results!X1540</f>
        <v>569.13920659999997</v>
      </c>
      <c r="V102" s="6">
        <f>[1]Results!Y1540</f>
        <v>574.23092099999997</v>
      </c>
      <c r="W102" s="6">
        <f>[1]Results!Z1540</f>
        <v>578.93636419999996</v>
      </c>
      <c r="X102" s="6">
        <f>[1]Results!AA1540</f>
        <v>583.93207010000003</v>
      </c>
      <c r="Y102" s="6">
        <f>[1]Results!AB1540</f>
        <v>589.03345860000002</v>
      </c>
      <c r="Z102" s="6">
        <f>[1]Results!AC1540</f>
        <v>594.2212002</v>
      </c>
      <c r="AA102" s="6">
        <f>[1]Results!AD1540</f>
        <v>599.49719259999995</v>
      </c>
      <c r="AB102" s="6">
        <f>[1]Results!AE1540</f>
        <v>603.75612179999996</v>
      </c>
      <c r="AC102" s="6">
        <f>[1]Results!AF1540</f>
        <v>608.34795340000005</v>
      </c>
      <c r="AD102" s="6">
        <f>[1]Results!AG1540</f>
        <v>613.04701160000002</v>
      </c>
      <c r="AE102" s="6">
        <f>[1]Results!AH1540</f>
        <v>617.84187250000002</v>
      </c>
      <c r="AF102" s="6">
        <f>[1]Results!AI1540</f>
        <v>622.73910069999999</v>
      </c>
      <c r="AG102" s="6">
        <f>[1]Results!AJ1540</f>
        <v>627.74734090000004</v>
      </c>
      <c r="AH102" s="6">
        <f>[1]Results!AK1540</f>
        <v>632.87998030000006</v>
      </c>
      <c r="AI102" s="6">
        <f>[1]Results!AL1540</f>
        <v>638.13611040000001</v>
      </c>
      <c r="AJ102" s="6">
        <f>[1]Results!AM1540</f>
        <v>643.51631190000001</v>
      </c>
      <c r="AK102" s="6">
        <f>[1]Results!AN1540</f>
        <v>649.01925819999997</v>
      </c>
      <c r="AL102" s="6">
        <f>[1]Results!AO1540</f>
        <v>654.64203139999995</v>
      </c>
      <c r="AM102" s="6">
        <f>[1]Results!AP1540</f>
        <v>660.17830709999998</v>
      </c>
      <c r="AN102" s="6">
        <f>[1]Results!AQ1540</f>
        <v>665.75312150000002</v>
      </c>
      <c r="AO102" s="6">
        <f>[1]Results!AR1540</f>
        <v>671.3952266</v>
      </c>
      <c r="AP102" s="6">
        <f>[1]Results!AS1540</f>
        <v>677.11485440000001</v>
      </c>
      <c r="AQ102" s="6">
        <f>[1]Results!AT1540</f>
        <v>682.91608059999999</v>
      </c>
      <c r="AR102" s="6">
        <f>[1]Results!AU1540</f>
        <v>688.80812890000004</v>
      </c>
      <c r="AS102" s="6">
        <f>[1]Results!AV1540</f>
        <v>694.78532310000003</v>
      </c>
      <c r="AT102" s="6">
        <f>[1]Results!AW1540</f>
        <v>700.84606640000004</v>
      </c>
      <c r="AU102" s="6">
        <f>[1]Results!AX1540</f>
        <v>706.98853819999999</v>
      </c>
      <c r="AV102" s="6">
        <f>[1]Results!AY1540</f>
        <v>713.21064379999996</v>
      </c>
      <c r="AW102" s="6">
        <f>[1]Results!AZ1540</f>
        <v>719.55674520000002</v>
      </c>
      <c r="AX102" s="6">
        <f>[1]Results!BA1540</f>
        <v>725.99259940000002</v>
      </c>
      <c r="AY102" s="6">
        <f>[1]Results!BB1540</f>
        <v>723.37782389999995</v>
      </c>
      <c r="AZ102" s="6">
        <f>[1]Results!BC1540</f>
        <v>711.42411340000001</v>
      </c>
      <c r="BA102" s="6">
        <f>[1]Results!BD1540</f>
        <v>709.68563129999995</v>
      </c>
      <c r="BB102" s="6">
        <f>[1]Results!BE1540</f>
        <v>947.16079630000002</v>
      </c>
      <c r="BC102" s="6">
        <f>[1]Results!BF1540</f>
        <v>961.08038239999996</v>
      </c>
      <c r="BD102" s="6">
        <f>[1]Results!BG1540</f>
        <v>975.23425729999997</v>
      </c>
      <c r="BE102" s="6">
        <f>[1]Results!BH1540</f>
        <v>989.62701319999996</v>
      </c>
      <c r="BF102" s="6">
        <f>[1]Results!BI1540</f>
        <v>1004.263659</v>
      </c>
    </row>
    <row r="103" spans="1:58" x14ac:dyDescent="0.35">
      <c r="B103" t="s">
        <v>37</v>
      </c>
      <c r="C103" s="6">
        <f>[1]Results!F1537</f>
        <v>-2143.8690879999999</v>
      </c>
      <c r="D103" s="6">
        <f>[1]Results!G1537</f>
        <v>-2089.048413</v>
      </c>
      <c r="E103" s="6">
        <f>[1]Results!H1537</f>
        <v>-2085.3190009999998</v>
      </c>
      <c r="F103" s="6">
        <f>[1]Results!I1537</f>
        <v>-2089.9082509999998</v>
      </c>
      <c r="G103" s="6">
        <f>[1]Results!J1537</f>
        <v>-2098.5216249999999</v>
      </c>
      <c r="H103" s="6">
        <f>[1]Results!K1537</f>
        <v>-2111.5557819999999</v>
      </c>
      <c r="I103" s="6">
        <f>[1]Results!L1537</f>
        <v>-2129.260878</v>
      </c>
      <c r="J103" s="6">
        <f>[1]Results!M1537</f>
        <v>-2148.4256180000002</v>
      </c>
      <c r="K103" s="6">
        <f>[1]Results!N1537</f>
        <v>-2169.4570410000001</v>
      </c>
      <c r="L103" s="6">
        <f>[1]Results!O1537</f>
        <v>-2191.9468870000001</v>
      </c>
      <c r="M103" s="6">
        <f>[1]Results!P1537</f>
        <v>-2214.6019470000001</v>
      </c>
      <c r="N103" s="6">
        <f>[1]Results!Q1537</f>
        <v>-2241.996087</v>
      </c>
      <c r="O103" s="6">
        <f>[1]Results!R1537</f>
        <v>-2267.2600950000001</v>
      </c>
      <c r="P103" s="6">
        <f>[1]Results!S1537</f>
        <v>-2292.080035</v>
      </c>
      <c r="Q103" s="6">
        <f>[1]Results!T1537</f>
        <v>-2316.804087</v>
      </c>
      <c r="R103" s="6">
        <f>[1]Results!U1537</f>
        <v>-2341.462505</v>
      </c>
      <c r="S103" s="6">
        <f>[1]Results!V1537</f>
        <v>-2366.116763</v>
      </c>
      <c r="T103" s="6">
        <f>[1]Results!W1537</f>
        <v>-2390.3159599999999</v>
      </c>
      <c r="U103" s="6">
        <f>[1]Results!X1537</f>
        <v>-2414.352445</v>
      </c>
      <c r="V103" s="6">
        <f>[1]Results!Y1537</f>
        <v>-2438.3004289999999</v>
      </c>
      <c r="W103" s="6">
        <f>[1]Results!Z1537</f>
        <v>-2462.7971680000001</v>
      </c>
      <c r="X103" s="6">
        <f>[1]Results!AA1537</f>
        <v>-2484.4486360000001</v>
      </c>
      <c r="Y103" s="6">
        <f>[1]Results!AB1537</f>
        <v>-2507.7255719999998</v>
      </c>
      <c r="Z103" s="6">
        <f>[1]Results!AC1537</f>
        <v>-2531.5619390000002</v>
      </c>
      <c r="AA103" s="6">
        <f>[1]Results!AD1537</f>
        <v>-2555.7234229999999</v>
      </c>
      <c r="AB103" s="6">
        <f>[1]Results!AE1537</f>
        <v>-2581.8634910000001</v>
      </c>
      <c r="AC103" s="6">
        <f>[1]Results!AF1537</f>
        <v>-2601.0507819999998</v>
      </c>
      <c r="AD103" s="6">
        <f>[1]Results!AG1537</f>
        <v>-2622.1459100000002</v>
      </c>
      <c r="AE103" s="6">
        <f>[1]Results!AH1537</f>
        <v>-2643.9292129999999</v>
      </c>
      <c r="AF103" s="6">
        <f>[1]Results!AI1537</f>
        <v>-2666.1477070000001</v>
      </c>
      <c r="AG103" s="6">
        <f>[1]Results!AJ1537</f>
        <v>-2688.78676</v>
      </c>
      <c r="AH103" s="6">
        <f>[1]Results!AK1537</f>
        <v>-2711.8598969999998</v>
      </c>
      <c r="AI103" s="6">
        <f>[1]Results!AL1537</f>
        <v>-2735.4856869999999</v>
      </c>
      <c r="AJ103" s="6">
        <f>[1]Results!AM1537</f>
        <v>-2759.6221489999998</v>
      </c>
      <c r="AK103" s="6">
        <f>[1]Results!AN1537</f>
        <v>-2784.264885</v>
      </c>
      <c r="AL103" s="6">
        <f>[1]Results!AO1537</f>
        <v>-2809.4096479999998</v>
      </c>
      <c r="AM103" s="6">
        <f>[1]Results!AP1537</f>
        <v>-2835.2830960000001</v>
      </c>
      <c r="AN103" s="6">
        <f>[1]Results!AQ1537</f>
        <v>-2860.7703000000001</v>
      </c>
      <c r="AO103" s="6">
        <f>[1]Results!AR1537</f>
        <v>-2886.3559140000002</v>
      </c>
      <c r="AP103" s="6">
        <f>[1]Results!AS1537</f>
        <v>-2912.21702</v>
      </c>
      <c r="AQ103" s="6">
        <f>[1]Results!AT1537</f>
        <v>-2938.419206</v>
      </c>
      <c r="AR103" s="6">
        <f>[1]Results!AU1537</f>
        <v>-2964.9671039999998</v>
      </c>
      <c r="AS103" s="6">
        <f>[1]Results!AV1537</f>
        <v>-2991.9947499999998</v>
      </c>
      <c r="AT103" s="6">
        <f>[1]Results!AW1537</f>
        <v>-3019.431047</v>
      </c>
      <c r="AU103" s="6">
        <f>[1]Results!AX1537</f>
        <v>-3047.2669689999998</v>
      </c>
      <c r="AV103" s="6">
        <f>[1]Results!AY1537</f>
        <v>-3075.5024450000001</v>
      </c>
      <c r="AW103" s="6">
        <f>[1]Results!AZ1537</f>
        <v>-3104.0235779999998</v>
      </c>
      <c r="AX103" s="6">
        <f>[1]Results!BA1537</f>
        <v>-3133.3876959999998</v>
      </c>
      <c r="AY103" s="6">
        <f>[1]Results!BB1537</f>
        <v>-3168.047442</v>
      </c>
      <c r="AZ103" s="6">
        <f>[1]Results!BC1537</f>
        <v>-3228.0915380000001</v>
      </c>
      <c r="BA103" s="6">
        <f>[1]Results!BD1537</f>
        <v>-3232.8317360000001</v>
      </c>
      <c r="BB103" s="6">
        <f>[1]Results!BE1537</f>
        <v>-4070.1845090000002</v>
      </c>
      <c r="BC103" s="6">
        <f>[1]Results!BF1537</f>
        <v>-4129.4091010000002</v>
      </c>
      <c r="BD103" s="6">
        <f>[1]Results!BG1537</f>
        <v>-4189.5967199999996</v>
      </c>
      <c r="BE103" s="6">
        <f>[1]Results!BH1537</f>
        <v>-4250.7691379999997</v>
      </c>
      <c r="BF103" s="6">
        <f>[1]Results!BI1537</f>
        <v>-4312.9515389999997</v>
      </c>
    </row>
    <row r="104" spans="1:58" x14ac:dyDescent="0.3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</row>
    <row r="106" spans="1:58" x14ac:dyDescent="0.35">
      <c r="A106" s="12" t="s">
        <v>79</v>
      </c>
      <c r="B106" t="s">
        <v>14</v>
      </c>
      <c r="C106" s="7" t="s">
        <v>15</v>
      </c>
      <c r="D106" s="7" t="s">
        <v>16</v>
      </c>
      <c r="E106" s="7" t="s">
        <v>17</v>
      </c>
    </row>
    <row r="107" spans="1:58" x14ac:dyDescent="0.35">
      <c r="A107" t="s">
        <v>80</v>
      </c>
      <c r="B107" t="s">
        <v>27</v>
      </c>
      <c r="C107" s="4">
        <f>(R93-R79)/R79</f>
        <v>-4.1540806744061153E-2</v>
      </c>
      <c r="D107" s="10">
        <f>(AB93-AB79)/AB79</f>
        <v>-5.3150653390414984E-2</v>
      </c>
      <c r="E107" s="10">
        <f>(AL93-AL79)/AL79</f>
        <v>-6.4531106501229341E-2</v>
      </c>
    </row>
    <row r="108" spans="1:58" x14ac:dyDescent="0.35">
      <c r="B108" t="s">
        <v>7</v>
      </c>
      <c r="C108" s="4">
        <f t="shared" ref="C108:C114" si="62">(R94-R82)/R82</f>
        <v>-6.9881587389794733E-2</v>
      </c>
      <c r="D108" s="4">
        <f t="shared" ref="D108:D114" si="63">(AB94-AB82)/AB82</f>
        <v>-0.1106996517666648</v>
      </c>
      <c r="E108" s="4">
        <f t="shared" ref="E108:E114" si="64">(AL94-AL82)/AL82</f>
        <v>-0.15337721098782664</v>
      </c>
      <c r="Q108" s="5"/>
      <c r="U108" s="5"/>
      <c r="V108" s="5"/>
      <c r="Y108" s="5"/>
      <c r="Z108" s="5"/>
      <c r="AA108" s="5"/>
    </row>
    <row r="109" spans="1:58" x14ac:dyDescent="0.35">
      <c r="B109" t="s">
        <v>30</v>
      </c>
      <c r="C109" s="4">
        <f t="shared" si="62"/>
        <v>-5.4766995533553027E-2</v>
      </c>
      <c r="D109" s="4">
        <f t="shared" si="63"/>
        <v>-7.9640250943347146E-2</v>
      </c>
      <c r="E109" s="4">
        <f t="shared" si="64"/>
        <v>-9.7681779746100747E-2</v>
      </c>
      <c r="Q109" s="5"/>
      <c r="U109" s="5"/>
      <c r="V109" s="5"/>
      <c r="Y109" s="5"/>
      <c r="Z109" s="5"/>
      <c r="AA109" s="5"/>
    </row>
    <row r="110" spans="1:58" x14ac:dyDescent="0.35">
      <c r="B110" t="s">
        <v>9</v>
      </c>
      <c r="C110" s="4">
        <f t="shared" si="62"/>
        <v>-4.2568812731872283E-2</v>
      </c>
      <c r="D110" s="4">
        <f t="shared" si="63"/>
        <v>-5.8016467262051938E-2</v>
      </c>
      <c r="E110" s="4">
        <f t="shared" si="64"/>
        <v>-7.3604213295594148E-2</v>
      </c>
      <c r="Q110" s="5"/>
      <c r="U110" s="5"/>
      <c r="V110" s="5"/>
      <c r="Y110" s="5"/>
      <c r="Z110" s="5"/>
      <c r="AA110" s="5"/>
    </row>
    <row r="111" spans="1:58" x14ac:dyDescent="0.35">
      <c r="B111" t="s">
        <v>10</v>
      </c>
      <c r="C111" s="4">
        <f t="shared" si="62"/>
        <v>-3.787552029363702E-2</v>
      </c>
      <c r="D111" s="4">
        <f t="shared" si="63"/>
        <v>-4.5758172401147455E-2</v>
      </c>
      <c r="E111" s="4">
        <f t="shared" si="64"/>
        <v>-5.4934570454488095E-2</v>
      </c>
      <c r="Q111" s="5"/>
      <c r="U111" s="5"/>
      <c r="V111" s="5"/>
      <c r="Y111" s="5"/>
      <c r="Z111" s="5"/>
      <c r="AA111" s="5"/>
    </row>
    <row r="112" spans="1:58" x14ac:dyDescent="0.35">
      <c r="B112" t="s">
        <v>29</v>
      </c>
      <c r="C112" s="4">
        <f t="shared" si="62"/>
        <v>3.1167623216906887E-2</v>
      </c>
      <c r="D112" s="4">
        <f t="shared" si="63"/>
        <v>3.0547385076263554E-2</v>
      </c>
      <c r="E112" s="4">
        <f t="shared" si="64"/>
        <v>3.0189299693134428E-2</v>
      </c>
      <c r="Q112" s="5"/>
      <c r="U112" s="5"/>
      <c r="V112" s="5"/>
      <c r="Y112" s="5"/>
      <c r="Z112" s="5"/>
      <c r="AA112" s="5"/>
    </row>
    <row r="113" spans="1:58" x14ac:dyDescent="0.35">
      <c r="B113" t="s">
        <v>36</v>
      </c>
      <c r="C113" s="4">
        <f t="shared" si="62"/>
        <v>-0.45430619581849474</v>
      </c>
      <c r="D113" s="4">
        <f t="shared" si="63"/>
        <v>-0.53308238415433773</v>
      </c>
      <c r="E113" s="4">
        <f t="shared" si="64"/>
        <v>-0.58742234641649227</v>
      </c>
      <c r="Q113" s="5"/>
      <c r="U113" s="5"/>
      <c r="V113" s="5"/>
      <c r="Y113" s="5"/>
      <c r="Z113" s="5"/>
      <c r="AA113" s="5"/>
    </row>
    <row r="114" spans="1:58" x14ac:dyDescent="0.35">
      <c r="B114" t="s">
        <v>33</v>
      </c>
      <c r="C114" s="4">
        <f t="shared" si="62"/>
        <v>-5.324768984850483E-2</v>
      </c>
      <c r="D114" s="4">
        <f t="shared" si="63"/>
        <v>-8.4810410760773211E-2</v>
      </c>
      <c r="E114" s="4">
        <f t="shared" si="64"/>
        <v>-0.11506709643268299</v>
      </c>
      <c r="Q114" s="5"/>
      <c r="U114" s="5"/>
      <c r="V114" s="5"/>
      <c r="Y114" s="5"/>
      <c r="Z114" s="5"/>
      <c r="AA114" s="5"/>
    </row>
    <row r="115" spans="1:58" x14ac:dyDescent="0.35"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</row>
    <row r="116" spans="1:58" x14ac:dyDescent="0.35">
      <c r="A116" s="12" t="s">
        <v>79</v>
      </c>
      <c r="B116" t="s">
        <v>14</v>
      </c>
      <c r="C116" s="7" t="s">
        <v>15</v>
      </c>
      <c r="D116" s="7" t="s">
        <v>16</v>
      </c>
      <c r="E116" s="7" t="s">
        <v>17</v>
      </c>
    </row>
    <row r="117" spans="1:58" x14ac:dyDescent="0.35">
      <c r="A117" t="s">
        <v>81</v>
      </c>
      <c r="B117" t="s">
        <v>7</v>
      </c>
      <c r="C117" s="4">
        <f>R94/R82-1</f>
        <v>-6.9881587389794775E-2</v>
      </c>
      <c r="D117" s="4">
        <f>AB94/AB82-1</f>
        <v>-0.11069965176666485</v>
      </c>
      <c r="E117" s="4">
        <f>AL94/AL82-1</f>
        <v>-0.15337721098782664</v>
      </c>
    </row>
    <row r="118" spans="1:58" x14ac:dyDescent="0.35">
      <c r="B118" t="s">
        <v>30</v>
      </c>
      <c r="C118" s="4">
        <f>R95/R83-1</f>
        <v>-5.476699553355302E-2</v>
      </c>
      <c r="D118" s="4">
        <f>AB95/AB83-1</f>
        <v>-7.9640250943347146E-2</v>
      </c>
      <c r="E118" s="4">
        <f>AL95/AL83-1</f>
        <v>-9.7681779746100705E-2</v>
      </c>
    </row>
    <row r="119" spans="1:58" x14ac:dyDescent="0.35">
      <c r="B119" t="s">
        <v>9</v>
      </c>
      <c r="C119" s="4">
        <f>R96/R84-1</f>
        <v>-4.2568812731872296E-2</v>
      </c>
      <c r="D119" s="4">
        <f>AB96/AB84-1</f>
        <v>-5.8016467262051896E-2</v>
      </c>
      <c r="E119" s="4">
        <f>AL96/AL84-1</f>
        <v>-7.360421329559419E-2</v>
      </c>
    </row>
    <row r="120" spans="1:58" x14ac:dyDescent="0.35">
      <c r="B120" t="s">
        <v>10</v>
      </c>
      <c r="C120" s="4">
        <f>R97/R85-1</f>
        <v>-3.7875520293637055E-2</v>
      </c>
      <c r="D120" s="4">
        <f>AB97/AB85-1</f>
        <v>-4.5758172401147434E-2</v>
      </c>
      <c r="E120" s="4">
        <f>AL97/AL85-1</f>
        <v>-5.493457045448813E-2</v>
      </c>
    </row>
    <row r="121" spans="1:58" x14ac:dyDescent="0.35">
      <c r="B121" t="s">
        <v>29</v>
      </c>
      <c r="C121" s="4">
        <f>R98/R86-1</f>
        <v>3.1167623216906915E-2</v>
      </c>
      <c r="D121" s="4">
        <f>AB98/AB86-1</f>
        <v>3.0547385076263645E-2</v>
      </c>
      <c r="E121" s="4">
        <f>AL98/AL86-1</f>
        <v>3.018929969313433E-2</v>
      </c>
    </row>
    <row r="122" spans="1:58" x14ac:dyDescent="0.35">
      <c r="B122" t="s">
        <v>33</v>
      </c>
      <c r="C122" s="4">
        <f>R100/R88-1</f>
        <v>-5.3247689848504809E-2</v>
      </c>
      <c r="D122" s="4">
        <f>AB100/AB88-1</f>
        <v>-8.4810410760773225E-2</v>
      </c>
      <c r="E122" s="4">
        <f>AL100/AL88-1</f>
        <v>-0.11506709643268298</v>
      </c>
    </row>
    <row r="124" spans="1:58" x14ac:dyDescent="0.35">
      <c r="A124" s="12" t="s">
        <v>82</v>
      </c>
      <c r="C124" s="2">
        <v>42005</v>
      </c>
      <c r="D124" s="2">
        <v>42370</v>
      </c>
      <c r="E124" s="2">
        <v>42736</v>
      </c>
      <c r="F124" s="2">
        <v>43101</v>
      </c>
      <c r="G124" s="2">
        <v>43466</v>
      </c>
      <c r="H124" s="2">
        <v>43831</v>
      </c>
      <c r="I124" s="2">
        <v>44197</v>
      </c>
      <c r="J124" s="2">
        <v>44562</v>
      </c>
      <c r="K124" s="2">
        <v>44927</v>
      </c>
      <c r="L124" s="2">
        <v>45292</v>
      </c>
      <c r="M124" s="2">
        <v>45658</v>
      </c>
      <c r="N124" s="2">
        <v>46023</v>
      </c>
      <c r="O124" s="2">
        <v>46388</v>
      </c>
      <c r="P124" s="2">
        <v>46753</v>
      </c>
      <c r="Q124" s="2">
        <v>47119</v>
      </c>
      <c r="R124" s="2">
        <v>47484</v>
      </c>
      <c r="S124" s="2">
        <v>47849</v>
      </c>
      <c r="T124" s="2">
        <v>48214</v>
      </c>
      <c r="U124" s="2">
        <v>48580</v>
      </c>
      <c r="V124" s="2">
        <v>48945</v>
      </c>
      <c r="W124" s="2">
        <v>49310</v>
      </c>
      <c r="X124" s="2">
        <v>49675</v>
      </c>
      <c r="Y124" s="2">
        <v>50041</v>
      </c>
      <c r="Z124" s="2">
        <v>50406</v>
      </c>
      <c r="AA124" s="2">
        <v>50771</v>
      </c>
      <c r="AB124" s="2">
        <v>51136</v>
      </c>
      <c r="AC124" s="2">
        <v>51502</v>
      </c>
      <c r="AD124" s="2">
        <v>51867</v>
      </c>
      <c r="AE124" s="2">
        <v>52232</v>
      </c>
      <c r="AF124" s="2">
        <v>52597</v>
      </c>
      <c r="AG124" s="2">
        <v>52963</v>
      </c>
      <c r="AH124" s="2">
        <v>53328</v>
      </c>
      <c r="AI124" s="2">
        <v>53693</v>
      </c>
      <c r="AJ124" s="2">
        <v>54058</v>
      </c>
      <c r="AK124" s="2">
        <v>54424</v>
      </c>
      <c r="AL124" s="2">
        <v>54789</v>
      </c>
      <c r="AM124" s="2">
        <v>54790</v>
      </c>
      <c r="AN124" s="2">
        <v>54791</v>
      </c>
      <c r="AO124" s="2">
        <v>54792</v>
      </c>
      <c r="AP124" s="2">
        <v>54793</v>
      </c>
      <c r="AQ124" s="2">
        <v>54794</v>
      </c>
      <c r="AR124" s="2">
        <v>54795</v>
      </c>
      <c r="AS124" s="2">
        <v>54796</v>
      </c>
      <c r="AT124" s="2">
        <v>54797</v>
      </c>
      <c r="AU124" s="2">
        <v>54798</v>
      </c>
      <c r="AV124" s="2">
        <v>54799</v>
      </c>
      <c r="AW124" s="2">
        <v>54800</v>
      </c>
      <c r="AX124" s="2">
        <v>54801</v>
      </c>
      <c r="AY124" s="2">
        <v>54802</v>
      </c>
      <c r="AZ124" s="2">
        <v>54803</v>
      </c>
      <c r="BA124" s="2">
        <v>54804</v>
      </c>
      <c r="BB124" s="2">
        <v>54805</v>
      </c>
      <c r="BC124" s="2">
        <v>54806</v>
      </c>
      <c r="BD124" s="2">
        <v>54807</v>
      </c>
      <c r="BE124" s="2">
        <v>54808</v>
      </c>
      <c r="BF124" s="2">
        <v>54809</v>
      </c>
    </row>
    <row r="125" spans="1:58" x14ac:dyDescent="0.35">
      <c r="A125" t="s">
        <v>38</v>
      </c>
      <c r="B125" t="s">
        <v>27</v>
      </c>
      <c r="C125" s="6">
        <f>[1]Production!B3</f>
        <v>3859864.4870000002</v>
      </c>
      <c r="D125" s="6">
        <f>[1]Production!C3</f>
        <v>3907542.3810000001</v>
      </c>
      <c r="E125" s="6">
        <f>[1]Production!D3</f>
        <v>3959518.0920000002</v>
      </c>
      <c r="F125" s="6">
        <f>[1]Production!E3</f>
        <v>4014274.3139999998</v>
      </c>
      <c r="G125" s="6">
        <f>[1]Production!F3</f>
        <v>4071514.0269999998</v>
      </c>
      <c r="H125" s="6">
        <f>[1]Production!G3</f>
        <v>4130960.0320000001</v>
      </c>
      <c r="I125" s="6">
        <f>[1]Production!H3</f>
        <v>4189644.199</v>
      </c>
      <c r="J125" s="6">
        <f>[1]Production!I3</f>
        <v>4249220.1950000003</v>
      </c>
      <c r="K125" s="6">
        <f>[1]Production!J3</f>
        <v>4309750.7340000002</v>
      </c>
      <c r="L125" s="6">
        <f>[1]Production!K3</f>
        <v>4371227.8760000002</v>
      </c>
      <c r="M125" s="6">
        <f>[1]Production!L3</f>
        <v>4438331.1689999998</v>
      </c>
      <c r="N125" s="6">
        <f>[1]Production!M3</f>
        <v>4503019.7810000004</v>
      </c>
      <c r="O125" s="6">
        <f>[1]Production!N3</f>
        <v>4568090.0599999996</v>
      </c>
      <c r="P125" s="6">
        <f>[1]Production!O3</f>
        <v>4633672.693</v>
      </c>
      <c r="Q125" s="6">
        <f>[1]Production!P3</f>
        <v>4699820.7309999997</v>
      </c>
      <c r="R125" s="6">
        <f>[1]Production!Q3</f>
        <v>4766583.6040000003</v>
      </c>
      <c r="S125" s="6">
        <f>[1]Production!R3</f>
        <v>4834014.0590000004</v>
      </c>
      <c r="T125" s="6">
        <f>[1]Production!S3</f>
        <v>4902163.1289999997</v>
      </c>
      <c r="U125" s="6">
        <f>[1]Production!T3</f>
        <v>4971076.8499999996</v>
      </c>
      <c r="V125" s="6">
        <f>[1]Production!U3</f>
        <v>5040795.9539999999</v>
      </c>
      <c r="W125" s="6">
        <f>[1]Production!V3</f>
        <v>5107929.8689999999</v>
      </c>
      <c r="X125" s="6">
        <f>[1]Production!W3</f>
        <v>5178329.0810000002</v>
      </c>
      <c r="Y125" s="6">
        <f>[1]Production!X3</f>
        <v>5249981.8880000003</v>
      </c>
      <c r="Z125" s="6">
        <f>[1]Production!Y3</f>
        <v>5322808.4970000004</v>
      </c>
      <c r="AA125" s="6">
        <f>[1]Production!Z3</f>
        <v>5396785.0049999999</v>
      </c>
      <c r="AB125" s="6">
        <f>[1]Production!AA3</f>
        <v>5462074.6969999997</v>
      </c>
      <c r="AC125" s="6">
        <f>[1]Production!AB3</f>
        <v>5530646.9529999997</v>
      </c>
      <c r="AD125" s="6">
        <f>[1]Production!AC3</f>
        <v>5599826.301</v>
      </c>
      <c r="AE125" s="6">
        <f>[1]Production!AD3</f>
        <v>5669736.1919999998</v>
      </c>
      <c r="AF125" s="6">
        <f>[1]Production!AE3</f>
        <v>5740521.4900000002</v>
      </c>
      <c r="AG125" s="6">
        <f>[1]Production!AF3</f>
        <v>5812275.0080000004</v>
      </c>
      <c r="AH125" s="6">
        <f>[1]Production!AG3</f>
        <v>5885035.0250000004</v>
      </c>
      <c r="AI125" s="6">
        <f>[1]Production!AH3</f>
        <v>5958801.699</v>
      </c>
      <c r="AJ125" s="6">
        <f>[1]Production!AI3</f>
        <v>6033554.5489999996</v>
      </c>
      <c r="AK125" s="6">
        <f>[1]Production!AJ3</f>
        <v>6109265.767</v>
      </c>
      <c r="AL125" s="6">
        <f>[1]Production!AK3</f>
        <v>6185908.5599999996</v>
      </c>
      <c r="AM125" s="6">
        <f>[1]Production!AL3</f>
        <v>6261124.0619999999</v>
      </c>
      <c r="AN125" s="6">
        <f>[1]Production!AM3</f>
        <v>6336494.1030000001</v>
      </c>
      <c r="AO125" s="6">
        <f>[1]Production!AN3</f>
        <v>6412232.9029999999</v>
      </c>
      <c r="AP125" s="6">
        <f>[1]Production!AO3</f>
        <v>6488486.7410000004</v>
      </c>
      <c r="AQ125" s="6">
        <f>[1]Production!AP3</f>
        <v>6565370.3300000001</v>
      </c>
      <c r="AR125" s="6">
        <f>[1]Production!AQ3</f>
        <v>6642968.1279999996</v>
      </c>
      <c r="AS125" s="6">
        <f>[1]Production!AR3</f>
        <v>6721334.5300000003</v>
      </c>
      <c r="AT125" s="6">
        <f>[1]Production!AS3</f>
        <v>6800498.3150000004</v>
      </c>
      <c r="AU125" s="6">
        <f>[1]Production!AT3</f>
        <v>6880469.7620000001</v>
      </c>
      <c r="AV125" s="6">
        <f>[1]Production!AU3</f>
        <v>6961248.1509999996</v>
      </c>
      <c r="AW125" s="6">
        <f>[1]Production!AV3</f>
        <v>7043036.4740000004</v>
      </c>
      <c r="AX125" s="6">
        <f>[1]Production!AW3</f>
        <v>7125686.8739999998</v>
      </c>
      <c r="AY125" s="6">
        <f>[1]Production!AX3</f>
        <v>7209176.7980000004</v>
      </c>
      <c r="AZ125" s="6">
        <f>[1]Production!AY3</f>
        <v>7293493.8969999999</v>
      </c>
      <c r="BA125" s="6">
        <f>[1]Production!AZ3</f>
        <v>7378632.7139999997</v>
      </c>
      <c r="BB125" s="6">
        <f>[1]Production!BA3</f>
        <v>8712181.8599999994</v>
      </c>
      <c r="BC125" s="6">
        <f>[1]Production!BB3</f>
        <v>8859098.2300000004</v>
      </c>
      <c r="BD125" s="6">
        <f>[1]Production!BC3</f>
        <v>9008308.0109999999</v>
      </c>
      <c r="BE125" s="6">
        <f>[1]Production!BD3</f>
        <v>9159849.0710000005</v>
      </c>
      <c r="BF125" s="6">
        <f>[1]Production!BE3</f>
        <v>9313761.7990000006</v>
      </c>
    </row>
    <row r="126" spans="1:58" x14ac:dyDescent="0.35">
      <c r="B126" t="s">
        <v>7</v>
      </c>
      <c r="C126" s="6">
        <f>[1]Production!B5+[1]Production!B7</f>
        <v>88425.037507999994</v>
      </c>
      <c r="D126" s="6">
        <f>[1]Production!C5+[1]Production!C7</f>
        <v>88897.577879000004</v>
      </c>
      <c r="E126" s="6">
        <f>[1]Production!D5+[1]Production!D7</f>
        <v>89281.606801000002</v>
      </c>
      <c r="F126" s="6">
        <f>[1]Production!E5+[1]Production!E7</f>
        <v>89646.101519999997</v>
      </c>
      <c r="G126" s="6">
        <f>[1]Production!F5+[1]Production!F7</f>
        <v>90020.109771000003</v>
      </c>
      <c r="H126" s="6">
        <f>[1]Production!G5+[1]Production!G7</f>
        <v>90408.296782999998</v>
      </c>
      <c r="I126" s="6">
        <f>[1]Production!H5+[1]Production!H7</f>
        <v>90736.264086999989</v>
      </c>
      <c r="J126" s="6">
        <f>[1]Production!I5+[1]Production!I7</f>
        <v>91035.639370000004</v>
      </c>
      <c r="K126" s="6">
        <f>[1]Production!J5+[1]Production!J7</f>
        <v>91316.645512999996</v>
      </c>
      <c r="L126" s="6">
        <f>[1]Production!K5+[1]Production!K7</f>
        <v>91585.235625000001</v>
      </c>
      <c r="M126" s="6">
        <f>[1]Production!L5+[1]Production!L7</f>
        <v>91959.623198999994</v>
      </c>
      <c r="N126" s="6">
        <f>[1]Production!M5+[1]Production!M7</f>
        <v>92261.265520999994</v>
      </c>
      <c r="O126" s="6">
        <f>[1]Production!N5+[1]Production!N7</f>
        <v>92532.068173000007</v>
      </c>
      <c r="P126" s="6">
        <f>[1]Production!O5+[1]Production!O7</f>
        <v>92787.059566000011</v>
      </c>
      <c r="Q126" s="6">
        <f>[1]Production!P5+[1]Production!P7</f>
        <v>93036.896047999995</v>
      </c>
      <c r="R126" s="6">
        <f>[1]Production!Q5+[1]Production!Q7</f>
        <v>93289.289825</v>
      </c>
      <c r="S126" s="6">
        <f>[1]Production!R5+[1]Production!R7</f>
        <v>93549.435710999998</v>
      </c>
      <c r="T126" s="6">
        <f>[1]Production!S5+[1]Production!S7</f>
        <v>93820.238421000002</v>
      </c>
      <c r="U126" s="6">
        <f>[1]Production!T5+[1]Production!T7</f>
        <v>94102.749318000002</v>
      </c>
      <c r="V126" s="6">
        <f>[1]Production!U5+[1]Production!U7</f>
        <v>94396.595459000004</v>
      </c>
      <c r="W126" s="6">
        <f>[1]Production!V5+[1]Production!V7</f>
        <v>94625.588411999997</v>
      </c>
      <c r="X126" s="6">
        <f>[1]Production!W5+[1]Production!W7</f>
        <v>94907.399549999987</v>
      </c>
      <c r="Y126" s="6">
        <f>[1]Production!X5+[1]Production!X7</f>
        <v>95214.811799000003</v>
      </c>
      <c r="Z126" s="6">
        <f>[1]Production!Y5+[1]Production!Y7</f>
        <v>95538.046529999992</v>
      </c>
      <c r="AA126" s="6">
        <f>[1]Production!Z5+[1]Production!Z7</f>
        <v>95870.10557</v>
      </c>
      <c r="AB126" s="6">
        <f>[1]Production!AA5+[1]Production!AA7</f>
        <v>96001.849381000007</v>
      </c>
      <c r="AC126" s="6">
        <f>[1]Production!AB5+[1]Production!AB7</f>
        <v>96159.627410000001</v>
      </c>
      <c r="AD126" s="6">
        <f>[1]Production!AC5+[1]Production!AC7</f>
        <v>96329.695499000009</v>
      </c>
      <c r="AE126" s="6">
        <f>[1]Production!AD5+[1]Production!AD7</f>
        <v>96514.63154599999</v>
      </c>
      <c r="AF126" s="6">
        <f>[1]Production!AE5+[1]Production!AE7</f>
        <v>96714.669808999999</v>
      </c>
      <c r="AG126" s="6">
        <f>[1]Production!AF5+[1]Production!AF7</f>
        <v>96927.752540999994</v>
      </c>
      <c r="AH126" s="6">
        <f>[1]Production!AG5+[1]Production!AG7</f>
        <v>97150.337079999998</v>
      </c>
      <c r="AI126" s="6">
        <f>[1]Production!AH5+[1]Production!AH7</f>
        <v>97378.369049999994</v>
      </c>
      <c r="AJ126" s="6">
        <f>[1]Production!AI5+[1]Production!AI7</f>
        <v>97608.057132000002</v>
      </c>
      <c r="AK126" s="6">
        <f>[1]Production!AJ5+[1]Production!AJ7</f>
        <v>97836.387650999997</v>
      </c>
      <c r="AL126" s="6">
        <f>[1]Production!AK5+[1]Production!AK7</f>
        <v>98061.375115999996</v>
      </c>
      <c r="AM126" s="6">
        <f>[1]Production!AL5+[1]Production!AL7</f>
        <v>98238.691558000006</v>
      </c>
      <c r="AN126" s="6">
        <f>[1]Production!AM5+[1]Production!AM7</f>
        <v>98394.161947000001</v>
      </c>
      <c r="AO126" s="6">
        <f>[1]Production!AN5+[1]Production!AN7</f>
        <v>98539.660279000003</v>
      </c>
      <c r="AP126" s="6">
        <f>[1]Production!AO5+[1]Production!AO7</f>
        <v>98683.016505000007</v>
      </c>
      <c r="AQ126" s="6">
        <f>[1]Production!AP5+[1]Production!AP7</f>
        <v>98829.17941099999</v>
      </c>
      <c r="AR126" s="6">
        <f>[1]Production!AQ5+[1]Production!AQ7</f>
        <v>98980.81161199999</v>
      </c>
      <c r="AS126" s="6">
        <f>[1]Production!AR5+[1]Production!AR7</f>
        <v>99138.791767000002</v>
      </c>
      <c r="AT126" s="6">
        <f>[1]Production!AS5+[1]Production!AS7</f>
        <v>99302.725645999992</v>
      </c>
      <c r="AU126" s="6">
        <f>[1]Production!AT5+[1]Production!AT7</f>
        <v>99471.44193999999</v>
      </c>
      <c r="AV126" s="6">
        <f>[1]Production!AU5+[1]Production!AU7</f>
        <v>99643.426592000003</v>
      </c>
      <c r="AW126" s="6">
        <f>[1]Production!AV5+[1]Production!AV7</f>
        <v>99820.645000999997</v>
      </c>
      <c r="AX126" s="6">
        <f>[1]Production!AW5+[1]Production!AW7</f>
        <v>99999.741624999995</v>
      </c>
      <c r="AY126" s="6">
        <f>[1]Production!AX5+[1]Production!AX7</f>
        <v>100178.88965700001</v>
      </c>
      <c r="AZ126" s="6">
        <f>[1]Production!AY5+[1]Production!AY7</f>
        <v>100357.00733800001</v>
      </c>
      <c r="BA126" s="6">
        <f>[1]Production!AZ5+[1]Production!AZ7</f>
        <v>100533.618305</v>
      </c>
      <c r="BB126" s="6">
        <f>[1]Production!BA5+[1]Production!BA7</f>
        <v>187349.718796</v>
      </c>
      <c r="BC126" s="6">
        <f>[1]Production!BB5+[1]Production!BB7</f>
        <v>190365.57513399998</v>
      </c>
      <c r="BD126" s="6">
        <f>[1]Production!BC5+[1]Production!BC7</f>
        <v>193432.17496200002</v>
      </c>
      <c r="BE126" s="6">
        <f>[1]Production!BD5+[1]Production!BD7</f>
        <v>196550.74918099999</v>
      </c>
      <c r="BF126" s="6">
        <f>[1]Production!BE5+[1]Production!BE7</f>
        <v>199722.56682400001</v>
      </c>
    </row>
    <row r="127" spans="1:58" x14ac:dyDescent="0.35">
      <c r="B127" t="s">
        <v>30</v>
      </c>
      <c r="C127" s="6">
        <f>[1]Production!B9+[1]Production!B11+[1]Production!B13+[1]Production!B15+[1]Production!B17+[1]Production!B19+[1]Production!B21+[1]Production!B23+[1]Production!B25+[1]Production!B27+[1]Production!B41</f>
        <v>980849.69621199998</v>
      </c>
      <c r="D127" s="6">
        <f>[1]Production!C9+[1]Production!C11+[1]Production!C13+[1]Production!C15+[1]Production!C17+[1]Production!C19+[1]Production!C21+[1]Production!C23+[1]Production!C25+[1]Production!C27+[1]Production!C41</f>
        <v>993234.41518999997</v>
      </c>
      <c r="E127" s="6">
        <f>[1]Production!D9+[1]Production!D11+[1]Production!D13+[1]Production!D15+[1]Production!D17+[1]Production!D19+[1]Production!D21+[1]Production!D23+[1]Production!D25+[1]Production!D27+[1]Production!D41</f>
        <v>1006587.581032</v>
      </c>
      <c r="F127" s="6">
        <f>[1]Production!E9+[1]Production!E11+[1]Production!E13+[1]Production!E15+[1]Production!E17+[1]Production!E19+[1]Production!E21+[1]Production!E23+[1]Production!E25+[1]Production!E27+[1]Production!E41</f>
        <v>1020290.3579789998</v>
      </c>
      <c r="G127" s="6">
        <f>[1]Production!F9+[1]Production!F11+[1]Production!F13+[1]Production!F15+[1]Production!F17+[1]Production!F19+[1]Production!F21+[1]Production!F23+[1]Production!F25+[1]Production!F27+[1]Production!F41</f>
        <v>1034208.642506</v>
      </c>
      <c r="H127" s="6">
        <f>[1]Production!G9+[1]Production!G11+[1]Production!G13+[1]Production!G15+[1]Production!G17+[1]Production!G19+[1]Production!G21+[1]Production!G23+[1]Production!G25+[1]Production!G27+[1]Production!G41</f>
        <v>1048295.7813190001</v>
      </c>
      <c r="I127" s="6">
        <f>[1]Production!H9+[1]Production!H11+[1]Production!H13+[1]Production!H15+[1]Production!H17+[1]Production!H19+[1]Production!H21+[1]Production!H23+[1]Production!H25+[1]Production!H27+[1]Production!H41</f>
        <v>1061839.4620030001</v>
      </c>
      <c r="J127" s="6">
        <f>[1]Production!I9+[1]Production!I11+[1]Production!I13+[1]Production!I15+[1]Production!I17+[1]Production!I19+[1]Production!I21+[1]Production!I23+[1]Production!I25+[1]Production!I27+[1]Production!I41</f>
        <v>1075337.9793680001</v>
      </c>
      <c r="K127" s="6">
        <f>[1]Production!J9+[1]Production!J11+[1]Production!J13+[1]Production!J15+[1]Production!J17+[1]Production!J19+[1]Production!J21+[1]Production!J23+[1]Production!J25+[1]Production!J27+[1]Production!J41</f>
        <v>1088875.1361130001</v>
      </c>
      <c r="L127" s="6">
        <f>[1]Production!K9+[1]Production!K11+[1]Production!K13+[1]Production!K15+[1]Production!K17+[1]Production!K19+[1]Production!K21+[1]Production!K23+[1]Production!K25+[1]Production!K27+[1]Production!K41</f>
        <v>1102503.855772</v>
      </c>
      <c r="M127" s="6">
        <f>[1]Production!L9+[1]Production!L11+[1]Production!L13+[1]Production!L15+[1]Production!L17+[1]Production!L19+[1]Production!L21+[1]Production!L23+[1]Production!L25+[1]Production!L27+[1]Production!L41</f>
        <v>1117465.9336650001</v>
      </c>
      <c r="N127" s="6">
        <f>[1]Production!M9+[1]Production!M11+[1]Production!M13+[1]Production!M15+[1]Production!M17+[1]Production!M19+[1]Production!M21+[1]Production!M23+[1]Production!M25+[1]Production!M27+[1]Production!M41</f>
        <v>1131720.225566</v>
      </c>
      <c r="O127" s="6">
        <f>[1]Production!N9+[1]Production!N11+[1]Production!N13+[1]Production!N15+[1]Production!N17+[1]Production!N19+[1]Production!N21+[1]Production!N23+[1]Production!N25+[1]Production!N27+[1]Production!N41</f>
        <v>1146023.2183489997</v>
      </c>
      <c r="P127" s="6">
        <f>[1]Production!O9+[1]Production!O11+[1]Production!O13+[1]Production!O15+[1]Production!O17+[1]Production!O19+[1]Production!O21+[1]Production!O23+[1]Production!O25+[1]Production!O27+[1]Production!O41</f>
        <v>1160454.0658190001</v>
      </c>
      <c r="Q127" s="6">
        <f>[1]Production!P9+[1]Production!P11+[1]Production!P13+[1]Production!P15+[1]Production!P17+[1]Production!P19+[1]Production!P21+[1]Production!P23+[1]Production!P25+[1]Production!P27+[1]Production!P41</f>
        <v>1175059.958812</v>
      </c>
      <c r="R127" s="6">
        <f>[1]Production!Q9+[1]Production!Q11+[1]Production!Q13+[1]Production!Q15+[1]Production!Q17+[1]Production!Q19+[1]Production!Q21+[1]Production!Q23+[1]Production!Q25+[1]Production!Q27+[1]Production!Q41</f>
        <v>1189878.9620449999</v>
      </c>
      <c r="S127" s="6">
        <f>[1]Production!R9+[1]Production!R11+[1]Production!R13+[1]Production!R15+[1]Production!R17+[1]Production!R19+[1]Production!R21+[1]Production!R23+[1]Production!R25+[1]Production!R27+[1]Production!R41</f>
        <v>1204942.6756130001</v>
      </c>
      <c r="T127" s="6">
        <f>[1]Production!S9+[1]Production!S11+[1]Production!S13+[1]Production!S15+[1]Production!S17+[1]Production!S19+[1]Production!S21+[1]Production!S23+[1]Production!S25+[1]Production!S27+[1]Production!S41</f>
        <v>1220275.9744739998</v>
      </c>
      <c r="U127" s="6">
        <f>[1]Production!T9+[1]Production!T11+[1]Production!T13+[1]Production!T15+[1]Production!T17+[1]Production!T19+[1]Production!T21+[1]Production!T23+[1]Production!T25+[1]Production!T27+[1]Production!T41</f>
        <v>1235896.9093599999</v>
      </c>
      <c r="V127" s="6">
        <f>[1]Production!U9+[1]Production!U11+[1]Production!U13+[1]Production!U15+[1]Production!U17+[1]Production!U19+[1]Production!U21+[1]Production!U23+[1]Production!U25+[1]Production!U27+[1]Production!U41</f>
        <v>1251817.297212</v>
      </c>
      <c r="W127" s="6">
        <f>[1]Production!V9+[1]Production!V11+[1]Production!V13+[1]Production!V15+[1]Production!V17+[1]Production!V19+[1]Production!V21+[1]Production!V23+[1]Production!V25+[1]Production!V27+[1]Production!V41</f>
        <v>1267186.332251</v>
      </c>
      <c r="X127" s="6">
        <f>[1]Production!W9+[1]Production!W11+[1]Production!W13+[1]Production!W15+[1]Production!W17+[1]Production!W19+[1]Production!W21+[1]Production!W23+[1]Production!W25+[1]Production!W27+[1]Production!W41</f>
        <v>1283480.2577000002</v>
      </c>
      <c r="Y127" s="6">
        <f>[1]Production!X9+[1]Production!X11+[1]Production!X13+[1]Production!X15+[1]Production!X17+[1]Production!X19+[1]Production!X21+[1]Production!X23+[1]Production!X25+[1]Production!X27+[1]Production!X41</f>
        <v>1300180</v>
      </c>
      <c r="Z127" s="6">
        <f>[1]Production!Y9+[1]Production!Y11+[1]Production!Y13+[1]Production!Y15+[1]Production!Y17+[1]Production!Y19+[1]Production!Y21+[1]Production!Y23+[1]Production!Y25+[1]Production!Y27+[1]Production!Y41</f>
        <v>1317244.661571</v>
      </c>
      <c r="AA127" s="6">
        <f>[1]Production!Z9+[1]Production!Z11+[1]Production!Z13+[1]Production!Z15+[1]Production!Z17+[1]Production!Z19+[1]Production!Z21+[1]Production!Z23+[1]Production!Z25+[1]Production!Z27+[1]Production!Z41</f>
        <v>1334651.4780679999</v>
      </c>
      <c r="AB127" s="6">
        <f>[1]Production!AA9+[1]Production!AA11+[1]Production!AA13+[1]Production!AA15+[1]Production!AA17+[1]Production!AA19+[1]Production!AA21+[1]Production!AA23+[1]Production!AA25+[1]Production!AA27+[1]Production!AA41</f>
        <v>1349944.7066119998</v>
      </c>
      <c r="AC127" s="6">
        <f>[1]Production!AB9+[1]Production!AB11+[1]Production!AB13+[1]Production!AB15+[1]Production!AB17+[1]Production!AB19+[1]Production!AB21+[1]Production!AB23+[1]Production!AB25+[1]Production!AB27+[1]Production!AB41</f>
        <v>1366131.7609749998</v>
      </c>
      <c r="AD127" s="6">
        <f>[1]Production!AC9+[1]Production!AC11+[1]Production!AC13+[1]Production!AC15+[1]Production!AC17+[1]Production!AC19+[1]Production!AC21+[1]Production!AC23+[1]Production!AC25+[1]Production!AC27+[1]Production!AC41</f>
        <v>1382539.6169789999</v>
      </c>
      <c r="AE127" s="6">
        <f>[1]Production!AD9+[1]Production!AD11+[1]Production!AD13+[1]Production!AD15+[1]Production!AD17+[1]Production!AD19+[1]Production!AD21+[1]Production!AD23+[1]Production!AD25+[1]Production!AD27+[1]Production!AD41</f>
        <v>1399173.1348410002</v>
      </c>
      <c r="AF127" s="6">
        <f>[1]Production!AE9+[1]Production!AE11+[1]Production!AE13+[1]Production!AE15+[1]Production!AE17+[1]Production!AE19+[1]Production!AE21+[1]Production!AE23+[1]Production!AE25+[1]Production!AE27+[1]Production!AE41</f>
        <v>1416044.7358190001</v>
      </c>
      <c r="AG127" s="6">
        <f>[1]Production!AF9+[1]Production!AF11+[1]Production!AF13+[1]Production!AF15+[1]Production!AF17+[1]Production!AF19+[1]Production!AF21+[1]Production!AF23+[1]Production!AF25+[1]Production!AF27+[1]Production!AF41</f>
        <v>1433154.7623999999</v>
      </c>
      <c r="AH127" s="6">
        <f>[1]Production!AG9+[1]Production!AG11+[1]Production!AG13+[1]Production!AG15+[1]Production!AG17+[1]Production!AG19+[1]Production!AG21+[1]Production!AG23+[1]Production!AG25+[1]Production!AG27+[1]Production!AG41</f>
        <v>1450491.395242</v>
      </c>
      <c r="AI127" s="6">
        <f>[1]Production!AH9+[1]Production!AH11+[1]Production!AH13+[1]Production!AH15+[1]Production!AH17+[1]Production!AH19+[1]Production!AH21+[1]Production!AH23+[1]Production!AH25+[1]Production!AH27+[1]Production!AH41</f>
        <v>1468034.7506910001</v>
      </c>
      <c r="AJ127" s="6">
        <f>[1]Production!AI9+[1]Production!AI11+[1]Production!AI13+[1]Production!AI15+[1]Production!AI17+[1]Production!AI19+[1]Production!AI21+[1]Production!AI23+[1]Production!AI25+[1]Production!AI27+[1]Production!AI41</f>
        <v>1485761.4904390001</v>
      </c>
      <c r="AK127" s="6">
        <f>[1]Production!AJ9+[1]Production!AJ11+[1]Production!AJ13+[1]Production!AJ15+[1]Production!AJ17+[1]Production!AJ19+[1]Production!AJ21+[1]Production!AJ23+[1]Production!AJ25+[1]Production!AJ27+[1]Production!AJ41</f>
        <v>1503648.5462409998</v>
      </c>
      <c r="AL127" s="6">
        <f>[1]Production!AK9+[1]Production!AK11+[1]Production!AK13+[1]Production!AK15+[1]Production!AK17+[1]Production!AK19+[1]Production!AK21+[1]Production!AK23+[1]Production!AK25+[1]Production!AK27+[1]Production!AK41</f>
        <v>1521675.556543</v>
      </c>
      <c r="AM127" s="6">
        <f>[1]Production!AL9+[1]Production!AL11+[1]Production!AL13+[1]Production!AL15+[1]Production!AL17+[1]Production!AL19+[1]Production!AL21+[1]Production!AL23+[1]Production!AL25+[1]Production!AL27+[1]Production!AL41</f>
        <v>1539254.7147739998</v>
      </c>
      <c r="AN127" s="6">
        <f>[1]Production!AM9+[1]Production!AM11+[1]Production!AM13+[1]Production!AM15+[1]Production!AM17+[1]Production!AM19+[1]Production!AM21+[1]Production!AM23+[1]Production!AM25+[1]Production!AM27+[1]Production!AM41</f>
        <v>1556775.6434880001</v>
      </c>
      <c r="AO127" s="6">
        <f>[1]Production!AN9+[1]Production!AN11+[1]Production!AN13+[1]Production!AN15+[1]Production!AN17+[1]Production!AN19+[1]Production!AN21+[1]Production!AN23+[1]Production!AN25+[1]Production!AN27+[1]Production!AN41</f>
        <v>1574290.7668939999</v>
      </c>
      <c r="AP127" s="6">
        <f>[1]Production!AO9+[1]Production!AO11+[1]Production!AO13+[1]Production!AO15+[1]Production!AO17+[1]Production!AO19+[1]Production!AO21+[1]Production!AO23+[1]Production!AO25+[1]Production!AO27+[1]Production!AO41</f>
        <v>1591832.1292290001</v>
      </c>
      <c r="AQ127" s="6">
        <f>[1]Production!AP9+[1]Production!AP11+[1]Production!AP13+[1]Production!AP15+[1]Production!AP17+[1]Production!AP19+[1]Production!AP21+[1]Production!AP23+[1]Production!AP25+[1]Production!AP27+[1]Production!AP41</f>
        <v>1609422.9398509997</v>
      </c>
      <c r="AR127" s="6">
        <f>[1]Production!AQ9+[1]Production!AQ11+[1]Production!AQ13+[1]Production!AQ15+[1]Production!AQ17+[1]Production!AQ19+[1]Production!AQ21+[1]Production!AQ23+[1]Production!AQ25+[1]Production!AQ27+[1]Production!AQ41</f>
        <v>1627078.8358710001</v>
      </c>
      <c r="AS127" s="6">
        <f>[1]Production!AR9+[1]Production!AR11+[1]Production!AR13+[1]Production!AR15+[1]Production!AR17+[1]Production!AR19+[1]Production!AR21+[1]Production!AR23+[1]Production!AR25+[1]Production!AR27+[1]Production!AR41</f>
        <v>1644808.3396960003</v>
      </c>
      <c r="AT127" s="6">
        <f>[1]Production!AS9+[1]Production!AS11+[1]Production!AS13+[1]Production!AS15+[1]Production!AS17+[1]Production!AS19+[1]Production!AS21+[1]Production!AS23+[1]Production!AS25+[1]Production!AS27+[1]Production!AS41</f>
        <v>1662614.0522439997</v>
      </c>
      <c r="AU127" s="6">
        <f>[1]Production!AT9+[1]Production!AT11+[1]Production!AT13+[1]Production!AT15+[1]Production!AT17+[1]Production!AT19+[1]Production!AT21+[1]Production!AT23+[1]Production!AT25+[1]Production!AT27+[1]Production!AT41</f>
        <v>1680494.453917</v>
      </c>
      <c r="AV127" s="6">
        <f>[1]Production!AU9+[1]Production!AU11+[1]Production!AU13+[1]Production!AU15+[1]Production!AU17+[1]Production!AU19+[1]Production!AU21+[1]Production!AU23+[1]Production!AU25+[1]Production!AU27+[1]Production!AU41</f>
        <v>1698445.859557</v>
      </c>
      <c r="AW127" s="6">
        <f>[1]Production!AV9+[1]Production!AV11+[1]Production!AV13+[1]Production!AV15+[1]Production!AV17+[1]Production!AV19+[1]Production!AV21+[1]Production!AV23+[1]Production!AV25+[1]Production!AV27+[1]Production!AV41</f>
        <v>1716514.3726400002</v>
      </c>
      <c r="AX127" s="6">
        <f>[1]Production!AW9+[1]Production!AW11+[1]Production!AW13+[1]Production!AW15+[1]Production!AW17+[1]Production!AW19+[1]Production!AW21+[1]Production!AW23+[1]Production!AW25+[1]Production!AW27+[1]Production!AW41</f>
        <v>1734661.3391440001</v>
      </c>
      <c r="AY127" s="6">
        <f>[1]Production!AX9+[1]Production!AX11+[1]Production!AX13+[1]Production!AX15+[1]Production!AX17+[1]Production!AX19+[1]Production!AX21+[1]Production!AX23+[1]Production!AX25+[1]Production!AX27+[1]Production!AX41</f>
        <v>1752879.8109970004</v>
      </c>
      <c r="AZ127" s="6">
        <f>[1]Production!AY9+[1]Production!AY11+[1]Production!AY13+[1]Production!AY15+[1]Production!AY17+[1]Production!AY19+[1]Production!AY21+[1]Production!AY23+[1]Production!AY25+[1]Production!AY27+[1]Production!AY41</f>
        <v>1771166.7551140003</v>
      </c>
      <c r="BA127" s="6">
        <f>[1]Production!AZ9+[1]Production!AZ11+[1]Production!AZ13+[1]Production!AZ15+[1]Production!AZ17+[1]Production!AZ19+[1]Production!AZ21+[1]Production!AZ23+[1]Production!AZ25+[1]Production!AZ27+[1]Production!AZ41</f>
        <v>1789521.9641119998</v>
      </c>
      <c r="BB127" s="6">
        <f>[1]Production!BA9+[1]Production!BA11+[1]Production!BA13+[1]Production!BA15+[1]Production!BA17+[1]Production!BA19+[1]Production!BA21+[1]Production!BA23+[1]Production!BA25+[1]Production!BA27+[1]Production!BA41</f>
        <v>2290112.6670290004</v>
      </c>
      <c r="BC127" s="6">
        <f>[1]Production!BB9+[1]Production!BB11+[1]Production!BB13+[1]Production!BB15+[1]Production!BB17+[1]Production!BB19+[1]Production!BB21+[1]Production!BB23+[1]Production!BB25+[1]Production!BB27+[1]Production!BB41</f>
        <v>2330263.092402</v>
      </c>
      <c r="BD127" s="6">
        <f>[1]Production!BC9+[1]Production!BC11+[1]Production!BC13+[1]Production!BC15+[1]Production!BC17+[1]Production!BC19+[1]Production!BC21+[1]Production!BC23+[1]Production!BC25+[1]Production!BC27+[1]Production!BC41</f>
        <v>2370971.5196389998</v>
      </c>
      <c r="BE127" s="6">
        <f>[1]Production!BD9+[1]Production!BD11+[1]Production!BD13+[1]Production!BD15+[1]Production!BD17+[1]Production!BD19+[1]Production!BD21+[1]Production!BD23+[1]Production!BD25+[1]Production!BD27+[1]Production!BD41</f>
        <v>2412240.6733629997</v>
      </c>
      <c r="BF127" s="6">
        <f>[1]Production!BE9+[1]Production!BE11+[1]Production!BE13+[1]Production!BE15+[1]Production!BE17+[1]Production!BE19+[1]Production!BE21+[1]Production!BE23+[1]Production!BE25+[1]Production!BE27+[1]Production!BE41</f>
        <v>2454074.2157859998</v>
      </c>
    </row>
    <row r="128" spans="1:58" x14ac:dyDescent="0.35">
      <c r="B128" t="s">
        <v>9</v>
      </c>
      <c r="C128" s="6">
        <f>[1]Production!B29+[1]Production!B31+[1]Production!B33+[1]Production!B35</f>
        <v>121177.670124</v>
      </c>
      <c r="D128" s="6">
        <f>[1]Production!C29+[1]Production!C31+[1]Production!C33+[1]Production!C35</f>
        <v>122649.567733</v>
      </c>
      <c r="E128" s="6">
        <f>[1]Production!D29+[1]Production!D31+[1]Production!D33+[1]Production!D35</f>
        <v>124238.71544300001</v>
      </c>
      <c r="F128" s="6">
        <f>[1]Production!E29+[1]Production!E31+[1]Production!E33+[1]Production!E35</f>
        <v>125902.77922999999</v>
      </c>
      <c r="G128" s="6">
        <f>[1]Production!F29+[1]Production!F31+[1]Production!F33+[1]Production!F35</f>
        <v>127634.74174600001</v>
      </c>
      <c r="H128" s="6">
        <f>[1]Production!G29+[1]Production!G31+[1]Production!G33+[1]Production!G35</f>
        <v>129424.71322399999</v>
      </c>
      <c r="I128" s="6">
        <f>[1]Production!H29+[1]Production!H31+[1]Production!H33+[1]Production!H35</f>
        <v>131174.44348999998</v>
      </c>
      <c r="J128" s="6">
        <f>[1]Production!I29+[1]Production!I31+[1]Production!I33+[1]Production!I35</f>
        <v>132940.625932</v>
      </c>
      <c r="K128" s="6">
        <f>[1]Production!J29+[1]Production!J31+[1]Production!J33+[1]Production!J35</f>
        <v>134722.21568699999</v>
      </c>
      <c r="L128" s="6">
        <f>[1]Production!K29+[1]Production!K31+[1]Production!K33+[1]Production!K35</f>
        <v>136516.32429699998</v>
      </c>
      <c r="M128" s="6">
        <f>[1]Production!L29+[1]Production!L31+[1]Production!L33+[1]Production!L35</f>
        <v>138472.70584499999</v>
      </c>
      <c r="N128" s="6">
        <f>[1]Production!M29+[1]Production!M31+[1]Production!M33+[1]Production!M35</f>
        <v>140320.356982</v>
      </c>
      <c r="O128" s="6">
        <f>[1]Production!N29+[1]Production!N31+[1]Production!N33+[1]Production!N35</f>
        <v>142161.64635</v>
      </c>
      <c r="P128" s="6">
        <f>[1]Production!O29+[1]Production!O31+[1]Production!O33+[1]Production!O35</f>
        <v>144001.784725</v>
      </c>
      <c r="Q128" s="6">
        <f>[1]Production!P29+[1]Production!P31+[1]Production!P33+[1]Production!P35</f>
        <v>145843.14697100001</v>
      </c>
      <c r="R128" s="6">
        <f>[1]Production!Q29+[1]Production!Q31+[1]Production!Q33+[1]Production!Q35</f>
        <v>147688.37607900001</v>
      </c>
      <c r="S128" s="6">
        <f>[1]Production!R29+[1]Production!R31+[1]Production!R33+[1]Production!R35</f>
        <v>149540.60974400002</v>
      </c>
      <c r="T128" s="6">
        <f>[1]Production!S29+[1]Production!S31+[1]Production!S33+[1]Production!S35</f>
        <v>151403.24527700001</v>
      </c>
      <c r="U128" s="6">
        <f>[1]Production!T29+[1]Production!T31+[1]Production!T33+[1]Production!T35</f>
        <v>153279.71758199998</v>
      </c>
      <c r="V128" s="6">
        <f>[1]Production!U29+[1]Production!U31+[1]Production!U33+[1]Production!U35</f>
        <v>155173.35523400002</v>
      </c>
      <c r="W128" s="6">
        <f>[1]Production!V29+[1]Production!V31+[1]Production!V33+[1]Production!V35</f>
        <v>156976.97235299999</v>
      </c>
      <c r="X128" s="6">
        <f>[1]Production!W29+[1]Production!W31+[1]Production!W33+[1]Production!W35</f>
        <v>158888.03443</v>
      </c>
      <c r="Y128" s="6">
        <f>[1]Production!X29+[1]Production!X31+[1]Production!X33+[1]Production!X35</f>
        <v>160834.79496899998</v>
      </c>
      <c r="Z128" s="6">
        <f>[1]Production!Y29+[1]Production!Y31+[1]Production!Y33+[1]Production!Y35</f>
        <v>162815.72632300004</v>
      </c>
      <c r="AA128" s="6">
        <f>[1]Production!Z29+[1]Production!Z31+[1]Production!Z33+[1]Production!Z35</f>
        <v>164831.43421000001</v>
      </c>
      <c r="AB128" s="6">
        <f>[1]Production!AA29+[1]Production!AA31+[1]Production!AA33+[1]Production!AA35</f>
        <v>166567.36350199999</v>
      </c>
      <c r="AC128" s="6">
        <f>[1]Production!AB29+[1]Production!AB31+[1]Production!AB33+[1]Production!AB35</f>
        <v>168429.34786399998</v>
      </c>
      <c r="AD128" s="6">
        <f>[1]Production!AC29+[1]Production!AC31+[1]Production!AC33+[1]Production!AC35</f>
        <v>170317.645555</v>
      </c>
      <c r="AE128" s="6">
        <f>[1]Production!AD29+[1]Production!AD31+[1]Production!AD33+[1]Production!AD35</f>
        <v>172234.22810900002</v>
      </c>
      <c r="AF128" s="6">
        <f>[1]Production!AE29+[1]Production!AE31+[1]Production!AE33+[1]Production!AE35</f>
        <v>174183.00446999999</v>
      </c>
      <c r="AG128" s="6">
        <f>[1]Production!AF29+[1]Production!AF31+[1]Production!AF33+[1]Production!AF35</f>
        <v>176166.684381</v>
      </c>
      <c r="AH128" s="6">
        <f>[1]Production!AG29+[1]Production!AG31+[1]Production!AG33+[1]Production!AG35</f>
        <v>178186.48753900002</v>
      </c>
      <c r="AI128" s="6">
        <f>[1]Production!AH29+[1]Production!AH31+[1]Production!AH33+[1]Production!AH35</f>
        <v>180242.47732100001</v>
      </c>
      <c r="AJ128" s="6">
        <f>[1]Production!AI29+[1]Production!AI31+[1]Production!AI33+[1]Production!AI35</f>
        <v>182333.97363299999</v>
      </c>
      <c r="AK128" s="6">
        <f>[1]Production!AJ29+[1]Production!AJ31+[1]Production!AJ33+[1]Production!AJ35</f>
        <v>184459.89384899999</v>
      </c>
      <c r="AL128" s="6">
        <f>[1]Production!AK29+[1]Production!AK31+[1]Production!AK33+[1]Production!AK35</f>
        <v>186618.99281999998</v>
      </c>
      <c r="AM128" s="6">
        <f>[1]Production!AL29+[1]Production!AL31+[1]Production!AL33+[1]Production!AL35</f>
        <v>188735.22451</v>
      </c>
      <c r="AN128" s="6">
        <f>[1]Production!AM29+[1]Production!AM31+[1]Production!AM33+[1]Production!AM35</f>
        <v>190863.42643000002</v>
      </c>
      <c r="AO128" s="6">
        <f>[1]Production!AN29+[1]Production!AN31+[1]Production!AN33+[1]Production!AN35</f>
        <v>193008.99534999998</v>
      </c>
      <c r="AP128" s="6">
        <f>[1]Production!AO29+[1]Production!AO31+[1]Production!AO33+[1]Production!AO35</f>
        <v>195174.99286</v>
      </c>
      <c r="AQ128" s="6">
        <f>[1]Production!AP29+[1]Production!AP31+[1]Production!AP33+[1]Production!AP35</f>
        <v>197363.77457000001</v>
      </c>
      <c r="AR128" s="6">
        <f>[1]Production!AQ29+[1]Production!AQ31+[1]Production!AQ33+[1]Production!AQ35</f>
        <v>199577.10164000001</v>
      </c>
      <c r="AS128" s="6">
        <f>[1]Production!AR29+[1]Production!AR31+[1]Production!AR33+[1]Production!AR35</f>
        <v>201816.12079000002</v>
      </c>
      <c r="AT128" s="6">
        <f>[1]Production!AS29+[1]Production!AS31+[1]Production!AS33+[1]Production!AS35</f>
        <v>204081.42758999998</v>
      </c>
      <c r="AU128" s="6">
        <f>[1]Production!AT29+[1]Production!AT31+[1]Production!AT33+[1]Production!AT35</f>
        <v>206373.19534999999</v>
      </c>
      <c r="AV128" s="6">
        <f>[1]Production!AU29+[1]Production!AU31+[1]Production!AU33+[1]Production!AU35</f>
        <v>208691.32255000004</v>
      </c>
      <c r="AW128" s="6">
        <f>[1]Production!AV29+[1]Production!AV31+[1]Production!AV33+[1]Production!AV35</f>
        <v>211042.22994000002</v>
      </c>
      <c r="AX128" s="6">
        <f>[1]Production!AW29+[1]Production!AW31+[1]Production!AW33+[1]Production!AW35</f>
        <v>213420.63631000003</v>
      </c>
      <c r="AY128" s="6">
        <f>[1]Production!AX29+[1]Production!AX31+[1]Production!AX33+[1]Production!AX35</f>
        <v>215825.69349000001</v>
      </c>
      <c r="AZ128" s="6">
        <f>[1]Production!AY29+[1]Production!AY31+[1]Production!AY33+[1]Production!AY35</f>
        <v>218256.82182000001</v>
      </c>
      <c r="BA128" s="6">
        <f>[1]Production!AZ29+[1]Production!AZ31+[1]Production!AZ33+[1]Production!AZ35</f>
        <v>220713.57877000002</v>
      </c>
      <c r="BB128" s="6">
        <f>[1]Production!BA29+[1]Production!BA31+[1]Production!BA33+[1]Production!BA35</f>
        <v>261541.31211</v>
      </c>
      <c r="BC128" s="6">
        <f>[1]Production!BB29+[1]Production!BB31+[1]Production!BB33+[1]Production!BB35</f>
        <v>265856.45607999997</v>
      </c>
      <c r="BD128" s="6">
        <f>[1]Production!BC29+[1]Production!BC31+[1]Production!BC33+[1]Production!BC35</f>
        <v>270249.49372000003</v>
      </c>
      <c r="BE128" s="6">
        <f>[1]Production!BD29+[1]Production!BD31+[1]Production!BD33+[1]Production!BD35</f>
        <v>274722.02743999998</v>
      </c>
      <c r="BF128" s="6">
        <f>[1]Production!BE29+[1]Production!BE31+[1]Production!BE33+[1]Production!BE35</f>
        <v>279275.68514000002</v>
      </c>
    </row>
    <row r="129" spans="1:58" x14ac:dyDescent="0.35">
      <c r="B129" t="s">
        <v>10</v>
      </c>
      <c r="C129" s="6">
        <f>[1]Production!B37+[1]Production!B39</f>
        <v>2561171.3290999997</v>
      </c>
      <c r="D129" s="6">
        <f>[1]Production!C37+[1]Production!C39</f>
        <v>2593701.2728999997</v>
      </c>
      <c r="E129" s="6">
        <f>[1]Production!D37+[1]Production!D39</f>
        <v>2629624.8738000002</v>
      </c>
      <c r="F129" s="6">
        <f>[1]Production!E37+[1]Production!E39</f>
        <v>2667876.3456999999</v>
      </c>
      <c r="G129" s="6">
        <f>[1]Production!F37+[1]Production!F39</f>
        <v>2708223.9267999995</v>
      </c>
      <c r="H129" s="6">
        <f>[1]Production!G37+[1]Production!G39</f>
        <v>2750441.7810999998</v>
      </c>
      <c r="I129" s="6">
        <f>[1]Production!H37+[1]Production!H39</f>
        <v>2792521.8506999998</v>
      </c>
      <c r="J129" s="6">
        <f>[1]Production!I37+[1]Production!I39</f>
        <v>2835515.2305000001</v>
      </c>
      <c r="K129" s="6">
        <f>[1]Production!J37+[1]Production!J39</f>
        <v>2879399.7731000003</v>
      </c>
      <c r="L129" s="6">
        <f>[1]Production!K37+[1]Production!K39</f>
        <v>2924121.6370999999</v>
      </c>
      <c r="M129" s="6">
        <f>[1]Production!L37+[1]Production!L39</f>
        <v>2972757.1191999996</v>
      </c>
      <c r="N129" s="6">
        <f>[1]Production!M37+[1]Production!M39</f>
        <v>3019926.9978999998</v>
      </c>
      <c r="O129" s="6">
        <f>[1]Production!N37+[1]Production!N39</f>
        <v>3067485.2215</v>
      </c>
      <c r="P129" s="6">
        <f>[1]Production!O37+[1]Production!O39</f>
        <v>3115456.1412999998</v>
      </c>
      <c r="Q129" s="6">
        <f>[1]Production!P37+[1]Production!P39</f>
        <v>3163830.0315</v>
      </c>
      <c r="R129" s="6">
        <f>[1]Production!Q37+[1]Production!Q39</f>
        <v>3212605.9964000001</v>
      </c>
      <c r="S129" s="6">
        <f>[1]Production!R37+[1]Production!R39</f>
        <v>3261794.4982000003</v>
      </c>
      <c r="T129" s="6">
        <f>[1]Production!S37+[1]Production!S39</f>
        <v>3311412.4465000001</v>
      </c>
      <c r="U129" s="6">
        <f>[1]Production!T37+[1]Production!T39</f>
        <v>3361479.9627</v>
      </c>
      <c r="V129" s="6">
        <f>[1]Production!U37+[1]Production!U39</f>
        <v>3412019.4399000001</v>
      </c>
      <c r="W129" s="6">
        <f>[1]Production!V37+[1]Production!V39</f>
        <v>3460743.9707000004</v>
      </c>
      <c r="X129" s="6">
        <f>[1]Production!W37+[1]Production!W39</f>
        <v>3511590.9319000002</v>
      </c>
      <c r="Y129" s="6">
        <f>[1]Production!X37+[1]Production!X39</f>
        <v>3563196.9657999999</v>
      </c>
      <c r="Z129" s="6">
        <f>[1]Production!Y37+[1]Production!Y39</f>
        <v>3615538.1872999999</v>
      </c>
      <c r="AA129" s="6">
        <f>[1]Production!Z37+[1]Production!Z39</f>
        <v>3668619.8422999997</v>
      </c>
      <c r="AB129" s="6">
        <f>[1]Production!AA37+[1]Production!AA39</f>
        <v>3715790.6783999996</v>
      </c>
      <c r="AC129" s="6">
        <f>[1]Production!AB37+[1]Production!AB39</f>
        <v>3765141.7527999999</v>
      </c>
      <c r="AD129" s="6">
        <f>[1]Production!AC37+[1]Production!AC39</f>
        <v>3814818.8391999998</v>
      </c>
      <c r="AE129" s="6">
        <f>[1]Production!AD37+[1]Production!AD39</f>
        <v>3864937.9342999998</v>
      </c>
      <c r="AF129" s="6">
        <f>[1]Production!AE37+[1]Production!AE39</f>
        <v>3915626.0926000001</v>
      </c>
      <c r="AG129" s="6">
        <f>[1]Production!AF37+[1]Production!AF39</f>
        <v>3966973.3084</v>
      </c>
      <c r="AH129" s="6">
        <f>[1]Production!AG37+[1]Production!AG39</f>
        <v>4019030.5381999998</v>
      </c>
      <c r="AI129" s="6">
        <f>[1]Production!AH37+[1]Production!AH39</f>
        <v>4071821.0135999997</v>
      </c>
      <c r="AJ129" s="6">
        <f>[1]Production!AI37+[1]Production!AI39</f>
        <v>4125351.9550999999</v>
      </c>
      <c r="AK129" s="6">
        <f>[1]Production!AJ37+[1]Production!AJ39</f>
        <v>4179623.2045</v>
      </c>
      <c r="AL129" s="6">
        <f>[1]Production!AK37+[1]Production!AK39</f>
        <v>4234632.4890000001</v>
      </c>
      <c r="AM129" s="6">
        <f>[1]Production!AL37+[1]Production!AL39</f>
        <v>4288778.5824999996</v>
      </c>
      <c r="AN129" s="6">
        <f>[1]Production!AM37+[1]Production!AM39</f>
        <v>4343144.4674999993</v>
      </c>
      <c r="AO129" s="6">
        <f>[1]Production!AN37+[1]Production!AN39</f>
        <v>4397868.4884000001</v>
      </c>
      <c r="AP129" s="6">
        <f>[1]Production!AO37+[1]Production!AO39</f>
        <v>4453051.7034</v>
      </c>
      <c r="AQ129" s="6">
        <f>[1]Production!AP37+[1]Production!AP39</f>
        <v>4508777.1953999996</v>
      </c>
      <c r="AR129" s="6">
        <f>[1]Production!AQ37+[1]Production!AQ39</f>
        <v>4565108.5932</v>
      </c>
      <c r="AS129" s="6">
        <f>[1]Production!AR37+[1]Production!AR39</f>
        <v>4622089.1100000003</v>
      </c>
      <c r="AT129" s="6">
        <f>[1]Production!AS37+[1]Production!AS39</f>
        <v>4679744.2170000002</v>
      </c>
      <c r="AU129" s="6">
        <f>[1]Production!AT37+[1]Production!AT39</f>
        <v>4738086.3559999997</v>
      </c>
      <c r="AV129" s="6">
        <f>[1]Production!AU37+[1]Production!AU39</f>
        <v>4797119.91</v>
      </c>
      <c r="AW129" s="6">
        <f>[1]Production!AV37+[1]Production!AV39</f>
        <v>4856989.0920000002</v>
      </c>
      <c r="AX129" s="6">
        <f>[1]Production!AW37+[1]Production!AW39</f>
        <v>4917596.0630000001</v>
      </c>
      <c r="AY129" s="6">
        <f>[1]Production!AX37+[1]Production!AX39</f>
        <v>4978928.7039999999</v>
      </c>
      <c r="AZ129" s="6">
        <f>[1]Production!AY37+[1]Production!AY39</f>
        <v>5040979.8660000004</v>
      </c>
      <c r="BA129" s="6">
        <f>[1]Production!AZ37+[1]Production!AZ39</f>
        <v>5103745.6359999999</v>
      </c>
      <c r="BB129" s="6">
        <f>[1]Production!BA37+[1]Production!BA39</f>
        <v>5784532.0769999996</v>
      </c>
      <c r="BC129" s="6">
        <f>[1]Production!BB37+[1]Production!BB39</f>
        <v>5881432.5949999997</v>
      </c>
      <c r="BD129" s="6">
        <f>[1]Production!BC37+[1]Production!BC39</f>
        <v>5979896.9780000001</v>
      </c>
      <c r="BE129" s="6">
        <f>[1]Production!BD37+[1]Production!BD39</f>
        <v>6079956.5920000002</v>
      </c>
      <c r="BF129" s="6">
        <f>[1]Production!BE37+[1]Production!BE39</f>
        <v>6181644.392</v>
      </c>
    </row>
    <row r="130" spans="1:58" x14ac:dyDescent="0.35">
      <c r="B130" t="s">
        <v>29</v>
      </c>
      <c r="C130" s="6">
        <f>[1]Production!B43+[1]Production!B47</f>
        <v>35878.126142200003</v>
      </c>
      <c r="D130" s="6">
        <f>[1]Production!C43+[1]Production!C47</f>
        <v>36146.7646484</v>
      </c>
      <c r="E130" s="6">
        <f>[1]Production!D43+[1]Production!D47</f>
        <v>36401.531565700003</v>
      </c>
      <c r="F130" s="6">
        <f>[1]Production!E43+[1]Production!E47</f>
        <v>36689.384420400005</v>
      </c>
      <c r="G130" s="6">
        <f>[1]Production!F43+[1]Production!F47</f>
        <v>37023.391791299997</v>
      </c>
      <c r="H130" s="6">
        <f>[1]Production!G43+[1]Production!G47</f>
        <v>37400.742719099995</v>
      </c>
      <c r="I130" s="6">
        <f>[1]Production!H43+[1]Production!H47</f>
        <v>37793.204575100004</v>
      </c>
      <c r="J130" s="6">
        <f>[1]Production!I43+[1]Production!I47</f>
        <v>38207.684371299998</v>
      </c>
      <c r="K130" s="6">
        <f>[1]Production!J43+[1]Production!J47</f>
        <v>38640.020169099997</v>
      </c>
      <c r="L130" s="6">
        <f>[1]Production!K43+[1]Production!K47</f>
        <v>39086.133281000002</v>
      </c>
      <c r="M130" s="6">
        <f>[1]Production!L43+[1]Production!L47</f>
        <v>39579.001263099999</v>
      </c>
      <c r="N130" s="6">
        <f>[1]Production!M43+[1]Production!M47</f>
        <v>40054.3084285</v>
      </c>
      <c r="O130" s="6">
        <f>[1]Production!N43+[1]Production!N47</f>
        <v>40531.944078300003</v>
      </c>
      <c r="P130" s="6">
        <f>[1]Production!O43+[1]Production!O47</f>
        <v>41012.884642200006</v>
      </c>
      <c r="Q130" s="6">
        <f>[1]Production!P43+[1]Production!P47</f>
        <v>41496.921179600002</v>
      </c>
      <c r="R130" s="6">
        <f>[1]Production!Q43+[1]Production!Q47</f>
        <v>41983.805780299997</v>
      </c>
      <c r="S130" s="6">
        <f>[1]Production!R43+[1]Production!R47</f>
        <v>42473.486792000003</v>
      </c>
      <c r="T130" s="6">
        <f>[1]Production!S43+[1]Production!S47</f>
        <v>42966.117357800002</v>
      </c>
      <c r="U130" s="6">
        <f>[1]Production!T43+[1]Production!T47</f>
        <v>43462.012196300006</v>
      </c>
      <c r="V130" s="6">
        <f>[1]Production!U43+[1]Production!U47</f>
        <v>43961.598088999999</v>
      </c>
      <c r="W130" s="6">
        <f>[1]Production!V43+[1]Production!V47</f>
        <v>44438.931994500002</v>
      </c>
      <c r="X130" s="6">
        <f>[1]Production!W43+[1]Production!W47</f>
        <v>44939.840507300003</v>
      </c>
      <c r="Y130" s="6">
        <f>[1]Production!X43+[1]Production!X47</f>
        <v>45448.894181999996</v>
      </c>
      <c r="Z130" s="6">
        <f>[1]Production!Y43+[1]Production!Y47</f>
        <v>45965.050004999997</v>
      </c>
      <c r="AA130" s="6">
        <f>[1]Production!Z43+[1]Production!Z47</f>
        <v>46488.365804100002</v>
      </c>
      <c r="AB130" s="6">
        <f>[1]Production!AA43+[1]Production!AA47</f>
        <v>46943.415195599999</v>
      </c>
      <c r="AC130" s="6">
        <f>[1]Production!AB43+[1]Production!AB47</f>
        <v>47424.433158600004</v>
      </c>
      <c r="AD130" s="6">
        <f>[1]Production!AC43+[1]Production!AC47</f>
        <v>47910.919604800001</v>
      </c>
      <c r="AE130" s="6">
        <f>[1]Production!AD43+[1]Production!AD47</f>
        <v>48402.379899499996</v>
      </c>
      <c r="AF130" s="6">
        <f>[1]Production!AE43+[1]Production!AE47</f>
        <v>48899.4344041</v>
      </c>
      <c r="AG130" s="6">
        <f>[1]Production!AF43+[1]Production!AF47</f>
        <v>49402.820729300001</v>
      </c>
      <c r="AH130" s="6">
        <f>[1]Production!AG43+[1]Production!AG47</f>
        <v>49913.143130600001</v>
      </c>
      <c r="AI130" s="6">
        <f>[1]Production!AH43+[1]Production!AH47</f>
        <v>50430.8233148</v>
      </c>
      <c r="AJ130" s="6">
        <f>[1]Production!AI43+[1]Production!AI47</f>
        <v>50956.114083300003</v>
      </c>
      <c r="AK130" s="6">
        <f>[1]Production!AJ43+[1]Production!AJ47</f>
        <v>51489.132571499998</v>
      </c>
      <c r="AL130" s="6">
        <f>[1]Production!AK43+[1]Production!AK47</f>
        <v>52029.896657799996</v>
      </c>
      <c r="AM130" s="6">
        <f>[1]Production!AL43+[1]Production!AL47</f>
        <v>52560.351798699994</v>
      </c>
      <c r="AN130" s="6">
        <f>[1]Production!AM43+[1]Production!AM47</f>
        <v>53093.2119055</v>
      </c>
      <c r="AO130" s="6">
        <f>[1]Production!AN43+[1]Production!AN47</f>
        <v>53630.226550699997</v>
      </c>
      <c r="AP130" s="6">
        <f>[1]Production!AO43+[1]Production!AO47</f>
        <v>54172.127995000003</v>
      </c>
      <c r="AQ130" s="6">
        <f>[1]Production!AP43+[1]Production!AP47</f>
        <v>54719.388321500002</v>
      </c>
      <c r="AR130" s="6">
        <f>[1]Production!AQ43+[1]Production!AQ47</f>
        <v>55272.388416200003</v>
      </c>
      <c r="AS130" s="6">
        <f>[1]Production!AR43+[1]Production!AR47</f>
        <v>55831.4482193</v>
      </c>
      <c r="AT130" s="6">
        <f>[1]Production!AS43+[1]Production!AS47</f>
        <v>56396.829591299997</v>
      </c>
      <c r="AU130" s="6">
        <f>[1]Production!AT43+[1]Production!AT47</f>
        <v>56968.739266800003</v>
      </c>
      <c r="AV130" s="6">
        <f>[1]Production!AU43+[1]Production!AU47</f>
        <v>57547.336596100002</v>
      </c>
      <c r="AW130" s="6">
        <f>[1]Production!AV43+[1]Production!AV47</f>
        <v>58134.350985000005</v>
      </c>
      <c r="AX130" s="6">
        <f>[1]Production!AW43+[1]Production!AW47</f>
        <v>58728.730205100001</v>
      </c>
      <c r="AY130" s="6">
        <f>[1]Production!AX43+[1]Production!AX47</f>
        <v>59330.399028399996</v>
      </c>
      <c r="AZ130" s="6">
        <f>[1]Production!AY43+[1]Production!AY47</f>
        <v>59939.368922200003</v>
      </c>
      <c r="BA130" s="6">
        <f>[1]Production!AZ43+[1]Production!AZ47</f>
        <v>60555.679281900004</v>
      </c>
      <c r="BB130" s="6">
        <f>[1]Production!BA43+[1]Production!BA47</f>
        <v>68714.504469699998</v>
      </c>
      <c r="BC130" s="6">
        <f>[1]Production!BB43+[1]Production!BB47</f>
        <v>69710.393611000007</v>
      </c>
      <c r="BD130" s="6">
        <f>[1]Production!BC43+[1]Production!BC47</f>
        <v>70722.25903239999</v>
      </c>
      <c r="BE130" s="6">
        <f>[1]Production!BD43+[1]Production!BD47</f>
        <v>71750.496934800001</v>
      </c>
      <c r="BF130" s="6">
        <f>[1]Production!BE43+[1]Production!BE47</f>
        <v>72795.515572999997</v>
      </c>
    </row>
    <row r="131" spans="1:58" x14ac:dyDescent="0.35">
      <c r="B131" t="s">
        <v>36</v>
      </c>
      <c r="C131" s="6">
        <f>[1]Production!B45+[1]Production!B49</f>
        <v>4493.3406169</v>
      </c>
      <c r="D131" s="6">
        <f>[1]Production!C45+[1]Production!C49</f>
        <v>4520.4915686000004</v>
      </c>
      <c r="E131" s="6">
        <f>[1]Production!D45+[1]Production!D49</f>
        <v>4544.9646861000001</v>
      </c>
      <c r="F131" s="6">
        <f>[1]Production!E45+[1]Production!E49</f>
        <v>4574.7559882999994</v>
      </c>
      <c r="G131" s="6">
        <f>[1]Production!F45+[1]Production!F49</f>
        <v>4611.8889170000002</v>
      </c>
      <c r="H131" s="6">
        <f>[1]Production!G45+[1]Production!G49</f>
        <v>4655.8294276000006</v>
      </c>
      <c r="I131" s="6">
        <f>[1]Production!H45+[1]Production!H49</f>
        <v>4703.0030532000001</v>
      </c>
      <c r="J131" s="6">
        <f>[1]Production!I45+[1]Production!I49</f>
        <v>4753.8043795999993</v>
      </c>
      <c r="K131" s="6">
        <f>[1]Production!J45+[1]Production!J49</f>
        <v>4807.4584488</v>
      </c>
      <c r="L131" s="6">
        <f>[1]Production!K45+[1]Production!K49</f>
        <v>4863.2963436</v>
      </c>
      <c r="M131" s="6">
        <f>[1]Production!L45+[1]Production!L49</f>
        <v>4924.9055708000005</v>
      </c>
      <c r="N131" s="6">
        <f>[1]Production!M45+[1]Production!M49</f>
        <v>4984.9540499000004</v>
      </c>
      <c r="O131" s="6">
        <f>[1]Production!N45+[1]Production!N49</f>
        <v>5045.5931246</v>
      </c>
      <c r="P131" s="6">
        <f>[1]Production!O45+[1]Production!O49</f>
        <v>5106.8102073</v>
      </c>
      <c r="Q131" s="6">
        <f>[1]Production!P45+[1]Production!P49</f>
        <v>5168.5043479999995</v>
      </c>
      <c r="R131" s="6">
        <f>[1]Production!Q45+[1]Production!Q49</f>
        <v>5230.5864170999994</v>
      </c>
      <c r="S131" s="6">
        <f>[1]Production!R45+[1]Production!R49</f>
        <v>5293.0006076999998</v>
      </c>
      <c r="T131" s="6">
        <f>[1]Production!S45+[1]Production!S49</f>
        <v>5355.7239869000005</v>
      </c>
      <c r="U131" s="6">
        <f>[1]Production!T45+[1]Production!T49</f>
        <v>5418.7608328000006</v>
      </c>
      <c r="V131" s="6">
        <f>[1]Production!U45+[1]Production!U49</f>
        <v>5482.1363749000002</v>
      </c>
      <c r="W131" s="6">
        <f>[1]Production!V45+[1]Production!V49</f>
        <v>5542.8836391000004</v>
      </c>
      <c r="X131" s="6">
        <f>[1]Production!W45+[1]Production!W49</f>
        <v>5606.1605747999993</v>
      </c>
      <c r="Y131" s="6">
        <f>[1]Production!X45+[1]Production!X49</f>
        <v>5670.2159677</v>
      </c>
      <c r="Z131" s="6">
        <f>[1]Production!Y45+[1]Production!Y49</f>
        <v>5734.9679980999999</v>
      </c>
      <c r="AA131" s="6">
        <f>[1]Production!Z45+[1]Production!Z49</f>
        <v>5800.4386427000009</v>
      </c>
      <c r="AB131" s="6">
        <f>[1]Production!AA45+[1]Production!AA49</f>
        <v>5858.0491588999994</v>
      </c>
      <c r="AC131" s="6">
        <f>[1]Production!AB45+[1]Production!AB49</f>
        <v>5918.4232799000001</v>
      </c>
      <c r="AD131" s="6">
        <f>[1]Production!AC45+[1]Production!AC49</f>
        <v>5979.1942989999998</v>
      </c>
      <c r="AE131" s="6">
        <f>[1]Production!AD45+[1]Production!AD49</f>
        <v>6040.3660293000003</v>
      </c>
      <c r="AF131" s="6">
        <f>[1]Production!AE45+[1]Production!AE49</f>
        <v>6102.0422208</v>
      </c>
      <c r="AG131" s="6">
        <f>[1]Production!AF45+[1]Production!AF49</f>
        <v>6164.3369827999995</v>
      </c>
      <c r="AH131" s="6">
        <f>[1]Production!AG45+[1]Production!AG49</f>
        <v>6227.3484008000005</v>
      </c>
      <c r="AI131" s="6">
        <f>[1]Production!AH45+[1]Production!AH49</f>
        <v>6291.1524467999998</v>
      </c>
      <c r="AJ131" s="6">
        <f>[1]Production!AI45+[1]Production!AI49</f>
        <v>6355.8039663</v>
      </c>
      <c r="AK131" s="6">
        <f>[1]Production!AJ45+[1]Production!AJ49</f>
        <v>6421.3400868999997</v>
      </c>
      <c r="AL131" s="6">
        <f>[1]Production!AK45+[1]Production!AK49</f>
        <v>6487.7841171</v>
      </c>
      <c r="AM131" s="6">
        <f>[1]Production!AL45+[1]Production!AL49</f>
        <v>6553.0940902000002</v>
      </c>
      <c r="AN131" s="6">
        <f>[1]Production!AM45+[1]Production!AM49</f>
        <v>6618.7110810000004</v>
      </c>
      <c r="AO131" s="6">
        <f>[1]Production!AN45+[1]Production!AN49</f>
        <v>6684.8216334999997</v>
      </c>
      <c r="AP131" s="6">
        <f>[1]Production!AO45+[1]Production!AO49</f>
        <v>6751.5165588</v>
      </c>
      <c r="AQ131" s="6">
        <f>[1]Production!AP45+[1]Production!AP49</f>
        <v>6818.8605433000002</v>
      </c>
      <c r="AR131" s="6">
        <f>[1]Production!AQ45+[1]Production!AQ49</f>
        <v>6886.9085472999996</v>
      </c>
      <c r="AS131" s="6">
        <f>[1]Production!AR45+[1]Production!AR49</f>
        <v>6955.7085309000004</v>
      </c>
      <c r="AT131" s="6">
        <f>[1]Production!AS45+[1]Production!AS49</f>
        <v>7025.3014842000002</v>
      </c>
      <c r="AU131" s="6">
        <f>[1]Production!AT45+[1]Production!AT49</f>
        <v>7095.7216130999996</v>
      </c>
      <c r="AV131" s="6">
        <f>[1]Production!AU45+[1]Production!AU49</f>
        <v>7166.9971740000001</v>
      </c>
      <c r="AW131" s="6">
        <f>[1]Production!AV45+[1]Production!AV49</f>
        <v>7239.3353433000002</v>
      </c>
      <c r="AX131" s="6">
        <f>[1]Production!AW45+[1]Production!AW49</f>
        <v>7312.6268384999994</v>
      </c>
      <c r="AY131" s="6">
        <f>[1]Production!AX45+[1]Production!AX49</f>
        <v>7386.8738253000001</v>
      </c>
      <c r="AZ131" s="6">
        <f>[1]Production!AY45+[1]Production!AY49</f>
        <v>7462.0859132999994</v>
      </c>
      <c r="BA131" s="6">
        <f>[1]Production!AZ45+[1]Production!AZ49</f>
        <v>7538.2750137000003</v>
      </c>
      <c r="BB131" s="6">
        <f>[1]Production!BA45+[1]Production!BA49</f>
        <v>8410.6024689999995</v>
      </c>
      <c r="BC131" s="6">
        <f>[1]Production!BB45+[1]Production!BB49</f>
        <v>8527.5116899999994</v>
      </c>
      <c r="BD131" s="6">
        <f>[1]Production!BC45+[1]Production!BC49</f>
        <v>8646.2339209999991</v>
      </c>
      <c r="BE131" s="6">
        <f>[1]Production!BD45+[1]Production!BD49</f>
        <v>8766.8204050000004</v>
      </c>
      <c r="BF131" s="6">
        <f>[1]Production!BE45+[1]Production!BE49</f>
        <v>8889.3251259999997</v>
      </c>
    </row>
    <row r="132" spans="1:58" x14ac:dyDescent="0.35">
      <c r="B132" t="s">
        <v>33</v>
      </c>
      <c r="C132" s="6">
        <f>[1]Production!B51+[1]Production!B53+[1]Production!B55+[1]Production!B57+[1]Production!B59+[1]Production!B61+[1]Production!B63+[1]Production!B65+[1]Production!B67</f>
        <v>67869.287343599994</v>
      </c>
      <c r="D132" s="6">
        <f>[1]Production!C51+[1]Production!C53+[1]Production!C55+[1]Production!C57+[1]Production!C59+[1]Production!C61+[1]Production!C63+[1]Production!C65+[1]Production!C67</f>
        <v>68392.290892799996</v>
      </c>
      <c r="E132" s="6">
        <f>[1]Production!D51+[1]Production!D53+[1]Production!D55+[1]Production!D57+[1]Production!D59+[1]Production!D61+[1]Production!D63+[1]Production!D65+[1]Production!D67</f>
        <v>68838.818847600007</v>
      </c>
      <c r="F132" s="6">
        <f>[1]Production!E51+[1]Production!E53+[1]Production!E55+[1]Production!E57+[1]Production!E59+[1]Production!E61+[1]Production!E63+[1]Production!E65+[1]Production!E67</f>
        <v>69294.589336000005</v>
      </c>
      <c r="G132" s="6">
        <f>[1]Production!F51+[1]Production!F53+[1]Production!F55+[1]Production!F57+[1]Production!F59+[1]Production!F61+[1]Production!F63+[1]Production!F65+[1]Production!F67</f>
        <v>69791.325772199998</v>
      </c>
      <c r="H132" s="6">
        <f>[1]Production!G51+[1]Production!G53+[1]Production!G55+[1]Production!G57+[1]Production!G59+[1]Production!G61+[1]Production!G63+[1]Production!G65+[1]Production!G67</f>
        <v>70332.886995999987</v>
      </c>
      <c r="I132" s="6">
        <f>[1]Production!H51+[1]Production!H53+[1]Production!H55+[1]Production!H57+[1]Production!H59+[1]Production!H61+[1]Production!H63+[1]Production!H65+[1]Production!H67</f>
        <v>70875.971182199995</v>
      </c>
      <c r="J132" s="6">
        <f>[1]Production!I51+[1]Production!I53+[1]Production!I55+[1]Production!I57+[1]Production!I59+[1]Production!I61+[1]Production!I63+[1]Production!I65+[1]Production!I67</f>
        <v>71429.231245700008</v>
      </c>
      <c r="K132" s="6">
        <f>[1]Production!J51+[1]Production!J53+[1]Production!J55+[1]Production!J57+[1]Production!J59+[1]Production!J61+[1]Production!J63+[1]Production!J65+[1]Production!J67</f>
        <v>71989.485183299999</v>
      </c>
      <c r="L132" s="6">
        <f>[1]Production!K51+[1]Production!K53+[1]Production!K55+[1]Production!K57+[1]Production!K59+[1]Production!K61+[1]Production!K63+[1]Production!K65+[1]Production!K67</f>
        <v>72551.393331300002</v>
      </c>
      <c r="M132" s="6">
        <f>[1]Production!L51+[1]Production!L53+[1]Production!L55+[1]Production!L57+[1]Production!L59+[1]Production!L61+[1]Production!L63+[1]Production!L65+[1]Production!L67</f>
        <v>73171.880596699993</v>
      </c>
      <c r="N132" s="6">
        <f>[1]Production!M51+[1]Production!M53+[1]Production!M55+[1]Production!M57+[1]Production!M59+[1]Production!M61+[1]Production!M63+[1]Production!M65+[1]Production!M67</f>
        <v>73751.672108500003</v>
      </c>
      <c r="O132" s="6">
        <f>[1]Production!N51+[1]Production!N53+[1]Production!N55+[1]Production!N57+[1]Production!N59+[1]Production!N61+[1]Production!N63+[1]Production!N65+[1]Production!N67</f>
        <v>74310.368027499993</v>
      </c>
      <c r="P132" s="6">
        <f>[1]Production!O51+[1]Production!O53+[1]Production!O55+[1]Production!O57+[1]Production!O59+[1]Production!O61+[1]Production!O63+[1]Production!O65+[1]Production!O67</f>
        <v>74853.946376899985</v>
      </c>
      <c r="Q132" s="6">
        <f>[1]Production!P51+[1]Production!P53+[1]Production!P55+[1]Production!P57+[1]Production!P59+[1]Production!P61+[1]Production!P63+[1]Production!P65+[1]Production!P67</f>
        <v>75385.271915699996</v>
      </c>
      <c r="R132" s="6">
        <f>[1]Production!Q51+[1]Production!Q53+[1]Production!Q55+[1]Production!Q57+[1]Production!Q59+[1]Production!Q61+[1]Production!Q63+[1]Production!Q65+[1]Production!Q67</f>
        <v>75906.587046199988</v>
      </c>
      <c r="S132" s="6">
        <f>[1]Production!R51+[1]Production!R53+[1]Production!R55+[1]Production!R57+[1]Production!R59+[1]Production!R61+[1]Production!R63+[1]Production!R65+[1]Production!R67</f>
        <v>76420.351887399986</v>
      </c>
      <c r="T132" s="6">
        <f>[1]Production!S51+[1]Production!S53+[1]Production!S55+[1]Production!S57+[1]Production!S59+[1]Production!S61+[1]Production!S63+[1]Production!S65+[1]Production!S67</f>
        <v>76929.38296599999</v>
      </c>
      <c r="U132" s="6">
        <f>[1]Production!T51+[1]Production!T53+[1]Production!T55+[1]Production!T57+[1]Production!T59+[1]Production!T61+[1]Production!T63+[1]Production!T65+[1]Production!T67</f>
        <v>77436.738011900001</v>
      </c>
      <c r="V132" s="6">
        <f>[1]Production!U51+[1]Production!U53+[1]Production!U55+[1]Production!U57+[1]Production!U59+[1]Production!U61+[1]Production!U63+[1]Production!U65+[1]Production!U67</f>
        <v>77945.531740900013</v>
      </c>
      <c r="W132" s="6">
        <f>[1]Production!V51+[1]Production!V53+[1]Production!V55+[1]Production!V57+[1]Production!V59+[1]Production!V61+[1]Production!V63+[1]Production!V65+[1]Production!V67</f>
        <v>78415.190237799994</v>
      </c>
      <c r="X132" s="6">
        <f>[1]Production!W51+[1]Production!W53+[1]Production!W55+[1]Production!W57+[1]Production!W59+[1]Production!W61+[1]Production!W63+[1]Production!W65+[1]Production!W67</f>
        <v>78916.456595999989</v>
      </c>
      <c r="Y132" s="6">
        <f>[1]Production!X51+[1]Production!X53+[1]Production!X55+[1]Production!X57+[1]Production!X59+[1]Production!X61+[1]Production!X63+[1]Production!X65+[1]Production!X67</f>
        <v>79436.205002100003</v>
      </c>
      <c r="Z132" s="6">
        <f>[1]Production!Y51+[1]Production!Y53+[1]Production!Y55+[1]Production!Y57+[1]Production!Y59+[1]Production!Y61+[1]Production!Y63+[1]Production!Y65+[1]Production!Y67</f>
        <v>79971.858043899992</v>
      </c>
      <c r="AA132" s="6">
        <f>[1]Production!Z51+[1]Production!Z53+[1]Production!Z55+[1]Production!Z57+[1]Production!Z59+[1]Production!Z61+[1]Production!Z63+[1]Production!Z65+[1]Production!Z67</f>
        <v>80523.340067300014</v>
      </c>
      <c r="AB132" s="6">
        <f>[1]Production!AA51+[1]Production!AA53+[1]Production!AA55+[1]Production!AA57+[1]Production!AA59+[1]Production!AA61+[1]Production!AA63+[1]Production!AA65+[1]Production!AA67</f>
        <v>80968.635016200002</v>
      </c>
      <c r="AC132" s="6">
        <f>[1]Production!AB51+[1]Production!AB53+[1]Production!AB55+[1]Production!AB57+[1]Production!AB59+[1]Production!AB61+[1]Production!AB63+[1]Production!AB65+[1]Production!AB67</f>
        <v>81441.607264599996</v>
      </c>
      <c r="AD132" s="6">
        <f>[1]Production!AC51+[1]Production!AC53+[1]Production!AC55+[1]Production!AC57+[1]Production!AC59+[1]Production!AC61+[1]Production!AC63+[1]Production!AC65+[1]Production!AC67</f>
        <v>81930.389503499988</v>
      </c>
      <c r="AE132" s="6">
        <f>[1]Production!AD51+[1]Production!AD53+[1]Production!AD55+[1]Production!AD57+[1]Production!AD59+[1]Production!AD61+[1]Production!AD63+[1]Production!AD65+[1]Production!AD67</f>
        <v>82433.517639500016</v>
      </c>
      <c r="AF132" s="6">
        <f>[1]Production!AE51+[1]Production!AE53+[1]Production!AE55+[1]Production!AE57+[1]Production!AE59+[1]Production!AE61+[1]Production!AE63+[1]Production!AE65+[1]Production!AE67</f>
        <v>82951.510584499993</v>
      </c>
      <c r="AG132" s="6">
        <f>[1]Production!AF51+[1]Production!AF53+[1]Production!AF55+[1]Production!AF57+[1]Production!AF59+[1]Production!AF61+[1]Production!AF63+[1]Production!AF65+[1]Production!AF67</f>
        <v>83485.342644499993</v>
      </c>
      <c r="AH132" s="6">
        <f>[1]Production!AG51+[1]Production!AG53+[1]Production!AG55+[1]Production!AG57+[1]Production!AG59+[1]Production!AG61+[1]Production!AG63+[1]Production!AG65+[1]Production!AG67</f>
        <v>84035.775496000002</v>
      </c>
      <c r="AI132" s="6">
        <f>[1]Production!AH51+[1]Production!AH53+[1]Production!AH55+[1]Production!AH57+[1]Production!AH59+[1]Production!AH61+[1]Production!AH63+[1]Production!AH65+[1]Production!AH67</f>
        <v>84603.112094199998</v>
      </c>
      <c r="AJ132" s="6">
        <f>[1]Production!AI51+[1]Production!AI53+[1]Production!AI55+[1]Production!AI57+[1]Production!AI59+[1]Production!AI61+[1]Production!AI63+[1]Production!AI65+[1]Production!AI67</f>
        <v>85187.154024699994</v>
      </c>
      <c r="AK132" s="6">
        <f>[1]Production!AJ51+[1]Production!AJ53+[1]Production!AJ55+[1]Production!AJ57+[1]Production!AJ59+[1]Production!AJ61+[1]Production!AJ63+[1]Production!AJ65+[1]Production!AJ67</f>
        <v>85787.262276699999</v>
      </c>
      <c r="AL132" s="6">
        <f>[1]Production!AK51+[1]Production!AK53+[1]Production!AK55+[1]Production!AK57+[1]Production!AK59+[1]Production!AK61+[1]Production!AK63+[1]Production!AK65+[1]Production!AK67</f>
        <v>86402.465959799985</v>
      </c>
      <c r="AM132" s="6">
        <f>[1]Production!AL51+[1]Production!AL53+[1]Production!AL55+[1]Production!AL57+[1]Production!AL59+[1]Production!AL61+[1]Production!AL63+[1]Production!AL65+[1]Production!AL67</f>
        <v>87003.403386499995</v>
      </c>
      <c r="AN132" s="6">
        <f>[1]Production!AM51+[1]Production!AM53+[1]Production!AM55+[1]Production!AM57+[1]Production!AM59+[1]Production!AM61+[1]Production!AM63+[1]Production!AM65+[1]Production!AM67</f>
        <v>87604.480712600009</v>
      </c>
      <c r="AO132" s="6">
        <f>[1]Production!AN51+[1]Production!AN53+[1]Production!AN55+[1]Production!AN57+[1]Production!AN59+[1]Production!AN61+[1]Production!AN63+[1]Production!AN65+[1]Production!AN67</f>
        <v>88209.943535399987</v>
      </c>
      <c r="AP132" s="6">
        <f>[1]Production!AO51+[1]Production!AO53+[1]Production!AO55+[1]Production!AO57+[1]Production!AO59+[1]Production!AO61+[1]Production!AO63+[1]Production!AO65+[1]Production!AO67</f>
        <v>88821.254763899997</v>
      </c>
      <c r="AQ132" s="6">
        <f>[1]Production!AP51+[1]Production!AP53+[1]Production!AP55+[1]Production!AP57+[1]Production!AP59+[1]Production!AP61+[1]Production!AP63+[1]Production!AP65+[1]Production!AP67</f>
        <v>89438.991754499992</v>
      </c>
      <c r="AR132" s="6">
        <f>[1]Production!AQ51+[1]Production!AQ53+[1]Production!AQ55+[1]Production!AQ57+[1]Production!AQ59+[1]Production!AQ61+[1]Production!AQ63+[1]Production!AQ65+[1]Production!AQ67</f>
        <v>90063.489583100003</v>
      </c>
      <c r="AS132" s="6">
        <f>[1]Production!AR51+[1]Production!AR53+[1]Production!AR55+[1]Production!AR57+[1]Production!AR59+[1]Production!AR61+[1]Production!AR63+[1]Production!AR65+[1]Production!AR67</f>
        <v>90695.011541300017</v>
      </c>
      <c r="AT132" s="6">
        <f>[1]Production!AS51+[1]Production!AS53+[1]Production!AS55+[1]Production!AS57+[1]Production!AS59+[1]Production!AS61+[1]Production!AS63+[1]Production!AS65+[1]Production!AS67</f>
        <v>91333.760522799988</v>
      </c>
      <c r="AU132" s="6">
        <f>[1]Production!AT51+[1]Production!AT53+[1]Production!AT55+[1]Production!AT57+[1]Production!AT59+[1]Production!AT61+[1]Production!AT63+[1]Production!AT65+[1]Production!AT67</f>
        <v>91979.85282320001</v>
      </c>
      <c r="AV132" s="6">
        <f>[1]Production!AU51+[1]Production!AU53+[1]Production!AU55+[1]Production!AU57+[1]Production!AU59+[1]Production!AU61+[1]Production!AU63+[1]Production!AU65+[1]Production!AU67</f>
        <v>92633.298456100005</v>
      </c>
      <c r="AW132" s="6">
        <f>[1]Production!AV51+[1]Production!AV53+[1]Production!AV55+[1]Production!AV57+[1]Production!AV59+[1]Production!AV61+[1]Production!AV63+[1]Production!AV65+[1]Production!AV67</f>
        <v>93296.44766369999</v>
      </c>
      <c r="AX132" s="6">
        <f>[1]Production!AW51+[1]Production!AW53+[1]Production!AW55+[1]Production!AW57+[1]Production!AW59+[1]Production!AW61+[1]Production!AW63+[1]Production!AW65+[1]Production!AW67</f>
        <v>93967.736111200007</v>
      </c>
      <c r="AY132" s="6">
        <f>[1]Production!AX51+[1]Production!AX53+[1]Production!AX55+[1]Production!AX57+[1]Production!AX59+[1]Production!AX61+[1]Production!AX63+[1]Production!AX65+[1]Production!AX67</f>
        <v>94646.428273599988</v>
      </c>
      <c r="AZ132" s="6">
        <f>[1]Production!AY51+[1]Production!AY53+[1]Production!AY55+[1]Production!AY57+[1]Production!AY59+[1]Production!AY61+[1]Production!AY63+[1]Production!AY65+[1]Production!AY67</f>
        <v>95331.991944600013</v>
      </c>
      <c r="BA132" s="6">
        <f>[1]Production!AZ51+[1]Production!AZ53+[1]Production!AZ55+[1]Production!AZ57+[1]Production!AZ59+[1]Production!AZ61+[1]Production!AZ63+[1]Production!AZ65+[1]Production!AZ67</f>
        <v>96023.963295399983</v>
      </c>
      <c r="BB132" s="6">
        <f>[1]Production!BA51+[1]Production!BA53+[1]Production!BA55+[1]Production!BA57+[1]Production!BA59+[1]Production!BA61+[1]Production!BA63+[1]Production!BA65+[1]Production!BA67</f>
        <v>111520.97725159999</v>
      </c>
      <c r="BC132" s="6">
        <f>[1]Production!BB51+[1]Production!BB53+[1]Production!BB55+[1]Production!BB57+[1]Production!BB59+[1]Production!BB61+[1]Production!BB63+[1]Production!BB65+[1]Production!BB67</f>
        <v>112942.6055565</v>
      </c>
      <c r="BD132" s="6">
        <f>[1]Production!BC51+[1]Production!BC53+[1]Production!BC55+[1]Production!BC57+[1]Production!BC59+[1]Production!BC61+[1]Production!BC63+[1]Production!BC65+[1]Production!BC67</f>
        <v>114389.35199920001</v>
      </c>
      <c r="BE132" s="6">
        <f>[1]Production!BD51+[1]Production!BD53+[1]Production!BD55+[1]Production!BD57+[1]Production!BD59+[1]Production!BD61+[1]Production!BD63+[1]Production!BD65+[1]Production!BD67</f>
        <v>115861.71159410001</v>
      </c>
      <c r="BF132" s="6">
        <f>[1]Production!BE51+[1]Production!BE53+[1]Production!BE55+[1]Production!BE57+[1]Production!BE59+[1]Production!BE61+[1]Production!BE63+[1]Production!BE65+[1]Production!BE67</f>
        <v>117360.09855449999</v>
      </c>
    </row>
    <row r="133" spans="1:58" x14ac:dyDescent="0.35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</row>
    <row r="134" spans="1:58" x14ac:dyDescent="0.35">
      <c r="C134" s="2"/>
    </row>
    <row r="135" spans="1:58" x14ac:dyDescent="0.35">
      <c r="A135" s="12" t="s">
        <v>82</v>
      </c>
      <c r="B135" t="s">
        <v>24</v>
      </c>
      <c r="C135" s="2">
        <v>42005</v>
      </c>
      <c r="D135" s="2">
        <v>42370</v>
      </c>
      <c r="E135" s="2">
        <v>42736</v>
      </c>
      <c r="F135" s="2">
        <v>43101</v>
      </c>
      <c r="G135" s="2">
        <v>43466</v>
      </c>
      <c r="H135" s="2">
        <v>43831</v>
      </c>
      <c r="I135" s="2">
        <v>44197</v>
      </c>
      <c r="J135" s="2">
        <v>44562</v>
      </c>
      <c r="K135" s="2">
        <v>44927</v>
      </c>
      <c r="L135" s="2">
        <v>45292</v>
      </c>
      <c r="M135" s="2">
        <v>45658</v>
      </c>
      <c r="N135" s="2">
        <v>46023</v>
      </c>
      <c r="O135" s="2">
        <v>46388</v>
      </c>
      <c r="P135" s="2">
        <v>46753</v>
      </c>
      <c r="Q135" s="2">
        <v>47119</v>
      </c>
      <c r="R135" s="2">
        <v>47484</v>
      </c>
      <c r="S135" s="2">
        <v>47849</v>
      </c>
      <c r="T135" s="2">
        <v>48214</v>
      </c>
      <c r="U135" s="2">
        <v>48580</v>
      </c>
      <c r="V135" s="2">
        <v>48945</v>
      </c>
      <c r="W135" s="2">
        <v>49310</v>
      </c>
      <c r="X135" s="2">
        <v>49675</v>
      </c>
      <c r="Y135" s="2">
        <v>50041</v>
      </c>
      <c r="Z135" s="2">
        <v>50406</v>
      </c>
      <c r="AA135" s="2">
        <v>50771</v>
      </c>
      <c r="AB135" s="2">
        <v>51136</v>
      </c>
      <c r="AC135" s="2">
        <v>51502</v>
      </c>
      <c r="AD135" s="2">
        <v>51867</v>
      </c>
      <c r="AE135" s="2">
        <v>52232</v>
      </c>
      <c r="AF135" s="2">
        <v>52597</v>
      </c>
      <c r="AG135" s="2">
        <v>52963</v>
      </c>
      <c r="AH135" s="2">
        <v>53328</v>
      </c>
      <c r="AI135" s="2">
        <v>53693</v>
      </c>
      <c r="AJ135" s="2">
        <v>54058</v>
      </c>
      <c r="AK135" s="2">
        <v>54424</v>
      </c>
      <c r="AL135" s="2">
        <v>54789</v>
      </c>
      <c r="AM135" s="2">
        <v>54790</v>
      </c>
      <c r="AN135" s="2">
        <v>54791</v>
      </c>
      <c r="AO135" s="2">
        <v>54792</v>
      </c>
      <c r="AP135" s="2">
        <v>54793</v>
      </c>
      <c r="AQ135" s="2">
        <v>54794</v>
      </c>
      <c r="AR135" s="2">
        <v>54795</v>
      </c>
      <c r="AS135" s="2">
        <v>54796</v>
      </c>
      <c r="AT135" s="2">
        <v>54797</v>
      </c>
      <c r="AU135" s="2">
        <v>54798</v>
      </c>
      <c r="AV135" s="2">
        <v>54799</v>
      </c>
      <c r="AW135" s="2">
        <v>54800</v>
      </c>
      <c r="AX135" s="2">
        <v>54801</v>
      </c>
      <c r="AY135" s="2">
        <v>54802</v>
      </c>
      <c r="AZ135" s="2">
        <v>54803</v>
      </c>
      <c r="BA135" s="2">
        <v>54804</v>
      </c>
      <c r="BB135" s="2">
        <v>54805</v>
      </c>
      <c r="BC135" s="2">
        <v>54806</v>
      </c>
      <c r="BD135" s="2">
        <v>54807</v>
      </c>
      <c r="BE135" s="2">
        <v>54808</v>
      </c>
      <c r="BF135" s="2">
        <v>54809</v>
      </c>
    </row>
    <row r="136" spans="1:58" x14ac:dyDescent="0.35">
      <c r="A136" t="s">
        <v>39</v>
      </c>
      <c r="B136" t="s">
        <v>27</v>
      </c>
      <c r="C136" s="6">
        <f>[1]Production!B2</f>
        <v>3792586.926</v>
      </c>
      <c r="D136" s="6">
        <f>[1]Production!C2</f>
        <v>3823488.6609999998</v>
      </c>
      <c r="E136" s="6">
        <f>[1]Production!D2</f>
        <v>3864931.1630000002</v>
      </c>
      <c r="F136" s="6">
        <f>[1]Production!E2</f>
        <v>3911695.6290000002</v>
      </c>
      <c r="G136" s="6">
        <f>[1]Production!F2</f>
        <v>3961712.173</v>
      </c>
      <c r="H136" s="6">
        <f>[1]Production!G2</f>
        <v>4013720.9160000002</v>
      </c>
      <c r="I136" s="6">
        <f>[1]Production!H2</f>
        <v>4064293.8930000002</v>
      </c>
      <c r="J136" s="6">
        <f>[1]Production!I2</f>
        <v>4115058.2459999998</v>
      </c>
      <c r="K136" s="6">
        <f>[1]Production!J2</f>
        <v>4166271.122</v>
      </c>
      <c r="L136" s="6">
        <f>[1]Production!K2</f>
        <v>4218209.7450000001</v>
      </c>
      <c r="M136" s="6">
        <f>[1]Production!L2</f>
        <v>4275681.0140000004</v>
      </c>
      <c r="N136" s="6">
        <f>[1]Production!M2</f>
        <v>4330749.273</v>
      </c>
      <c r="O136" s="6">
        <f>[1]Production!N2</f>
        <v>4386495.0810000002</v>
      </c>
      <c r="P136" s="6">
        <f>[1]Production!O2</f>
        <v>4443088.9680000003</v>
      </c>
      <c r="Q136" s="6">
        <f>[1]Production!P2</f>
        <v>4500529.4139999999</v>
      </c>
      <c r="R136" s="6">
        <f>[1]Production!Q2</f>
        <v>4558752.09</v>
      </c>
      <c r="S136" s="6">
        <f>[1]Production!R2</f>
        <v>4617344.415</v>
      </c>
      <c r="T136" s="6">
        <f>[1]Production!S2</f>
        <v>4676460.8770000003</v>
      </c>
      <c r="U136" s="6">
        <f>[1]Production!T2</f>
        <v>4736056.9720000001</v>
      </c>
      <c r="V136" s="6">
        <f>[1]Production!U2</f>
        <v>4796103.8849999998</v>
      </c>
      <c r="W136" s="6">
        <f>[1]Production!V2</f>
        <v>4853325.2189999996</v>
      </c>
      <c r="X136" s="6">
        <f>[1]Production!W2</f>
        <v>4913318.0029999996</v>
      </c>
      <c r="Y136" s="6">
        <f>[1]Production!X2</f>
        <v>4974159.6560000004</v>
      </c>
      <c r="Z136" s="6">
        <f>[1]Production!Y2</f>
        <v>5035797.4539999999</v>
      </c>
      <c r="AA136" s="6">
        <f>[1]Production!Z2</f>
        <v>5098242.3619999997</v>
      </c>
      <c r="AB136" s="6">
        <f>[1]Production!AA2</f>
        <v>5152221.5190000003</v>
      </c>
      <c r="AC136" s="6">
        <f>[1]Production!AB2</f>
        <v>5209294.6140000001</v>
      </c>
      <c r="AD136" s="6">
        <f>[1]Production!AC2</f>
        <v>5266865.34</v>
      </c>
      <c r="AE136" s="6">
        <f>[1]Production!AD2</f>
        <v>5325075.0420000004</v>
      </c>
      <c r="AF136" s="6">
        <f>[1]Production!AE2</f>
        <v>5384078.3679999998</v>
      </c>
      <c r="AG136" s="6">
        <f>[1]Production!AF2</f>
        <v>5443975.5120000001</v>
      </c>
      <c r="AH136" s="6">
        <f>[1]Production!AG2</f>
        <v>5504884.432</v>
      </c>
      <c r="AI136" s="6">
        <f>[1]Production!AH2</f>
        <v>5566761.2130000005</v>
      </c>
      <c r="AJ136" s="6">
        <f>[1]Production!AI2</f>
        <v>5629584.1459999997</v>
      </c>
      <c r="AK136" s="6">
        <f>[1]Production!AJ2</f>
        <v>5693324.074</v>
      </c>
      <c r="AL136" s="6">
        <f>[1]Production!AK2</f>
        <v>5757951.6169999996</v>
      </c>
      <c r="AM136" s="6">
        <f>[1]Production!AL2</f>
        <v>5821909.5269999998</v>
      </c>
      <c r="AN136" s="6">
        <f>[1]Production!AM2</f>
        <v>5886240.1789999995</v>
      </c>
      <c r="AO136" s="6">
        <f>[1]Production!AN2</f>
        <v>5951085.2060000002</v>
      </c>
      <c r="AP136" s="6">
        <f>[1]Production!AO2</f>
        <v>6016531.1960000005</v>
      </c>
      <c r="AQ136" s="6">
        <f>[1]Production!AP2</f>
        <v>6082638.8279999997</v>
      </c>
      <c r="AR136" s="6">
        <f>[1]Production!AQ2</f>
        <v>6149550.023</v>
      </c>
      <c r="AS136" s="6">
        <f>[1]Production!AR2</f>
        <v>6217213.6440000003</v>
      </c>
      <c r="AT136" s="6">
        <f>[1]Production!AS2</f>
        <v>6285620.3140000002</v>
      </c>
      <c r="AU136" s="6">
        <f>[1]Production!AT2</f>
        <v>6354751.0939999996</v>
      </c>
      <c r="AV136" s="6">
        <f>[1]Production!AU2</f>
        <v>6424582.8329999996</v>
      </c>
      <c r="AW136" s="6">
        <f>[1]Production!AV2</f>
        <v>6495638.8420000002</v>
      </c>
      <c r="AX136" s="6">
        <f>[1]Production!AW2</f>
        <v>6567542.9330000002</v>
      </c>
      <c r="AY136" s="6">
        <f>[1]Production!AX2</f>
        <v>6567514.0159999998</v>
      </c>
      <c r="AZ136" s="6">
        <f>[1]Production!AY2</f>
        <v>6567445.335</v>
      </c>
      <c r="BA136" s="6">
        <f>[1]Production!AZ2</f>
        <v>6567437.807</v>
      </c>
      <c r="BB136" s="6">
        <f>[1]Production!BA2</f>
        <v>8694272.4759999998</v>
      </c>
      <c r="BC136" s="6">
        <f>[1]Production!BB2</f>
        <v>8840634.7420000006</v>
      </c>
      <c r="BD136" s="6">
        <f>[1]Production!BC2</f>
        <v>8989308.7599999998</v>
      </c>
      <c r="BE136" s="6">
        <f>[1]Production!BD2</f>
        <v>9140327.6300000008</v>
      </c>
      <c r="BF136" s="6">
        <f>[1]Production!BE2</f>
        <v>9293727.1170000006</v>
      </c>
    </row>
    <row r="137" spans="1:58" x14ac:dyDescent="0.35">
      <c r="B137" t="s">
        <v>7</v>
      </c>
      <c r="C137" s="6">
        <f>[1]Production!B4+[1]Production!B6</f>
        <v>86809.697161000004</v>
      </c>
      <c r="D137" s="6">
        <f>[1]Production!C4+[1]Production!C6</f>
        <v>87322.582038000008</v>
      </c>
      <c r="E137" s="6">
        <f>[1]Production!D4+[1]Production!D6</f>
        <v>88053.416848000008</v>
      </c>
      <c r="F137" s="6">
        <f>[1]Production!E4+[1]Production!E6</f>
        <v>88856.158780999991</v>
      </c>
      <c r="G137" s="6">
        <f>[1]Production!F4+[1]Production!F6</f>
        <v>89628.733947999994</v>
      </c>
      <c r="H137" s="6">
        <f>[1]Production!G4+[1]Production!G6</f>
        <v>90298.121945999999</v>
      </c>
      <c r="I137" s="6">
        <f>[1]Production!H4+[1]Production!H6</f>
        <v>90751.993312000006</v>
      </c>
      <c r="J137" s="6">
        <f>[1]Production!I4+[1]Production!I6</f>
        <v>91019.950776999991</v>
      </c>
      <c r="K137" s="6">
        <f>[1]Production!J4+[1]Production!J6</f>
        <v>91132.621539</v>
      </c>
      <c r="L137" s="6">
        <f>[1]Production!K4+[1]Production!K6</f>
        <v>91129.877604000008</v>
      </c>
      <c r="M137" s="6">
        <f>[1]Production!L4+[1]Production!L6</f>
        <v>91167.63360500001</v>
      </c>
      <c r="N137" s="6">
        <f>[1]Production!M4+[1]Production!M6</f>
        <v>91099.060807000002</v>
      </c>
      <c r="O137" s="6">
        <f>[1]Production!N4+[1]Production!N6</f>
        <v>91001.281289999999</v>
      </c>
      <c r="P137" s="6">
        <f>[1]Production!O4+[1]Production!O6</f>
        <v>90912.461298999988</v>
      </c>
      <c r="Q137" s="6">
        <f>[1]Production!P4+[1]Production!P6</f>
        <v>90857.364365000001</v>
      </c>
      <c r="R137" s="6">
        <f>[1]Production!Q4+[1]Production!Q6</f>
        <v>90849.730975000013</v>
      </c>
      <c r="S137" s="6">
        <f>[1]Production!R4+[1]Production!R6</f>
        <v>90888.845424999992</v>
      </c>
      <c r="T137" s="6">
        <f>[1]Production!S4+[1]Production!S6</f>
        <v>90976.337939999998</v>
      </c>
      <c r="U137" s="6">
        <f>[1]Production!T4+[1]Production!T6</f>
        <v>91105.856038999991</v>
      </c>
      <c r="V137" s="6">
        <f>[1]Production!U4+[1]Production!U6</f>
        <v>91268.517928999994</v>
      </c>
      <c r="W137" s="6">
        <f>[1]Production!V4+[1]Production!V6</f>
        <v>91382.281205000007</v>
      </c>
      <c r="X137" s="6">
        <f>[1]Production!W4+[1]Production!W6</f>
        <v>91552.549161999996</v>
      </c>
      <c r="Y137" s="6">
        <f>[1]Production!X4+[1]Production!X6</f>
        <v>91747.189924000006</v>
      </c>
      <c r="Z137" s="6">
        <f>[1]Production!Y4+[1]Production!Y6</f>
        <v>91951.342957000001</v>
      </c>
      <c r="AA137" s="6">
        <f>[1]Production!Z4+[1]Production!Z6</f>
        <v>92154.371986000013</v>
      </c>
      <c r="AB137" s="6">
        <f>[1]Production!AA4+[1]Production!AA6</f>
        <v>92153.583039000005</v>
      </c>
      <c r="AC137" s="6">
        <f>[1]Production!AB4+[1]Production!AB6</f>
        <v>92165.729623000007</v>
      </c>
      <c r="AD137" s="6">
        <f>[1]Production!AC4+[1]Production!AC6</f>
        <v>92178.840544999999</v>
      </c>
      <c r="AE137" s="6">
        <f>[1]Production!AD4+[1]Production!AD6</f>
        <v>92196.395988999997</v>
      </c>
      <c r="AF137" s="6">
        <f>[1]Production!AE4+[1]Production!AE6</f>
        <v>92219.925610999999</v>
      </c>
      <c r="AG137" s="6">
        <f>[1]Production!AF4+[1]Production!AF6</f>
        <v>92249.07402</v>
      </c>
      <c r="AH137" s="6">
        <f>[1]Production!AG4+[1]Production!AG6</f>
        <v>92283.27999499999</v>
      </c>
      <c r="AI137" s="6">
        <f>[1]Production!AH4+[1]Production!AH6</f>
        <v>92320.156877999994</v>
      </c>
      <c r="AJ137" s="6">
        <f>[1]Production!AI4+[1]Production!AI6</f>
        <v>92357.888756999993</v>
      </c>
      <c r="AK137" s="6">
        <f>[1]Production!AJ4+[1]Production!AJ6</f>
        <v>92395.116908000011</v>
      </c>
      <c r="AL137" s="6">
        <f>[1]Production!AK4+[1]Production!AK6</f>
        <v>92431.125681999998</v>
      </c>
      <c r="AM137" s="6">
        <f>[1]Production!AL4+[1]Production!AL6</f>
        <v>92433.227373000002</v>
      </c>
      <c r="AN137" s="6">
        <f>[1]Production!AM4+[1]Production!AM6</f>
        <v>92422.890304</v>
      </c>
      <c r="AO137" s="6">
        <f>[1]Production!AN4+[1]Production!AN6</f>
        <v>92411.617294999989</v>
      </c>
      <c r="AP137" s="6">
        <f>[1]Production!AO4+[1]Production!AO6</f>
        <v>92405.784045000008</v>
      </c>
      <c r="AQ137" s="6">
        <f>[1]Production!AP4+[1]Production!AP6</f>
        <v>92408.353048999998</v>
      </c>
      <c r="AR137" s="6">
        <f>[1]Production!AQ4+[1]Production!AQ6</f>
        <v>92421.081762000002</v>
      </c>
      <c r="AS137" s="6">
        <f>[1]Production!AR4+[1]Production!AR6</f>
        <v>92442.643192000003</v>
      </c>
      <c r="AT137" s="6">
        <f>[1]Production!AS4+[1]Production!AS6</f>
        <v>92471.067823999998</v>
      </c>
      <c r="AU137" s="6">
        <f>[1]Production!AT4+[1]Production!AT6</f>
        <v>92503.857346000004</v>
      </c>
      <c r="AV137" s="6">
        <f>[1]Production!AU4+[1]Production!AU6</f>
        <v>92538.499868999992</v>
      </c>
      <c r="AW137" s="6">
        <f>[1]Production!AV4+[1]Production!AV6</f>
        <v>92579.716573999991</v>
      </c>
      <c r="AX137" s="6">
        <f>[1]Production!AW4+[1]Production!AW6</f>
        <v>92623.369310999988</v>
      </c>
      <c r="AY137" s="6">
        <f>[1]Production!AX4+[1]Production!AX6</f>
        <v>92620.956162999995</v>
      </c>
      <c r="AZ137" s="6">
        <f>[1]Production!AY4+[1]Production!AY6</f>
        <v>92614.984093000006</v>
      </c>
      <c r="BA137" s="6">
        <f>[1]Production!AZ4+[1]Production!AZ6</f>
        <v>92614.288796000008</v>
      </c>
      <c r="BB137" s="6">
        <f>[1]Production!BA4+[1]Production!BA6</f>
        <v>186397.20084100001</v>
      </c>
      <c r="BC137" s="6">
        <f>[1]Production!BB4+[1]Production!BB6</f>
        <v>189372.32744200001</v>
      </c>
      <c r="BD137" s="6">
        <f>[1]Production!BC4+[1]Production!BC6</f>
        <v>192397.54094400001</v>
      </c>
      <c r="BE137" s="6">
        <f>[1]Production!BD4+[1]Production!BD6</f>
        <v>195473.85499699999</v>
      </c>
      <c r="BF137" s="6">
        <f>[1]Production!BE4+[1]Production!BE6</f>
        <v>198602.34797600002</v>
      </c>
    </row>
    <row r="138" spans="1:58" x14ac:dyDescent="0.35">
      <c r="B138" t="s">
        <v>30</v>
      </c>
      <c r="C138" s="6">
        <f>[1]Production!B8+[1]Production!B10+[1]Production!B12+[1]Production!B14+[1]Production!B16+[1]Production!B18+[1]Production!B20+[1]Production!B22+[1]Production!B24+[1]Production!B26+[1]Production!B40</f>
        <v>955669.54051100009</v>
      </c>
      <c r="D138" s="6">
        <f>[1]Production!C8+[1]Production!C10+[1]Production!C12+[1]Production!C14+[1]Production!C16+[1]Production!C18+[1]Production!C20+[1]Production!C22+[1]Production!C24+[1]Production!C26+[1]Production!C40</f>
        <v>964777.39786500018</v>
      </c>
      <c r="E138" s="6">
        <f>[1]Production!D8+[1]Production!D10+[1]Production!D12+[1]Production!D14+[1]Production!D16+[1]Production!D18+[1]Production!D20+[1]Production!D22+[1]Production!D24+[1]Production!D26+[1]Production!D40</f>
        <v>976685.80829499988</v>
      </c>
      <c r="F138" s="6">
        <f>[1]Production!E8+[1]Production!E10+[1]Production!E12+[1]Production!E14+[1]Production!E16+[1]Production!E18+[1]Production!E20+[1]Production!E22+[1]Production!E24+[1]Production!E26+[1]Production!E40</f>
        <v>989638.32097699994</v>
      </c>
      <c r="G138" s="6">
        <f>[1]Production!F8+[1]Production!F10+[1]Production!F12+[1]Production!F14+[1]Production!F16+[1]Production!F18+[1]Production!F20+[1]Production!F22+[1]Production!F24+[1]Production!F26+[1]Production!F40</f>
        <v>1002842.02998</v>
      </c>
      <c r="H138" s="6">
        <f>[1]Production!G8+[1]Production!G10+[1]Production!G12+[1]Production!G14+[1]Production!G16+[1]Production!G18+[1]Production!G20+[1]Production!G22+[1]Production!G24+[1]Production!G26+[1]Production!G40</f>
        <v>1015850.498767</v>
      </c>
      <c r="I138" s="6">
        <f>[1]Production!H8+[1]Production!H10+[1]Production!H12+[1]Production!H14+[1]Production!H16+[1]Production!H18+[1]Production!H20+[1]Production!H22+[1]Production!H24+[1]Production!H26+[1]Production!H40</f>
        <v>1027747.037112</v>
      </c>
      <c r="J138" s="6">
        <f>[1]Production!I8+[1]Production!I10+[1]Production!I12+[1]Production!I14+[1]Production!I16+[1]Production!I18+[1]Production!I20+[1]Production!I22+[1]Production!I24+[1]Production!I26+[1]Production!I40</f>
        <v>1038997.9950140001</v>
      </c>
      <c r="K138" s="6">
        <f>[1]Production!J8+[1]Production!J10+[1]Production!J12+[1]Production!J14+[1]Production!J16+[1]Production!J18+[1]Production!J20+[1]Production!J22+[1]Production!J24+[1]Production!J26+[1]Production!J40</f>
        <v>1049752.2458629999</v>
      </c>
      <c r="L138" s="6">
        <f>[1]Production!K8+[1]Production!K10+[1]Production!K12+[1]Production!K14+[1]Production!K16+[1]Production!K18+[1]Production!K20+[1]Production!K22+[1]Production!K24+[1]Production!K26+[1]Production!K40</f>
        <v>1060177.9038420001</v>
      </c>
      <c r="M138" s="6">
        <f>[1]Production!L8+[1]Production!L10+[1]Production!L12+[1]Production!L14+[1]Production!L16+[1]Production!L18+[1]Production!L20+[1]Production!L22+[1]Production!L24+[1]Production!L26+[1]Production!L40</f>
        <v>1071594.9350380001</v>
      </c>
      <c r="N138" s="6">
        <f>[1]Production!M8+[1]Production!M10+[1]Production!M12+[1]Production!M14+[1]Production!M16+[1]Production!M18+[1]Production!M20+[1]Production!M22+[1]Production!M24+[1]Production!M26+[1]Production!M40</f>
        <v>1082037.3770019999</v>
      </c>
      <c r="O138" s="6">
        <f>[1]Production!N8+[1]Production!N10+[1]Production!N12+[1]Production!N14+[1]Production!N16+[1]Production!N18+[1]Production!N20+[1]Production!N22+[1]Production!N24+[1]Production!N26+[1]Production!N40</f>
        <v>1092416.0746400002</v>
      </c>
      <c r="P138" s="6">
        <f>[1]Production!O8+[1]Production!O10+[1]Production!O12+[1]Production!O14+[1]Production!O16+[1]Production!O18+[1]Production!O20+[1]Production!O22+[1]Production!O24+[1]Production!O26+[1]Production!O40</f>
        <v>1102873.6120060002</v>
      </c>
      <c r="Q138" s="6">
        <f>[1]Production!P8+[1]Production!P10+[1]Production!P12+[1]Production!P14+[1]Production!P16+[1]Production!P18+[1]Production!P20+[1]Production!P22+[1]Production!P24+[1]Production!P26+[1]Production!P40</f>
        <v>1113489.062863</v>
      </c>
      <c r="R138" s="6">
        <f>[1]Production!Q8+[1]Production!Q10+[1]Production!Q12+[1]Production!Q14+[1]Production!Q16+[1]Production!Q18+[1]Production!Q20+[1]Production!Q22+[1]Production!Q24+[1]Production!Q26+[1]Production!Q40</f>
        <v>1124309.3326129999</v>
      </c>
      <c r="S138" s="6">
        <f>[1]Production!R8+[1]Production!R10+[1]Production!R12+[1]Production!R14+[1]Production!R16+[1]Production!R18+[1]Production!R20+[1]Production!R22+[1]Production!R24+[1]Production!R26+[1]Production!R40</f>
        <v>1135242.0093750001</v>
      </c>
      <c r="T138" s="6">
        <f>[1]Production!S8+[1]Production!S10+[1]Production!S12+[1]Production!S14+[1]Production!S16+[1]Production!S18+[1]Production!S20+[1]Production!S22+[1]Production!S24+[1]Production!S26+[1]Production!S40</f>
        <v>1146398.224225</v>
      </c>
      <c r="U138" s="6">
        <f>[1]Production!T8+[1]Production!T10+[1]Production!T12+[1]Production!T14+[1]Production!T16+[1]Production!T18+[1]Production!T20+[1]Production!T22+[1]Production!T24+[1]Production!T26+[1]Production!T40</f>
        <v>1157789.3666590001</v>
      </c>
      <c r="V138" s="6">
        <f>[1]Production!U8+[1]Production!U10+[1]Production!U12+[1]Production!U14+[1]Production!U16+[1]Production!U18+[1]Production!U20+[1]Production!U22+[1]Production!U24+[1]Production!U26+[1]Production!U40</f>
        <v>1169420.729238</v>
      </c>
      <c r="W138" s="6">
        <f>[1]Production!V8+[1]Production!V10+[1]Production!V12+[1]Production!V14+[1]Production!V16+[1]Production!V18+[1]Production!V20+[1]Production!V22+[1]Production!V24+[1]Production!V26+[1]Production!V40</f>
        <v>1180496.35133</v>
      </c>
      <c r="X138" s="6">
        <f>[1]Production!W8+[1]Production!W10+[1]Production!W12+[1]Production!W14+[1]Production!W16+[1]Production!W18+[1]Production!W20+[1]Production!W22+[1]Production!W24+[1]Production!W26+[1]Production!W40</f>
        <v>1192398.755687</v>
      </c>
      <c r="Y138" s="6">
        <f>[1]Production!X8+[1]Production!X10+[1]Production!X12+[1]Production!X14+[1]Production!X16+[1]Production!X18+[1]Production!X20+[1]Production!X22+[1]Production!X24+[1]Production!X26+[1]Production!X40</f>
        <v>1204649.8880210002</v>
      </c>
      <c r="Z138" s="6">
        <f>[1]Production!Y8+[1]Production!Y10+[1]Production!Y12+[1]Production!Y14+[1]Production!Y16+[1]Production!Y18+[1]Production!Y20+[1]Production!Y22+[1]Production!Y24+[1]Production!Y26+[1]Production!Y40</f>
        <v>1217216.4669079999</v>
      </c>
      <c r="AA138" s="6">
        <f>[1]Production!Z8+[1]Production!Z10+[1]Production!Z12+[1]Production!Z14+[1]Production!Z16+[1]Production!Z18+[1]Production!Z20+[1]Production!Z22+[1]Production!Z24+[1]Production!Z26+[1]Production!Z40</f>
        <v>1230084.311339</v>
      </c>
      <c r="AB138" s="6">
        <f>[1]Production!AA8+[1]Production!AA10+[1]Production!AA12+[1]Production!AA14+[1]Production!AA16+[1]Production!AA18+[1]Production!AA20+[1]Production!AA22+[1]Production!AA24+[1]Production!AA26+[1]Production!AA40</f>
        <v>1241003.999211</v>
      </c>
      <c r="AC138" s="6">
        <f>[1]Production!AB8+[1]Production!AB10+[1]Production!AB12+[1]Production!AB14+[1]Production!AB16+[1]Production!AB18+[1]Production!AB20+[1]Production!AB22+[1]Production!AB24+[1]Production!AB26+[1]Production!AB40</f>
        <v>1252800.2856439999</v>
      </c>
      <c r="AD138" s="6">
        <f>[1]Production!AC8+[1]Production!AC10+[1]Production!AC12+[1]Production!AC14+[1]Production!AC16+[1]Production!AC18+[1]Production!AC20+[1]Production!AC22+[1]Production!AC24+[1]Production!AC26+[1]Production!AC40</f>
        <v>1264832.9900839999</v>
      </c>
      <c r="AE138" s="6">
        <f>[1]Production!AD8+[1]Production!AD10+[1]Production!AD12+[1]Production!AD14+[1]Production!AD16+[1]Production!AD18+[1]Production!AD20+[1]Production!AD22+[1]Production!AD24+[1]Production!AD26+[1]Production!AD40</f>
        <v>1277108.794062</v>
      </c>
      <c r="AF138" s="6">
        <f>[1]Production!AE8+[1]Production!AE10+[1]Production!AE12+[1]Production!AE14+[1]Production!AE16+[1]Production!AE18+[1]Production!AE20+[1]Production!AE22+[1]Production!AE24+[1]Production!AE26+[1]Production!AE40</f>
        <v>1289640.07317</v>
      </c>
      <c r="AG138" s="6">
        <f>[1]Production!AF8+[1]Production!AF10+[1]Production!AF12+[1]Production!AF14+[1]Production!AF16+[1]Production!AF18+[1]Production!AF20+[1]Production!AF22+[1]Production!AF24+[1]Production!AF26+[1]Production!AF40</f>
        <v>1302426.3412600001</v>
      </c>
      <c r="AH138" s="6">
        <f>[1]Production!AG8+[1]Production!AG10+[1]Production!AG12+[1]Production!AG14+[1]Production!AG16+[1]Production!AG18+[1]Production!AG20+[1]Production!AG22+[1]Production!AG24+[1]Production!AG26+[1]Production!AG40</f>
        <v>1315480.8816460001</v>
      </c>
      <c r="AI138" s="6">
        <f>[1]Production!AH8+[1]Production!AH10+[1]Production!AH12+[1]Production!AH14+[1]Production!AH16+[1]Production!AH18+[1]Production!AH20+[1]Production!AH22+[1]Production!AH24+[1]Production!AH26+[1]Production!AH40</f>
        <v>1328763.0056370001</v>
      </c>
      <c r="AJ138" s="6">
        <f>[1]Production!AI8+[1]Production!AI10+[1]Production!AI12+[1]Production!AI14+[1]Production!AI16+[1]Production!AI18+[1]Production!AI20+[1]Production!AI22+[1]Production!AI24+[1]Production!AI26+[1]Production!AI40</f>
        <v>1342247.3199190001</v>
      </c>
      <c r="AK138" s="6">
        <f>[1]Production!AJ8+[1]Production!AJ10+[1]Production!AJ12+[1]Production!AJ14+[1]Production!AJ16+[1]Production!AJ18+[1]Production!AJ20+[1]Production!AJ22+[1]Production!AJ24+[1]Production!AJ26+[1]Production!AJ40</f>
        <v>1355908.9441739998</v>
      </c>
      <c r="AL138" s="6">
        <f>[1]Production!AK8+[1]Production!AK10+[1]Production!AK12+[1]Production!AK14+[1]Production!AK16+[1]Production!AK18+[1]Production!AK20+[1]Production!AK22+[1]Production!AK24+[1]Production!AK26+[1]Production!AK40</f>
        <v>1369725.5392009998</v>
      </c>
      <c r="AM138" s="6">
        <f>[1]Production!AL8+[1]Production!AL10+[1]Production!AL12+[1]Production!AL14+[1]Production!AL16+[1]Production!AL18+[1]Production!AL20+[1]Production!AL22+[1]Production!AL24+[1]Production!AL26+[1]Production!AL40</f>
        <v>1383395.4791900001</v>
      </c>
      <c r="AN138" s="6">
        <f>[1]Production!AM8+[1]Production!AM10+[1]Production!AM12+[1]Production!AM14+[1]Production!AM16+[1]Production!AM18+[1]Production!AM20+[1]Production!AM22+[1]Production!AM24+[1]Production!AM26+[1]Production!AM40</f>
        <v>1397090.1858079999</v>
      </c>
      <c r="AO138" s="6">
        <f>[1]Production!AN8+[1]Production!AN10+[1]Production!AN12+[1]Production!AN14+[1]Production!AN16+[1]Production!AN18+[1]Production!AN20+[1]Production!AN22+[1]Production!AN24+[1]Production!AN26+[1]Production!AN40</f>
        <v>1410844.8451009998</v>
      </c>
      <c r="AP138" s="6">
        <f>[1]Production!AO8+[1]Production!AO10+[1]Production!AO12+[1]Production!AO14+[1]Production!AO16+[1]Production!AO18+[1]Production!AO20+[1]Production!AO22+[1]Production!AO24+[1]Production!AO26+[1]Production!AO40</f>
        <v>1424677.0275090002</v>
      </c>
      <c r="AQ138" s="6">
        <f>[1]Production!AP8+[1]Production!AP10+[1]Production!AP12+[1]Production!AP14+[1]Production!AP16+[1]Production!AP18+[1]Production!AP20+[1]Production!AP22+[1]Production!AP24+[1]Production!AP26+[1]Production!AP40</f>
        <v>1438596.025441</v>
      </c>
      <c r="AR138" s="6">
        <f>[1]Production!AQ8+[1]Production!AQ10+[1]Production!AQ12+[1]Production!AQ14+[1]Production!AQ16+[1]Production!AQ18+[1]Production!AQ20+[1]Production!AQ22+[1]Production!AQ24+[1]Production!AQ26+[1]Production!AQ40</f>
        <v>1452641.6142470003</v>
      </c>
      <c r="AS138" s="6">
        <f>[1]Production!AR8+[1]Production!AR10+[1]Production!AR12+[1]Production!AR14+[1]Production!AR16+[1]Production!AR18+[1]Production!AR20+[1]Production!AR22+[1]Production!AR24+[1]Production!AR26+[1]Production!AR40</f>
        <v>1466785.3568230001</v>
      </c>
      <c r="AT138" s="6">
        <f>[1]Production!AS8+[1]Production!AS10+[1]Production!AS12+[1]Production!AS14+[1]Production!AS16+[1]Production!AS18+[1]Production!AS20+[1]Production!AS22+[1]Production!AS24+[1]Production!AS26+[1]Production!AS40</f>
        <v>1481020.1758880001</v>
      </c>
      <c r="AU138" s="6">
        <f>[1]Production!AT8+[1]Production!AT10+[1]Production!AT12+[1]Production!AT14+[1]Production!AT16+[1]Production!AT18+[1]Production!AT20+[1]Production!AT22+[1]Production!AT24+[1]Production!AT26+[1]Production!AT40</f>
        <v>1495337.304798</v>
      </c>
      <c r="AV138" s="6">
        <f>[1]Production!AU8+[1]Production!AU10+[1]Production!AU12+[1]Production!AU14+[1]Production!AU16+[1]Production!AU18+[1]Production!AU20+[1]Production!AU22+[1]Production!AU24+[1]Production!AU26+[1]Production!AU40</f>
        <v>1509727.5881209997</v>
      </c>
      <c r="AW138" s="6">
        <f>[1]Production!AV8+[1]Production!AV10+[1]Production!AV12+[1]Production!AV14+[1]Production!AV16+[1]Production!AV18+[1]Production!AV20+[1]Production!AV22+[1]Production!AV24+[1]Production!AV26+[1]Production!AV40</f>
        <v>1524350.4382429998</v>
      </c>
      <c r="AX138" s="6">
        <f>[1]Production!AW8+[1]Production!AW10+[1]Production!AW12+[1]Production!AW14+[1]Production!AW16+[1]Production!AW18+[1]Production!AW20+[1]Production!AW22+[1]Production!AW24+[1]Production!AW26+[1]Production!AW40</f>
        <v>1539080.1542710001</v>
      </c>
      <c r="AY138" s="6">
        <f>[1]Production!AX8+[1]Production!AX10+[1]Production!AX12+[1]Production!AX14+[1]Production!AX16+[1]Production!AX18+[1]Production!AX20+[1]Production!AX22+[1]Production!AX24+[1]Production!AX26+[1]Production!AX40</f>
        <v>1539067.5783830001</v>
      </c>
      <c r="AZ138" s="6">
        <f>[1]Production!AY8+[1]Production!AY10+[1]Production!AY12+[1]Production!AY14+[1]Production!AY16+[1]Production!AY18+[1]Production!AY20+[1]Production!AY22+[1]Production!AY24+[1]Production!AY26+[1]Production!AY40</f>
        <v>1539037.3930710002</v>
      </c>
      <c r="BA138" s="6">
        <f>[1]Production!AZ8+[1]Production!AZ10+[1]Production!AZ12+[1]Production!AZ14+[1]Production!AZ16+[1]Production!AZ18+[1]Production!AZ20+[1]Production!AZ22+[1]Production!AZ24+[1]Production!AZ26+[1]Production!AZ40</f>
        <v>1539033.87903</v>
      </c>
      <c r="BB138" s="6">
        <f>[1]Production!BA8+[1]Production!BA10+[1]Production!BA12+[1]Production!BA14+[1]Production!BA16+[1]Production!BA18+[1]Production!BA20+[1]Production!BA22+[1]Production!BA24+[1]Production!BA26+[1]Production!BA40</f>
        <v>2284220.9772020001</v>
      </c>
      <c r="BC138" s="6">
        <f>[1]Production!BB8+[1]Production!BB10+[1]Production!BB12+[1]Production!BB14+[1]Production!BB16+[1]Production!BB18+[1]Production!BB20+[1]Production!BB22+[1]Production!BB24+[1]Production!BB26+[1]Production!BB40</f>
        <v>2324292.3855250003</v>
      </c>
      <c r="BD138" s="6">
        <f>[1]Production!BC8+[1]Production!BC10+[1]Production!BC12+[1]Production!BC14+[1]Production!BC16+[1]Production!BC18+[1]Production!BC20+[1]Production!BC22+[1]Production!BC24+[1]Production!BC26+[1]Production!BC40</f>
        <v>2364941.92075</v>
      </c>
      <c r="BE138" s="6">
        <f>[1]Production!BD8+[1]Production!BD10+[1]Production!BD12+[1]Production!BD14+[1]Production!BD16+[1]Production!BD18+[1]Production!BD20+[1]Production!BD22+[1]Production!BD24+[1]Production!BD26+[1]Production!BD40</f>
        <v>2406171.2773370002</v>
      </c>
      <c r="BF138" s="6">
        <f>[1]Production!BE8+[1]Production!BE10+[1]Production!BE12+[1]Production!BE14+[1]Production!BE16+[1]Production!BE18+[1]Production!BE20+[1]Production!BE22+[1]Production!BE24+[1]Production!BE26+[1]Production!BE40</f>
        <v>2447982.850503</v>
      </c>
    </row>
    <row r="139" spans="1:58" x14ac:dyDescent="0.35">
      <c r="B139" t="s">
        <v>9</v>
      </c>
      <c r="C139" s="6">
        <f>[1]Production!B28+[1]Production!B30+[1]Production!B32+[1]Production!B34</f>
        <v>118080.86747300001</v>
      </c>
      <c r="D139" s="6">
        <f>[1]Production!C28+[1]Production!C30+[1]Production!C32+[1]Production!C34</f>
        <v>119079.17263499998</v>
      </c>
      <c r="E139" s="6">
        <f>[1]Production!D28+[1]Production!D30+[1]Production!D32+[1]Production!D34</f>
        <v>120337.858653</v>
      </c>
      <c r="F139" s="6">
        <f>[1]Production!E28+[1]Production!E30+[1]Production!E32+[1]Production!E34</f>
        <v>121742.89779999999</v>
      </c>
      <c r="G139" s="6">
        <f>[1]Production!F28+[1]Production!F30+[1]Production!F32+[1]Production!F34</f>
        <v>123255.95629300001</v>
      </c>
      <c r="H139" s="6">
        <f>[1]Production!G28+[1]Production!G30+[1]Production!G32+[1]Production!G34</f>
        <v>124846.86439</v>
      </c>
      <c r="I139" s="6">
        <f>[1]Production!H28+[1]Production!H30+[1]Production!H32+[1]Production!H34</f>
        <v>126403.73352100002</v>
      </c>
      <c r="J139" s="6">
        <f>[1]Production!I28+[1]Production!I30+[1]Production!I32+[1]Production!I34</f>
        <v>127976.73962399999</v>
      </c>
      <c r="K139" s="6">
        <f>[1]Production!J28+[1]Production!J30+[1]Production!J32+[1]Production!J34</f>
        <v>129562.11898299999</v>
      </c>
      <c r="L139" s="6">
        <f>[1]Production!K28+[1]Production!K30+[1]Production!K32+[1]Production!K34</f>
        <v>131156.35126999998</v>
      </c>
      <c r="M139" s="6">
        <f>[1]Production!L28+[1]Production!L30+[1]Production!L32+[1]Production!L34</f>
        <v>132902.56823500001</v>
      </c>
      <c r="N139" s="6">
        <f>[1]Production!M28+[1]Production!M30+[1]Production!M32+[1]Production!M34</f>
        <v>134525.74794</v>
      </c>
      <c r="O139" s="6">
        <f>[1]Production!N28+[1]Production!N30+[1]Production!N32+[1]Production!N34</f>
        <v>136135.19531899999</v>
      </c>
      <c r="P139" s="6">
        <f>[1]Production!O28+[1]Production!O30+[1]Production!O32+[1]Production!O34</f>
        <v>137734.53911000001</v>
      </c>
      <c r="Q139" s="6">
        <f>[1]Production!P28+[1]Production!P30+[1]Production!P32+[1]Production!P34</f>
        <v>139323.56592600001</v>
      </c>
      <c r="R139" s="6">
        <f>[1]Production!Q28+[1]Production!Q30+[1]Production!Q32+[1]Production!Q34</f>
        <v>140902.07222600002</v>
      </c>
      <c r="S139" s="6">
        <f>[1]Production!R28+[1]Production!R30+[1]Production!R32+[1]Production!R34</f>
        <v>142456.01134000003</v>
      </c>
      <c r="T139" s="6">
        <f>[1]Production!S28+[1]Production!S30+[1]Production!S32+[1]Production!S34</f>
        <v>143999.80485100002</v>
      </c>
      <c r="U139" s="6">
        <f>[1]Production!T28+[1]Production!T30+[1]Production!T32+[1]Production!T34</f>
        <v>145536.730136</v>
      </c>
      <c r="V139" s="6">
        <f>[1]Production!U28+[1]Production!U30+[1]Production!U32+[1]Production!U34</f>
        <v>147070.54955500001</v>
      </c>
      <c r="W139" s="6">
        <f>[1]Production!V28+[1]Production!V30+[1]Production!V32+[1]Production!V34</f>
        <v>148501.88302000001</v>
      </c>
      <c r="X139" s="6">
        <f>[1]Production!W28+[1]Production!W30+[1]Production!W32+[1]Production!W34</f>
        <v>150018.408184</v>
      </c>
      <c r="Y139" s="6">
        <f>[1]Production!X28+[1]Production!X30+[1]Production!X32+[1]Production!X34</f>
        <v>151554.99908799998</v>
      </c>
      <c r="Z139" s="6">
        <f>[1]Production!Y28+[1]Production!Y30+[1]Production!Y32+[1]Production!Y34</f>
        <v>153112.25197400001</v>
      </c>
      <c r="AA139" s="6">
        <f>[1]Production!Z28+[1]Production!Z30+[1]Production!Z32+[1]Production!Z34</f>
        <v>154692.794976</v>
      </c>
      <c r="AB139" s="6">
        <f>[1]Production!AA28+[1]Production!AA30+[1]Production!AA32+[1]Production!AA34</f>
        <v>156006.85255200003</v>
      </c>
      <c r="AC139" s="6">
        <f>[1]Production!AB28+[1]Production!AB30+[1]Production!AB32+[1]Production!AB34</f>
        <v>157438.491419</v>
      </c>
      <c r="AD139" s="6">
        <f>[1]Production!AC28+[1]Production!AC30+[1]Production!AC32+[1]Production!AC34</f>
        <v>158892.49686000001</v>
      </c>
      <c r="AE139" s="6">
        <f>[1]Production!AD28+[1]Production!AD30+[1]Production!AD32+[1]Production!AD34</f>
        <v>160371.39609599998</v>
      </c>
      <c r="AF139" s="6">
        <f>[1]Production!AE28+[1]Production!AE30+[1]Production!AE32+[1]Production!AE34</f>
        <v>161879.32081199999</v>
      </c>
      <c r="AG139" s="6">
        <f>[1]Production!AF28+[1]Production!AF30+[1]Production!AF32+[1]Production!AF34</f>
        <v>163419.01620099999</v>
      </c>
      <c r="AH139" s="6">
        <f>[1]Production!AG28+[1]Production!AG30+[1]Production!AG32+[1]Production!AG34</f>
        <v>164994.82553600002</v>
      </c>
      <c r="AI139" s="6">
        <f>[1]Production!AH28+[1]Production!AH30+[1]Production!AH32+[1]Production!AH34</f>
        <v>166604.00500799998</v>
      </c>
      <c r="AJ139" s="6">
        <f>[1]Production!AI28+[1]Production!AI30+[1]Production!AI32+[1]Production!AI34</f>
        <v>168245.51798999999</v>
      </c>
      <c r="AK139" s="6">
        <f>[1]Production!AJ28+[1]Production!AJ30+[1]Production!AJ32+[1]Production!AJ34</f>
        <v>169917.93890399998</v>
      </c>
      <c r="AL139" s="6">
        <f>[1]Production!AK28+[1]Production!AK30+[1]Production!AK32+[1]Production!AK34</f>
        <v>171619.656785</v>
      </c>
      <c r="AM139" s="6">
        <f>[1]Production!AL28+[1]Production!AL30+[1]Production!AL32+[1]Production!AL34</f>
        <v>173309.30705900001</v>
      </c>
      <c r="AN139" s="6">
        <f>[1]Production!AM28+[1]Production!AM30+[1]Production!AM32+[1]Production!AM34</f>
        <v>175012.664139</v>
      </c>
      <c r="AO139" s="6">
        <f>[1]Production!AN28+[1]Production!AN30+[1]Production!AN32+[1]Production!AN34</f>
        <v>176732.97115</v>
      </c>
      <c r="AP139" s="6">
        <f>[1]Production!AO28+[1]Production!AO30+[1]Production!AO32+[1]Production!AO34</f>
        <v>178471.69614499999</v>
      </c>
      <c r="AQ139" s="6">
        <f>[1]Production!AP28+[1]Production!AP30+[1]Production!AP32+[1]Production!AP34</f>
        <v>180229.76912700001</v>
      </c>
      <c r="AR139" s="6">
        <f>[1]Production!AQ28+[1]Production!AQ30+[1]Production!AQ32+[1]Production!AQ34</f>
        <v>182012.18477700002</v>
      </c>
      <c r="AS139" s="6">
        <f>[1]Production!AR28+[1]Production!AR30+[1]Production!AR32+[1]Production!AR34</f>
        <v>183815.45441999999</v>
      </c>
      <c r="AT139" s="6">
        <f>[1]Production!AS28+[1]Production!AS30+[1]Production!AS32+[1]Production!AS34</f>
        <v>185639.13170999999</v>
      </c>
      <c r="AU139" s="6">
        <f>[1]Production!AT28+[1]Production!AT30+[1]Production!AT32+[1]Production!AT34</f>
        <v>187482.61446000001</v>
      </c>
      <c r="AV139" s="6">
        <f>[1]Production!AU28+[1]Production!AU30+[1]Production!AU32+[1]Production!AU34</f>
        <v>189345.21198999998</v>
      </c>
      <c r="AW139" s="6">
        <f>[1]Production!AV28+[1]Production!AV30+[1]Production!AV32+[1]Production!AV34</f>
        <v>191247.27479</v>
      </c>
      <c r="AX139" s="6">
        <f>[1]Production!AW28+[1]Production!AW30+[1]Production!AW32+[1]Production!AW34</f>
        <v>193171.75876</v>
      </c>
      <c r="AY139" s="6">
        <f>[1]Production!AX28+[1]Production!AX30+[1]Production!AX32+[1]Production!AX34</f>
        <v>193164.42194</v>
      </c>
      <c r="AZ139" s="6">
        <f>[1]Production!AY28+[1]Production!AY30+[1]Production!AY32+[1]Production!AY34</f>
        <v>193146.94706999999</v>
      </c>
      <c r="BA139" s="6">
        <f>[1]Production!AZ28+[1]Production!AZ30+[1]Production!AZ32+[1]Production!AZ34</f>
        <v>193144.97446000003</v>
      </c>
      <c r="BB139" s="6">
        <f>[1]Production!BA28+[1]Production!BA30+[1]Production!BA32+[1]Production!BA34</f>
        <v>260759.47897</v>
      </c>
      <c r="BC139" s="6">
        <f>[1]Production!BB28+[1]Production!BB30+[1]Production!BB32+[1]Production!BB34</f>
        <v>265033.33299999998</v>
      </c>
      <c r="BD139" s="6">
        <f>[1]Production!BC28+[1]Production!BC30+[1]Production!BC32+[1]Production!BC34</f>
        <v>269384.19571</v>
      </c>
      <c r="BE139" s="6">
        <f>[1]Production!BD28+[1]Production!BD30+[1]Production!BD32+[1]Production!BD34</f>
        <v>273813.54222999996</v>
      </c>
      <c r="BF139" s="6">
        <f>[1]Production!BE28+[1]Production!BE30+[1]Production!BE32+[1]Production!BE34</f>
        <v>278322.87751999998</v>
      </c>
    </row>
    <row r="140" spans="1:58" x14ac:dyDescent="0.35">
      <c r="B140" t="s">
        <v>10</v>
      </c>
      <c r="C140" s="6">
        <f>[1]Production!B36+[1]Production!B38</f>
        <v>2526246.7245</v>
      </c>
      <c r="D140" s="6">
        <f>[1]Production!C36+[1]Production!C38</f>
        <v>2546356.5119000003</v>
      </c>
      <c r="E140" s="6">
        <f>[1]Production!D36+[1]Production!D38</f>
        <v>2573642.4739999999</v>
      </c>
      <c r="F140" s="6">
        <f>[1]Production!E36+[1]Production!E38</f>
        <v>2604858.1721000001</v>
      </c>
      <c r="G140" s="6">
        <f>[1]Production!F36+[1]Production!F38</f>
        <v>2638822.9150999999</v>
      </c>
      <c r="H140" s="6">
        <f>[1]Production!G36+[1]Production!G38</f>
        <v>2674829.6904000002</v>
      </c>
      <c r="I140" s="6">
        <f>[1]Production!H36+[1]Production!H38</f>
        <v>2710679.1217</v>
      </c>
      <c r="J140" s="6">
        <f>[1]Production!I36+[1]Production!I38</f>
        <v>2747455.1259000003</v>
      </c>
      <c r="K140" s="6">
        <f>[1]Production!J36+[1]Production!J38</f>
        <v>2785265.3975999998</v>
      </c>
      <c r="L140" s="6">
        <f>[1]Production!K36+[1]Production!K38</f>
        <v>2824208.2805999997</v>
      </c>
      <c r="M140" s="6">
        <f>[1]Production!L36+[1]Production!L38</f>
        <v>2867395.5198999997</v>
      </c>
      <c r="N140" s="6">
        <f>[1]Production!M36+[1]Production!M38</f>
        <v>2909457.9735000003</v>
      </c>
      <c r="O140" s="6">
        <f>[1]Production!N36+[1]Production!N38</f>
        <v>2952341.9687000001</v>
      </c>
      <c r="P140" s="6">
        <f>[1]Production!O36+[1]Production!O38</f>
        <v>2996029.9383999999</v>
      </c>
      <c r="Q140" s="6">
        <f>[1]Production!P36+[1]Production!P38</f>
        <v>3040415.7927999999</v>
      </c>
      <c r="R140" s="6">
        <f>[1]Production!Q36+[1]Production!Q38</f>
        <v>3085373.0525000002</v>
      </c>
      <c r="S140" s="6">
        <f>[1]Production!R36+[1]Production!R38</f>
        <v>3130600.3187999995</v>
      </c>
      <c r="T140" s="6">
        <f>[1]Production!S36+[1]Production!S38</f>
        <v>3176116.0721</v>
      </c>
      <c r="U140" s="6">
        <f>[1]Production!T36+[1]Production!T38</f>
        <v>3221860.9314999999</v>
      </c>
      <c r="V140" s="6">
        <f>[1]Production!U36+[1]Production!U38</f>
        <v>3267799.2842999999</v>
      </c>
      <c r="W140" s="6">
        <f>[1]Production!V36+[1]Production!V38</f>
        <v>3311693.7315000002</v>
      </c>
      <c r="X140" s="6">
        <f>[1]Production!W36+[1]Production!W38</f>
        <v>3357349.6839999999</v>
      </c>
      <c r="Y140" s="6">
        <f>[1]Production!X36+[1]Production!X38</f>
        <v>3403444.2835999997</v>
      </c>
      <c r="Z140" s="6">
        <f>[1]Production!Y36+[1]Production!Y38</f>
        <v>3449973.7334000003</v>
      </c>
      <c r="AA140" s="6">
        <f>[1]Production!Z36+[1]Production!Z38</f>
        <v>3496969.3014000002</v>
      </c>
      <c r="AB140" s="6">
        <f>[1]Production!AA36+[1]Production!AA38</f>
        <v>3538087.8131999997</v>
      </c>
      <c r="AC140" s="6">
        <f>[1]Production!AB36+[1]Production!AB38</f>
        <v>3581241.4127000002</v>
      </c>
      <c r="AD140" s="6">
        <f>[1]Production!AC36+[1]Production!AC38</f>
        <v>3624610.7760999999</v>
      </c>
      <c r="AE140" s="6">
        <f>[1]Production!AD36+[1]Production!AD38</f>
        <v>3668326.0172000001</v>
      </c>
      <c r="AF140" s="6">
        <f>[1]Production!AE36+[1]Production!AE38</f>
        <v>3712522.4214000003</v>
      </c>
      <c r="AG140" s="6">
        <f>[1]Production!AF36+[1]Production!AF38</f>
        <v>3757296.5794000002</v>
      </c>
      <c r="AH140" s="6">
        <f>[1]Production!AG36+[1]Production!AG38</f>
        <v>3802746.8265</v>
      </c>
      <c r="AI140" s="6">
        <f>[1]Production!AH36+[1]Production!AH38</f>
        <v>3848875.1612999998</v>
      </c>
      <c r="AJ140" s="6">
        <f>[1]Production!AI36+[1]Production!AI38</f>
        <v>3895688.4909000001</v>
      </c>
      <c r="AK140" s="6">
        <f>[1]Production!AJ36+[1]Production!AJ38</f>
        <v>3943186.2482000003</v>
      </c>
      <c r="AL140" s="6">
        <f>[1]Production!AK36+[1]Production!AK38</f>
        <v>3991365.0512000001</v>
      </c>
      <c r="AM140" s="6">
        <f>[1]Production!AL36+[1]Production!AL38</f>
        <v>4039077.5506999996</v>
      </c>
      <c r="AN140" s="6">
        <f>[1]Production!AM36+[1]Production!AM38</f>
        <v>4087127.7633000002</v>
      </c>
      <c r="AO140" s="6">
        <f>[1]Production!AN36+[1]Production!AN38</f>
        <v>4135603.4931000001</v>
      </c>
      <c r="AP140" s="6">
        <f>[1]Production!AO36+[1]Production!AO38</f>
        <v>4184565.3974000001</v>
      </c>
      <c r="AQ140" s="6">
        <f>[1]Production!AP36+[1]Production!AP38</f>
        <v>4234061.2953000003</v>
      </c>
      <c r="AR140" s="6">
        <f>[1]Production!AQ36+[1]Production!AQ38</f>
        <v>4284185.4703000002</v>
      </c>
      <c r="AS140" s="6">
        <f>[1]Production!AR36+[1]Production!AR38</f>
        <v>4334921.1079000002</v>
      </c>
      <c r="AT140" s="6">
        <f>[1]Production!AS36+[1]Production!AS38</f>
        <v>4386268.9550000001</v>
      </c>
      <c r="AU140" s="6">
        <f>[1]Production!AT36+[1]Production!AT38</f>
        <v>4438222.5779999997</v>
      </c>
      <c r="AV140" s="6">
        <f>[1]Production!AU36+[1]Production!AU38</f>
        <v>4490771.8329999996</v>
      </c>
      <c r="AW140" s="6">
        <f>[1]Production!AV36+[1]Production!AV38</f>
        <v>4544247.59</v>
      </c>
      <c r="AX140" s="6">
        <f>[1]Production!AW36+[1]Production!AW38</f>
        <v>4598425.2929999996</v>
      </c>
      <c r="AY140" s="6">
        <f>[1]Production!AX36+[1]Production!AX38</f>
        <v>4598424.7829999998</v>
      </c>
      <c r="AZ140" s="6">
        <f>[1]Production!AY36+[1]Production!AY38</f>
        <v>4598424.6749999998</v>
      </c>
      <c r="BA140" s="6">
        <f>[1]Production!AZ36+[1]Production!AZ38</f>
        <v>4598425.0940000005</v>
      </c>
      <c r="BB140" s="6">
        <f>[1]Production!BA36+[1]Production!BA38</f>
        <v>5776445.5920000002</v>
      </c>
      <c r="BC140" s="6">
        <f>[1]Production!BB36+[1]Production!BB38</f>
        <v>5873018.5240000002</v>
      </c>
      <c r="BD140" s="6">
        <f>[1]Production!BC36+[1]Production!BC38</f>
        <v>5971154.8660000004</v>
      </c>
      <c r="BE140" s="6">
        <f>[1]Production!BD36+[1]Production!BD38</f>
        <v>6070882.9589999998</v>
      </c>
      <c r="BF140" s="6">
        <f>[1]Production!BE36+[1]Production!BE38</f>
        <v>6172232.9479999999</v>
      </c>
    </row>
    <row r="141" spans="1:58" x14ac:dyDescent="0.35">
      <c r="B141" t="s">
        <v>29</v>
      </c>
      <c r="C141" s="6">
        <f>[1]Production!B42+[1]Production!B46</f>
        <v>34956.285775100005</v>
      </c>
      <c r="D141" s="6">
        <f>[1]Production!C42+[1]Production!C46</f>
        <v>35044.295296099997</v>
      </c>
      <c r="E141" s="6">
        <f>[1]Production!D42+[1]Production!D46</f>
        <v>35162.539229900001</v>
      </c>
      <c r="F141" s="6">
        <f>[1]Production!E42+[1]Production!E46</f>
        <v>35323.050185799999</v>
      </c>
      <c r="G141" s="6">
        <f>[1]Production!F42+[1]Production!F46</f>
        <v>35537.326943499997</v>
      </c>
      <c r="H141" s="6">
        <f>[1]Production!G42+[1]Production!G46</f>
        <v>35803.769251700003</v>
      </c>
      <c r="I141" s="6">
        <f>[1]Production!H42+[1]Production!H46</f>
        <v>36094.426467500001</v>
      </c>
      <c r="J141" s="6">
        <f>[1]Production!I42+[1]Production!I46</f>
        <v>36414.812887600005</v>
      </c>
      <c r="K141" s="6">
        <f>[1]Production!J42+[1]Production!J46</f>
        <v>36759.195458800001</v>
      </c>
      <c r="L141" s="6">
        <f>[1]Production!K42+[1]Production!K46</f>
        <v>37122.109734399994</v>
      </c>
      <c r="M141" s="6">
        <f>[1]Production!L42+[1]Production!L46</f>
        <v>37532.952061300006</v>
      </c>
      <c r="N141" s="6">
        <f>[1]Production!M42+[1]Production!M46</f>
        <v>37926.877542200004</v>
      </c>
      <c r="O141" s="6">
        <f>[1]Production!N42+[1]Production!N46</f>
        <v>38324.117500499997</v>
      </c>
      <c r="P141" s="6">
        <f>[1]Production!O42+[1]Production!O46</f>
        <v>38724.8261183</v>
      </c>
      <c r="Q141" s="6">
        <f>[1]Production!P42+[1]Production!P46</f>
        <v>39127.921258200004</v>
      </c>
      <c r="R141" s="6">
        <f>[1]Production!Q42+[1]Production!Q46</f>
        <v>39532.347924600006</v>
      </c>
      <c r="S141" s="6">
        <f>[1]Production!R42+[1]Production!R46</f>
        <v>39933.834900299997</v>
      </c>
      <c r="T141" s="6">
        <f>[1]Production!S42+[1]Production!S46</f>
        <v>40335.0610352</v>
      </c>
      <c r="U141" s="6">
        <f>[1]Production!T42+[1]Production!T46</f>
        <v>40736.2144778</v>
      </c>
      <c r="V141" s="6">
        <f>[1]Production!U42+[1]Production!U46</f>
        <v>41137.5846437</v>
      </c>
      <c r="W141" s="6">
        <f>[1]Production!V42+[1]Production!V46</f>
        <v>41515.465743199995</v>
      </c>
      <c r="X141" s="6">
        <f>[1]Production!W42+[1]Production!W46</f>
        <v>41911.7916702</v>
      </c>
      <c r="Y141" s="6">
        <f>[1]Production!X42+[1]Production!X46</f>
        <v>42312.989676500001</v>
      </c>
      <c r="Z141" s="6">
        <f>[1]Production!Y42+[1]Production!Y46</f>
        <v>42718.3545639</v>
      </c>
      <c r="AA141" s="6">
        <f>[1]Production!Z42+[1]Production!Z46</f>
        <v>43128.2441425</v>
      </c>
      <c r="AB141" s="6">
        <f>[1]Production!AA42+[1]Production!AA46</f>
        <v>43474.909292999997</v>
      </c>
      <c r="AC141" s="6">
        <f>[1]Production!AB42+[1]Production!AB46</f>
        <v>43844.558894899994</v>
      </c>
      <c r="AD141" s="6">
        <f>[1]Production!AC42+[1]Production!AC46</f>
        <v>44218.498817200001</v>
      </c>
      <c r="AE141" s="6">
        <f>[1]Production!AD42+[1]Production!AD46</f>
        <v>44596.532355099996</v>
      </c>
      <c r="AF141" s="6">
        <f>[1]Production!AE42+[1]Production!AE46</f>
        <v>44979.4777311</v>
      </c>
      <c r="AG141" s="6">
        <f>[1]Production!AF42+[1]Production!AF46</f>
        <v>45368.214236699998</v>
      </c>
      <c r="AH141" s="6">
        <f>[1]Production!AG42+[1]Production!AG46</f>
        <v>45764.179283099998</v>
      </c>
      <c r="AI141" s="6">
        <f>[1]Production!AH42+[1]Production!AH46</f>
        <v>46167.2499905</v>
      </c>
      <c r="AJ141" s="6">
        <f>[1]Production!AI42+[1]Production!AI46</f>
        <v>46577.700910699998</v>
      </c>
      <c r="AK141" s="6">
        <f>[1]Production!AJ42+[1]Production!AJ46</f>
        <v>46995.690866099998</v>
      </c>
      <c r="AL141" s="6">
        <f>[1]Production!AK42+[1]Production!AK46</f>
        <v>47421.273300200002</v>
      </c>
      <c r="AM141" s="6">
        <f>[1]Production!AL42+[1]Production!AL46</f>
        <v>47844.794925599999</v>
      </c>
      <c r="AN141" s="6">
        <f>[1]Production!AM42+[1]Production!AM46</f>
        <v>48271.8601605</v>
      </c>
      <c r="AO141" s="6">
        <f>[1]Production!AN42+[1]Production!AN46</f>
        <v>48703.746628100002</v>
      </c>
      <c r="AP141" s="6">
        <f>[1]Production!AO42+[1]Production!AO46</f>
        <v>49141.045232900004</v>
      </c>
      <c r="AQ141" s="6">
        <f>[1]Production!AP42+[1]Production!AP46</f>
        <v>49584.110870900004</v>
      </c>
      <c r="AR141" s="6">
        <f>[1]Production!AQ42+[1]Production!AQ46</f>
        <v>50034.161336199999</v>
      </c>
      <c r="AS141" s="6">
        <f>[1]Production!AR42+[1]Production!AR46</f>
        <v>50490.536444099998</v>
      </c>
      <c r="AT141" s="6">
        <f>[1]Production!AS42+[1]Production!AS46</f>
        <v>50953.301551600001</v>
      </c>
      <c r="AU141" s="6">
        <f>[1]Production!AT42+[1]Production!AT46</f>
        <v>51422.520309700005</v>
      </c>
      <c r="AV141" s="6">
        <f>[1]Production!AU42+[1]Production!AU46</f>
        <v>51898.234605899997</v>
      </c>
      <c r="AW141" s="6">
        <f>[1]Production!AV42+[1]Production!AV46</f>
        <v>52385.085773999999</v>
      </c>
      <c r="AX141" s="6">
        <f>[1]Production!AW42+[1]Production!AW46</f>
        <v>52879.385350999997</v>
      </c>
      <c r="AY141" s="6">
        <f>[1]Production!AX42+[1]Production!AX46</f>
        <v>52876.406899899994</v>
      </c>
      <c r="AZ141" s="6">
        <f>[1]Production!AY42+[1]Production!AY46</f>
        <v>52869.044110399998</v>
      </c>
      <c r="BA141" s="6">
        <f>[1]Production!AZ42+[1]Production!AZ46</f>
        <v>52868.161733599998</v>
      </c>
      <c r="BB141" s="6">
        <f>[1]Production!BA42+[1]Production!BA46</f>
        <v>68692.123913799995</v>
      </c>
      <c r="BC141" s="6">
        <f>[1]Production!BB42+[1]Production!BB46</f>
        <v>69691.991126299996</v>
      </c>
      <c r="BD141" s="6">
        <f>[1]Production!BC42+[1]Production!BC46</f>
        <v>70708.185975899993</v>
      </c>
      <c r="BE141" s="6">
        <f>[1]Production!BD42+[1]Production!BD46</f>
        <v>71741.107410299999</v>
      </c>
      <c r="BF141" s="6">
        <f>[1]Production!BE42+[1]Production!BE46</f>
        <v>72791.177043200005</v>
      </c>
    </row>
    <row r="142" spans="1:58" x14ac:dyDescent="0.35">
      <c r="B142" t="s">
        <v>36</v>
      </c>
      <c r="C142" s="6">
        <f>+[1]Production!B44+[1]Production!B48</f>
        <v>4388.9977227999998</v>
      </c>
      <c r="D142" s="6">
        <f>+[1]Production!C44+[1]Production!C48</f>
        <v>4395.4315875000002</v>
      </c>
      <c r="E142" s="6">
        <f>+[1]Production!D44+[1]Production!D48</f>
        <v>4402.9851933999998</v>
      </c>
      <c r="F142" s="6">
        <f>+[1]Production!E44+[1]Production!E48</f>
        <v>4416.5732780999997</v>
      </c>
      <c r="G142" s="6">
        <f>+[1]Production!F44+[1]Production!F48</f>
        <v>4438.1794764000006</v>
      </c>
      <c r="H142" s="6">
        <f>+[1]Production!G44+[1]Production!G48</f>
        <v>4467.4987774000001</v>
      </c>
      <c r="I142" s="6">
        <f>+[1]Production!H44+[1]Production!H48</f>
        <v>4501.1101455999997</v>
      </c>
      <c r="J142" s="6">
        <f>+[1]Production!I44+[1]Production!I48</f>
        <v>4539.3839268000002</v>
      </c>
      <c r="K142" s="6">
        <f>+[1]Production!J44+[1]Production!J48</f>
        <v>4581.4819198999994</v>
      </c>
      <c r="L142" s="6">
        <f>+[1]Production!K44+[1]Production!K48</f>
        <v>4626.6501253000006</v>
      </c>
      <c r="M142" s="6">
        <f>+[1]Production!L44+[1]Production!L48</f>
        <v>4678.0940337000002</v>
      </c>
      <c r="N142" s="6">
        <f>+[1]Production!M44+[1]Production!M48</f>
        <v>4728.4706900000001</v>
      </c>
      <c r="O142" s="6">
        <f>+[1]Production!N44+[1]Production!N48</f>
        <v>4779.9174763999999</v>
      </c>
      <c r="P142" s="6">
        <f>+[1]Production!O44+[1]Production!O48</f>
        <v>4832.2824515000002</v>
      </c>
      <c r="Q142" s="6">
        <f>+[1]Production!P44+[1]Production!P48</f>
        <v>4885.3165804999999</v>
      </c>
      <c r="R142" s="6">
        <f>+[1]Production!Q44+[1]Production!Q48</f>
        <v>4938.7875197000003</v>
      </c>
      <c r="S142" s="6">
        <f>+[1]Production!R44+[1]Production!R48</f>
        <v>4992.1385989</v>
      </c>
      <c r="T142" s="6">
        <f>+[1]Production!S44+[1]Production!S48</f>
        <v>5045.5644315999998</v>
      </c>
      <c r="U142" s="6">
        <f>+[1]Production!T44+[1]Production!T48</f>
        <v>5099.0030107999992</v>
      </c>
      <c r="V142" s="6">
        <f>+[1]Production!U44+[1]Production!U48</f>
        <v>5152.4274875999999</v>
      </c>
      <c r="W142" s="6">
        <f>+[1]Production!V44+[1]Production!V48</f>
        <v>5203.1004967999997</v>
      </c>
      <c r="X142" s="6">
        <f>+[1]Production!W44+[1]Production!W48</f>
        <v>5255.7044665000003</v>
      </c>
      <c r="Y142" s="6">
        <f>+[1]Production!X44+[1]Production!X48</f>
        <v>5308.6964312999999</v>
      </c>
      <c r="Z142" s="6">
        <f>+[1]Production!Y44+[1]Production!Y48</f>
        <v>5362.0208942999998</v>
      </c>
      <c r="AA142" s="6">
        <f>+[1]Production!Z44+[1]Production!Z48</f>
        <v>5415.7281456000001</v>
      </c>
      <c r="AB142" s="6">
        <f>+[1]Production!AA44+[1]Production!AA48</f>
        <v>5462.1140278000003</v>
      </c>
      <c r="AC142" s="6">
        <f>+[1]Production!AB44+[1]Production!AB48</f>
        <v>5510.8552178000009</v>
      </c>
      <c r="AD142" s="6">
        <f>+[1]Production!AC44+[1]Production!AC48</f>
        <v>5559.8285519999999</v>
      </c>
      <c r="AE142" s="6">
        <f>+[1]Production!AD44+[1]Production!AD48</f>
        <v>5609.0789114999998</v>
      </c>
      <c r="AF142" s="6">
        <f>+[1]Production!AE44+[1]Production!AE48</f>
        <v>5658.7396423</v>
      </c>
      <c r="AG142" s="6">
        <f>+[1]Production!AF44+[1]Production!AF48</f>
        <v>5708.9482647000004</v>
      </c>
      <c r="AH142" s="6">
        <f>+[1]Production!AG44+[1]Production!AG48</f>
        <v>5759.8976075999999</v>
      </c>
      <c r="AI142" s="6">
        <f>+[1]Production!AH44+[1]Production!AH48</f>
        <v>5811.6145116999996</v>
      </c>
      <c r="AJ142" s="6">
        <f>+[1]Production!AI44+[1]Production!AI48</f>
        <v>5864.1659451999994</v>
      </c>
      <c r="AK142" s="6">
        <f>+[1]Production!AJ44+[1]Production!AJ48</f>
        <v>5917.6014130000003</v>
      </c>
      <c r="AL142" s="6">
        <f>+[1]Production!AK44+[1]Production!AK48</f>
        <v>5971.9554570999999</v>
      </c>
      <c r="AM142" s="6">
        <f>+[1]Production!AL44+[1]Production!AL48</f>
        <v>6026.0788928000002</v>
      </c>
      <c r="AN142" s="6">
        <f>+[1]Production!AM44+[1]Production!AM48</f>
        <v>6080.6540339000003</v>
      </c>
      <c r="AO142" s="6">
        <f>+[1]Production!AN44+[1]Production!AN48</f>
        <v>6135.8427158000004</v>
      </c>
      <c r="AP142" s="6">
        <f>+[1]Production!AO44+[1]Production!AO48</f>
        <v>6191.7288239</v>
      </c>
      <c r="AQ142" s="6">
        <f>+[1]Production!AP44+[1]Production!AP48</f>
        <v>6248.3693065000007</v>
      </c>
      <c r="AR142" s="6">
        <f>+[1]Production!AQ44+[1]Production!AQ48</f>
        <v>6305.9079031000001</v>
      </c>
      <c r="AS142" s="6">
        <f>+[1]Production!AR44+[1]Production!AR48</f>
        <v>6364.2932787999998</v>
      </c>
      <c r="AT142" s="6">
        <f>+[1]Production!AS44+[1]Production!AS48</f>
        <v>6423.5513573999997</v>
      </c>
      <c r="AU142" s="6">
        <f>+[1]Production!AT44+[1]Production!AT48</f>
        <v>6483.7044962999998</v>
      </c>
      <c r="AV142" s="6">
        <f>+[1]Production!AU44+[1]Production!AU48</f>
        <v>6544.7714208000007</v>
      </c>
      <c r="AW142" s="6">
        <f>+[1]Production!AV44+[1]Production!AV48</f>
        <v>6607.2554500999995</v>
      </c>
      <c r="AX142" s="6">
        <f>+[1]Production!AW44+[1]Production!AW48</f>
        <v>6670.7774006</v>
      </c>
      <c r="AY142" s="6">
        <f>+[1]Production!AX44+[1]Production!AX48</f>
        <v>6670.5175740999994</v>
      </c>
      <c r="AZ142" s="6">
        <f>+[1]Production!AY44+[1]Production!AY48</f>
        <v>6669.8728337000002</v>
      </c>
      <c r="BA142" s="6">
        <f>+[1]Production!AZ44+[1]Production!AZ48</f>
        <v>6669.7959194999994</v>
      </c>
      <c r="BB142" s="6">
        <f>+[1]Production!BA44+[1]Production!BA48</f>
        <v>8422.0498750000006</v>
      </c>
      <c r="BC142" s="6">
        <f>+[1]Production!BB44+[1]Production!BB48</f>
        <v>8540.0032289999999</v>
      </c>
      <c r="BD142" s="6">
        <f>+[1]Production!BC44+[1]Production!BC48</f>
        <v>8659.8261920000004</v>
      </c>
      <c r="BE142" s="6">
        <f>+[1]Production!BD44+[1]Production!BD48</f>
        <v>8781.5734149999989</v>
      </c>
      <c r="BF142" s="6">
        <f>+[1]Production!BE44+[1]Production!BE48</f>
        <v>8905.3025539999999</v>
      </c>
    </row>
    <row r="143" spans="1:58" x14ac:dyDescent="0.35">
      <c r="B143" t="s">
        <v>33</v>
      </c>
      <c r="C143" s="6">
        <f>[1]Production!B50+[1]Production!B52+[1]Production!B54+[1]Production!B56+[1]Production!B58+[1]Production!B60+[1]Production!B62+[1]Production!B64+[1]Production!B66</f>
        <v>66434.8136409</v>
      </c>
      <c r="D143" s="6">
        <f>[1]Production!C50+[1]Production!C52+[1]Production!C54+[1]Production!C56+[1]Production!C58+[1]Production!C60+[1]Production!C62+[1]Production!C64+[1]Production!C66</f>
        <v>66513.270380799993</v>
      </c>
      <c r="E143" s="6">
        <f>[1]Production!D50+[1]Production!D52+[1]Production!D54+[1]Production!D56+[1]Production!D58+[1]Production!D60+[1]Production!D62+[1]Production!D64+[1]Production!D66</f>
        <v>66646.080811799999</v>
      </c>
      <c r="F143" s="6">
        <f>[1]Production!E50+[1]Production!E52+[1]Production!E54+[1]Production!E56+[1]Production!E58+[1]Production!E60+[1]Production!E62+[1]Production!E64+[1]Production!E66</f>
        <v>66860.456044300008</v>
      </c>
      <c r="G143" s="6">
        <f>[1]Production!F50+[1]Production!F52+[1]Production!F54+[1]Production!F56+[1]Production!F58+[1]Production!F60+[1]Production!F62+[1]Production!F64+[1]Production!F66</f>
        <v>67187.031737700003</v>
      </c>
      <c r="H143" s="6">
        <f>[1]Production!G50+[1]Production!G52+[1]Production!G54+[1]Production!G56+[1]Production!G58+[1]Production!G60+[1]Production!G62+[1]Production!G64+[1]Production!G66</f>
        <v>67624.472535499997</v>
      </c>
      <c r="I143" s="6">
        <f>[1]Production!H50+[1]Production!H52+[1]Production!H54+[1]Production!H56+[1]Production!H58+[1]Production!H60+[1]Production!H62+[1]Production!H64+[1]Production!H66</f>
        <v>68116.470953199998</v>
      </c>
      <c r="J143" s="6">
        <f>[1]Production!I50+[1]Production!I52+[1]Production!I54+[1]Production!I56+[1]Production!I58+[1]Production!I60+[1]Production!I62+[1]Production!I64+[1]Production!I66</f>
        <v>68654.237789100007</v>
      </c>
      <c r="K143" s="6">
        <f>[1]Production!J50+[1]Production!J52+[1]Production!J54+[1]Production!J56+[1]Production!J58+[1]Production!J60+[1]Production!J62+[1]Production!J64+[1]Production!J66</f>
        <v>69218.060750799996</v>
      </c>
      <c r="L143" s="6">
        <f>[1]Production!K50+[1]Production!K52+[1]Production!K54+[1]Production!K56+[1]Production!K58+[1]Production!K60+[1]Production!K62+[1]Production!K64+[1]Production!K66</f>
        <v>69788.571579299998</v>
      </c>
      <c r="M143" s="6">
        <f>[1]Production!L50+[1]Production!L52+[1]Production!L54+[1]Production!L56+[1]Production!L58+[1]Production!L60+[1]Production!L62+[1]Production!L64+[1]Production!L66</f>
        <v>70409.311292500017</v>
      </c>
      <c r="N143" s="6">
        <f>[1]Production!M50+[1]Production!M52+[1]Production!M54+[1]Production!M56+[1]Production!M58+[1]Production!M60+[1]Production!M62+[1]Production!M64+[1]Production!M66</f>
        <v>70973.76643850001</v>
      </c>
      <c r="O143" s="6">
        <f>[1]Production!N50+[1]Production!N52+[1]Production!N54+[1]Production!N56+[1]Production!N58+[1]Production!N60+[1]Production!N62+[1]Production!N64+[1]Production!N66</f>
        <v>71496.525860900001</v>
      </c>
      <c r="P143" s="6">
        <f>[1]Production!O50+[1]Production!O52+[1]Production!O54+[1]Production!O56+[1]Production!O58+[1]Production!O60+[1]Production!O62+[1]Production!O64+[1]Production!O66</f>
        <v>71981.307742799996</v>
      </c>
      <c r="Q143" s="6">
        <f>[1]Production!P50+[1]Production!P52+[1]Production!P54+[1]Production!P56+[1]Production!P58+[1]Production!P60+[1]Production!P62+[1]Production!P64+[1]Production!P66</f>
        <v>72430.390960699995</v>
      </c>
      <c r="R143" s="6">
        <f>[1]Production!Q50+[1]Production!Q52+[1]Production!Q54+[1]Production!Q56+[1]Production!Q58+[1]Production!Q60+[1]Production!Q62+[1]Production!Q64+[1]Production!Q66</f>
        <v>72846.765656399992</v>
      </c>
      <c r="S143" s="6">
        <f>[1]Production!R50+[1]Production!R52+[1]Production!R54+[1]Production!R56+[1]Production!R58+[1]Production!R60+[1]Production!R62+[1]Production!R64+[1]Production!R66</f>
        <v>73231.257101399999</v>
      </c>
      <c r="T143" s="6">
        <f>[1]Production!S50+[1]Production!S52+[1]Production!S54+[1]Production!S56+[1]Production!S58+[1]Production!S60+[1]Production!S62+[1]Production!S64+[1]Production!S66</f>
        <v>73589.812313200004</v>
      </c>
      <c r="U143" s="6">
        <f>[1]Production!T50+[1]Production!T52+[1]Production!T54+[1]Production!T56+[1]Production!T58+[1]Production!T60+[1]Production!T62+[1]Production!T64+[1]Production!T66</f>
        <v>73928.870518000011</v>
      </c>
      <c r="V143" s="6">
        <f>[1]Production!U50+[1]Production!U52+[1]Production!U54+[1]Production!U56+[1]Production!U58+[1]Production!U60+[1]Production!U62+[1]Production!U64+[1]Production!U66</f>
        <v>74254.791582099992</v>
      </c>
      <c r="W143" s="6">
        <f>[1]Production!V50+[1]Production!V52+[1]Production!V54+[1]Production!V56+[1]Production!V58+[1]Production!V60+[1]Production!V62+[1]Production!V64+[1]Production!V66</f>
        <v>74532.406534000009</v>
      </c>
      <c r="X143" s="6">
        <f>[1]Production!W50+[1]Production!W52+[1]Production!W54+[1]Production!W56+[1]Production!W58+[1]Production!W60+[1]Production!W62+[1]Production!W64+[1]Production!W66</f>
        <v>74831.110040400003</v>
      </c>
      <c r="Y143" s="6">
        <f>[1]Production!X50+[1]Production!X52+[1]Production!X54+[1]Production!X56+[1]Production!X58+[1]Production!X60+[1]Production!X62+[1]Production!X64+[1]Production!X66</f>
        <v>75141.609944800002</v>
      </c>
      <c r="Z143" s="6">
        <f>[1]Production!Y50+[1]Production!Y52+[1]Production!Y54+[1]Production!Y56+[1]Production!Y58+[1]Production!Y60+[1]Production!Y62+[1]Production!Y64+[1]Production!Y66</f>
        <v>75463.283120099994</v>
      </c>
      <c r="AA143" s="6">
        <f>[1]Production!Z50+[1]Production!Z52+[1]Production!Z54+[1]Production!Z56+[1]Production!Z58+[1]Production!Z60+[1]Production!Z62+[1]Production!Z64+[1]Production!Z66</f>
        <v>75797.609639000002</v>
      </c>
      <c r="AB143" s="6">
        <f>[1]Production!AA50+[1]Production!AA52+[1]Production!AA54+[1]Production!AA56+[1]Production!AA58+[1]Production!AA60+[1]Production!AA62+[1]Production!AA64+[1]Production!AA66</f>
        <v>76032.247608399994</v>
      </c>
      <c r="AC143" s="6">
        <f>[1]Production!AB50+[1]Production!AB52+[1]Production!AB54+[1]Production!AB56+[1]Production!AB58+[1]Production!AB60+[1]Production!AB62+[1]Production!AB64+[1]Production!AB66</f>
        <v>76293.280803500005</v>
      </c>
      <c r="AD143" s="6">
        <f>[1]Production!AC50+[1]Production!AC52+[1]Production!AC54+[1]Production!AC56+[1]Production!AC58+[1]Production!AC60+[1]Production!AC62+[1]Production!AC64+[1]Production!AC66</f>
        <v>76571.909195100001</v>
      </c>
      <c r="AE143" s="6">
        <f>[1]Production!AD50+[1]Production!AD52+[1]Production!AD54+[1]Production!AD56+[1]Production!AD58+[1]Production!AD60+[1]Production!AD62+[1]Production!AD64+[1]Production!AD66</f>
        <v>76866.827821899991</v>
      </c>
      <c r="AF143" s="6">
        <f>[1]Production!AE50+[1]Production!AE52+[1]Production!AE54+[1]Production!AE56+[1]Production!AE58+[1]Production!AE60+[1]Production!AE62+[1]Production!AE64+[1]Production!AE66</f>
        <v>77178.409621000013</v>
      </c>
      <c r="AG143" s="6">
        <f>[1]Production!AF50+[1]Production!AF52+[1]Production!AF54+[1]Production!AF56+[1]Production!AF58+[1]Production!AF60+[1]Production!AF62+[1]Production!AF64+[1]Production!AF66</f>
        <v>77507.338489500005</v>
      </c>
      <c r="AH143" s="6">
        <f>[1]Production!AG50+[1]Production!AG52+[1]Production!AG54+[1]Production!AG56+[1]Production!AG58+[1]Production!AG60+[1]Production!AG62+[1]Production!AG64+[1]Production!AG66</f>
        <v>77854.541133800012</v>
      </c>
      <c r="AI143" s="6">
        <f>[1]Production!AH50+[1]Production!AH52+[1]Production!AH54+[1]Production!AH56+[1]Production!AH58+[1]Production!AH60+[1]Production!AH62+[1]Production!AH64+[1]Production!AH66</f>
        <v>78220.019321999993</v>
      </c>
      <c r="AJ143" s="6">
        <f>[1]Production!AI50+[1]Production!AI52+[1]Production!AI54+[1]Production!AI56+[1]Production!AI58+[1]Production!AI60+[1]Production!AI62+[1]Production!AI64+[1]Production!AI66</f>
        <v>78603.061687499983</v>
      </c>
      <c r="AK143" s="6">
        <f>[1]Production!AJ50+[1]Production!AJ52+[1]Production!AJ54+[1]Production!AJ56+[1]Production!AJ58+[1]Production!AJ60+[1]Production!AJ62+[1]Production!AJ64+[1]Production!AJ66</f>
        <v>79002.534108900014</v>
      </c>
      <c r="AL143" s="6">
        <f>[1]Production!AK50+[1]Production!AK52+[1]Production!AK54+[1]Production!AK56+[1]Production!AK58+[1]Production!AK60+[1]Production!AK62+[1]Production!AK64+[1]Production!AK66</f>
        <v>79417.015435599998</v>
      </c>
      <c r="AM143" s="6">
        <f>[1]Production!AL50+[1]Production!AL52+[1]Production!AL54+[1]Production!AL56+[1]Production!AL58+[1]Production!AL60+[1]Production!AL62+[1]Production!AL64+[1]Production!AL66</f>
        <v>79823.089109000008</v>
      </c>
      <c r="AN143" s="6">
        <f>[1]Production!AM50+[1]Production!AM52+[1]Production!AM54+[1]Production!AM56+[1]Production!AM58+[1]Production!AM60+[1]Production!AM62+[1]Production!AM64+[1]Production!AM66</f>
        <v>80234.161058400001</v>
      </c>
      <c r="AO143" s="6">
        <f>[1]Production!AN50+[1]Production!AN52+[1]Production!AN54+[1]Production!AN56+[1]Production!AN58+[1]Production!AN60+[1]Production!AN62+[1]Production!AN64+[1]Production!AN66</f>
        <v>80652.690520699995</v>
      </c>
      <c r="AP143" s="6">
        <f>[1]Production!AO50+[1]Production!AO52+[1]Production!AO54+[1]Production!AO56+[1]Production!AO58+[1]Production!AO60+[1]Production!AO62+[1]Production!AO64+[1]Production!AO66</f>
        <v>81078.517538600005</v>
      </c>
      <c r="AQ143" s="6">
        <f>[1]Production!AP50+[1]Production!AP52+[1]Production!AP54+[1]Production!AP56+[1]Production!AP58+[1]Production!AP60+[1]Production!AP62+[1]Production!AP64+[1]Production!AP66</f>
        <v>81510.905299499995</v>
      </c>
      <c r="AR143" s="6">
        <f>[1]Production!AQ50+[1]Production!AQ52+[1]Production!AQ54+[1]Production!AQ56+[1]Production!AQ58+[1]Production!AQ60+[1]Production!AQ62+[1]Production!AQ64+[1]Production!AQ66</f>
        <v>81949.602492399994</v>
      </c>
      <c r="AS143" s="6">
        <f>[1]Production!AR50+[1]Production!AR52+[1]Production!AR54+[1]Production!AR56+[1]Production!AR58+[1]Production!AR60+[1]Production!AR62+[1]Production!AR64+[1]Production!AR66</f>
        <v>82394.251778399994</v>
      </c>
      <c r="AT143" s="6">
        <f>[1]Production!AS50+[1]Production!AS52+[1]Production!AS54+[1]Production!AS56+[1]Production!AS58+[1]Production!AS60+[1]Production!AS62+[1]Production!AS64+[1]Production!AS66</f>
        <v>82844.130386599994</v>
      </c>
      <c r="AU143" s="6">
        <f>[1]Production!AT50+[1]Production!AT52+[1]Production!AT54+[1]Production!AT56+[1]Production!AT58+[1]Production!AT60+[1]Production!AT62+[1]Production!AT64+[1]Production!AT66</f>
        <v>83298.515061899991</v>
      </c>
      <c r="AV143" s="6">
        <f>[1]Production!AU50+[1]Production!AU52+[1]Production!AU54+[1]Production!AU56+[1]Production!AU58+[1]Production!AU60+[1]Production!AU62+[1]Production!AU64+[1]Production!AU66</f>
        <v>83756.694332700004</v>
      </c>
      <c r="AW143" s="6">
        <f>[1]Production!AV50+[1]Production!AV52+[1]Production!AV54+[1]Production!AV56+[1]Production!AV58+[1]Production!AV60+[1]Production!AV62+[1]Production!AV64+[1]Production!AV66</f>
        <v>84221.481533000013</v>
      </c>
      <c r="AX143" s="6">
        <f>[1]Production!AW50+[1]Production!AW52+[1]Production!AW54+[1]Production!AW56+[1]Production!AW58+[1]Production!AW60+[1]Production!AW62+[1]Production!AW64+[1]Production!AW66</f>
        <v>84692.194372800004</v>
      </c>
      <c r="AY143" s="6">
        <f>[1]Production!AX50+[1]Production!AX52+[1]Production!AX54+[1]Production!AX56+[1]Production!AX58+[1]Production!AX60+[1]Production!AX62+[1]Production!AX64+[1]Production!AX66</f>
        <v>84689.352779199995</v>
      </c>
      <c r="AZ143" s="6">
        <f>[1]Production!AY50+[1]Production!AY52+[1]Production!AY54+[1]Production!AY56+[1]Production!AY58+[1]Production!AY60+[1]Production!AY62+[1]Production!AY64+[1]Production!AY66</f>
        <v>84682.418701600007</v>
      </c>
      <c r="BA143" s="6">
        <f>[1]Production!AZ50+[1]Production!AZ52+[1]Production!AZ54+[1]Production!AZ56+[1]Production!AZ58+[1]Production!AZ60+[1]Production!AZ62+[1]Production!AZ64+[1]Production!AZ66</f>
        <v>84681.614118799989</v>
      </c>
      <c r="BB143" s="6">
        <f>[1]Production!BA50+[1]Production!BA52+[1]Production!BA54+[1]Production!BA56+[1]Production!BA58+[1]Production!BA60+[1]Production!BA62+[1]Production!BA64+[1]Production!BA66</f>
        <v>109335.0533368</v>
      </c>
      <c r="BC143" s="6">
        <f>[1]Production!BB50+[1]Production!BB52+[1]Production!BB54+[1]Production!BB56+[1]Production!BB58+[1]Production!BB60+[1]Production!BB62+[1]Production!BB64+[1]Production!BB66</f>
        <v>110686.17812879999</v>
      </c>
      <c r="BD143" s="6">
        <f>[1]Production!BC50+[1]Production!BC52+[1]Production!BC54+[1]Production!BC56+[1]Production!BC58+[1]Production!BC60+[1]Production!BC62+[1]Production!BC64+[1]Production!BC66</f>
        <v>112062.22437210001</v>
      </c>
      <c r="BE143" s="6">
        <f>[1]Production!BD50+[1]Production!BD52+[1]Production!BD54+[1]Production!BD56+[1]Production!BD58+[1]Production!BD60+[1]Production!BD62+[1]Production!BD64+[1]Production!BD66</f>
        <v>113463.31569790001</v>
      </c>
      <c r="BF143" s="6">
        <f>[1]Production!BE50+[1]Production!BE52+[1]Production!BE54+[1]Production!BE56+[1]Production!BE58+[1]Production!BE60+[1]Production!BE62+[1]Production!BE64+[1]Production!BE66</f>
        <v>114889.6136365</v>
      </c>
    </row>
    <row r="145" spans="1:5" x14ac:dyDescent="0.35">
      <c r="A145" s="12" t="s">
        <v>83</v>
      </c>
      <c r="B145" t="s">
        <v>14</v>
      </c>
      <c r="C145" s="7" t="s">
        <v>15</v>
      </c>
      <c r="D145" s="7" t="s">
        <v>16</v>
      </c>
      <c r="E145" s="7" t="s">
        <v>17</v>
      </c>
    </row>
    <row r="146" spans="1:5" x14ac:dyDescent="0.35">
      <c r="A146" t="s">
        <v>80</v>
      </c>
      <c r="B146" t="s">
        <v>40</v>
      </c>
      <c r="C146" s="4">
        <f t="shared" ref="C146:C153" si="65">(R136-R125)/R125</f>
        <v>-4.3601776716051581E-2</v>
      </c>
      <c r="D146" s="4">
        <f t="shared" ref="D146:D153" si="66">(S135-S124)/S124</f>
        <v>0</v>
      </c>
      <c r="E146" s="4">
        <f t="shared" ref="E146:E153" si="67">(AL136-AL125)/AL125</f>
        <v>-6.9182552384835116E-2</v>
      </c>
    </row>
    <row r="147" spans="1:5" x14ac:dyDescent="0.35">
      <c r="B147" t="s">
        <v>7</v>
      </c>
      <c r="C147" s="4">
        <f t="shared" si="65"/>
        <v>-2.6150470805130138E-2</v>
      </c>
      <c r="D147" s="4">
        <f t="shared" si="66"/>
        <v>-4.4821889501252751E-2</v>
      </c>
      <c r="E147" s="4">
        <f t="shared" si="67"/>
        <v>-5.7415566805378696E-2</v>
      </c>
    </row>
    <row r="148" spans="1:5" x14ac:dyDescent="0.35">
      <c r="B148" t="s">
        <v>30</v>
      </c>
      <c r="C148" s="4">
        <f t="shared" si="65"/>
        <v>-5.5106133920804809E-2</v>
      </c>
      <c r="D148" s="4">
        <f t="shared" si="66"/>
        <v>-2.8440473913913314E-2</v>
      </c>
      <c r="E148" s="4">
        <f t="shared" si="67"/>
        <v>-9.9857040279470649E-2</v>
      </c>
    </row>
    <row r="149" spans="1:5" x14ac:dyDescent="0.35">
      <c r="B149" t="s">
        <v>9</v>
      </c>
      <c r="C149" s="4">
        <f t="shared" si="65"/>
        <v>-4.5950155544874617E-2</v>
      </c>
      <c r="D149" s="4">
        <f t="shared" si="66"/>
        <v>-5.7845628384388115E-2</v>
      </c>
      <c r="E149" s="4">
        <f t="shared" si="67"/>
        <v>-8.0374113097198677E-2</v>
      </c>
    </row>
    <row r="150" spans="1:5" x14ac:dyDescent="0.35">
      <c r="B150" t="s">
        <v>10</v>
      </c>
      <c r="C150" s="4">
        <f t="shared" si="65"/>
        <v>-3.9604278907085164E-2</v>
      </c>
      <c r="D150" s="4">
        <f t="shared" si="66"/>
        <v>-4.7375749076643332E-2</v>
      </c>
      <c r="E150" s="4">
        <f t="shared" si="67"/>
        <v>-5.7447119303013487E-2</v>
      </c>
    </row>
    <row r="151" spans="1:5" x14ac:dyDescent="0.35">
      <c r="B151" t="s">
        <v>29</v>
      </c>
      <c r="C151" s="4">
        <f t="shared" si="65"/>
        <v>-5.8390558219719217E-2</v>
      </c>
      <c r="D151" s="4">
        <f t="shared" si="66"/>
        <v>-4.0221473018119125E-2</v>
      </c>
      <c r="E151" s="4">
        <f t="shared" si="67"/>
        <v>-8.8576446497882835E-2</v>
      </c>
    </row>
    <row r="152" spans="1:5" x14ac:dyDescent="0.35">
      <c r="B152" t="s">
        <v>36</v>
      </c>
      <c r="C152" s="4">
        <f t="shared" si="65"/>
        <v>-5.5787033064981173E-2</v>
      </c>
      <c r="D152" s="4">
        <f t="shared" si="66"/>
        <v>-5.9793816884804403E-2</v>
      </c>
      <c r="E152" s="4">
        <f t="shared" si="67"/>
        <v>-7.9507679461839495E-2</v>
      </c>
    </row>
    <row r="153" spans="1:5" x14ac:dyDescent="0.35">
      <c r="B153" t="s">
        <v>33</v>
      </c>
      <c r="C153" s="4">
        <f t="shared" si="65"/>
        <v>-4.0310353934601986E-2</v>
      </c>
      <c r="D153" s="4">
        <f t="shared" si="66"/>
        <v>-5.6841483895225774E-2</v>
      </c>
      <c r="E153" s="4">
        <f t="shared" si="67"/>
        <v>-8.0847814314120039E-2</v>
      </c>
    </row>
    <row r="154" spans="1:5" x14ac:dyDescent="0.35">
      <c r="C154" s="5"/>
      <c r="D154" s="5"/>
      <c r="E154" s="5"/>
    </row>
    <row r="155" spans="1:5" x14ac:dyDescent="0.35">
      <c r="A155" s="12" t="s">
        <v>83</v>
      </c>
      <c r="B155" t="s">
        <v>14</v>
      </c>
      <c r="C155" s="7" t="s">
        <v>15</v>
      </c>
      <c r="D155" s="7" t="s">
        <v>16</v>
      </c>
      <c r="E155" s="7" t="s">
        <v>17</v>
      </c>
    </row>
    <row r="156" spans="1:5" x14ac:dyDescent="0.35">
      <c r="A156" t="s">
        <v>84</v>
      </c>
      <c r="B156" t="s">
        <v>7</v>
      </c>
      <c r="C156" s="4">
        <f>R137/R126-1</f>
        <v>-2.615047080513011E-2</v>
      </c>
      <c r="D156" s="4">
        <f>AB137/AB126-1</f>
        <v>-4.0085335509813858E-2</v>
      </c>
      <c r="E156" s="4">
        <f>AL137/AL126-1</f>
        <v>-5.7415566805378737E-2</v>
      </c>
    </row>
    <row r="157" spans="1:5" x14ac:dyDescent="0.35">
      <c r="B157" t="s">
        <v>8</v>
      </c>
      <c r="C157" s="4">
        <f>R138/R127-1</f>
        <v>-5.5106133920804767E-2</v>
      </c>
      <c r="D157" s="4">
        <f>AB138/AB127-1</f>
        <v>-8.0700125618042406E-2</v>
      </c>
      <c r="E157" s="4">
        <f>AL138/AL127-1</f>
        <v>-9.9857040279470621E-2</v>
      </c>
    </row>
    <row r="158" spans="1:5" x14ac:dyDescent="0.35">
      <c r="B158" t="s">
        <v>9</v>
      </c>
      <c r="C158" s="4">
        <f>R139/R128-1</f>
        <v>-4.5950155544874582E-2</v>
      </c>
      <c r="D158" s="4">
        <f>AB139/AB128-1</f>
        <v>-6.340084112499722E-2</v>
      </c>
      <c r="E158" s="4">
        <f>AL139/AL128-1</f>
        <v>-8.0374113097198663E-2</v>
      </c>
    </row>
    <row r="159" spans="1:5" x14ac:dyDescent="0.35">
      <c r="B159" t="s">
        <v>10</v>
      </c>
      <c r="C159" s="4">
        <f>R140/R129-1</f>
        <v>-3.9604278907085178E-2</v>
      </c>
      <c r="D159" s="4">
        <f>AB140/AB129-1</f>
        <v>-4.7823701758280324E-2</v>
      </c>
      <c r="E159" s="4">
        <f>AL140/AL129-1</f>
        <v>-5.7447119303013494E-2</v>
      </c>
    </row>
    <row r="160" spans="1:5" x14ac:dyDescent="0.35">
      <c r="B160" t="s">
        <v>12</v>
      </c>
      <c r="C160" s="4">
        <f>R141/R130-1</f>
        <v>-5.8390558219719169E-2</v>
      </c>
      <c r="D160" s="4">
        <f>AB141/AB130-1</f>
        <v>-7.3886952795141014E-2</v>
      </c>
      <c r="E160" s="4">
        <f>AL141/AL130-1</f>
        <v>-8.8576446497882877E-2</v>
      </c>
    </row>
    <row r="161" spans="1:58" x14ac:dyDescent="0.35">
      <c r="B161" t="s">
        <v>11</v>
      </c>
      <c r="C161" s="4">
        <f>R143/R132-1</f>
        <v>-4.0310353934602028E-2</v>
      </c>
      <c r="D161" s="4">
        <f>AB143/AB132-1</f>
        <v>-6.0966662051451737E-2</v>
      </c>
      <c r="E161" s="4">
        <f>AL143/AL132-1</f>
        <v>-8.0847814314120026E-2</v>
      </c>
    </row>
    <row r="162" spans="1:58" x14ac:dyDescent="0.35">
      <c r="C162" s="4"/>
      <c r="D162" s="4"/>
      <c r="E162" s="4"/>
    </row>
    <row r="163" spans="1:58" x14ac:dyDescent="0.35">
      <c r="A163" s="12" t="s">
        <v>41</v>
      </c>
      <c r="C163" s="4"/>
      <c r="D163" s="4"/>
      <c r="E163" s="4"/>
    </row>
    <row r="164" spans="1:58" x14ac:dyDescent="0.35">
      <c r="A164" t="s">
        <v>38</v>
      </c>
      <c r="B164" t="s">
        <v>40</v>
      </c>
      <c r="C164" s="6">
        <f>[1]Capital!B3</f>
        <v>5224440.432</v>
      </c>
      <c r="D164" s="6">
        <f>[1]Capital!C3</f>
        <v>5285949.4560000002</v>
      </c>
      <c r="E164" s="6">
        <f>[1]Capital!D3</f>
        <v>5349162.4160000002</v>
      </c>
      <c r="F164" s="6">
        <f>[1]Capital!E3</f>
        <v>5414280.6349999998</v>
      </c>
      <c r="G164" s="6">
        <f>[1]Capital!F3</f>
        <v>5481413.3260000004</v>
      </c>
      <c r="H164" s="6">
        <f>[1]Capital!G3</f>
        <v>5550625.9910000004</v>
      </c>
      <c r="I164" s="6">
        <f>[1]Capital!H3</f>
        <v>5621757.2980000004</v>
      </c>
      <c r="J164" s="6">
        <f>[1]Capital!I3</f>
        <v>5694736.8140000002</v>
      </c>
      <c r="K164" s="6">
        <f>[1]Capital!J3</f>
        <v>5769546.6679999996</v>
      </c>
      <c r="L164" s="6">
        <f>[1]Capital!K3</f>
        <v>5846205.5379999997</v>
      </c>
      <c r="M164" s="6">
        <f>[1]Capital!L3</f>
        <v>5925125.75</v>
      </c>
      <c r="N164" s="6">
        <f>[1]Capital!M3</f>
        <v>6006209.4289999995</v>
      </c>
      <c r="O164" s="6">
        <f>[1]Capital!N3</f>
        <v>6089442.3849999998</v>
      </c>
      <c r="P164" s="6">
        <f>[1]Capital!O3</f>
        <v>6174842.1289999997</v>
      </c>
      <c r="Q164" s="6">
        <f>[1]Capital!P3</f>
        <v>6262441.8049999997</v>
      </c>
      <c r="R164" s="6">
        <f>[1]Capital!Q3</f>
        <v>6352282.2680000002</v>
      </c>
      <c r="S164" s="6">
        <f>[1]Capital!R3</f>
        <v>6444407.2680000002</v>
      </c>
      <c r="T164" s="6">
        <f>[1]Capital!S3</f>
        <v>6538859.5369999995</v>
      </c>
      <c r="U164" s="6">
        <f>[1]Capital!T3</f>
        <v>6635677.4100000001</v>
      </c>
      <c r="V164" s="6">
        <f>[1]Capital!U3</f>
        <v>6734892.1890000002</v>
      </c>
      <c r="W164" s="6">
        <f>[1]Capital!V3</f>
        <v>6836255.2029999997</v>
      </c>
      <c r="X164" s="6">
        <f>[1]Capital!W3</f>
        <v>6939892.1179999998</v>
      </c>
      <c r="Y164" s="6">
        <f>[1]Capital!X3</f>
        <v>7045866.8640000001</v>
      </c>
      <c r="Z164" s="6">
        <f>[1]Capital!Y3</f>
        <v>7154214.3480000002</v>
      </c>
      <c r="AA164" s="6">
        <f>[1]Capital!Z3</f>
        <v>7264949.3789999997</v>
      </c>
      <c r="AB164" s="6">
        <f>[1]Capital!AA3</f>
        <v>7377286.6449999996</v>
      </c>
      <c r="AC164" s="6">
        <f>[1]Capital!AB3</f>
        <v>7491161.0820000004</v>
      </c>
      <c r="AD164" s="6">
        <f>[1]Capital!AC3</f>
        <v>7606496.3420000002</v>
      </c>
      <c r="AE164" s="6">
        <f>[1]Capital!AD3</f>
        <v>7723230.2999999998</v>
      </c>
      <c r="AF164" s="6">
        <f>[1]Capital!AE3</f>
        <v>7841314.108</v>
      </c>
      <c r="AG164" s="6">
        <f>[1]Capital!AF3</f>
        <v>7960706.4160000002</v>
      </c>
      <c r="AH164" s="6">
        <f>[1]Capital!AG3</f>
        <v>8081366.7649999997</v>
      </c>
      <c r="AI164" s="6">
        <f>[1]Capital!AH3</f>
        <v>8203250.9289999995</v>
      </c>
      <c r="AJ164" s="6">
        <f>[1]Capital!AI3</f>
        <v>8326308.949</v>
      </c>
      <c r="AK164" s="6">
        <f>[1]Capital!AJ3</f>
        <v>8450485.4690000005</v>
      </c>
      <c r="AL164" s="6">
        <f>[1]Capital!AK3</f>
        <v>8575721.5390000008</v>
      </c>
      <c r="AM164" s="6">
        <f>[1]Capital!AL3</f>
        <v>8701767.7060000002</v>
      </c>
      <c r="AN164" s="6">
        <f>[1]Capital!AM3</f>
        <v>8828450.6040000003</v>
      </c>
      <c r="AO164" s="6">
        <f>[1]Capital!AN3</f>
        <v>8955640.7630000003</v>
      </c>
      <c r="AP164" s="6">
        <f>[1]Capital!AO3</f>
        <v>9083240.9879999999</v>
      </c>
      <c r="AQ164" s="6">
        <f>[1]Capital!AP3</f>
        <v>9211179.3560000006</v>
      </c>
      <c r="AR164" s="6">
        <f>[1]Capital!AQ3</f>
        <v>9339403.3920000009</v>
      </c>
      <c r="AS164" s="6">
        <f>[1]Capital!AR3</f>
        <v>9467874.6349999998</v>
      </c>
      <c r="AT164" s="6">
        <f>[1]Capital!AS3</f>
        <v>9596563.977</v>
      </c>
      <c r="AU164" s="6">
        <f>[1]Capital!AT3</f>
        <v>9725448.1980000008</v>
      </c>
      <c r="AV164" s="6">
        <f>[1]Capital!AU3</f>
        <v>9854507.8599999994</v>
      </c>
      <c r="AW164" s="6">
        <f>[1]Capital!AV3</f>
        <v>9983743.3330000006</v>
      </c>
      <c r="AX164" s="6">
        <f>[1]Capital!AW3</f>
        <v>10113151.210000001</v>
      </c>
      <c r="AY164" s="6">
        <f>[1]Capital!AX3</f>
        <v>10242727.890000001</v>
      </c>
      <c r="AZ164" s="6">
        <f>[1]Capital!AY3</f>
        <v>10372471.51</v>
      </c>
      <c r="BA164" s="6">
        <f>[1]Capital!AZ3</f>
        <v>10502383.439999999</v>
      </c>
      <c r="BB164" s="6">
        <f>[1]Capital!BA3</f>
        <v>12048683.140000001</v>
      </c>
      <c r="BC164" s="6">
        <f>[1]Capital!BB3</f>
        <v>12276883.67</v>
      </c>
      <c r="BD164" s="6">
        <f>[1]Capital!BC3</f>
        <v>12508283.220000001</v>
      </c>
      <c r="BE164" s="6">
        <f>[1]Capital!BD3</f>
        <v>12742824.369999999</v>
      </c>
      <c r="BF164" s="6">
        <f>[1]Capital!BE3</f>
        <v>12980451.76</v>
      </c>
    </row>
    <row r="165" spans="1:58" x14ac:dyDescent="0.35">
      <c r="B165" t="s">
        <v>7</v>
      </c>
      <c r="C165" s="5">
        <f>[1]Capital!B5+[1]Capital!B7</f>
        <v>49063.768813000002</v>
      </c>
      <c r="D165" s="5">
        <f>[1]Capital!C5+[1]Capital!C7</f>
        <v>49619.269749999999</v>
      </c>
      <c r="E165" s="5">
        <f>[1]Capital!D5+[1]Capital!D7</f>
        <v>50154.567457000005</v>
      </c>
      <c r="F165" s="5">
        <f>[1]Capital!E5+[1]Capital!E7</f>
        <v>50665.19558</v>
      </c>
      <c r="G165" s="5">
        <f>[1]Capital!F5+[1]Capital!F7</f>
        <v>51149.610346000001</v>
      </c>
      <c r="H165" s="5">
        <f>[1]Capital!G5+[1]Capital!G7</f>
        <v>51607.538965</v>
      </c>
      <c r="I165" s="5">
        <f>[1]Capital!H5+[1]Capital!H7</f>
        <v>52036.621235999999</v>
      </c>
      <c r="J165" s="5">
        <f>[1]Capital!I5+[1]Capital!I7</f>
        <v>52435.590028999999</v>
      </c>
      <c r="K165" s="5">
        <f>[1]Capital!J5+[1]Capital!J7</f>
        <v>52804.093277</v>
      </c>
      <c r="L165" s="5">
        <f>[1]Capital!K5+[1]Capital!K7</f>
        <v>53142.527256999994</v>
      </c>
      <c r="M165" s="5">
        <f>[1]Capital!L5+[1]Capital!L7</f>
        <v>53455.980917999994</v>
      </c>
      <c r="N165" s="5">
        <f>[1]Capital!M5+[1]Capital!M7</f>
        <v>53744.177621000003</v>
      </c>
      <c r="O165" s="5">
        <f>[1]Capital!N5+[1]Capital!N7</f>
        <v>54007.317575000001</v>
      </c>
      <c r="P165" s="5">
        <f>[1]Capital!O5+[1]Capital!O7</f>
        <v>54246.207394999998</v>
      </c>
      <c r="Q165" s="5">
        <f>[1]Capital!P5+[1]Capital!P7</f>
        <v>54462.255227000001</v>
      </c>
      <c r="R165" s="5">
        <f>[1]Capital!Q5+[1]Capital!Q7</f>
        <v>54657.315413000004</v>
      </c>
      <c r="S165" s="5">
        <f>[1]Capital!R5+[1]Capital!R7</f>
        <v>54833.509850000002</v>
      </c>
      <c r="T165" s="5">
        <f>[1]Capital!S5+[1]Capital!S7</f>
        <v>54993.061699999998</v>
      </c>
      <c r="U165" s="5">
        <f>[1]Capital!T5+[1]Capital!T7</f>
        <v>55138.158491000002</v>
      </c>
      <c r="V165" s="5">
        <f>[1]Capital!U5+[1]Capital!U7</f>
        <v>55270.850460000001</v>
      </c>
      <c r="W165" s="5">
        <f>[1]Capital!V5+[1]Capital!V7</f>
        <v>55390.380296999996</v>
      </c>
      <c r="X165" s="5">
        <f>[1]Capital!W5+[1]Capital!W7</f>
        <v>55499.382774999998</v>
      </c>
      <c r="Y165" s="5">
        <f>[1]Capital!X5+[1]Capital!X7</f>
        <v>55600.183837000004</v>
      </c>
      <c r="Z165" s="5">
        <f>[1]Capital!Y5+[1]Capital!Y7</f>
        <v>55694.641581000003</v>
      </c>
      <c r="AA165" s="5">
        <f>[1]Capital!Z5+[1]Capital!Z7</f>
        <v>55784.123318999998</v>
      </c>
      <c r="AB165" s="5">
        <f>[1]Capital!AA5+[1]Capital!AA7</f>
        <v>55862.603826999999</v>
      </c>
      <c r="AC165" s="5">
        <f>[1]Capital!AB5+[1]Capital!AB7</f>
        <v>55930.174917999997</v>
      </c>
      <c r="AD165" s="5">
        <f>[1]Capital!AC5+[1]Capital!AC7</f>
        <v>55987.842082999996</v>
      </c>
      <c r="AE165" s="5">
        <f>[1]Capital!AD5+[1]Capital!AD7</f>
        <v>56037.045494000005</v>
      </c>
      <c r="AF165" s="5">
        <f>[1]Capital!AE5+[1]Capital!AE7</f>
        <v>56079.289897999995</v>
      </c>
      <c r="AG165" s="5">
        <f>[1]Capital!AF5+[1]Capital!AF7</f>
        <v>56115.946122000001</v>
      </c>
      <c r="AH165" s="5">
        <f>[1]Capital!AG5+[1]Capital!AG7</f>
        <v>56148.145138999993</v>
      </c>
      <c r="AI165" s="5">
        <f>[1]Capital!AH5+[1]Capital!AH7</f>
        <v>56176.741629999997</v>
      </c>
      <c r="AJ165" s="5">
        <f>[1]Capital!AI5+[1]Capital!AI7</f>
        <v>56202.329294000003</v>
      </c>
      <c r="AK165" s="5">
        <f>[1]Capital!AJ5+[1]Capital!AJ7</f>
        <v>56225.289355999994</v>
      </c>
      <c r="AL165" s="5">
        <f>[1]Capital!AK5+[1]Capital!AK7</f>
        <v>56245.855108999996</v>
      </c>
      <c r="AM165" s="5">
        <f>[1]Capital!AL5+[1]Capital!AL7</f>
        <v>56262.740007</v>
      </c>
      <c r="AN165" s="5">
        <f>[1]Capital!AM5+[1]Capital!AM7</f>
        <v>56275.184960999999</v>
      </c>
      <c r="AO165" s="5">
        <f>[1]Capital!AN5+[1]Capital!AN7</f>
        <v>56282.978422</v>
      </c>
      <c r="AP165" s="5">
        <f>[1]Capital!AO5+[1]Capital!AO7</f>
        <v>56286.351862000003</v>
      </c>
      <c r="AQ165" s="5">
        <f>[1]Capital!AP5+[1]Capital!AP7</f>
        <v>56285.833189000004</v>
      </c>
      <c r="AR165" s="5">
        <f>[1]Capital!AQ5+[1]Capital!AQ7</f>
        <v>56282.110773</v>
      </c>
      <c r="AS165" s="5">
        <f>[1]Capital!AR5+[1]Capital!AR7</f>
        <v>56275.922716000001</v>
      </c>
      <c r="AT165" s="5">
        <f>[1]Capital!AS5+[1]Capital!AS7</f>
        <v>56267.976107000002</v>
      </c>
      <c r="AU165" s="5">
        <f>[1]Capital!AT5+[1]Capital!AT7</f>
        <v>56258.896435000002</v>
      </c>
      <c r="AV165" s="5">
        <f>[1]Capital!AU5+[1]Capital!AU7</f>
        <v>56249.203492000001</v>
      </c>
      <c r="AW165" s="5">
        <f>[1]Capital!AV5+[1]Capital!AV7</f>
        <v>56239.420900999998</v>
      </c>
      <c r="AX165" s="5">
        <f>[1]Capital!AW5+[1]Capital!AW7</f>
        <v>56229.932732000001</v>
      </c>
      <c r="AY165" s="5">
        <f>[1]Capital!AX5+[1]Capital!AX7</f>
        <v>56221.004070999996</v>
      </c>
      <c r="AZ165" s="5">
        <f>[1]Capital!AY5+[1]Capital!AY7</f>
        <v>56212.813345000002</v>
      </c>
      <c r="BA165" s="5">
        <f>[1]Capital!AZ5+[1]Capital!AZ7</f>
        <v>56205.485619999999</v>
      </c>
      <c r="BB165" s="5">
        <f>[1]Capital!BA5+[1]Capital!BA7</f>
        <v>105778.84574</v>
      </c>
      <c r="BC165" s="5">
        <f>[1]Capital!BB5+[1]Capital!BB7</f>
        <v>107630.562708</v>
      </c>
      <c r="BD165" s="5">
        <f>[1]Capital!BC5+[1]Capital!BC7</f>
        <v>109510.90927799999</v>
      </c>
      <c r="BE165" s="5">
        <f>[1]Capital!BD5+[1]Capital!BD7</f>
        <v>111420.20065100001</v>
      </c>
      <c r="BF165" s="5">
        <f>[1]Capital!BE5+[1]Capital!BE7</f>
        <v>113358.79536300001</v>
      </c>
    </row>
    <row r="166" spans="1:58" x14ac:dyDescent="0.35">
      <c r="B166" t="s">
        <v>30</v>
      </c>
      <c r="C166" s="5">
        <f>[1]Capital!B9+[1]Capital!B11+[1]Capital!B13+[1]Capital!B15+[1]Capital!B17+[1]Capital!B19+[1]Capital!B21+[1]Capital!B23+[1]Capital!B25+[1]Capital!B27+[1]Capital!B41</f>
        <v>2595780.8698550002</v>
      </c>
      <c r="D166" s="5">
        <f>[1]Capital!C9+[1]Capital!C11+[1]Capital!C13+[1]Capital!C15+[1]Capital!C17+[1]Capital!C19+[1]Capital!C21+[1]Capital!C23+[1]Capital!C25+[1]Capital!C27+[1]Capital!C41</f>
        <v>2626428.6582909999</v>
      </c>
      <c r="E166" s="5">
        <f>[1]Capital!D9+[1]Capital!D11+[1]Capital!D13+[1]Capital!D15+[1]Capital!D17+[1]Capital!D19+[1]Capital!D21+[1]Capital!D23+[1]Capital!D25+[1]Capital!D27+[1]Capital!D41</f>
        <v>2658063.3481319998</v>
      </c>
      <c r="F166" s="5">
        <f>[1]Capital!E9+[1]Capital!E11+[1]Capital!E13+[1]Capital!E15+[1]Capital!E17+[1]Capital!E19+[1]Capital!E21+[1]Capital!E23+[1]Capital!E25+[1]Capital!E27+[1]Capital!E41</f>
        <v>2690767.0204319996</v>
      </c>
      <c r="G166" s="5">
        <f>[1]Capital!F9+[1]Capital!F11+[1]Capital!F13+[1]Capital!F15+[1]Capital!F17+[1]Capital!F19+[1]Capital!F21+[1]Capital!F23+[1]Capital!F25+[1]Capital!F27+[1]Capital!F41</f>
        <v>2724552.9181889999</v>
      </c>
      <c r="H166" s="5">
        <f>[1]Capital!G9+[1]Capital!G11+[1]Capital!G13+[1]Capital!G15+[1]Capital!G17+[1]Capital!G19+[1]Capital!G21+[1]Capital!G23+[1]Capital!G25+[1]Capital!G27+[1]Capital!G41</f>
        <v>2759409.4628460002</v>
      </c>
      <c r="I166" s="5">
        <f>[1]Capital!H9+[1]Capital!H11+[1]Capital!H13+[1]Capital!H15+[1]Capital!H17+[1]Capital!H19+[1]Capital!H21+[1]Capital!H23+[1]Capital!H25+[1]Capital!H27+[1]Capital!H41</f>
        <v>2795230.3204069999</v>
      </c>
      <c r="J166" s="5">
        <f>[1]Capital!I9+[1]Capital!I11+[1]Capital!I13+[1]Capital!I15+[1]Capital!I17+[1]Capital!I19+[1]Capital!I21+[1]Capital!I23+[1]Capital!I25+[1]Capital!I27+[1]Capital!I41</f>
        <v>2831954.5496410001</v>
      </c>
      <c r="K166" s="5">
        <f>[1]Capital!J9+[1]Capital!J11+[1]Capital!J13+[1]Capital!J15+[1]Capital!J17+[1]Capital!J19+[1]Capital!J21+[1]Capital!J23+[1]Capital!J25+[1]Capital!J27+[1]Capital!J41</f>
        <v>2869555.8007199997</v>
      </c>
      <c r="L166" s="5">
        <f>[1]Capital!K9+[1]Capital!K11+[1]Capital!K13+[1]Capital!K15+[1]Capital!K17+[1]Capital!K19+[1]Capital!K21+[1]Capital!K23+[1]Capital!K25+[1]Capital!K27+[1]Capital!K41</f>
        <v>2908034.9807600002</v>
      </c>
      <c r="M166" s="5">
        <f>[1]Capital!L9+[1]Capital!L11+[1]Capital!L13+[1]Capital!L15+[1]Capital!L17+[1]Capital!L19+[1]Capital!L21+[1]Capital!L23+[1]Capital!L25+[1]Capital!L27+[1]Capital!L41</f>
        <v>2947577.6900570001</v>
      </c>
      <c r="N166" s="5">
        <f>[1]Capital!M9+[1]Capital!M11+[1]Capital!M13+[1]Capital!M15+[1]Capital!M17+[1]Capital!M19+[1]Capital!M21+[1]Capital!M23+[1]Capital!M25+[1]Capital!M27+[1]Capital!M41</f>
        <v>2988159.873722</v>
      </c>
      <c r="O166" s="5">
        <f>[1]Capital!N9+[1]Capital!N11+[1]Capital!N13+[1]Capital!N15+[1]Capital!N17+[1]Capital!N19+[1]Capital!N21+[1]Capital!N23+[1]Capital!N25+[1]Capital!N27+[1]Capital!N41</f>
        <v>3029791.209607</v>
      </c>
      <c r="P166" s="5">
        <f>[1]Capital!O9+[1]Capital!O11+[1]Capital!O13+[1]Capital!O15+[1]Capital!O17+[1]Capital!O19+[1]Capital!O21+[1]Capital!O23+[1]Capital!O25+[1]Capital!O27+[1]Capital!O41</f>
        <v>3072498.7381429998</v>
      </c>
      <c r="Q166" s="5">
        <f>[1]Capital!P9+[1]Capital!P11+[1]Capital!P13+[1]Capital!P15+[1]Capital!P17+[1]Capital!P19+[1]Capital!P21+[1]Capital!P23+[1]Capital!P25+[1]Capital!P27+[1]Capital!P41</f>
        <v>3116319.901662</v>
      </c>
      <c r="R166" s="5">
        <f>[1]Capital!Q9+[1]Capital!Q11+[1]Capital!Q13+[1]Capital!Q15+[1]Capital!Q17+[1]Capital!Q19+[1]Capital!Q21+[1]Capital!Q23+[1]Capital!Q25+[1]Capital!Q27+[1]Capital!Q41</f>
        <v>3161298.1788650001</v>
      </c>
      <c r="S166" s="5">
        <f>[1]Capital!R9+[1]Capital!R11+[1]Capital!R13+[1]Capital!R15+[1]Capital!R17+[1]Capital!R19+[1]Capital!R21+[1]Capital!R23+[1]Capital!R25+[1]Capital!R27+[1]Capital!R41</f>
        <v>3207479.905973</v>
      </c>
      <c r="T166" s="5">
        <f>[1]Capital!S9+[1]Capital!S11+[1]Capital!S13+[1]Capital!S15+[1]Capital!S17+[1]Capital!S19+[1]Capital!S21+[1]Capital!S23+[1]Capital!S25+[1]Capital!S27+[1]Capital!S41</f>
        <v>3254911.5075249998</v>
      </c>
      <c r="U166" s="5">
        <f>[1]Capital!T9+[1]Capital!T11+[1]Capital!T13+[1]Capital!T15+[1]Capital!T17+[1]Capital!T19+[1]Capital!T21+[1]Capital!T23+[1]Capital!T25+[1]Capital!T27+[1]Capital!T41</f>
        <v>3303637.0436339998</v>
      </c>
      <c r="V166" s="5">
        <f>[1]Capital!U9+[1]Capital!U11+[1]Capital!U13+[1]Capital!U15+[1]Capital!U17+[1]Capital!U19+[1]Capital!U21+[1]Capital!U23+[1]Capital!U25+[1]Capital!U27+[1]Capital!U41</f>
        <v>3353696.1640129993</v>
      </c>
      <c r="W166" s="5">
        <f>[1]Capital!V9+[1]Capital!V11+[1]Capital!V13+[1]Capital!V15+[1]Capital!V17+[1]Capital!V19+[1]Capital!V21+[1]Capital!V23+[1]Capital!V25+[1]Capital!V27+[1]Capital!V41</f>
        <v>3405002.1931130001</v>
      </c>
      <c r="X166" s="5">
        <f>[1]Capital!W9+[1]Capital!W11+[1]Capital!W13+[1]Capital!W15+[1]Capital!W17+[1]Capital!W19+[1]Capital!W21+[1]Capital!W23+[1]Capital!W25+[1]Capital!W27+[1]Capital!W41</f>
        <v>3457624.347383</v>
      </c>
      <c r="Y166" s="5">
        <f>[1]Capital!X9+[1]Capital!X11+[1]Capital!X13+[1]Capital!X15+[1]Capital!X17+[1]Capital!X19+[1]Capital!X21+[1]Capital!X23+[1]Capital!X25+[1]Capital!X27+[1]Capital!X41</f>
        <v>3511608.2770350003</v>
      </c>
      <c r="Z166" s="5">
        <f>[1]Capital!Y9+[1]Capital!Y11+[1]Capital!Y13+[1]Capital!Y15+[1]Capital!Y17+[1]Capital!Y19+[1]Capital!Y21+[1]Capital!Y23+[1]Capital!Y25+[1]Capital!Y27+[1]Capital!Y41</f>
        <v>3566984.4577449998</v>
      </c>
      <c r="AA166" s="5">
        <f>[1]Capital!Z9+[1]Capital!Z11+[1]Capital!Z13+[1]Capital!Z15+[1]Capital!Z17+[1]Capital!Z19+[1]Capital!Z21+[1]Capital!Z23+[1]Capital!Z25+[1]Capital!Z27+[1]Capital!Z41</f>
        <v>3623770.8752719993</v>
      </c>
      <c r="AB166" s="5">
        <f>[1]Capital!AA9+[1]Capital!AA11+[1]Capital!AA13+[1]Capital!AA15+[1]Capital!AA17+[1]Capital!AA19+[1]Capital!AA21+[1]Capital!AA23+[1]Capital!AA25+[1]Capital!AA27+[1]Capital!AA41</f>
        <v>3681626.4418450003</v>
      </c>
      <c r="AC166" s="5">
        <f>[1]Capital!AB9+[1]Capital!AB11+[1]Capital!AB13+[1]Capital!AB15+[1]Capital!AB17+[1]Capital!AB19+[1]Capital!AB21+[1]Capital!AB23+[1]Capital!AB25+[1]Capital!AB27+[1]Capital!AB41</f>
        <v>3740502.9046459999</v>
      </c>
      <c r="AD166" s="5">
        <f>[1]Capital!AC9+[1]Capital!AC11+[1]Capital!AC13+[1]Capital!AC15+[1]Capital!AC17+[1]Capital!AC19+[1]Capital!AC21+[1]Capital!AC23+[1]Capital!AC25+[1]Capital!AC27+[1]Capital!AC41</f>
        <v>3800352.8421220002</v>
      </c>
      <c r="AE166" s="5">
        <f>[1]Capital!AD9+[1]Capital!AD11+[1]Capital!AD13+[1]Capital!AD15+[1]Capital!AD17+[1]Capital!AD19+[1]Capital!AD21+[1]Capital!AD23+[1]Capital!AD25+[1]Capital!AD27+[1]Capital!AD41</f>
        <v>3861134.0078689996</v>
      </c>
      <c r="AF166" s="5">
        <f>[1]Capital!AE9+[1]Capital!AE11+[1]Capital!AE13+[1]Capital!AE15+[1]Capital!AE17+[1]Capital!AE19+[1]Capital!AE21+[1]Capital!AE23+[1]Capital!AE25+[1]Capital!AE27+[1]Capital!AE41</f>
        <v>3922807.6101220003</v>
      </c>
      <c r="AG166" s="5">
        <f>[1]Capital!AF9+[1]Capital!AF11+[1]Capital!AF13+[1]Capital!AF15+[1]Capital!AF17+[1]Capital!AF19+[1]Capital!AF21+[1]Capital!AF23+[1]Capital!AF25+[1]Capital!AF27+[1]Capital!AF41</f>
        <v>3985335.4071229999</v>
      </c>
      <c r="AH166" s="5">
        <f>[1]Capital!AG9+[1]Capital!AG11+[1]Capital!AG13+[1]Capital!AG15+[1]Capital!AG17+[1]Capital!AG19+[1]Capital!AG21+[1]Capital!AG23+[1]Capital!AG25+[1]Capital!AG27+[1]Capital!AG41</f>
        <v>4048676.695169</v>
      </c>
      <c r="AI166" s="5">
        <f>[1]Capital!AH9+[1]Capital!AH11+[1]Capital!AH13+[1]Capital!AH15+[1]Capital!AH17+[1]Capital!AH19+[1]Capital!AH21+[1]Capital!AH23+[1]Capital!AH25+[1]Capital!AH27+[1]Capital!AH41</f>
        <v>4112786.240642</v>
      </c>
      <c r="AJ166" s="5">
        <f>[1]Capital!AI9+[1]Capital!AI11+[1]Capital!AI13+[1]Capital!AI15+[1]Capital!AI17+[1]Capital!AI19+[1]Capital!AI21+[1]Capital!AI23+[1]Capital!AI25+[1]Capital!AI27+[1]Capital!AI41</f>
        <v>4177613.5293760002</v>
      </c>
      <c r="AK166" s="5">
        <f>[1]Capital!AJ9+[1]Capital!AJ11+[1]Capital!AJ13+[1]Capital!AJ15+[1]Capital!AJ17+[1]Capital!AJ19+[1]Capital!AJ21+[1]Capital!AJ23+[1]Capital!AJ25+[1]Capital!AJ27+[1]Capital!AJ41</f>
        <v>4243103.2087300001</v>
      </c>
      <c r="AL166" s="5">
        <f>[1]Capital!AK9+[1]Capital!AK11+[1]Capital!AK13+[1]Capital!AK15+[1]Capital!AK17+[1]Capital!AK19+[1]Capital!AK21+[1]Capital!AK23+[1]Capital!AK25+[1]Capital!AK27+[1]Capital!AK41</f>
        <v>4309196.3637429997</v>
      </c>
      <c r="AM166" s="5">
        <f>[1]Capital!AL9+[1]Capital!AL11+[1]Capital!AL13+[1]Capital!AL15+[1]Capital!AL17+[1]Capital!AL19+[1]Capital!AL21+[1]Capital!AL23+[1]Capital!AL25+[1]Capital!AL27+[1]Capital!AL41</f>
        <v>4375747.9749039998</v>
      </c>
      <c r="AN166" s="5">
        <f>[1]Capital!AM9+[1]Capital!AM11+[1]Capital!AM13+[1]Capital!AM15+[1]Capital!AM17+[1]Capital!AM19+[1]Capital!AM21+[1]Capital!AM23+[1]Capital!AM25+[1]Capital!AM27+[1]Capital!AM41</f>
        <v>4442640.2555339998</v>
      </c>
      <c r="AO166" s="5">
        <f>[1]Capital!AN9+[1]Capital!AN11+[1]Capital!AN13+[1]Capital!AN15+[1]Capital!AN17+[1]Capital!AN19+[1]Capital!AN21+[1]Capital!AN23+[1]Capital!AN25+[1]Capital!AN27+[1]Capital!AN41</f>
        <v>4509774.1072709998</v>
      </c>
      <c r="AP166" s="5">
        <f>[1]Capital!AO9+[1]Capital!AO11+[1]Capital!AO13+[1]Capital!AO15+[1]Capital!AO17+[1]Capital!AO19+[1]Capital!AO21+[1]Capital!AO23+[1]Capital!AO25+[1]Capital!AO27+[1]Capital!AO41</f>
        <v>4577065.6243540002</v>
      </c>
      <c r="AQ166" s="5">
        <f>[1]Capital!AP9+[1]Capital!AP11+[1]Capital!AP13+[1]Capital!AP15+[1]Capital!AP17+[1]Capital!AP19+[1]Capital!AP21+[1]Capital!AP23+[1]Capital!AP25+[1]Capital!AP27+[1]Capital!AP41</f>
        <v>4644443.6520599993</v>
      </c>
      <c r="AR166" s="5">
        <f>[1]Capital!AQ9+[1]Capital!AQ11+[1]Capital!AQ13+[1]Capital!AQ15+[1]Capital!AQ17+[1]Capital!AQ19+[1]Capital!AQ21+[1]Capital!AQ23+[1]Capital!AQ25+[1]Capital!AQ27+[1]Capital!AQ41</f>
        <v>4711847.5181919998</v>
      </c>
      <c r="AS166" s="5">
        <f>[1]Capital!AR9+[1]Capital!AR11+[1]Capital!AR13+[1]Capital!AR15+[1]Capital!AR17+[1]Capital!AR19+[1]Capital!AR21+[1]Capital!AR23+[1]Capital!AR25+[1]Capital!AR27+[1]Capital!AR41</f>
        <v>4779224.7554500001</v>
      </c>
      <c r="AT166" s="5">
        <f>[1]Capital!AS9+[1]Capital!AS11+[1]Capital!AS13+[1]Capital!AS15+[1]Capital!AS17+[1]Capital!AS19+[1]Capital!AS21+[1]Capital!AS23+[1]Capital!AS25+[1]Capital!AS27+[1]Capital!AS41</f>
        <v>4846529.0577769997</v>
      </c>
      <c r="AU166" s="5">
        <f>[1]Capital!AT9+[1]Capital!AT11+[1]Capital!AT13+[1]Capital!AT15+[1]Capital!AT17+[1]Capital!AT19+[1]Capital!AT21+[1]Capital!AT23+[1]Capital!AT25+[1]Capital!AT27+[1]Capital!AT41</f>
        <v>4913718.7177020004</v>
      </c>
      <c r="AV166" s="5">
        <f>[1]Capital!AU9+[1]Capital!AU11+[1]Capital!AU13+[1]Capital!AU15+[1]Capital!AU17+[1]Capital!AU19+[1]Capital!AU21+[1]Capital!AU23+[1]Capital!AU25+[1]Capital!AU27+[1]Capital!AU41</f>
        <v>4980755.6802670006</v>
      </c>
      <c r="AW166" s="5">
        <f>[1]Capital!AV9+[1]Capital!AV11+[1]Capital!AV13+[1]Capital!AV15+[1]Capital!AV17+[1]Capital!AV19+[1]Capital!AV21+[1]Capital!AV23+[1]Capital!AV25+[1]Capital!AV27+[1]Capital!AV41</f>
        <v>5047612.7059440007</v>
      </c>
      <c r="AX166" s="5">
        <f>[1]Capital!AW9+[1]Capital!AW11+[1]Capital!AW13+[1]Capital!AW15+[1]Capital!AW17+[1]Capital!AW19+[1]Capital!AW21+[1]Capital!AW23+[1]Capital!AW25+[1]Capital!AW27+[1]Capital!AW41</f>
        <v>5114263.5143419998</v>
      </c>
      <c r="AY166" s="5">
        <f>[1]Capital!AX9+[1]Capital!AX11+[1]Capital!AX13+[1]Capital!AX15+[1]Capital!AX17+[1]Capital!AX19+[1]Capital!AX21+[1]Capital!AX23+[1]Capital!AX25+[1]Capital!AX27+[1]Capital!AX41</f>
        <v>5180684.0655999994</v>
      </c>
      <c r="AZ166" s="5">
        <f>[1]Capital!AY9+[1]Capital!AY11+[1]Capital!AY13+[1]Capital!AY15+[1]Capital!AY17+[1]Capital!AY19+[1]Capital!AY21+[1]Capital!AY23+[1]Capital!AY25+[1]Capital!AY27+[1]Capital!AY41</f>
        <v>5246853.5047599999</v>
      </c>
      <c r="BA166" s="5">
        <f>[1]Capital!AZ9+[1]Capital!AZ11+[1]Capital!AZ13+[1]Capital!AZ15+[1]Capital!AZ17+[1]Capital!AZ19+[1]Capital!AZ21+[1]Capital!AZ23+[1]Capital!AZ25+[1]Capital!AZ27+[1]Capital!AZ41</f>
        <v>5312754.9572000001</v>
      </c>
      <c r="BB166" s="5">
        <f>[1]Capital!BA9+[1]Capital!BA11+[1]Capital!BA13+[1]Capital!BA15+[1]Capital!BA17+[1]Capital!BA19+[1]Capital!BA21+[1]Capital!BA23+[1]Capital!BA25+[1]Capital!BA27+[1]Capital!BA41</f>
        <v>6246370.856639999</v>
      </c>
      <c r="BC166" s="5">
        <f>[1]Capital!BB9+[1]Capital!BB11+[1]Capital!BB13+[1]Capital!BB15+[1]Capital!BB17+[1]Capital!BB19+[1]Capital!BB21+[1]Capital!BB23+[1]Capital!BB25+[1]Capital!BB27+[1]Capital!BB41</f>
        <v>6372193.4947399991</v>
      </c>
      <c r="BD166" s="5">
        <f>[1]Capital!BC9+[1]Capital!BC11+[1]Capital!BC13+[1]Capital!BC15+[1]Capital!BC17+[1]Capital!BC19+[1]Capital!BC21+[1]Capital!BC23+[1]Capital!BC25+[1]Capital!BC27+[1]Capital!BC41</f>
        <v>6499612.5427000001</v>
      </c>
      <c r="BE166" s="5">
        <f>[1]Capital!BD9+[1]Capital!BD11+[1]Capital!BD13+[1]Capital!BD15+[1]Capital!BD17+[1]Capital!BD19+[1]Capital!BD21+[1]Capital!BD23+[1]Capital!BD25+[1]Capital!BD27+[1]Capital!BD41</f>
        <v>6628559.49125</v>
      </c>
      <c r="BF166" s="5">
        <f>[1]Capital!BE9+[1]Capital!BE11+[1]Capital!BE13+[1]Capital!BE15+[1]Capital!BE17+[1]Capital!BE19+[1]Capital!BE21+[1]Capital!BE23+[1]Capital!BE25+[1]Capital!BE27+[1]Capital!BE41</f>
        <v>6758966.3143799994</v>
      </c>
    </row>
    <row r="167" spans="1:58" x14ac:dyDescent="0.35">
      <c r="B167" t="s">
        <v>9</v>
      </c>
      <c r="C167" s="5">
        <f>[1]Capital!B29+[1]Capital!B31+[1]Capital!B33+[1]Capital!B35</f>
        <v>88562.924608000001</v>
      </c>
      <c r="D167" s="5">
        <f>[1]Capital!C29+[1]Capital!C31+[1]Capital!C33+[1]Capital!C35</f>
        <v>89608.010532999993</v>
      </c>
      <c r="E167" s="5">
        <f>[1]Capital!D29+[1]Capital!D31+[1]Capital!D33+[1]Capital!D35</f>
        <v>90680.84461700001</v>
      </c>
      <c r="F167" s="5">
        <f>[1]Capital!E29+[1]Capital!E31+[1]Capital!E33+[1]Capital!E35</f>
        <v>91783.462014999997</v>
      </c>
      <c r="G167" s="5">
        <f>[1]Capital!F29+[1]Capital!F31+[1]Capital!F33+[1]Capital!F35</f>
        <v>92916.527659999992</v>
      </c>
      <c r="H167" s="5">
        <f>[1]Capital!G29+[1]Capital!G31+[1]Capital!G33+[1]Capital!G35</f>
        <v>94079.897595999995</v>
      </c>
      <c r="I167" s="5">
        <f>[1]Capital!H29+[1]Capital!H31+[1]Capital!H33+[1]Capital!H35</f>
        <v>95268.397663999989</v>
      </c>
      <c r="J167" s="5">
        <f>[1]Capital!I29+[1]Capital!I31+[1]Capital!I33+[1]Capital!I35</f>
        <v>96479.272750999997</v>
      </c>
      <c r="K167" s="5">
        <f>[1]Capital!J29+[1]Capital!J31+[1]Capital!J33+[1]Capital!J35</f>
        <v>97710.705352999998</v>
      </c>
      <c r="L167" s="5">
        <f>[1]Capital!K29+[1]Capital!K31+[1]Capital!K33+[1]Capital!K35</f>
        <v>98961.366043999995</v>
      </c>
      <c r="M167" s="5">
        <f>[1]Capital!L29+[1]Capital!L31+[1]Capital!L33+[1]Capital!L35</f>
        <v>100238.08511999999</v>
      </c>
      <c r="N167" s="5">
        <f>[1]Capital!M29+[1]Capital!M31+[1]Capital!M33+[1]Capital!M35</f>
        <v>101535.359924</v>
      </c>
      <c r="O167" s="5">
        <f>[1]Capital!N29+[1]Capital!N31+[1]Capital!N33+[1]Capital!N35</f>
        <v>102850.73552700001</v>
      </c>
      <c r="P167" s="5">
        <f>[1]Capital!O29+[1]Capital!O31+[1]Capital!O33+[1]Capital!O35</f>
        <v>104182.921543</v>
      </c>
      <c r="Q167" s="5">
        <f>[1]Capital!P29+[1]Capital!P31+[1]Capital!P33+[1]Capital!P35</f>
        <v>105531.213172</v>
      </c>
      <c r="R167" s="5">
        <f>[1]Capital!Q29+[1]Capital!Q31+[1]Capital!Q33+[1]Capital!Q35</f>
        <v>106895.280319</v>
      </c>
      <c r="S167" s="5">
        <f>[1]Capital!R29+[1]Capital!R31+[1]Capital!R33+[1]Capital!R35</f>
        <v>108275.076629</v>
      </c>
      <c r="T167" s="5">
        <f>[1]Capital!S29+[1]Capital!S31+[1]Capital!S33+[1]Capital!S35</f>
        <v>109670.778947</v>
      </c>
      <c r="U167" s="5">
        <f>[1]Capital!T29+[1]Capital!T31+[1]Capital!T33+[1]Capital!T35</f>
        <v>111082.73490000001</v>
      </c>
      <c r="V167" s="5">
        <f>[1]Capital!U29+[1]Capital!U31+[1]Capital!U33+[1]Capital!U35</f>
        <v>112511.41617399998</v>
      </c>
      <c r="W167" s="5">
        <f>[1]Capital!V29+[1]Capital!V31+[1]Capital!V33+[1]Capital!V35</f>
        <v>113951.70736299999</v>
      </c>
      <c r="X167" s="5">
        <f>[1]Capital!W29+[1]Capital!W31+[1]Capital!W33+[1]Capital!W35</f>
        <v>115407.610858</v>
      </c>
      <c r="Y167" s="5">
        <f>[1]Capital!X29+[1]Capital!X31+[1]Capital!X33+[1]Capital!X35</f>
        <v>116881.157997</v>
      </c>
      <c r="Z167" s="5">
        <f>[1]Capital!Y29+[1]Capital!Y31+[1]Capital!Y33+[1]Capital!Y35</f>
        <v>118373.69426400002</v>
      </c>
      <c r="AA167" s="5">
        <f>[1]Capital!Z29+[1]Capital!Z31+[1]Capital!Z33+[1]Capital!Z35</f>
        <v>119886.263916</v>
      </c>
      <c r="AB167" s="5">
        <f>[1]Capital!AA29+[1]Capital!AA31+[1]Capital!AA33+[1]Capital!AA35</f>
        <v>121403.510169</v>
      </c>
      <c r="AC167" s="5">
        <f>[1]Capital!AB29+[1]Capital!AB31+[1]Capital!AB33+[1]Capital!AB35</f>
        <v>122928.116081</v>
      </c>
      <c r="AD167" s="5">
        <f>[1]Capital!AC29+[1]Capital!AC31+[1]Capital!AC33+[1]Capital!AC35</f>
        <v>124461.45700600001</v>
      </c>
      <c r="AE167" s="5">
        <f>[1]Capital!AD29+[1]Capital!AD31+[1]Capital!AD33+[1]Capital!AD35</f>
        <v>126004.673777</v>
      </c>
      <c r="AF167" s="5">
        <f>[1]Capital!AE29+[1]Capital!AE31+[1]Capital!AE33+[1]Capital!AE35</f>
        <v>127558.908465</v>
      </c>
      <c r="AG167" s="5">
        <f>[1]Capital!AF29+[1]Capital!AF31+[1]Capital!AF33+[1]Capital!AF35</f>
        <v>129125.30353600001</v>
      </c>
      <c r="AH167" s="5">
        <f>[1]Capital!AG29+[1]Capital!AG31+[1]Capital!AG33+[1]Capital!AG35</f>
        <v>130704.93453100001</v>
      </c>
      <c r="AI167" s="5">
        <f>[1]Capital!AH29+[1]Capital!AH31+[1]Capital!AH33+[1]Capital!AH35</f>
        <v>132298.75146699999</v>
      </c>
      <c r="AJ167" s="5">
        <f>[1]Capital!AI29+[1]Capital!AI31+[1]Capital!AI33+[1]Capital!AI35</f>
        <v>133907.550369</v>
      </c>
      <c r="AK167" s="5">
        <f>[1]Capital!AJ29+[1]Capital!AJ31+[1]Capital!AJ33+[1]Capital!AJ35</f>
        <v>135531.97242400001</v>
      </c>
      <c r="AL167" s="5">
        <f>[1]Capital!AK29+[1]Capital!AK31+[1]Capital!AK33+[1]Capital!AK35</f>
        <v>137172.52165900002</v>
      </c>
      <c r="AM167" s="5">
        <f>[1]Capital!AL29+[1]Capital!AL31+[1]Capital!AL33+[1]Capital!AL35</f>
        <v>138825.73713300002</v>
      </c>
      <c r="AN167" s="5">
        <f>[1]Capital!AM29+[1]Capital!AM31+[1]Capital!AM33+[1]Capital!AM35</f>
        <v>140490.30963499998</v>
      </c>
      <c r="AO167" s="5">
        <f>[1]Capital!AN29+[1]Capital!AN31+[1]Capital!AN33+[1]Capital!AN35</f>
        <v>142165.796069</v>
      </c>
      <c r="AP167" s="5">
        <f>[1]Capital!AO29+[1]Capital!AO31+[1]Capital!AO33+[1]Capital!AO35</f>
        <v>143852.18001299998</v>
      </c>
      <c r="AQ167" s="5">
        <f>[1]Capital!AP29+[1]Capital!AP31+[1]Capital!AP33+[1]Capital!AP35</f>
        <v>145549.69230699999</v>
      </c>
      <c r="AR167" s="5">
        <f>[1]Capital!AQ29+[1]Capital!AQ31+[1]Capital!AQ33+[1]Capital!AQ35</f>
        <v>147258.71273799997</v>
      </c>
      <c r="AS167" s="5">
        <f>[1]Capital!AR29+[1]Capital!AR31+[1]Capital!AR33+[1]Capital!AR35</f>
        <v>148979.69812300001</v>
      </c>
      <c r="AT167" s="5">
        <f>[1]Capital!AS29+[1]Capital!AS31+[1]Capital!AS33+[1]Capital!AS35</f>
        <v>150713.12685299999</v>
      </c>
      <c r="AU167" s="5">
        <f>[1]Capital!AT29+[1]Capital!AT31+[1]Capital!AT33+[1]Capital!AT35</f>
        <v>152459.45997200001</v>
      </c>
      <c r="AV167" s="5">
        <f>[1]Capital!AU29+[1]Capital!AU31+[1]Capital!AU33+[1]Capital!AU35</f>
        <v>154219.118705</v>
      </c>
      <c r="AW167" s="5">
        <f>[1]Capital!AV29+[1]Capital!AV31+[1]Capital!AV33+[1]Capital!AV35</f>
        <v>155992.81836</v>
      </c>
      <c r="AX167" s="5">
        <f>[1]Capital!AW29+[1]Capital!AW31+[1]Capital!AW33+[1]Capital!AW35</f>
        <v>157781.029209</v>
      </c>
      <c r="AY167" s="5">
        <f>[1]Capital!AX29+[1]Capital!AX31+[1]Capital!AX33+[1]Capital!AX35</f>
        <v>159584.099201</v>
      </c>
      <c r="AZ167" s="5">
        <f>[1]Capital!AY29+[1]Capital!AY31+[1]Capital!AY33+[1]Capital!AY35</f>
        <v>161402.30405000001</v>
      </c>
      <c r="BA167" s="5">
        <f>[1]Capital!AZ29+[1]Capital!AZ31+[1]Capital!AZ33+[1]Capital!AZ35</f>
        <v>163235.873311</v>
      </c>
      <c r="BB167" s="5">
        <f>[1]Capital!BA29+[1]Capital!BA31+[1]Capital!BA33+[1]Capital!BA35</f>
        <v>190473.653915</v>
      </c>
      <c r="BC167" s="5">
        <f>[1]Capital!BB29+[1]Capital!BB31+[1]Capital!BB33+[1]Capital!BB35</f>
        <v>193819.84670199998</v>
      </c>
      <c r="BD167" s="5">
        <f>[1]Capital!BC29+[1]Capital!BC31+[1]Capital!BC33+[1]Capital!BC35</f>
        <v>197228.11242799999</v>
      </c>
      <c r="BE167" s="5">
        <f>[1]Capital!BD29+[1]Capital!BD31+[1]Capital!BD33+[1]Capital!BD35</f>
        <v>200699.30374500001</v>
      </c>
      <c r="BF167" s="5">
        <f>[1]Capital!BE29+[1]Capital!BE31+[1]Capital!BE33+[1]Capital!BE35</f>
        <v>204234.30295299998</v>
      </c>
    </row>
    <row r="168" spans="1:58" x14ac:dyDescent="0.35">
      <c r="B168" t="s">
        <v>10</v>
      </c>
      <c r="C168" s="5">
        <f>[1]Capital!B37+[1]Capital!B39</f>
        <v>2425858.1499000001</v>
      </c>
      <c r="D168" s="5">
        <f>[1]Capital!C37+[1]Capital!C39</f>
        <v>2454378.554</v>
      </c>
      <c r="E168" s="5">
        <f>[1]Capital!D37+[1]Capital!D39</f>
        <v>2483624.5452000001</v>
      </c>
      <c r="F168" s="5">
        <f>[1]Capital!E37+[1]Capital!E39</f>
        <v>2513718.7486999999</v>
      </c>
      <c r="G168" s="5">
        <f>[1]Capital!F37+[1]Capital!F39</f>
        <v>2544754.4496999998</v>
      </c>
      <c r="H168" s="5">
        <f>[1]Capital!G37+[1]Capital!G39</f>
        <v>2576804.2516999999</v>
      </c>
      <c r="I168" s="5">
        <f>[1]Capital!H37+[1]Capital!H39</f>
        <v>2609818.3755000001</v>
      </c>
      <c r="J168" s="5">
        <f>[1]Capital!I37+[1]Capital!I39</f>
        <v>2643789.2604</v>
      </c>
      <c r="K168" s="5">
        <f>[1]Capital!J37+[1]Capital!J39</f>
        <v>2678725.8640000001</v>
      </c>
      <c r="L168" s="5">
        <f>[1]Capital!K37+[1]Capital!K39</f>
        <v>2714645.7278</v>
      </c>
      <c r="M168" s="5">
        <f>[1]Capital!L37+[1]Capital!L39</f>
        <v>2751759.1098000002</v>
      </c>
      <c r="N168" s="5">
        <f>[1]Capital!M37+[1]Capital!M39</f>
        <v>2789998.9873000002</v>
      </c>
      <c r="O168" s="5">
        <f>[1]Capital!N37+[1]Capital!N39</f>
        <v>2829344.9112</v>
      </c>
      <c r="P168" s="5">
        <f>[1]Capital!O37+[1]Capital!O39</f>
        <v>2869788.6995999999</v>
      </c>
      <c r="Q168" s="5">
        <f>[1]Capital!P37+[1]Capital!P39</f>
        <v>2911326.0104</v>
      </c>
      <c r="R168" s="5">
        <f>[1]Capital!Q37+[1]Capital!Q39</f>
        <v>2953953.1870999997</v>
      </c>
      <c r="S168" s="5">
        <f>[1]Capital!R37+[1]Capital!R39</f>
        <v>2997665.9112999998</v>
      </c>
      <c r="T168" s="5">
        <f>[1]Capital!S37+[1]Capital!S39</f>
        <v>3042458.2570000002</v>
      </c>
      <c r="U168" s="5">
        <f>[1]Capital!T37+[1]Capital!T39</f>
        <v>3088321.9457</v>
      </c>
      <c r="V168" s="5">
        <f>[1]Capital!U37+[1]Capital!U39</f>
        <v>3135245.8922999999</v>
      </c>
      <c r="W168" s="5">
        <f>[1]Capital!V37+[1]Capital!V39</f>
        <v>3183076.3355999999</v>
      </c>
      <c r="X168" s="5">
        <f>[1]Capital!W37+[1]Capital!W39</f>
        <v>3231861.5774000003</v>
      </c>
      <c r="Y168" s="5">
        <f>[1]Capital!X37+[1]Capital!X39</f>
        <v>3281613.9965999997</v>
      </c>
      <c r="Z168" s="5">
        <f>[1]Capital!Y37+[1]Capital!Y39</f>
        <v>3332333.4673000001</v>
      </c>
      <c r="AA168" s="5">
        <f>[1]Capital!Z37+[1]Capital!Z39</f>
        <v>3384013.1430000002</v>
      </c>
      <c r="AB168" s="5">
        <f>[1]Capital!AA37+[1]Capital!AA39</f>
        <v>3436236.7581000002</v>
      </c>
      <c r="AC168" s="5">
        <f>[1]Capital!AB37+[1]Capital!AB39</f>
        <v>3488984.5671000001</v>
      </c>
      <c r="AD168" s="5">
        <f>[1]Capital!AC37+[1]Capital!AC39</f>
        <v>3542224.2611999996</v>
      </c>
      <c r="AE168" s="5">
        <f>[1]Capital!AD37+[1]Capital!AD39</f>
        <v>3595932.2611000002</v>
      </c>
      <c r="AF168" s="5">
        <f>[1]Capital!AE37+[1]Capital!AE39</f>
        <v>3650094.6893000002</v>
      </c>
      <c r="AG168" s="5">
        <f>[1]Capital!AF37+[1]Capital!AF39</f>
        <v>3704704.6924999999</v>
      </c>
      <c r="AH168" s="5">
        <f>[1]Capital!AG37+[1]Capital!AG39</f>
        <v>3759759.0406999998</v>
      </c>
      <c r="AI168" s="5">
        <f>[1]Capital!AH37+[1]Capital!AH39</f>
        <v>3815255.6612</v>
      </c>
      <c r="AJ168" s="5">
        <f>[1]Capital!AI37+[1]Capital!AI39</f>
        <v>3871192.4745</v>
      </c>
      <c r="AK168" s="5">
        <f>[1]Capital!AJ37+[1]Capital!AJ39</f>
        <v>3927567.2722999998</v>
      </c>
      <c r="AL168" s="5">
        <f>[1]Capital!AK37+[1]Capital!AK39</f>
        <v>3984378.193</v>
      </c>
      <c r="AM168" s="5">
        <f>[1]Capital!AL37+[1]Capital!AL39</f>
        <v>4041526.3728</v>
      </c>
      <c r="AN168" s="5">
        <f>[1]Capital!AM37+[1]Capital!AM39</f>
        <v>4098958.6316</v>
      </c>
      <c r="AO168" s="5">
        <f>[1]Capital!AN37+[1]Capital!AN39</f>
        <v>4156645.1835000003</v>
      </c>
      <c r="AP168" s="5">
        <f>[1]Capital!AO37+[1]Capital!AO39</f>
        <v>4214572.2578999996</v>
      </c>
      <c r="AQ168" s="5">
        <f>[1]Capital!AP37+[1]Capital!AP39</f>
        <v>4272737.9754999997</v>
      </c>
      <c r="AR168" s="5">
        <f>[1]Capital!AQ37+[1]Capital!AQ39</f>
        <v>4331149.0668000001</v>
      </c>
      <c r="AS168" s="5">
        <f>[1]Capital!AR37+[1]Capital!AR39</f>
        <v>4389817.9296000004</v>
      </c>
      <c r="AT168" s="5">
        <f>[1]Capital!AS37+[1]Capital!AS39</f>
        <v>4448760.1533000004</v>
      </c>
      <c r="AU168" s="5">
        <f>[1]Capital!AT37+[1]Capital!AT39</f>
        <v>4507992.7192000002</v>
      </c>
      <c r="AV168" s="5">
        <f>[1]Capital!AU37+[1]Capital!AU39</f>
        <v>4567532.8973000003</v>
      </c>
      <c r="AW168" s="5">
        <f>[1]Capital!AV37+[1]Capital!AV39</f>
        <v>4627406.5102999993</v>
      </c>
      <c r="AX168" s="5">
        <f>[1]Capital!AW37+[1]Capital!AW39</f>
        <v>4687635.1113</v>
      </c>
      <c r="AY168" s="5">
        <f>[1]Capital!AX37+[1]Capital!AX39</f>
        <v>4748238.1327999998</v>
      </c>
      <c r="AZ168" s="5">
        <f>[1]Capital!AY37+[1]Capital!AY39</f>
        <v>4809233.7971999999</v>
      </c>
      <c r="BA168" s="5">
        <f>[1]Capital!AZ37+[1]Capital!AZ39</f>
        <v>4870639.6935000001</v>
      </c>
      <c r="BB168" s="5">
        <f>[1]Capital!BA37+[1]Capital!BA39</f>
        <v>5391191.7537000002</v>
      </c>
      <c r="BC168" s="5">
        <f>[1]Capital!BB37+[1]Capital!BB39</f>
        <v>5486764.8571000006</v>
      </c>
      <c r="BD168" s="5">
        <f>[1]Capital!BC37+[1]Capital!BC39</f>
        <v>5583821.4360000007</v>
      </c>
      <c r="BE168" s="5">
        <f>[1]Capital!BD37+[1]Capital!BD39</f>
        <v>5682371.216</v>
      </c>
      <c r="BF168" s="5">
        <f>[1]Capital!BE37+[1]Capital!BE39</f>
        <v>5782425.4280000003</v>
      </c>
    </row>
    <row r="169" spans="1:58" x14ac:dyDescent="0.35">
      <c r="B169" t="s">
        <v>29</v>
      </c>
      <c r="C169" s="5">
        <f>[1]Capital!B43+[1]Capital!B47</f>
        <v>22930.627885900001</v>
      </c>
      <c r="D169" s="5">
        <f>[1]Capital!C43+[1]Capital!C47</f>
        <v>23191.5443022</v>
      </c>
      <c r="E169" s="5">
        <f>[1]Capital!D43+[1]Capital!D47</f>
        <v>23447.349133200001</v>
      </c>
      <c r="F169" s="5">
        <f>[1]Capital!E43+[1]Capital!E47</f>
        <v>23698.547347200001</v>
      </c>
      <c r="G169" s="5">
        <f>[1]Capital!F43+[1]Capital!F47</f>
        <v>23947.204634399997</v>
      </c>
      <c r="H169" s="5">
        <f>[1]Capital!G43+[1]Capital!G47</f>
        <v>24195.7003023</v>
      </c>
      <c r="I169" s="5">
        <f>[1]Capital!H43+[1]Capital!H47</f>
        <v>24445.306810500002</v>
      </c>
      <c r="J169" s="5">
        <f>[1]Capital!I43+[1]Capital!I47</f>
        <v>24697.204894499999</v>
      </c>
      <c r="K169" s="5">
        <f>[1]Capital!J43+[1]Capital!J47</f>
        <v>24952.359831600003</v>
      </c>
      <c r="L169" s="5">
        <f>[1]Capital!K43+[1]Capital!K47</f>
        <v>25211.482527</v>
      </c>
      <c r="M169" s="5">
        <f>[1]Capital!L43+[1]Capital!L47</f>
        <v>25476.522061</v>
      </c>
      <c r="N169" s="5">
        <f>[1]Capital!M43+[1]Capital!M47</f>
        <v>25747.163574899998</v>
      </c>
      <c r="O169" s="5">
        <f>[1]Capital!N43+[1]Capital!N47</f>
        <v>26023.1818141</v>
      </c>
      <c r="P169" s="5">
        <f>[1]Capital!O43+[1]Capital!O47</f>
        <v>26304.435039399999</v>
      </c>
      <c r="Q169" s="5">
        <f>[1]Capital!P43+[1]Capital!P47</f>
        <v>26590.797835999998</v>
      </c>
      <c r="R169" s="5">
        <f>[1]Capital!Q43+[1]Capital!Q47</f>
        <v>26882.1382189</v>
      </c>
      <c r="S169" s="5">
        <f>[1]Capital!R43+[1]Capital!R47</f>
        <v>27178.318854000001</v>
      </c>
      <c r="T169" s="5">
        <f>[1]Capital!S43+[1]Capital!S47</f>
        <v>27479.205915100003</v>
      </c>
      <c r="U169" s="5">
        <f>[1]Capital!T43+[1]Capital!T47</f>
        <v>27784.678387199998</v>
      </c>
      <c r="V169" s="5">
        <f>[1]Capital!U43+[1]Capital!U47</f>
        <v>28094.635354599999</v>
      </c>
      <c r="W169" s="5">
        <f>[1]Capital!V43+[1]Capital!V47</f>
        <v>28407.931773600001</v>
      </c>
      <c r="X169" s="5">
        <f>[1]Capital!W43+[1]Capital!W47</f>
        <v>28724.9726476</v>
      </c>
      <c r="Y169" s="5">
        <f>[1]Capital!X43+[1]Capital!X47</f>
        <v>29046.020599200001</v>
      </c>
      <c r="Z169" s="5">
        <f>[1]Capital!Y43+[1]Capital!Y47</f>
        <v>29371.2321773</v>
      </c>
      <c r="AA169" s="5">
        <f>[1]Capital!Z43+[1]Capital!Z47</f>
        <v>29700.727196300002</v>
      </c>
      <c r="AB169" s="5">
        <f>[1]Capital!AA43+[1]Capital!AA47</f>
        <v>30031.558063799999</v>
      </c>
      <c r="AC169" s="5">
        <f>[1]Capital!AB43+[1]Capital!AB47</f>
        <v>30363.698208199999</v>
      </c>
      <c r="AD169" s="5">
        <f>[1]Capital!AC43+[1]Capital!AC47</f>
        <v>30697.2319494</v>
      </c>
      <c r="AE169" s="5">
        <f>[1]Capital!AD43+[1]Capital!AD47</f>
        <v>31032.239418100002</v>
      </c>
      <c r="AF169" s="5">
        <f>[1]Capital!AE43+[1]Capital!AE47</f>
        <v>31368.823605199999</v>
      </c>
      <c r="AG169" s="5">
        <f>[1]Capital!AF43+[1]Capital!AF47</f>
        <v>31707.1232623</v>
      </c>
      <c r="AH169" s="5">
        <f>[1]Capital!AG43+[1]Capital!AG47</f>
        <v>32047.310198900002</v>
      </c>
      <c r="AI169" s="5">
        <f>[1]Capital!AH43+[1]Capital!AH47</f>
        <v>32389.580014800002</v>
      </c>
      <c r="AJ169" s="5">
        <f>[1]Capital!AI43+[1]Capital!AI47</f>
        <v>32734.141685900002</v>
      </c>
      <c r="AK169" s="5">
        <f>[1]Capital!AJ43+[1]Capital!AJ47</f>
        <v>33081.208340700003</v>
      </c>
      <c r="AL169" s="5">
        <f>[1]Capital!AK43+[1]Capital!AK47</f>
        <v>33430.990166399999</v>
      </c>
      <c r="AM169" s="5">
        <f>[1]Capital!AL43+[1]Capital!AL47</f>
        <v>33782.962193700005</v>
      </c>
      <c r="AN169" s="5">
        <f>[1]Capital!AM43+[1]Capital!AM47</f>
        <v>34136.896224600001</v>
      </c>
      <c r="AO169" s="5">
        <f>[1]Capital!AN43+[1]Capital!AN47</f>
        <v>34492.739627299998</v>
      </c>
      <c r="AP169" s="5">
        <f>[1]Capital!AO43+[1]Capital!AO47</f>
        <v>34850.525240100003</v>
      </c>
      <c r="AQ169" s="5">
        <f>[1]Capital!AP43+[1]Capital!AP47</f>
        <v>35210.3311827</v>
      </c>
      <c r="AR169" s="5">
        <f>[1]Capital!AQ43+[1]Capital!AQ47</f>
        <v>35572.263698900002</v>
      </c>
      <c r="AS169" s="5">
        <f>[1]Capital!AR43+[1]Capital!AR47</f>
        <v>35936.448498800004</v>
      </c>
      <c r="AT169" s="5">
        <f>[1]Capital!AS43+[1]Capital!AS47</f>
        <v>36303.025114600001</v>
      </c>
      <c r="AU169" s="5">
        <f>[1]Capital!AT43+[1]Capital!AT47</f>
        <v>36672.142291100005</v>
      </c>
      <c r="AV169" s="5">
        <f>[1]Capital!AU43+[1]Capital!AU47</f>
        <v>37043.954215099999</v>
      </c>
      <c r="AW169" s="5">
        <f>[1]Capital!AV43+[1]Capital!AV47</f>
        <v>37418.682277</v>
      </c>
      <c r="AX169" s="5">
        <f>[1]Capital!AW43+[1]Capital!AW47</f>
        <v>37796.520468200004</v>
      </c>
      <c r="AY169" s="5">
        <f>[1]Capital!AX43+[1]Capital!AX47</f>
        <v>38177.645088800004</v>
      </c>
      <c r="AZ169" s="5">
        <f>[1]Capital!AY43+[1]Capital!AY47</f>
        <v>38562.222126199995</v>
      </c>
      <c r="BA169" s="5">
        <f>[1]Capital!AZ43+[1]Capital!AZ47</f>
        <v>38950.410690099998</v>
      </c>
      <c r="BB169" s="5">
        <f>[1]Capital!BA43+[1]Capital!BA47</f>
        <v>43271.201263000003</v>
      </c>
      <c r="BC169" s="5">
        <f>[1]Capital!BB43+[1]Capital!BB47</f>
        <v>43925.573724000002</v>
      </c>
      <c r="BD169" s="5">
        <f>[1]Capital!BC43+[1]Capital!BC47</f>
        <v>44590.604775</v>
      </c>
      <c r="BE169" s="5">
        <f>[1]Capital!BD43+[1]Capital!BD47</f>
        <v>45266.370203999999</v>
      </c>
      <c r="BF169" s="5">
        <f>[1]Capital!BE43+[1]Capital!BE47</f>
        <v>45952.961798999997</v>
      </c>
    </row>
    <row r="170" spans="1:58" x14ac:dyDescent="0.35">
      <c r="B170" t="s">
        <v>36</v>
      </c>
      <c r="C170" s="5">
        <f>[1]Capital!B45+[1]Capital!B49</f>
        <v>1942.181734</v>
      </c>
      <c r="D170" s="5">
        <f>[1]Capital!C45+[1]Capital!C49</f>
        <v>1964.1014691999999</v>
      </c>
      <c r="E170" s="5">
        <f>[1]Capital!D45+[1]Capital!D49</f>
        <v>1985.3582789000002</v>
      </c>
      <c r="F170" s="5">
        <f>[1]Capital!E45+[1]Capital!E49</f>
        <v>2006.0043232999999</v>
      </c>
      <c r="G170" s="5">
        <f>[1]Capital!F45+[1]Capital!F49</f>
        <v>2026.2567428</v>
      </c>
      <c r="H170" s="5">
        <f>[1]Capital!G45+[1]Capital!G49</f>
        <v>2046.3646132000001</v>
      </c>
      <c r="I170" s="5">
        <f>[1]Capital!H45+[1]Capital!H49</f>
        <v>2066.4836841000001</v>
      </c>
      <c r="J170" s="5">
        <f>[1]Capital!I45+[1]Capital!I49</f>
        <v>2086.7520435000001</v>
      </c>
      <c r="K170" s="5">
        <f>[1]Capital!J45+[1]Capital!J49</f>
        <v>2107.2800697000002</v>
      </c>
      <c r="L170" s="5">
        <f>[1]Capital!K45+[1]Capital!K49</f>
        <v>2128.1502513999999</v>
      </c>
      <c r="M170" s="5">
        <f>[1]Capital!L45+[1]Capital!L49</f>
        <v>2149.5353224999999</v>
      </c>
      <c r="N170" s="5">
        <f>[1]Capital!M45+[1]Capital!M49</f>
        <v>2171.4275658000001</v>
      </c>
      <c r="O170" s="5">
        <f>[1]Capital!N45+[1]Capital!N49</f>
        <v>2193.8247328000002</v>
      </c>
      <c r="P170" s="5">
        <f>[1]Capital!O45+[1]Capital!O49</f>
        <v>2216.7264927000001</v>
      </c>
      <c r="Q170" s="5">
        <f>[1]Capital!P45+[1]Capital!P49</f>
        <v>2240.1303306999998</v>
      </c>
      <c r="R170" s="5">
        <f>[1]Capital!Q45+[1]Capital!Q49</f>
        <v>2264.0304025999999</v>
      </c>
      <c r="S170" s="5">
        <f>[1]Capital!R45+[1]Capital!R49</f>
        <v>2288.4179965000003</v>
      </c>
      <c r="T170" s="5">
        <f>[1]Capital!S45+[1]Capital!S49</f>
        <v>2313.2824836999998</v>
      </c>
      <c r="U170" s="5">
        <f>[1]Capital!T45+[1]Capital!T49</f>
        <v>2338.6123078000001</v>
      </c>
      <c r="V170" s="5">
        <f>[1]Capital!U45+[1]Capital!U49</f>
        <v>2364.3958177</v>
      </c>
      <c r="W170" s="5">
        <f>[1]Capital!V45+[1]Capital!V49</f>
        <v>2390.5387578999998</v>
      </c>
      <c r="X170" s="5">
        <f>[1]Capital!W45+[1]Capital!W49</f>
        <v>2417.0663887000001</v>
      </c>
      <c r="Y170" s="5">
        <f>[1]Capital!X45+[1]Capital!X49</f>
        <v>2443.990671</v>
      </c>
      <c r="Z170" s="5">
        <f>[1]Capital!Y45+[1]Capital!Y49</f>
        <v>2471.3158530999999</v>
      </c>
      <c r="AA170" s="5">
        <f>[1]Capital!Z45+[1]Capital!Z49</f>
        <v>2499.0435679000002</v>
      </c>
      <c r="AB170" s="5">
        <f>[1]Capital!AA45+[1]Capital!AA49</f>
        <v>2526.9366053000003</v>
      </c>
      <c r="AC170" s="5">
        <f>[1]Capital!AB45+[1]Capital!AB49</f>
        <v>2554.9856739000002</v>
      </c>
      <c r="AD170" s="5">
        <f>[1]Capital!AC45+[1]Capital!AC49</f>
        <v>2583.1863085</v>
      </c>
      <c r="AE170" s="5">
        <f>[1]Capital!AD45+[1]Capital!AD49</f>
        <v>2611.5350641999999</v>
      </c>
      <c r="AF170" s="5">
        <f>[1]Capital!AE45+[1]Capital!AE49</f>
        <v>2640.0314748000001</v>
      </c>
      <c r="AG170" s="5">
        <f>[1]Capital!AF45+[1]Capital!AF49</f>
        <v>2668.6788680999998</v>
      </c>
      <c r="AH170" s="5">
        <f>[1]Capital!AG45+[1]Capital!AG49</f>
        <v>2697.4840953000003</v>
      </c>
      <c r="AI170" s="5">
        <f>[1]Capital!AH45+[1]Capital!AH49</f>
        <v>2726.4568147</v>
      </c>
      <c r="AJ170" s="5">
        <f>[1]Capital!AI45+[1]Capital!AI49</f>
        <v>2755.6086923000003</v>
      </c>
      <c r="AK170" s="5">
        <f>[1]Capital!AJ45+[1]Capital!AJ49</f>
        <v>2784.9527137</v>
      </c>
      <c r="AL170" s="5">
        <f>[1]Capital!AK45+[1]Capital!AK49</f>
        <v>2814.5026341999996</v>
      </c>
      <c r="AM170" s="5">
        <f>[1]Capital!AL45+[1]Capital!AL49</f>
        <v>2844.2157551</v>
      </c>
      <c r="AN170" s="5">
        <f>[1]Capital!AM45+[1]Capital!AM49</f>
        <v>2874.0735555000001</v>
      </c>
      <c r="AO170" s="5">
        <f>[1]Capital!AN45+[1]Capital!AN49</f>
        <v>2904.0711006000001</v>
      </c>
      <c r="AP170" s="5">
        <f>[1]Capital!AO45+[1]Capital!AO49</f>
        <v>2934.2105333</v>
      </c>
      <c r="AQ170" s="5">
        <f>[1]Capital!AP45+[1]Capital!AP49</f>
        <v>2964.4981011</v>
      </c>
      <c r="AR170" s="5">
        <f>[1]Capital!AQ45+[1]Capital!AQ49</f>
        <v>2994.9428020999999</v>
      </c>
      <c r="AS170" s="5">
        <f>[1]Capital!AR45+[1]Capital!AR49</f>
        <v>3025.5556304000002</v>
      </c>
      <c r="AT170" s="5">
        <f>[1]Capital!AS45+[1]Capital!AS49</f>
        <v>3056.3490613999998</v>
      </c>
      <c r="AU170" s="5">
        <f>[1]Capital!AT45+[1]Capital!AT49</f>
        <v>3087.3366246999999</v>
      </c>
      <c r="AV170" s="5">
        <f>[1]Capital!AU45+[1]Capital!AU49</f>
        <v>3118.5325745999999</v>
      </c>
      <c r="AW170" s="5">
        <f>[1]Capital!AV45+[1]Capital!AV49</f>
        <v>3149.9566910000003</v>
      </c>
      <c r="AX170" s="5">
        <f>[1]Capital!AW45+[1]Capital!AW49</f>
        <v>3181.6268561000002</v>
      </c>
      <c r="AY170" s="5">
        <f>[1]Capital!AX45+[1]Capital!AX49</f>
        <v>3213.5598956000003</v>
      </c>
      <c r="AZ170" s="5">
        <f>[1]Capital!AY45+[1]Capital!AY49</f>
        <v>3245.7720877000002</v>
      </c>
      <c r="BA170" s="5">
        <f>[1]Capital!AZ45+[1]Capital!AZ49</f>
        <v>3278.2793910999999</v>
      </c>
      <c r="BB170" s="5">
        <f>[1]Capital!BA45+[1]Capital!BA49</f>
        <v>3588.2409678999998</v>
      </c>
      <c r="BC170" s="5">
        <f>[1]Capital!BB45+[1]Capital!BB49</f>
        <v>3640.4128946999999</v>
      </c>
      <c r="BD170" s="5">
        <f>[1]Capital!BC45+[1]Capital!BC49</f>
        <v>3693.3943216000002</v>
      </c>
      <c r="BE170" s="5">
        <f>[1]Capital!BD45+[1]Capital!BD49</f>
        <v>3747.1915847999999</v>
      </c>
      <c r="BF170" s="5">
        <f>[1]Capital!BE45+[1]Capital!BE49</f>
        <v>3801.8124930999998</v>
      </c>
    </row>
    <row r="171" spans="1:58" x14ac:dyDescent="0.35">
      <c r="B171" t="s">
        <v>33</v>
      </c>
      <c r="C171" s="5">
        <f>[1]Capital!B51+[1]Capital!B53+[1]Capital!B55+[1]Capital!B57+[1]Capital!B59+[1]Capital!B61+[1]Capital!B63+[1]Capital!B65+[1]Capital!B67</f>
        <v>40301.909886969996</v>
      </c>
      <c r="D171" s="5">
        <f>[1]Capital!C51+[1]Capital!C53+[1]Capital!C55+[1]Capital!C57+[1]Capital!C59+[1]Capital!C61+[1]Capital!C63+[1]Capital!C65+[1]Capital!C67</f>
        <v>40759.317395539998</v>
      </c>
      <c r="E171" s="5">
        <f>[1]Capital!D51+[1]Capital!D53+[1]Capital!D55+[1]Capital!D57+[1]Capital!D59+[1]Capital!D61+[1]Capital!D63+[1]Capital!D65+[1]Capital!D67</f>
        <v>41206.404072909994</v>
      </c>
      <c r="F171" s="5">
        <f>[1]Capital!E51+[1]Capital!E53+[1]Capital!E55+[1]Capital!E57+[1]Capital!E59+[1]Capital!E61+[1]Capital!E63+[1]Capital!E65+[1]Capital!E67</f>
        <v>41641.656470069996</v>
      </c>
      <c r="G171" s="5">
        <f>[1]Capital!F51+[1]Capital!F53+[1]Capital!F55+[1]Capital!F57+[1]Capital!F59+[1]Capital!F61+[1]Capital!F63+[1]Capital!F65+[1]Capital!F67</f>
        <v>42066.358188190003</v>
      </c>
      <c r="H171" s="5">
        <f>[1]Capital!G51+[1]Capital!G53+[1]Capital!G55+[1]Capital!G57+[1]Capital!G59+[1]Capital!G61+[1]Capital!G63+[1]Capital!G65+[1]Capital!G67</f>
        <v>42482.774252070005</v>
      </c>
      <c r="I171" s="5">
        <f>[1]Capital!H51+[1]Capital!H53+[1]Capital!H55+[1]Capital!H57+[1]Capital!H59+[1]Capital!H61+[1]Capital!H63+[1]Capital!H65+[1]Capital!H67</f>
        <v>42891.792855960004</v>
      </c>
      <c r="J171" s="5">
        <f>[1]Capital!I51+[1]Capital!I53+[1]Capital!I55+[1]Capital!I57+[1]Capital!I59+[1]Capital!I61+[1]Capital!I63+[1]Capital!I65+[1]Capital!I67</f>
        <v>43294.1835355</v>
      </c>
      <c r="K171" s="5">
        <f>[1]Capital!J51+[1]Capital!J53+[1]Capital!J55+[1]Capital!J57+[1]Capital!J59+[1]Capital!J61+[1]Capital!J63+[1]Capital!J65+[1]Capital!J67</f>
        <v>43690.564400399999</v>
      </c>
      <c r="L171" s="5">
        <f>[1]Capital!K51+[1]Capital!K53+[1]Capital!K55+[1]Capital!K57+[1]Capital!K59+[1]Capital!K61+[1]Capital!K63+[1]Capital!K65+[1]Capital!K67</f>
        <v>44081.303819369998</v>
      </c>
      <c r="M171" s="5">
        <f>[1]Capital!L51+[1]Capital!L53+[1]Capital!L55+[1]Capital!L57+[1]Capital!L59+[1]Capital!L61+[1]Capital!L63+[1]Capital!L65+[1]Capital!L67</f>
        <v>44468.827412790015</v>
      </c>
      <c r="N171" s="5">
        <f>[1]Capital!M51+[1]Capital!M53+[1]Capital!M55+[1]Capital!M57+[1]Capital!M59+[1]Capital!M61+[1]Capital!M63+[1]Capital!M65+[1]Capital!M67</f>
        <v>44852.438655509992</v>
      </c>
      <c r="O171" s="5">
        <f>[1]Capital!N51+[1]Capital!N53+[1]Capital!N55+[1]Capital!N57+[1]Capital!N59+[1]Capital!N61+[1]Capital!N63+[1]Capital!N65+[1]Capital!N67</f>
        <v>45231.205394110002</v>
      </c>
      <c r="P171" s="5">
        <f>[1]Capital!O51+[1]Capital!O53+[1]Capital!O55+[1]Capital!O57+[1]Capital!O59+[1]Capital!O61+[1]Capital!O63+[1]Capital!O65+[1]Capital!O67</f>
        <v>45604.40024938</v>
      </c>
      <c r="Q171" s="5">
        <f>[1]Capital!P51+[1]Capital!P53+[1]Capital!P55+[1]Capital!P57+[1]Capital!P59+[1]Capital!P61+[1]Capital!P63+[1]Capital!P65+[1]Capital!P67</f>
        <v>45971.49669824</v>
      </c>
      <c r="R171" s="5">
        <f>[1]Capital!Q51+[1]Capital!Q53+[1]Capital!Q55+[1]Capital!Q57+[1]Capital!Q59+[1]Capital!Q61+[1]Capital!Q63+[1]Capital!Q65+[1]Capital!Q67</f>
        <v>46332.137265799996</v>
      </c>
      <c r="S171" s="5">
        <f>[1]Capital!R51+[1]Capital!R53+[1]Capital!R55+[1]Capital!R57+[1]Capital!R59+[1]Capital!R61+[1]Capital!R63+[1]Capital!R65+[1]Capital!R67</f>
        <v>46686.127567239993</v>
      </c>
      <c r="T171" s="5">
        <f>[1]Capital!S51+[1]Capital!S53+[1]Capital!S55+[1]Capital!S57+[1]Capital!S59+[1]Capital!S61+[1]Capital!S63+[1]Capital!S65+[1]Capital!S67</f>
        <v>47033.443358020006</v>
      </c>
      <c r="U171" s="5">
        <f>[1]Capital!T51+[1]Capital!T53+[1]Capital!T55+[1]Capital!T57+[1]Capital!T59+[1]Capital!T61+[1]Capital!T63+[1]Capital!T65+[1]Capital!T67</f>
        <v>47374.236778180006</v>
      </c>
      <c r="V171" s="5">
        <f>[1]Capital!U51+[1]Capital!U53+[1]Capital!U55+[1]Capital!U57+[1]Capital!U59+[1]Capital!U61+[1]Capital!U63+[1]Capital!U65+[1]Capital!U67</f>
        <v>47708.83484132</v>
      </c>
      <c r="W171" s="5">
        <f>[1]Capital!V51+[1]Capital!V53+[1]Capital!V55+[1]Capital!V57+[1]Capital!V59+[1]Capital!V61+[1]Capital!V63+[1]Capital!V65+[1]Capital!V67</f>
        <v>48036.116307960008</v>
      </c>
      <c r="X171" s="5">
        <f>[1]Capital!W51+[1]Capital!W53+[1]Capital!W55+[1]Capital!W57+[1]Capital!W59+[1]Capital!W61+[1]Capital!W63+[1]Capital!W65+[1]Capital!W67</f>
        <v>48357.15982737</v>
      </c>
      <c r="Y171" s="5">
        <f>[1]Capital!X51+[1]Capital!X53+[1]Capital!X55+[1]Capital!X57+[1]Capital!X59+[1]Capital!X61+[1]Capital!X63+[1]Capital!X65+[1]Capital!X67</f>
        <v>48673.236682000002</v>
      </c>
      <c r="Z171" s="5">
        <f>[1]Capital!Y51+[1]Capital!Y53+[1]Capital!Y55+[1]Capital!Y57+[1]Capital!Y59+[1]Capital!Y61+[1]Capital!Y63+[1]Capital!Y65+[1]Capital!Y67</f>
        <v>48985.539288049993</v>
      </c>
      <c r="AA171" s="5">
        <f>[1]Capital!Z51+[1]Capital!Z53+[1]Capital!Z55+[1]Capital!Z57+[1]Capital!Z59+[1]Capital!Z61+[1]Capital!Z63+[1]Capital!Z65+[1]Capital!Z67</f>
        <v>49295.203171739995</v>
      </c>
      <c r="AB171" s="5">
        <f>[1]Capital!AA51+[1]Capital!AA53+[1]Capital!AA55+[1]Capital!AA57+[1]Capital!AA59+[1]Capital!AA61+[1]Capital!AA63+[1]Capital!AA65+[1]Capital!AA67</f>
        <v>49598.835799420012</v>
      </c>
      <c r="AC171" s="5">
        <f>[1]Capital!AB51+[1]Capital!AB53+[1]Capital!AB55+[1]Capital!AB57+[1]Capital!AB59+[1]Capital!AB61+[1]Capital!AB63+[1]Capital!AB65+[1]Capital!AB67</f>
        <v>49896.635618020002</v>
      </c>
      <c r="AD171" s="5">
        <f>[1]Capital!AC51+[1]Capital!AC53+[1]Capital!AC55+[1]Capital!AC57+[1]Capital!AC59+[1]Capital!AC61+[1]Capital!AC63+[1]Capital!AC65+[1]Capital!AC67</f>
        <v>50189.521451600005</v>
      </c>
      <c r="AE171" s="5">
        <f>[1]Capital!AD51+[1]Capital!AD53+[1]Capital!AD55+[1]Capital!AD57+[1]Capital!AD59+[1]Capital!AD61+[1]Capital!AD63+[1]Capital!AD65+[1]Capital!AD67</f>
        <v>50478.537376949993</v>
      </c>
      <c r="AF171" s="5">
        <f>[1]Capital!AE51+[1]Capital!AE53+[1]Capital!AE55+[1]Capital!AE57+[1]Capital!AE59+[1]Capital!AE61+[1]Capital!AE63+[1]Capital!AE65+[1]Capital!AE67</f>
        <v>50764.755783819994</v>
      </c>
      <c r="AG171" s="5">
        <f>[1]Capital!AF51+[1]Capital!AF53+[1]Capital!AF55+[1]Capital!AF57+[1]Capital!AF59+[1]Capital!AF61+[1]Capital!AF63+[1]Capital!AF65+[1]Capital!AF67</f>
        <v>51049.264765480009</v>
      </c>
      <c r="AH171" s="5">
        <f>[1]Capital!AG51+[1]Capital!AG53+[1]Capital!AG55+[1]Capital!AG57+[1]Capital!AG59+[1]Capital!AG61+[1]Capital!AG63+[1]Capital!AG65+[1]Capital!AG67</f>
        <v>51333.15492796999</v>
      </c>
      <c r="AI171" s="5">
        <f>[1]Capital!AH51+[1]Capital!AH53+[1]Capital!AH55+[1]Capital!AH57+[1]Capital!AH59+[1]Capital!AH61+[1]Capital!AH63+[1]Capital!AH65+[1]Capital!AH67</f>
        <v>51617.496904010004</v>
      </c>
      <c r="AJ171" s="5">
        <f>[1]Capital!AI51+[1]Capital!AI53+[1]Capital!AI55+[1]Capital!AI57+[1]Capital!AI59+[1]Capital!AI61+[1]Capital!AI63+[1]Capital!AI65+[1]Capital!AI67</f>
        <v>51903.315405130008</v>
      </c>
      <c r="AK171" s="5">
        <f>[1]Capital!AJ51+[1]Capital!AJ53+[1]Capital!AJ55+[1]Capital!AJ57+[1]Capital!AJ59+[1]Capital!AJ61+[1]Capital!AJ63+[1]Capital!AJ65+[1]Capital!AJ67</f>
        <v>52191.565132930002</v>
      </c>
      <c r="AL171" s="5">
        <f>[1]Capital!AK51+[1]Capital!AK53+[1]Capital!AK55+[1]Capital!AK57+[1]Capital!AK59+[1]Capital!AK61+[1]Capital!AK63+[1]Capital!AK65+[1]Capital!AK67</f>
        <v>52483.112195459995</v>
      </c>
      <c r="AM171" s="5">
        <f>[1]Capital!AL51+[1]Capital!AL53+[1]Capital!AL55+[1]Capital!AL57+[1]Capital!AL59+[1]Capital!AL61+[1]Capital!AL63+[1]Capital!AL65+[1]Capital!AL67</f>
        <v>52777.702989590012</v>
      </c>
      <c r="AN171" s="5">
        <f>[1]Capital!AM51+[1]Capital!AM53+[1]Capital!AM55+[1]Capital!AM57+[1]Capital!AM59+[1]Capital!AM61+[1]Capital!AM63+[1]Capital!AM65+[1]Capital!AM67</f>
        <v>53075.253237960009</v>
      </c>
      <c r="AO171" s="5">
        <f>[1]Capital!AN51+[1]Capital!AN53+[1]Capital!AN55+[1]Capital!AN57+[1]Capital!AN59+[1]Capital!AN61+[1]Capital!AN63+[1]Capital!AN65+[1]Capital!AN67</f>
        <v>53375.887693210003</v>
      </c>
      <c r="AP171" s="5">
        <f>[1]Capital!AO51+[1]Capital!AO53+[1]Capital!AO55+[1]Capital!AO57+[1]Capital!AO59+[1]Capital!AO61+[1]Capital!AO63+[1]Capital!AO65+[1]Capital!AO67</f>
        <v>53679.837634299998</v>
      </c>
      <c r="AQ171" s="5">
        <f>[1]Capital!AP51+[1]Capital!AP53+[1]Capital!AP55+[1]Capital!AP57+[1]Capital!AP59+[1]Capital!AP61+[1]Capital!AP63+[1]Capital!AP65+[1]Capital!AP67</f>
        <v>53987.373973630005</v>
      </c>
      <c r="AR171" s="5">
        <f>[1]Capital!AQ51+[1]Capital!AQ53+[1]Capital!AQ55+[1]Capital!AQ57+[1]Capital!AQ59+[1]Capital!AQ61+[1]Capital!AQ63+[1]Capital!AQ65+[1]Capital!AQ67</f>
        <v>54298.777208489992</v>
      </c>
      <c r="AS171" s="5">
        <f>[1]Capital!AR51+[1]Capital!AR53+[1]Capital!AR55+[1]Capital!AR57+[1]Capital!AR59+[1]Capital!AR61+[1]Capital!AR63+[1]Capital!AR65+[1]Capital!AR67</f>
        <v>54614.32548408</v>
      </c>
      <c r="AT171" s="5">
        <f>[1]Capital!AS51+[1]Capital!AS53+[1]Capital!AS55+[1]Capital!AS57+[1]Capital!AS59+[1]Capital!AS61+[1]Capital!AS63+[1]Capital!AS65+[1]Capital!AS67</f>
        <v>54934.288942689993</v>
      </c>
      <c r="AU171" s="5">
        <f>[1]Capital!AT51+[1]Capital!AT53+[1]Capital!AT55+[1]Capital!AT57+[1]Capital!AT59+[1]Capital!AT61+[1]Capital!AT63+[1]Capital!AT65+[1]Capital!AT67</f>
        <v>55258.924988840008</v>
      </c>
      <c r="AV171" s="5">
        <f>[1]Capital!AU51+[1]Capital!AU53+[1]Capital!AU55+[1]Capital!AU57+[1]Capital!AU59+[1]Capital!AU61+[1]Capital!AU63+[1]Capital!AU65+[1]Capital!AU67</f>
        <v>55588.473325549996</v>
      </c>
      <c r="AW171" s="5">
        <f>[1]Capital!AV51+[1]Capital!AV53+[1]Capital!AV55+[1]Capital!AV57+[1]Capital!AV59+[1]Capital!AV61+[1]Capital!AV63+[1]Capital!AV65+[1]Capital!AV67</f>
        <v>55923.238787459995</v>
      </c>
      <c r="AX171" s="5">
        <f>[1]Capital!AW51+[1]Capital!AW53+[1]Capital!AW55+[1]Capital!AW57+[1]Capital!AW59+[1]Capital!AW61+[1]Capital!AW63+[1]Capital!AW65+[1]Capital!AW67</f>
        <v>56263.475339960001</v>
      </c>
      <c r="AY171" s="5">
        <f>[1]Capital!AX51+[1]Capital!AX53+[1]Capital!AX55+[1]Capital!AX57+[1]Capital!AX59+[1]Capital!AX61+[1]Capital!AX63+[1]Capital!AX65+[1]Capital!AX67</f>
        <v>56609.379876050014</v>
      </c>
      <c r="AZ171" s="5">
        <f>[1]Capital!AY51+[1]Capital!AY53+[1]Capital!AY55+[1]Capital!AY57+[1]Capital!AY59+[1]Capital!AY61+[1]Capital!AY63+[1]Capital!AY65+[1]Capital!AY67</f>
        <v>56961.099958689992</v>
      </c>
      <c r="BA171" s="5">
        <f>[1]Capital!AZ51+[1]Capital!AZ53+[1]Capital!AZ55+[1]Capital!AZ57+[1]Capital!AZ59+[1]Capital!AZ61+[1]Capital!AZ63+[1]Capital!AZ65+[1]Capital!AZ67</f>
        <v>57318.739947329988</v>
      </c>
      <c r="BB171" s="5">
        <f>[1]Capital!BA51+[1]Capital!BA53+[1]Capital!BA55+[1]Capital!BA57+[1]Capital!BA59+[1]Capital!BA61+[1]Capital!BA63+[1]Capital!BA65+[1]Capital!BA67</f>
        <v>68008.589476100009</v>
      </c>
      <c r="BC171" s="5">
        <f>[1]Capital!BB51+[1]Capital!BB53+[1]Capital!BB55+[1]Capital!BB57+[1]Capital!BB59+[1]Capital!BB61+[1]Capital!BB63+[1]Capital!BB65+[1]Capital!BB67</f>
        <v>68908.919014700019</v>
      </c>
      <c r="BD171" s="5">
        <f>[1]Capital!BC51+[1]Capital!BC53+[1]Capital!BC55+[1]Capital!BC57+[1]Capital!BC59+[1]Capital!BC61+[1]Capital!BC63+[1]Capital!BC65+[1]Capital!BC67</f>
        <v>69826.220295000006</v>
      </c>
      <c r="BE171" s="5">
        <f>[1]Capital!BD51+[1]Capital!BD53+[1]Capital!BD55+[1]Capital!BD57+[1]Capital!BD59+[1]Capital!BD61+[1]Capital!BD63+[1]Capital!BD65+[1]Capital!BD67</f>
        <v>70760.591945599997</v>
      </c>
      <c r="BF171" s="5">
        <f>[1]Capital!BE51+[1]Capital!BE53+[1]Capital!BE55+[1]Capital!BE57+[1]Capital!BE59+[1]Capital!BE61+[1]Capital!BE63+[1]Capital!BE65+[1]Capital!BE67</f>
        <v>71712.145180200008</v>
      </c>
    </row>
    <row r="172" spans="1:58" x14ac:dyDescent="0.35"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</row>
    <row r="173" spans="1:58" x14ac:dyDescent="0.35">
      <c r="A173" s="12" t="s">
        <v>41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</row>
    <row r="174" spans="1:58" x14ac:dyDescent="0.35">
      <c r="A174" t="s">
        <v>39</v>
      </c>
      <c r="B174" t="s">
        <v>40</v>
      </c>
      <c r="C174" s="5">
        <f>[1]Capital!B2</f>
        <v>5219452.8540000003</v>
      </c>
      <c r="D174" s="5">
        <f>[1]Capital!C2</f>
        <v>5273657.9910000004</v>
      </c>
      <c r="E174" s="5">
        <f>[1]Capital!D2</f>
        <v>5328600.6830000002</v>
      </c>
      <c r="F174" s="5">
        <f>[1]Capital!E2</f>
        <v>5385001.5109999999</v>
      </c>
      <c r="G174" s="5">
        <f>[1]Capital!F2</f>
        <v>5443010.9800000004</v>
      </c>
      <c r="H174" s="5">
        <f>[1]Capital!G2</f>
        <v>5502488.4790000003</v>
      </c>
      <c r="I174" s="5">
        <f>[1]Capital!H2</f>
        <v>5562975.0420000004</v>
      </c>
      <c r="J174" s="5">
        <f>[1]Capital!I2</f>
        <v>5624123.858</v>
      </c>
      <c r="K174" s="5">
        <f>[1]Capital!J2</f>
        <v>5685719.9950000001</v>
      </c>
      <c r="L174" s="5">
        <f>[1]Capital!K2</f>
        <v>5747687.2230000002</v>
      </c>
      <c r="M174" s="5">
        <f>[1]Capital!L2</f>
        <v>5810428.0470000003</v>
      </c>
      <c r="N174" s="5">
        <f>[1]Capital!M2</f>
        <v>5873901.7070000004</v>
      </c>
      <c r="O174" s="5">
        <f>[1]Capital!N2</f>
        <v>5938221.3799999999</v>
      </c>
      <c r="P174" s="5">
        <f>[1]Capital!O2</f>
        <v>6003568.4749999996</v>
      </c>
      <c r="Q174" s="5">
        <f>[1]Capital!P2</f>
        <v>6070151.1330000004</v>
      </c>
      <c r="R174" s="5">
        <f>[1]Capital!Q2</f>
        <v>6138177.4989999998</v>
      </c>
      <c r="S174" s="5">
        <f>[1]Capital!R2</f>
        <v>6207808.9000000004</v>
      </c>
      <c r="T174" s="5">
        <f>[1]Capital!S2</f>
        <v>6279195.3109999998</v>
      </c>
      <c r="U174" s="5">
        <f>[1]Capital!T2</f>
        <v>6352463.1299999999</v>
      </c>
      <c r="V174" s="5">
        <f>[1]Capital!U2</f>
        <v>6427712.3210000005</v>
      </c>
      <c r="W174" s="5">
        <f>[1]Capital!V2</f>
        <v>6504764.8629999999</v>
      </c>
      <c r="X174" s="5">
        <f>[1]Capital!W2</f>
        <v>6583781.267</v>
      </c>
      <c r="Y174" s="5">
        <f>[1]Capital!X2</f>
        <v>6664853.4119999995</v>
      </c>
      <c r="Z174" s="5">
        <f>[1]Capital!Y2</f>
        <v>6748039.642</v>
      </c>
      <c r="AA174" s="5">
        <f>[1]Capital!Z2</f>
        <v>6833375.6670000004</v>
      </c>
      <c r="AB174" s="5">
        <f>[1]Capital!AA2</f>
        <v>6920158.1739999996</v>
      </c>
      <c r="AC174" s="5">
        <f>[1]Capital!AB2</f>
        <v>7008367.9890000001</v>
      </c>
      <c r="AD174" s="5">
        <f>[1]Capital!AC2</f>
        <v>7097968.4199999999</v>
      </c>
      <c r="AE174" s="5">
        <f>[1]Capital!AD2</f>
        <v>7188934.0300000003</v>
      </c>
      <c r="AF174" s="5">
        <f>[1]Capital!AE2</f>
        <v>7281249.6619999995</v>
      </c>
      <c r="AG174" s="5">
        <f>[1]Capital!AF2</f>
        <v>7374905.1950000003</v>
      </c>
      <c r="AH174" s="5">
        <f>[1]Capital!AG2</f>
        <v>7469896.983</v>
      </c>
      <c r="AI174" s="5">
        <f>[1]Capital!AH2</f>
        <v>7566213.1160000004</v>
      </c>
      <c r="AJ174" s="5">
        <f>[1]Capital!AI2</f>
        <v>7663833.4929999998</v>
      </c>
      <c r="AK174" s="5">
        <f>[1]Capital!AJ2</f>
        <v>7762730.6109999996</v>
      </c>
      <c r="AL174" s="5">
        <f>[1]Capital!AK2</f>
        <v>7862871.4519999996</v>
      </c>
      <c r="AM174" s="5">
        <f>[1]Capital!AL2</f>
        <v>7964115.5180000002</v>
      </c>
      <c r="AN174" s="5">
        <f>[1]Capital!AM2</f>
        <v>8066362.7130000005</v>
      </c>
      <c r="AO174" s="5">
        <f>[1]Capital!AN2</f>
        <v>8169538.2989999996</v>
      </c>
      <c r="AP174" s="5">
        <f>[1]Capital!AO2</f>
        <v>8273585.4189999998</v>
      </c>
      <c r="AQ174" s="5">
        <f>[1]Capital!AP2</f>
        <v>8378460.318</v>
      </c>
      <c r="AR174" s="5">
        <f>[1]Capital!AQ2</f>
        <v>8484139.5429999996</v>
      </c>
      <c r="AS174" s="5">
        <f>[1]Capital!AR2</f>
        <v>8590600.9989999998</v>
      </c>
      <c r="AT174" s="5">
        <f>[1]Capital!AS2</f>
        <v>8697823.5370000005</v>
      </c>
      <c r="AU174" s="5">
        <f>[1]Capital!AT2</f>
        <v>8805785.5050000008</v>
      </c>
      <c r="AV174" s="5">
        <f>[1]Capital!AU2</f>
        <v>8914464.1309999991</v>
      </c>
      <c r="AW174" s="5">
        <f>[1]Capital!AV2</f>
        <v>9023889.3100000005</v>
      </c>
      <c r="AX174" s="5">
        <f>[1]Capital!AW2</f>
        <v>9134069.7009999994</v>
      </c>
      <c r="AY174" s="5">
        <f>[1]Capital!AX2</f>
        <v>9237285.7449999992</v>
      </c>
      <c r="AZ174" s="5">
        <f>[1]Capital!AY2</f>
        <v>9332485.2640000004</v>
      </c>
      <c r="BA174" s="5">
        <f>[1]Capital!AZ2</f>
        <v>9419667.4189999998</v>
      </c>
      <c r="BB174" s="5">
        <f>[1]Capital!BA2</f>
        <v>11978567.880000001</v>
      </c>
      <c r="BC174" s="5">
        <f>[1]Capital!BB2</f>
        <v>12204228.35</v>
      </c>
      <c r="BD174" s="5">
        <f>[1]Capital!BC2</f>
        <v>12433206.91</v>
      </c>
      <c r="BE174" s="5">
        <f>[1]Capital!BD2</f>
        <v>12665453.859999999</v>
      </c>
      <c r="BF174" s="5">
        <f>[1]Capital!BE2</f>
        <v>12900919.949999999</v>
      </c>
    </row>
    <row r="175" spans="1:58" x14ac:dyDescent="0.35">
      <c r="B175" t="s">
        <v>7</v>
      </c>
      <c r="C175" s="5">
        <f>[1]Capital!B4+[1]Capital!B6</f>
        <v>49014.448108999997</v>
      </c>
      <c r="D175" s="5">
        <f>[1]Capital!C4+[1]Capital!C6</f>
        <v>49518.202897000003</v>
      </c>
      <c r="E175" s="5">
        <f>[1]Capital!D4+[1]Capital!D6</f>
        <v>50025.562441000002</v>
      </c>
      <c r="F175" s="5">
        <f>[1]Capital!E4+[1]Capital!E6</f>
        <v>50541.028278000005</v>
      </c>
      <c r="G175" s="5">
        <f>[1]Capital!F4+[1]Capital!F6</f>
        <v>51060.925145000001</v>
      </c>
      <c r="H175" s="5">
        <f>[1]Capital!G4+[1]Capital!G6</f>
        <v>51576.561014000006</v>
      </c>
      <c r="I175" s="5">
        <f>[1]Capital!H4+[1]Capital!H6</f>
        <v>52074.371554999998</v>
      </c>
      <c r="J175" s="5">
        <f>[1]Capital!I4+[1]Capital!I6</f>
        <v>52541.915712000002</v>
      </c>
      <c r="K175" s="5">
        <f>[1]Capital!J4+[1]Capital!J6</f>
        <v>52969.387072999998</v>
      </c>
      <c r="L175" s="5">
        <f>[1]Capital!K4+[1]Capital!K6</f>
        <v>53350.371732</v>
      </c>
      <c r="M175" s="5">
        <f>[1]Capital!L4+[1]Capital!L6</f>
        <v>53686.102229000004</v>
      </c>
      <c r="N175" s="5">
        <f>[1]Capital!M4+[1]Capital!M6</f>
        <v>53974.787341000003</v>
      </c>
      <c r="O175" s="5">
        <f>[1]Capital!N4+[1]Capital!N6</f>
        <v>54217.511047</v>
      </c>
      <c r="P175" s="5">
        <f>[1]Capital!O4+[1]Capital!O6</f>
        <v>54417.595891999998</v>
      </c>
      <c r="Q175" s="5">
        <f>[1]Capital!P4+[1]Capital!P6</f>
        <v>54579.931780999999</v>
      </c>
      <c r="R175" s="5">
        <f>[1]Capital!Q4+[1]Capital!Q6</f>
        <v>54710.240576999997</v>
      </c>
      <c r="S175" s="5">
        <f>[1]Capital!R4+[1]Capital!R6</f>
        <v>54814.223294999996</v>
      </c>
      <c r="T175" s="5">
        <f>[1]Capital!S4+[1]Capital!S6</f>
        <v>54897.438691000003</v>
      </c>
      <c r="U175" s="5">
        <f>[1]Capital!T4+[1]Capital!T6</f>
        <v>54964.879415000003</v>
      </c>
      <c r="V175" s="5">
        <f>[1]Capital!U4+[1]Capital!U6</f>
        <v>55020.781688000003</v>
      </c>
      <c r="W175" s="5">
        <f>[1]Capital!V4+[1]Capital!V6</f>
        <v>55066.011484000002</v>
      </c>
      <c r="X175" s="5">
        <f>[1]Capital!W4+[1]Capital!W6</f>
        <v>55104.171736000004</v>
      </c>
      <c r="Y175" s="5">
        <f>[1]Capital!X4+[1]Capital!X6</f>
        <v>55138.080625000002</v>
      </c>
      <c r="Z175" s="5">
        <f>[1]Capital!Y4+[1]Capital!Y6</f>
        <v>55169.700924999997</v>
      </c>
      <c r="AA175" s="5">
        <f>[1]Capital!Z4+[1]Capital!Z6</f>
        <v>55200.209819000003</v>
      </c>
      <c r="AB175" s="5">
        <f>[1]Capital!AA4+[1]Capital!AA6</f>
        <v>55223.367300999998</v>
      </c>
      <c r="AC175" s="5">
        <f>[1]Capital!AB4+[1]Capital!AB6</f>
        <v>55238.826847000004</v>
      </c>
      <c r="AD175" s="5">
        <f>[1]Capital!AC4+[1]Capital!AC6</f>
        <v>55247.081107999998</v>
      </c>
      <c r="AE175" s="5">
        <f>[1]Capital!AD4+[1]Capital!AD6</f>
        <v>55249.070570000003</v>
      </c>
      <c r="AF175" s="5">
        <f>[1]Capital!AE4+[1]Capital!AE6</f>
        <v>55245.844072</v>
      </c>
      <c r="AG175" s="5">
        <f>[1]Capital!AF4+[1]Capital!AF6</f>
        <v>55238.385645000002</v>
      </c>
      <c r="AH175" s="5">
        <f>[1]Capital!AG4+[1]Capital!AG6</f>
        <v>55227.568647</v>
      </c>
      <c r="AI175" s="5">
        <f>[1]Capital!AH4+[1]Capital!AH6</f>
        <v>55214.068124999998</v>
      </c>
      <c r="AJ175" s="5">
        <f>[1]Capital!AI4+[1]Capital!AI6</f>
        <v>55198.391030999999</v>
      </c>
      <c r="AK175" s="5">
        <f>[1]Capital!AJ4+[1]Capital!AJ6</f>
        <v>55180.913329999996</v>
      </c>
      <c r="AL175" s="5">
        <f>[1]Capital!AK4+[1]Capital!AK6</f>
        <v>55161.927565999998</v>
      </c>
      <c r="AM175" s="5">
        <f>[1]Capital!AL4+[1]Capital!AL6</f>
        <v>55140.646313999998</v>
      </c>
      <c r="AN175" s="5">
        <f>[1]Capital!AM4+[1]Capital!AM6</f>
        <v>55116.667774000001</v>
      </c>
      <c r="AO175" s="5">
        <f>[1]Capital!AN4+[1]Capital!AN6</f>
        <v>55090.116543999997</v>
      </c>
      <c r="AP175" s="5">
        <f>[1]Capital!AO4+[1]Capital!AO6</f>
        <v>55061.499067000004</v>
      </c>
      <c r="AQ175" s="5">
        <f>[1]Capital!AP4+[1]Capital!AP6</f>
        <v>55031.526868000001</v>
      </c>
      <c r="AR175" s="5">
        <f>[1]Capital!AQ4+[1]Capital!AQ6</f>
        <v>55001.022368999998</v>
      </c>
      <c r="AS175" s="5">
        <f>[1]Capital!AR4+[1]Capital!AR6</f>
        <v>54970.744522000001</v>
      </c>
      <c r="AT175" s="5">
        <f>[1]Capital!AS4+[1]Capital!AS6</f>
        <v>54941.340563000005</v>
      </c>
      <c r="AU175" s="5">
        <f>[1]Capital!AT4+[1]Capital!AT6</f>
        <v>54913.309636999998</v>
      </c>
      <c r="AV175" s="5">
        <f>[1]Capital!AU4+[1]Capital!AU6</f>
        <v>54886.996226999996</v>
      </c>
      <c r="AW175" s="5">
        <f>[1]Capital!AV4+[1]Capital!AV6</f>
        <v>54862.878934</v>
      </c>
      <c r="AX175" s="5">
        <f>[1]Capital!AW4+[1]Capital!AW6</f>
        <v>54841.238148999997</v>
      </c>
      <c r="AY175" s="5">
        <f>[1]Capital!AX4+[1]Capital!AX6</f>
        <v>54818.738545</v>
      </c>
      <c r="AZ175" s="5">
        <f>[1]Capital!AY4+[1]Capital!AY6</f>
        <v>54790.557588000003</v>
      </c>
      <c r="BA175" s="5">
        <f>[1]Capital!AZ4+[1]Capital!AZ6</f>
        <v>54763.857593000001</v>
      </c>
      <c r="BB175" s="5">
        <f>[1]Capital!BA4+[1]Capital!BA6</f>
        <v>105834.417663</v>
      </c>
      <c r="BC175" s="5">
        <f>[1]Capital!BB4+[1]Capital!BB6</f>
        <v>107731.277131</v>
      </c>
      <c r="BD175" s="5">
        <f>[1]Capital!BC4+[1]Capital!BC6</f>
        <v>109661.173695</v>
      </c>
      <c r="BE175" s="5">
        <f>[1]Capital!BD4+[1]Capital!BD6</f>
        <v>111624.429311</v>
      </c>
      <c r="BF175" s="5">
        <f>[1]Capital!BE4+[1]Capital!BE6</f>
        <v>113621.388359</v>
      </c>
    </row>
    <row r="176" spans="1:58" x14ac:dyDescent="0.35">
      <c r="B176" t="s">
        <v>30</v>
      </c>
      <c r="C176" s="5">
        <f>[1]Capital!B8+[1]Capital!B10+[1]Capital!B13+[1]Capital!B14+[1]Capital!B16+[1]Capital!B18+[1]Capital!B20+[1]Capital!B22+[1]Capital!B24+[1]Capital!B26+[1]Capital!B40</f>
        <v>2593047.3218570002</v>
      </c>
      <c r="D176" s="5">
        <f>[1]Capital!C8+[1]Capital!C10+[1]Capital!C13+[1]Capital!C14+[1]Capital!C16+[1]Capital!C18+[1]Capital!C20+[1]Capital!C22+[1]Capital!C24+[1]Capital!C26+[1]Capital!C40</f>
        <v>2619766.1735570002</v>
      </c>
      <c r="E176" s="5">
        <f>[1]Capital!D8+[1]Capital!D10+[1]Capital!D13+[1]Capital!D14+[1]Capital!D16+[1]Capital!D18+[1]Capital!D20+[1]Capital!D22+[1]Capital!D24+[1]Capital!D26+[1]Capital!D40</f>
        <v>2647005.5978660001</v>
      </c>
      <c r="F176" s="5">
        <f>[1]Capital!E8+[1]Capital!E10+[1]Capital!E13+[1]Capital!E14+[1]Capital!E16+[1]Capital!E18+[1]Capital!E20+[1]Capital!E22+[1]Capital!E24+[1]Capital!E26+[1]Capital!E40</f>
        <v>2675134.8570779995</v>
      </c>
      <c r="G176" s="5">
        <f>[1]Capital!F8+[1]Capital!F10+[1]Capital!F13+[1]Capital!F14+[1]Capital!F16+[1]Capital!F18+[1]Capital!F20+[1]Capital!F22+[1]Capital!F24+[1]Capital!F26+[1]Capital!F40</f>
        <v>2704194.5983069995</v>
      </c>
      <c r="H176" s="5">
        <f>[1]Capital!G8+[1]Capital!G10+[1]Capital!G13+[1]Capital!G14+[1]Capital!G16+[1]Capital!G18+[1]Capital!G20+[1]Capital!G22+[1]Capital!G24+[1]Capital!G26+[1]Capital!G40</f>
        <v>2734053.492943</v>
      </c>
      <c r="I176" s="5">
        <f>[1]Capital!H8+[1]Capital!H10+[1]Capital!H13+[1]Capital!H14+[1]Capital!H16+[1]Capital!H18+[1]Capital!H20+[1]Capital!H22+[1]Capital!H24+[1]Capital!H26+[1]Capital!H40</f>
        <v>2764420.0580729996</v>
      </c>
      <c r="J176" s="5">
        <f>[1]Capital!I8+[1]Capital!I10+[1]Capital!I13+[1]Capital!I14+[1]Capital!I16+[1]Capital!I18+[1]Capital!I20+[1]Capital!I22+[1]Capital!I24+[1]Capital!I26+[1]Capital!I40</f>
        <v>2795045.9666110002</v>
      </c>
      <c r="K176" s="5">
        <f>[1]Capital!J8+[1]Capital!J10+[1]Capital!J13+[1]Capital!J14+[1]Capital!J16+[1]Capital!J18+[1]Capital!J20+[1]Capital!J22+[1]Capital!J24+[1]Capital!J26+[1]Capital!J40</f>
        <v>2825752.8743389999</v>
      </c>
      <c r="L176" s="5">
        <f>[1]Capital!K8+[1]Capital!K10+[1]Capital!K13+[1]Capital!K14+[1]Capital!K16+[1]Capital!K18+[1]Capital!K20+[1]Capital!K22+[1]Capital!K24+[1]Capital!K26+[1]Capital!K40</f>
        <v>2856443.2959440001</v>
      </c>
      <c r="M176" s="5">
        <f>[1]Capital!L8+[1]Capital!L10+[1]Capital!L13+[1]Capital!L14+[1]Capital!L16+[1]Capital!L18+[1]Capital!L20+[1]Capital!L22+[1]Capital!L24+[1]Capital!L26+[1]Capital!L40</f>
        <v>2887253.6312899999</v>
      </c>
      <c r="N176" s="5">
        <f>[1]Capital!M8+[1]Capital!M10+[1]Capital!M13+[1]Capital!M14+[1]Capital!M16+[1]Capital!M18+[1]Capital!M20+[1]Capital!M22+[1]Capital!M24+[1]Capital!M26+[1]Capital!M40</f>
        <v>2918154.0167529997</v>
      </c>
      <c r="O176" s="5">
        <f>[1]Capital!N8+[1]Capital!N10+[1]Capital!N13+[1]Capital!N14+[1]Capital!N16+[1]Capital!N18+[1]Capital!N20+[1]Capital!N22+[1]Capital!N24+[1]Capital!N26+[1]Capital!N40</f>
        <v>2949193.4443579996</v>
      </c>
      <c r="P176" s="5">
        <f>[1]Capital!O8+[1]Capital!O10+[1]Capital!O13+[1]Capital!O14+[1]Capital!O16+[1]Capital!O18+[1]Capital!O20+[1]Capital!O22+[1]Capital!O24+[1]Capital!O26+[1]Capital!O40</f>
        <v>2980466.8657630002</v>
      </c>
      <c r="Q176" s="5">
        <f>[1]Capital!P8+[1]Capital!P10+[1]Capital!P13+[1]Capital!P14+[1]Capital!P16+[1]Capital!P18+[1]Capital!P20+[1]Capital!P22+[1]Capital!P24+[1]Capital!P26+[1]Capital!P40</f>
        <v>3012094.4631969999</v>
      </c>
      <c r="R176" s="5">
        <f>[1]Capital!Q8+[1]Capital!Q10+[1]Capital!Q13+[1]Capital!Q14+[1]Capital!Q16+[1]Capital!Q18+[1]Capital!Q20+[1]Capital!Q22+[1]Capital!Q24+[1]Capital!Q26+[1]Capital!Q40</f>
        <v>3044206.4352660002</v>
      </c>
      <c r="S176" s="5">
        <f>[1]Capital!R8+[1]Capital!R10+[1]Capital!R13+[1]Capital!R14+[1]Capital!R16+[1]Capital!R18+[1]Capital!R20+[1]Capital!R22+[1]Capital!R24+[1]Capital!R26+[1]Capital!R40</f>
        <v>3076916.3935110001</v>
      </c>
      <c r="T176" s="5">
        <f>[1]Capital!S8+[1]Capital!S10+[1]Capital!S13+[1]Capital!S14+[1]Capital!S16+[1]Capital!S18+[1]Capital!S20+[1]Capital!S22+[1]Capital!S24+[1]Capital!S26+[1]Capital!S40</f>
        <v>3110337.6716220002</v>
      </c>
      <c r="U176" s="5">
        <f>[1]Capital!T8+[1]Capital!T10+[1]Capital!T13+[1]Capital!T14+[1]Capital!T16+[1]Capital!T18+[1]Capital!T20+[1]Capital!T22+[1]Capital!T24+[1]Capital!T26+[1]Capital!T40</f>
        <v>3144574.9572860003</v>
      </c>
      <c r="V176" s="5">
        <f>[1]Capital!U8+[1]Capital!U10+[1]Capital!U13+[1]Capital!U14+[1]Capital!U16+[1]Capital!U18+[1]Capital!U20+[1]Capital!U22+[1]Capital!U24+[1]Capital!U26+[1]Capital!U40</f>
        <v>3179720.8189920001</v>
      </c>
      <c r="W176" s="5">
        <f>[1]Capital!V8+[1]Capital!V10+[1]Capital!V13+[1]Capital!V14+[1]Capital!V16+[1]Capital!V18+[1]Capital!V20+[1]Capital!V22+[1]Capital!V24+[1]Capital!V26+[1]Capital!V40</f>
        <v>3215744.6417970001</v>
      </c>
      <c r="X176" s="5">
        <f>[1]Capital!W8+[1]Capital!W10+[1]Capital!W13+[1]Capital!W14+[1]Capital!W16+[1]Capital!W18+[1]Capital!W20+[1]Capital!W22+[1]Capital!W24+[1]Capital!W26+[1]Capital!W40</f>
        <v>3252753.0106560001</v>
      </c>
      <c r="Y176" s="5">
        <f>[1]Capital!X8+[1]Capital!X10+[1]Capital!X13+[1]Capital!X14+[1]Capital!X16+[1]Capital!X18+[1]Capital!X20+[1]Capital!X22+[1]Capital!X24+[1]Capital!X26+[1]Capital!X40</f>
        <v>3290825.7066589999</v>
      </c>
      <c r="Z176" s="5">
        <f>[1]Capital!Y8+[1]Capital!Y10+[1]Capital!Y13+[1]Capital!Y14+[1]Capital!Y16+[1]Capital!Y18+[1]Capital!Y20+[1]Capital!Y22+[1]Capital!Y24+[1]Capital!Y26+[1]Capital!Y40</f>
        <v>3330024.7286570002</v>
      </c>
      <c r="AA176" s="5">
        <f>[1]Capital!Z8+[1]Capital!Z10+[1]Capital!Z13+[1]Capital!Z14+[1]Capital!Z16+[1]Capital!Z18+[1]Capital!Z20+[1]Capital!Z22+[1]Capital!Z24+[1]Capital!Z26+[1]Capital!Z40</f>
        <v>3370397.8449659999</v>
      </c>
      <c r="AB176" s="5">
        <f>[1]Capital!AA8+[1]Capital!AA10+[1]Capital!AA13+[1]Capital!AA14+[1]Capital!AA16+[1]Capital!AA18+[1]Capital!AA20+[1]Capital!AA22+[1]Capital!AA24+[1]Capital!AA26+[1]Capital!AA40</f>
        <v>3411667.9813249996</v>
      </c>
      <c r="AC176" s="5">
        <f>[1]Capital!AB8+[1]Capital!AB10+[1]Capital!AB13+[1]Capital!AB14+[1]Capital!AB16+[1]Capital!AB18+[1]Capital!AB20+[1]Capital!AB22+[1]Capital!AB24+[1]Capital!AB26+[1]Capital!AB40</f>
        <v>3453829.5739379996</v>
      </c>
      <c r="AD176" s="5">
        <f>[1]Capital!AC8+[1]Capital!AC10+[1]Capital!AC13+[1]Capital!AC14+[1]Capital!AC16+[1]Capital!AC18+[1]Capital!AC20+[1]Capital!AC22+[1]Capital!AC24+[1]Capital!AC26+[1]Capital!AC40</f>
        <v>3496874.7378569995</v>
      </c>
      <c r="AE176" s="5">
        <f>[1]Capital!AD8+[1]Capital!AD10+[1]Capital!AD13+[1]Capital!AD14+[1]Capital!AD16+[1]Capital!AD18+[1]Capital!AD20+[1]Capital!AD22+[1]Capital!AD24+[1]Capital!AD26+[1]Capital!AD40</f>
        <v>3540798.6016610004</v>
      </c>
      <c r="AF176" s="5">
        <f>[1]Capital!AE8+[1]Capital!AE10+[1]Capital!AE13+[1]Capital!AE14+[1]Capital!AE16+[1]Capital!AE18+[1]Capital!AE20+[1]Capital!AE22+[1]Capital!AE24+[1]Capital!AE26+[1]Capital!AE40</f>
        <v>3585597.6881919997</v>
      </c>
      <c r="AG176" s="5">
        <f>[1]Capital!AF8+[1]Capital!AF10+[1]Capital!AF13+[1]Capital!AF14+[1]Capital!AF16+[1]Capital!AF18+[1]Capital!AF20+[1]Capital!AF22+[1]Capital!AF24+[1]Capital!AF26+[1]Capital!AF40</f>
        <v>3631267.2959919996</v>
      </c>
      <c r="AH176" s="5">
        <f>[1]Capital!AG8+[1]Capital!AG10+[1]Capital!AG13+[1]Capital!AG14+[1]Capital!AG16+[1]Capital!AG18+[1]Capital!AG20+[1]Capital!AG22+[1]Capital!AG24+[1]Capital!AG26+[1]Capital!AG40</f>
        <v>3677802.6519419993</v>
      </c>
      <c r="AI176" s="5">
        <f>[1]Capital!AH8+[1]Capital!AH10+[1]Capital!AH13+[1]Capital!AH14+[1]Capital!AH16+[1]Capital!AH18+[1]Capital!AH20+[1]Capital!AH22+[1]Capital!AH24+[1]Capital!AH26+[1]Capital!AH40</f>
        <v>3725191.7499320004</v>
      </c>
      <c r="AJ176" s="5">
        <f>[1]Capital!AI8+[1]Capital!AI10+[1]Capital!AI13+[1]Capital!AI14+[1]Capital!AI16+[1]Capital!AI18+[1]Capital!AI20+[1]Capital!AI22+[1]Capital!AI24+[1]Capital!AI26+[1]Capital!AI40</f>
        <v>3773415.589952</v>
      </c>
      <c r="AK176" s="5">
        <f>[1]Capital!AJ8+[1]Capital!AJ10+[1]Capital!AJ13+[1]Capital!AJ14+[1]Capital!AJ16+[1]Capital!AJ18+[1]Capital!AJ20+[1]Capital!AJ22+[1]Capital!AJ24+[1]Capital!AJ26+[1]Capital!AJ40</f>
        <v>3822448.8407600005</v>
      </c>
      <c r="AL176" s="5">
        <f>[1]Capital!AK8+[1]Capital!AK10+[1]Capital!AK13+[1]Capital!AK14+[1]Capital!AK16+[1]Capital!AK18+[1]Capital!AK20+[1]Capital!AK22+[1]Capital!AK24+[1]Capital!AK26+[1]Capital!AK40</f>
        <v>3872261.0900409995</v>
      </c>
      <c r="AM176" s="5">
        <f>[1]Capital!AL8+[1]Capital!AL10+[1]Capital!AL13+[1]Capital!AL14+[1]Capital!AL16+[1]Capital!AL18+[1]Capital!AL20+[1]Capital!AL22+[1]Capital!AL24+[1]Capital!AL26+[1]Capital!AL40</f>
        <v>3922779.0035620001</v>
      </c>
      <c r="AN176" s="5">
        <f>[1]Capital!AM8+[1]Capital!AM10+[1]Capital!AM13+[1]Capital!AM14+[1]Capital!AM16+[1]Capital!AM18+[1]Capital!AM20+[1]Capital!AM22+[1]Capital!AM24+[1]Capital!AM26+[1]Capital!AM40</f>
        <v>3973938.1295699999</v>
      </c>
      <c r="AO176" s="5">
        <f>[1]Capital!AN8+[1]Capital!AN10+[1]Capital!AN13+[1]Capital!AN14+[1]Capital!AN16+[1]Capital!AN18+[1]Capital!AN20+[1]Capital!AN22+[1]Capital!AN24+[1]Capital!AN26+[1]Capital!AN40</f>
        <v>4025682.7259649998</v>
      </c>
      <c r="AP176" s="5">
        <f>[1]Capital!AO8+[1]Capital!AO10+[1]Capital!AO13+[1]Capital!AO14+[1]Capital!AO16+[1]Capital!AO18+[1]Capital!AO20+[1]Capital!AO22+[1]Capital!AO24+[1]Capital!AO26+[1]Capital!AO40</f>
        <v>4077964.2774879998</v>
      </c>
      <c r="AQ176" s="5">
        <f>[1]Capital!AP8+[1]Capital!AP10+[1]Capital!AP13+[1]Capital!AP14+[1]Capital!AP16+[1]Capital!AP18+[1]Capital!AP20+[1]Capital!AP22+[1]Capital!AP24+[1]Capital!AP26+[1]Capital!AP40</f>
        <v>4130739.9274049997</v>
      </c>
      <c r="AR176" s="5">
        <f>[1]Capital!AQ8+[1]Capital!AQ10+[1]Capital!AQ13+[1]Capital!AQ14+[1]Capital!AQ16+[1]Capital!AQ18+[1]Capital!AQ20+[1]Capital!AQ22+[1]Capital!AQ24+[1]Capital!AQ26+[1]Capital!AQ40</f>
        <v>4183976.6689190003</v>
      </c>
      <c r="AS176" s="5">
        <f>[1]Capital!AR8+[1]Capital!AR10+[1]Capital!AR13+[1]Capital!AR14+[1]Capital!AR16+[1]Capital!AR18+[1]Capital!AR20+[1]Capital!AR22+[1]Capital!AR24+[1]Capital!AR26+[1]Capital!AR40</f>
        <v>4237642.1816229997</v>
      </c>
      <c r="AT176" s="5">
        <f>[1]Capital!AS8+[1]Capital!AS10+[1]Capital!AS13+[1]Capital!AS14+[1]Capital!AS16+[1]Capital!AS18+[1]Capital!AS20+[1]Capital!AS22+[1]Capital!AS24+[1]Capital!AS26+[1]Capital!AS40</f>
        <v>4291704.7739750007</v>
      </c>
      <c r="AU176" s="5">
        <f>[1]Capital!AT8+[1]Capital!AT10+[1]Capital!AT13+[1]Capital!AT14+[1]Capital!AT16+[1]Capital!AT18+[1]Capital!AT20+[1]Capital!AT22+[1]Capital!AT24+[1]Capital!AT26+[1]Capital!AT40</f>
        <v>4346132.829593</v>
      </c>
      <c r="AV176" s="5">
        <f>[1]Capital!AU8+[1]Capital!AU10+[1]Capital!AU13+[1]Capital!AU14+[1]Capital!AU16+[1]Capital!AU18+[1]Capital!AU20+[1]Capital!AU22+[1]Capital!AU24+[1]Capital!AU26+[1]Capital!AU40</f>
        <v>4400894.5794940004</v>
      </c>
      <c r="AW176" s="5">
        <f>[1]Capital!AV8+[1]Capital!AV10+[1]Capital!AV13+[1]Capital!AV14+[1]Capital!AV16+[1]Capital!AV18+[1]Capital!AV20+[1]Capital!AV22+[1]Capital!AV24+[1]Capital!AV26+[1]Capital!AV40</f>
        <v>4455984.4770469991</v>
      </c>
      <c r="AX176" s="5">
        <f>[1]Capital!AW8+[1]Capital!AW10+[1]Capital!AW13+[1]Capital!AW14+[1]Capital!AW16+[1]Capital!AW18+[1]Capital!AW20+[1]Capital!AW22+[1]Capital!AW24+[1]Capital!AW26+[1]Capital!AW40</f>
        <v>4511388.4241249999</v>
      </c>
      <c r="AY176" s="5">
        <f>[1]Capital!AX8+[1]Capital!AX10+[1]Capital!AX13+[1]Capital!AX14+[1]Capital!AX16+[1]Capital!AX18+[1]Capital!AX20+[1]Capital!AX22+[1]Capital!AX24+[1]Capital!AX26+[1]Capital!AX40</f>
        <v>4563774.4984309999</v>
      </c>
      <c r="AZ176" s="5">
        <f>[1]Capital!AY8+[1]Capital!AY10+[1]Capital!AY13+[1]Capital!AY14+[1]Capital!AY16+[1]Capital!AY18+[1]Capital!AY20+[1]Capital!AY22+[1]Capital!AY24+[1]Capital!AY26+[1]Capital!AY40</f>
        <v>4612105.9434059998</v>
      </c>
      <c r="BA176" s="5">
        <f>[1]Capital!AZ8+[1]Capital!AZ10+[1]Capital!AZ13+[1]Capital!AZ14+[1]Capital!AZ16+[1]Capital!AZ18+[1]Capital!AZ20+[1]Capital!AZ22+[1]Capital!AZ24+[1]Capital!AZ26+[1]Capital!AZ40</f>
        <v>4656165.0278500002</v>
      </c>
      <c r="BB176" s="5">
        <f>[1]Capital!BA8+[1]Capital!BA10+[1]Capital!BA13+[1]Capital!BA14+[1]Capital!BA16+[1]Capital!BA18+[1]Capital!BA20+[1]Capital!BA22+[1]Capital!BA24+[1]Capital!BA26+[1]Capital!BA40</f>
        <v>6209852.2842600001</v>
      </c>
      <c r="BC176" s="5">
        <f>[1]Capital!BB8+[1]Capital!BB10+[1]Capital!BB13+[1]Capital!BB14+[1]Capital!BB16+[1]Capital!BB18+[1]Capital!BB20+[1]Capital!BB22+[1]Capital!BB24+[1]Capital!BB26+[1]Capital!BB40</f>
        <v>6334641.4243200002</v>
      </c>
      <c r="BD176" s="5">
        <f>[1]Capital!BC8+[1]Capital!BC10+[1]Capital!BC13+[1]Capital!BC14+[1]Capital!BC16+[1]Capital!BC18+[1]Capital!BC20+[1]Capital!BC22+[1]Capital!BC24+[1]Capital!BC26+[1]Capital!BC40</f>
        <v>6461142.51413</v>
      </c>
      <c r="BE176" s="5">
        <f>[1]Capital!BD8+[1]Capital!BD10+[1]Capital!BD13+[1]Capital!BD14+[1]Capital!BD16+[1]Capital!BD18+[1]Capital!BD20+[1]Capital!BD22+[1]Capital!BD24+[1]Capital!BD26+[1]Capital!BD40</f>
        <v>6589295.0747100003</v>
      </c>
      <c r="BF176" s="5">
        <f>[1]Capital!BE8+[1]Capital!BE10+[1]Capital!BE13+[1]Capital!BE14+[1]Capital!BE16+[1]Capital!BE18+[1]Capital!BE20+[1]Capital!BE22+[1]Capital!BE24+[1]Capital!BE26+[1]Capital!BE40</f>
        <v>6719038.0679900004</v>
      </c>
    </row>
    <row r="177" spans="1:58" x14ac:dyDescent="0.35">
      <c r="B177" t="s">
        <v>9</v>
      </c>
      <c r="C177" s="5">
        <f>[1]Capital!B28+[1]Capital!B30+[1]Capital!B32+[1]Capital!B34</f>
        <v>88391.675071999984</v>
      </c>
      <c r="D177" s="5">
        <f>[1]Capital!C28+[1]Capital!C30+[1]Capital!C32+[1]Capital!C34</f>
        <v>89207.362127999993</v>
      </c>
      <c r="E177" s="5">
        <f>[1]Capital!D28+[1]Capital!D30+[1]Capital!D32+[1]Capital!D34</f>
        <v>90036.242163999996</v>
      </c>
      <c r="F177" s="5">
        <f>[1]Capital!E28+[1]Capital!E30+[1]Capital!E32+[1]Capital!E34</f>
        <v>90894.504763000004</v>
      </c>
      <c r="G177" s="5">
        <f>[1]Capital!F28+[1]Capital!F30+[1]Capital!F32+[1]Capital!F34</f>
        <v>91785.493969000003</v>
      </c>
      <c r="H177" s="5">
        <f>[1]Capital!G28+[1]Capital!G30+[1]Capital!G32+[1]Capital!G34</f>
        <v>92707.174165999997</v>
      </c>
      <c r="I177" s="5">
        <f>[1]Capital!H28+[1]Capital!H30+[1]Capital!H32+[1]Capital!H34</f>
        <v>93650.943755</v>
      </c>
      <c r="J177" s="5">
        <f>[1]Capital!I28+[1]Capital!I30+[1]Capital!I32+[1]Capital!I34</f>
        <v>94610.714563000001</v>
      </c>
      <c r="K177" s="5">
        <f>[1]Capital!J28+[1]Capital!J30+[1]Capital!J32+[1]Capital!J34</f>
        <v>95582.114814</v>
      </c>
      <c r="L177" s="5">
        <f>[1]Capital!K28+[1]Capital!K30+[1]Capital!K32+[1]Capital!K34</f>
        <v>96562.268534999996</v>
      </c>
      <c r="M177" s="5">
        <f>[1]Capital!L28+[1]Capital!L30+[1]Capital!L32+[1]Capital!L34</f>
        <v>97556.982854999995</v>
      </c>
      <c r="N177" s="5">
        <f>[1]Capital!M28+[1]Capital!M30+[1]Capital!M32+[1]Capital!M34</f>
        <v>98560.219703999988</v>
      </c>
      <c r="O177" s="5">
        <f>[1]Capital!N28+[1]Capital!N30+[1]Capital!N32+[1]Capital!N34</f>
        <v>99569.936204000012</v>
      </c>
      <c r="P177" s="5">
        <f>[1]Capital!O28+[1]Capital!O30+[1]Capital!O32+[1]Capital!O34</f>
        <v>100585.649836</v>
      </c>
      <c r="Q177" s="5">
        <f>[1]Capital!P28+[1]Capital!P30+[1]Capital!P32+[1]Capital!P34</f>
        <v>101607.54701600001</v>
      </c>
      <c r="R177" s="5">
        <f>[1]Capital!Q28+[1]Capital!Q30+[1]Capital!Q32+[1]Capital!Q34</f>
        <v>102636.09244699999</v>
      </c>
      <c r="S177" s="5">
        <f>[1]Capital!R28+[1]Capital!R30+[1]Capital!R32+[1]Capital!R34</f>
        <v>103670.96876</v>
      </c>
      <c r="T177" s="5">
        <f>[1]Capital!S28+[1]Capital!S30+[1]Capital!S32+[1]Capital!S34</f>
        <v>104712.46542500002</v>
      </c>
      <c r="U177" s="5">
        <f>[1]Capital!T28+[1]Capital!T30+[1]Capital!T32+[1]Capital!T34</f>
        <v>105761.08134900001</v>
      </c>
      <c r="V177" s="5">
        <f>[1]Capital!U28+[1]Capital!U30+[1]Capital!U32+[1]Capital!U34</f>
        <v>106817.40001300001</v>
      </c>
      <c r="W177" s="5">
        <f>[1]Capital!V28+[1]Capital!V30+[1]Capital!V32+[1]Capital!V34</f>
        <v>107876.885798</v>
      </c>
      <c r="X177" s="5">
        <f>[1]Capital!W28+[1]Capital!W30+[1]Capital!W32+[1]Capital!W34</f>
        <v>108943.36874599999</v>
      </c>
      <c r="Y177" s="5">
        <f>[1]Capital!X28+[1]Capital!X30+[1]Capital!X32+[1]Capital!X34</f>
        <v>110018.891004</v>
      </c>
      <c r="Z177" s="5">
        <f>[1]Capital!Y28+[1]Capital!Y30+[1]Capital!Y32+[1]Capital!Y34</f>
        <v>111104.90908099999</v>
      </c>
      <c r="AA177" s="5">
        <f>[1]Capital!Z28+[1]Capital!Z30+[1]Capital!Z32+[1]Capital!Z34</f>
        <v>112202.649895</v>
      </c>
      <c r="AB177" s="5">
        <f>[1]Capital!AA28+[1]Capital!AA30+[1]Capital!AA32+[1]Capital!AA34</f>
        <v>113298.67756499999</v>
      </c>
      <c r="AC177" s="5">
        <f>[1]Capital!AB28+[1]Capital!AB30+[1]Capital!AB32+[1]Capital!AB34</f>
        <v>114396.203257</v>
      </c>
      <c r="AD177" s="5">
        <f>[1]Capital!AC28+[1]Capital!AC30+[1]Capital!AC32+[1]Capital!AC34</f>
        <v>115497.045969</v>
      </c>
      <c r="AE177" s="5">
        <f>[1]Capital!AD28+[1]Capital!AD30+[1]Capital!AD32+[1]Capital!AD34</f>
        <v>116602.74242899999</v>
      </c>
      <c r="AF177" s="5">
        <f>[1]Capital!AE28+[1]Capital!AE30+[1]Capital!AE32+[1]Capital!AE34</f>
        <v>117714.780799</v>
      </c>
      <c r="AG177" s="5">
        <f>[1]Capital!AF28+[1]Capital!AF30+[1]Capital!AF32+[1]Capital!AF34</f>
        <v>118834.59990700001</v>
      </c>
      <c r="AH177" s="5">
        <f>[1]Capital!AG28+[1]Capital!AG30+[1]Capital!AG32+[1]Capital!AG34</f>
        <v>119963.722972</v>
      </c>
      <c r="AI177" s="5">
        <f>[1]Capital!AH28+[1]Capital!AH30+[1]Capital!AH32+[1]Capital!AH34</f>
        <v>121103.38449300001</v>
      </c>
      <c r="AJ177" s="5">
        <f>[1]Capital!AI28+[1]Capital!AI30+[1]Capital!AI32+[1]Capital!AI34</f>
        <v>122254.58168999999</v>
      </c>
      <c r="AK177" s="5">
        <f>[1]Capital!AJ28+[1]Capital!AJ30+[1]Capital!AJ32+[1]Capital!AJ34</f>
        <v>123418.100296</v>
      </c>
      <c r="AL177" s="5">
        <f>[1]Capital!AK28+[1]Capital!AK30+[1]Capital!AK32+[1]Capital!AK34</f>
        <v>124594.542242</v>
      </c>
      <c r="AM177" s="5">
        <f>[1]Capital!AL28+[1]Capital!AL30+[1]Capital!AL32+[1]Capital!AL34</f>
        <v>125782.74734</v>
      </c>
      <c r="AN177" s="5">
        <f>[1]Capital!AM28+[1]Capital!AM30+[1]Capital!AM32+[1]Capital!AM34</f>
        <v>126982.32691199999</v>
      </c>
      <c r="AO177" s="5">
        <f>[1]Capital!AN28+[1]Capital!AN30+[1]Capital!AN32+[1]Capital!AN34</f>
        <v>128193.21608099999</v>
      </c>
      <c r="AP177" s="5">
        <f>[1]Capital!AO28+[1]Capital!AO30+[1]Capital!AO32+[1]Capital!AO34</f>
        <v>129415.507331</v>
      </c>
      <c r="AQ177" s="5">
        <f>[1]Capital!AP28+[1]Capital!AP30+[1]Capital!AP32+[1]Capital!AP34</f>
        <v>130649.37347600001</v>
      </c>
      <c r="AR177" s="5">
        <f>[1]Capital!AQ28+[1]Capital!AQ30+[1]Capital!AQ32+[1]Capital!AQ34</f>
        <v>131895.301309</v>
      </c>
      <c r="AS177" s="5">
        <f>[1]Capital!AR28+[1]Capital!AR30+[1]Capital!AR32+[1]Capital!AR34</f>
        <v>133153.61134999999</v>
      </c>
      <c r="AT177" s="5">
        <f>[1]Capital!AS28+[1]Capital!AS30+[1]Capital!AS32+[1]Capital!AS34</f>
        <v>134424.53404600002</v>
      </c>
      <c r="AU177" s="5">
        <f>[1]Capital!AT28+[1]Capital!AT30+[1]Capital!AT32+[1]Capital!AT34</f>
        <v>135708.22600900001</v>
      </c>
      <c r="AV177" s="5">
        <f>[1]Capital!AU28+[1]Capital!AU30+[1]Capital!AU32+[1]Capital!AU34</f>
        <v>137004.77732999998</v>
      </c>
      <c r="AW177" s="5">
        <f>[1]Capital!AV28+[1]Capital!AV30+[1]Capital!AV32+[1]Capital!AV34</f>
        <v>138315.464859</v>
      </c>
      <c r="AX177" s="5">
        <f>[1]Capital!AW28+[1]Capital!AW30+[1]Capital!AW32+[1]Capital!AW34</f>
        <v>139640.80771200001</v>
      </c>
      <c r="AY177" s="5">
        <f>[1]Capital!AX28+[1]Capital!AX30+[1]Capital!AX32+[1]Capital!AX34</f>
        <v>140882.45317499997</v>
      </c>
      <c r="AZ177" s="5">
        <f>[1]Capital!AY28+[1]Capital!AY30+[1]Capital!AY32+[1]Capital!AY34</f>
        <v>141987.31685200002</v>
      </c>
      <c r="BA177" s="5">
        <f>[1]Capital!AZ28+[1]Capital!AZ30+[1]Capital!AZ32+[1]Capital!AZ34</f>
        <v>142956.05530199999</v>
      </c>
      <c r="BB177" s="5">
        <f>[1]Capital!BA28+[1]Capital!BA30+[1]Capital!BA32+[1]Capital!BA34</f>
        <v>188979.61027599999</v>
      </c>
      <c r="BC177" s="5">
        <f>[1]Capital!BB28+[1]Capital!BB30+[1]Capital!BB32+[1]Capital!BB34</f>
        <v>192243.26931099998</v>
      </c>
      <c r="BD177" s="5">
        <f>[1]Capital!BC28+[1]Capital!BC30+[1]Capital!BC32+[1]Capital!BC34</f>
        <v>195567.47106400001</v>
      </c>
      <c r="BE177" s="5">
        <f>[1]Capital!BD28+[1]Capital!BD30+[1]Capital!BD32+[1]Capital!BD34</f>
        <v>198953.04954800001</v>
      </c>
      <c r="BF177" s="5">
        <f>[1]Capital!BE28+[1]Capital!BE30+[1]Capital!BE32+[1]Capital!BE34</f>
        <v>202400.852641</v>
      </c>
    </row>
    <row r="178" spans="1:58" x14ac:dyDescent="0.35">
      <c r="B178" t="s">
        <v>10</v>
      </c>
      <c r="C178" s="5">
        <f>[1]Capital!B36+[1]Capital!B38</f>
        <v>2423936.9314999999</v>
      </c>
      <c r="D178" s="5">
        <f>[1]Capital!C36+[1]Capital!C38</f>
        <v>2449531.1954999999</v>
      </c>
      <c r="E178" s="5">
        <f>[1]Capital!D36+[1]Capital!D38</f>
        <v>2475369.4424999999</v>
      </c>
      <c r="F178" s="5">
        <f>[1]Capital!E36+[1]Capital!E38</f>
        <v>2501770.4331999999</v>
      </c>
      <c r="G178" s="5">
        <f>[1]Capital!F36+[1]Capital!F38</f>
        <v>2528833.7314999998</v>
      </c>
      <c r="H178" s="5">
        <f>[1]Capital!G36+[1]Capital!G38</f>
        <v>2556551.2889999999</v>
      </c>
      <c r="I178" s="5">
        <f>[1]Capital!H36+[1]Capital!H38</f>
        <v>2584772.3088000002</v>
      </c>
      <c r="J178" s="5">
        <f>[1]Capital!I36+[1]Capital!I38</f>
        <v>2613412.6782999998</v>
      </c>
      <c r="K178" s="5">
        <f>[1]Capital!J36+[1]Capital!J38</f>
        <v>2642447.0856999997</v>
      </c>
      <c r="L178" s="5">
        <f>[1]Capital!K36+[1]Capital!K38</f>
        <v>2671904.3278999999</v>
      </c>
      <c r="M178" s="5">
        <f>[1]Capital!L36+[1]Capital!L38</f>
        <v>2702039.0289000003</v>
      </c>
      <c r="N178" s="5">
        <f>[1]Capital!M36+[1]Capital!M38</f>
        <v>2732849.5958000002</v>
      </c>
      <c r="O178" s="5">
        <f>[1]Capital!N36+[1]Capital!N38</f>
        <v>2764402.8560000001</v>
      </c>
      <c r="P178" s="5">
        <f>[1]Capital!O36+[1]Capital!O38</f>
        <v>2796783.8908000002</v>
      </c>
      <c r="Q178" s="5">
        <f>[1]Capital!P36+[1]Capital!P38</f>
        <v>2830076.8858000003</v>
      </c>
      <c r="R178" s="5">
        <f>[1]Capital!Q36+[1]Capital!Q38</f>
        <v>2864354.7750000004</v>
      </c>
      <c r="S178" s="5">
        <f>[1]Capital!R36+[1]Capital!R38</f>
        <v>2899661.2903999998</v>
      </c>
      <c r="T178" s="5">
        <f>[1]Capital!S36+[1]Capital!S38</f>
        <v>2936028.2568000001</v>
      </c>
      <c r="U178" s="5">
        <f>[1]Capital!T36+[1]Capital!T38</f>
        <v>2973472.5869</v>
      </c>
      <c r="V178" s="5">
        <f>[1]Capital!U36+[1]Capital!U38</f>
        <v>3011997.2039999999</v>
      </c>
      <c r="W178" s="5">
        <f>[1]Capital!V36+[1]Capital!V38</f>
        <v>3051460.9106999999</v>
      </c>
      <c r="X178" s="5">
        <f>[1]Capital!W36+[1]Capital!W38</f>
        <v>3091909.0652000001</v>
      </c>
      <c r="Y178" s="5">
        <f>[1]Capital!X36+[1]Capital!X38</f>
        <v>3133347.5436</v>
      </c>
      <c r="Z178" s="5">
        <f>[1]Capital!Y36+[1]Capital!Y38</f>
        <v>3175767.9473000001</v>
      </c>
      <c r="AA178" s="5">
        <f>[1]Capital!Z36+[1]Capital!Z38</f>
        <v>3219154.4699000004</v>
      </c>
      <c r="AB178" s="5">
        <f>[1]Capital!AA36+[1]Capital!AA38</f>
        <v>3263106.1545000002</v>
      </c>
      <c r="AC178" s="5">
        <f>[1]Capital!AB36+[1]Capital!AB38</f>
        <v>3307605.9185000001</v>
      </c>
      <c r="AD178" s="5">
        <f>[1]Capital!AC36+[1]Capital!AC38</f>
        <v>3352621.1749</v>
      </c>
      <c r="AE178" s="5">
        <f>[1]Capital!AD36+[1]Capital!AD38</f>
        <v>3398127.2637999998</v>
      </c>
      <c r="AF178" s="5">
        <f>[1]Capital!AE36+[1]Capital!AE38</f>
        <v>3444108.3126000003</v>
      </c>
      <c r="AG178" s="5">
        <f>[1]Capital!AF36+[1]Capital!AF38</f>
        <v>3490554.7905000001</v>
      </c>
      <c r="AH178" s="5">
        <f>[1]Capital!AG36+[1]Capital!AG38</f>
        <v>3537463.6529000001</v>
      </c>
      <c r="AI178" s="5">
        <f>[1]Capital!AH36+[1]Capital!AH38</f>
        <v>3584831.3648000001</v>
      </c>
      <c r="AJ178" s="5">
        <f>[1]Capital!AI36+[1]Capital!AI38</f>
        <v>3632653.6821000003</v>
      </c>
      <c r="AK178" s="5">
        <f>[1]Capital!AJ36+[1]Capital!AJ38</f>
        <v>3680925.7398000001</v>
      </c>
      <c r="AL178" s="5">
        <f>[1]Capital!AK36+[1]Capital!AK38</f>
        <v>3729642.6455000001</v>
      </c>
      <c r="AM178" s="5">
        <f>[1]Capital!AL36+[1]Capital!AL38</f>
        <v>3778738.8787000002</v>
      </c>
      <c r="AN178" s="5">
        <f>[1]Capital!AM36+[1]Capital!AM38</f>
        <v>3828179.1740000001</v>
      </c>
      <c r="AO178" s="5">
        <f>[1]Capital!AN36+[1]Capital!AN38</f>
        <v>3877943.8871999998</v>
      </c>
      <c r="AP178" s="5">
        <f>[1]Capital!AO36+[1]Capital!AO38</f>
        <v>3928023.4641</v>
      </c>
      <c r="AQ178" s="5">
        <f>[1]Capital!AP36+[1]Capital!AP38</f>
        <v>3978415.5597000001</v>
      </c>
      <c r="AR178" s="5">
        <f>[1]Capital!AQ36+[1]Capital!AQ38</f>
        <v>4029127.8419999997</v>
      </c>
      <c r="AS178" s="5">
        <f>[1]Capital!AR36+[1]Capital!AR38</f>
        <v>4080168.9898000001</v>
      </c>
      <c r="AT178" s="5">
        <f>[1]Capital!AS36+[1]Capital!AS38</f>
        <v>4131548.2927999999</v>
      </c>
      <c r="AU178" s="5">
        <f>[1]Capital!AT36+[1]Capital!AT38</f>
        <v>4183274.7706999998</v>
      </c>
      <c r="AV178" s="5">
        <f>[1]Capital!AU36+[1]Capital!AU38</f>
        <v>4235356.7733000005</v>
      </c>
      <c r="AW178" s="5">
        <f>[1]Capital!AV36+[1]Capital!AV38</f>
        <v>4287827.3885000004</v>
      </c>
      <c r="AX178" s="5">
        <f>[1]Capital!AW36+[1]Capital!AW38</f>
        <v>4340708.1940000001</v>
      </c>
      <c r="AY178" s="5">
        <f>[1]Capital!AX36+[1]Capital!AX38</f>
        <v>4389747.08</v>
      </c>
      <c r="AZ178" s="5">
        <f>[1]Capital!AY36+[1]Capital!AY38</f>
        <v>4435025.3181999996</v>
      </c>
      <c r="BA178" s="5">
        <f>[1]Capital!AZ36+[1]Capital!AZ38</f>
        <v>4476751.2938000001</v>
      </c>
      <c r="BB178" s="5">
        <f>[1]Capital!BA36+[1]Capital!BA38</f>
        <v>5359346.3844000008</v>
      </c>
      <c r="BC178" s="5">
        <f>[1]Capital!BB36+[1]Capital!BB38</f>
        <v>5453406.2421000004</v>
      </c>
      <c r="BD178" s="5">
        <f>[1]Capital!BC36+[1]Capital!BC38</f>
        <v>5548944.1100000003</v>
      </c>
      <c r="BE178" s="5">
        <f>[1]Capital!BD36+[1]Capital!BD38</f>
        <v>5645969.352</v>
      </c>
      <c r="BF178" s="5">
        <f>[1]Capital!BE36+[1]Capital!BE38</f>
        <v>5744492.3270000005</v>
      </c>
    </row>
    <row r="179" spans="1:58" x14ac:dyDescent="0.35">
      <c r="B179" t="s">
        <v>29</v>
      </c>
      <c r="C179" s="5">
        <f>[1]Capital!B42+[1]Capital!B46</f>
        <v>22892.777372199998</v>
      </c>
      <c r="D179" s="5">
        <f>[1]Capital!C42+[1]Capital!C46</f>
        <v>23097.887520100001</v>
      </c>
      <c r="E179" s="5">
        <f>[1]Capital!D42+[1]Capital!D46</f>
        <v>23288.570721</v>
      </c>
      <c r="F179" s="5">
        <f>[1]Capital!E42+[1]Capital!E46</f>
        <v>23468.5872208</v>
      </c>
      <c r="G179" s="5">
        <f>[1]Capital!F42+[1]Capital!F46</f>
        <v>23641.5043702</v>
      </c>
      <c r="H179" s="5">
        <f>[1]Capital!G42+[1]Capital!G46</f>
        <v>23810.697327099999</v>
      </c>
      <c r="I179" s="5">
        <f>[1]Capital!H42+[1]Capital!H46</f>
        <v>23978.279283900003</v>
      </c>
      <c r="J179" s="5">
        <f>[1]Capital!I42+[1]Capital!I46</f>
        <v>24146.151937299997</v>
      </c>
      <c r="K179" s="5">
        <f>[1]Capital!J42+[1]Capital!J46</f>
        <v>24315.886390800002</v>
      </c>
      <c r="L179" s="5">
        <f>[1]Capital!K42+[1]Capital!K46</f>
        <v>24488.696087099997</v>
      </c>
      <c r="M179" s="5">
        <f>[1]Capital!L42+[1]Capital!L46</f>
        <v>24666.829790200001</v>
      </c>
      <c r="N179" s="5">
        <f>[1]Capital!M42+[1]Capital!M46</f>
        <v>24850.207981799998</v>
      </c>
      <c r="O179" s="5">
        <f>[1]Capital!N42+[1]Capital!N46</f>
        <v>25038.823598200001</v>
      </c>
      <c r="P179" s="5">
        <f>[1]Capital!O42+[1]Capital!O46</f>
        <v>25232.707270499999</v>
      </c>
      <c r="Q179" s="5">
        <f>[1]Capital!P42+[1]Capital!P46</f>
        <v>25431.850417799997</v>
      </c>
      <c r="R179" s="5">
        <f>[1]Capital!Q42+[1]Capital!Q46</f>
        <v>25636.1828202</v>
      </c>
      <c r="S179" s="5">
        <f>[1]Capital!R42+[1]Capital!R46</f>
        <v>25845.438986599998</v>
      </c>
      <c r="T179" s="5">
        <f>[1]Capital!S42+[1]Capital!S46</f>
        <v>26059.398519500002</v>
      </c>
      <c r="U179" s="5">
        <f>[1]Capital!T42+[1]Capital!T46</f>
        <v>26277.861459100001</v>
      </c>
      <c r="V179" s="5">
        <f>[1]Capital!U42+[1]Capital!U46</f>
        <v>26500.643010299998</v>
      </c>
      <c r="W179" s="5">
        <f>[1]Capital!V42+[1]Capital!V46</f>
        <v>26726.6202476</v>
      </c>
      <c r="X179" s="5">
        <f>[1]Capital!W42+[1]Capital!W46</f>
        <v>26956.061919299998</v>
      </c>
      <c r="Y179" s="5">
        <f>[1]Capital!X42+[1]Capital!X46</f>
        <v>27189.128606599999</v>
      </c>
      <c r="Z179" s="5">
        <f>[1]Capital!Y42+[1]Capital!Y46</f>
        <v>27425.900937799997</v>
      </c>
      <c r="AA179" s="5">
        <f>[1]Capital!Z42+[1]Capital!Z46</f>
        <v>27666.442290799998</v>
      </c>
      <c r="AB179" s="5">
        <f>[1]Capital!AA42+[1]Capital!AA46</f>
        <v>27908.1195419</v>
      </c>
      <c r="AC179" s="5">
        <f>[1]Capital!AB42+[1]Capital!AB46</f>
        <v>28150.935433899998</v>
      </c>
      <c r="AD179" s="5">
        <f>[1]Capital!AC42+[1]Capital!AC46</f>
        <v>28394.994240499997</v>
      </c>
      <c r="AE179" s="5">
        <f>[1]Capital!AD42+[1]Capital!AD46</f>
        <v>28640.4046127</v>
      </c>
      <c r="AF179" s="5">
        <f>[1]Capital!AE42+[1]Capital!AE46</f>
        <v>28887.305210499999</v>
      </c>
      <c r="AG179" s="5">
        <f>[1]Capital!AF42+[1]Capital!AF46</f>
        <v>29135.874570399999</v>
      </c>
      <c r="AH179" s="5">
        <f>[1]Capital!AG42+[1]Capital!AG46</f>
        <v>29386.3551611</v>
      </c>
      <c r="AI179" s="5">
        <f>[1]Capital!AH42+[1]Capital!AH46</f>
        <v>29638.997053999999</v>
      </c>
      <c r="AJ179" s="5">
        <f>[1]Capital!AI42+[1]Capital!AI46</f>
        <v>29894.055772</v>
      </c>
      <c r="AK179" s="5">
        <f>[1]Capital!AJ42+[1]Capital!AJ46</f>
        <v>30151.787057599999</v>
      </c>
      <c r="AL179" s="5">
        <f>[1]Capital!AK42+[1]Capital!AK46</f>
        <v>30412.440952599998</v>
      </c>
      <c r="AM179" s="5">
        <f>[1]Capital!AL42+[1]Capital!AL46</f>
        <v>30675.877411199999</v>
      </c>
      <c r="AN179" s="5">
        <f>[1]Capital!AM42+[1]Capital!AM46</f>
        <v>30942.056572199999</v>
      </c>
      <c r="AO179" s="5">
        <f>[1]Capital!AN42+[1]Capital!AN46</f>
        <v>31211.023207300001</v>
      </c>
      <c r="AP179" s="5">
        <f>[1]Capital!AO42+[1]Capital!AO46</f>
        <v>31482.868865200002</v>
      </c>
      <c r="AQ179" s="5">
        <f>[1]Capital!AP42+[1]Capital!AP46</f>
        <v>31757.709515799997</v>
      </c>
      <c r="AR179" s="5">
        <f>[1]Capital!AQ42+[1]Capital!AQ46</f>
        <v>32035.712375700001</v>
      </c>
      <c r="AS179" s="5">
        <f>[1]Capital!AR42+[1]Capital!AR46</f>
        <v>32317.028218199997</v>
      </c>
      <c r="AT179" s="5">
        <f>[1]Capital!AS42+[1]Capital!AS46</f>
        <v>32601.7992509</v>
      </c>
      <c r="AU179" s="5">
        <f>[1]Capital!AT42+[1]Capital!AT46</f>
        <v>32890.161875600003</v>
      </c>
      <c r="AV179" s="5">
        <f>[1]Capital!AU42+[1]Capital!AU46</f>
        <v>33182.2467187</v>
      </c>
      <c r="AW179" s="5">
        <f>[1]Capital!AV42+[1]Capital!AV46</f>
        <v>33478.361421100002</v>
      </c>
      <c r="AX179" s="5">
        <f>[1]Capital!AW42+[1]Capital!AW46</f>
        <v>33778.712323100001</v>
      </c>
      <c r="AY179" s="5">
        <f>[1]Capital!AX42+[1]Capital!AX46</f>
        <v>34095.982153700003</v>
      </c>
      <c r="AZ179" s="5">
        <f>[1]Capital!AY42+[1]Capital!AY46</f>
        <v>34411.765305699999</v>
      </c>
      <c r="BA179" s="5">
        <f>[1]Capital!AZ42+[1]Capital!AZ46</f>
        <v>34718.830137500001</v>
      </c>
      <c r="BB179" s="5">
        <f>[1]Capital!BA42+[1]Capital!BA46</f>
        <v>43084.703591199999</v>
      </c>
      <c r="BC179" s="5">
        <f>[1]Capital!BB42+[1]Capital!BB46</f>
        <v>43734.392432000001</v>
      </c>
      <c r="BD179" s="5">
        <f>[1]Capital!BC42+[1]Capital!BC46</f>
        <v>44395.129217000002</v>
      </c>
      <c r="BE179" s="5">
        <f>[1]Capital!BD42+[1]Capital!BD46</f>
        <v>45066.992703000004</v>
      </c>
      <c r="BF179" s="5">
        <f>[1]Capital!BE42+[1]Capital!BE46</f>
        <v>45750.076520999995</v>
      </c>
    </row>
    <row r="180" spans="1:58" x14ac:dyDescent="0.35">
      <c r="B180" t="s">
        <v>36</v>
      </c>
      <c r="C180" s="5">
        <f>[1]Capital!B44+[1]Capital!B48</f>
        <v>1939.3348148</v>
      </c>
      <c r="D180" s="5">
        <f>[1]Capital!C44+[1]Capital!C48</f>
        <v>1957.071046</v>
      </c>
      <c r="E180" s="5">
        <f>[1]Capital!D44+[1]Capital!D48</f>
        <v>1973.4359416</v>
      </c>
      <c r="F180" s="5">
        <f>[1]Capital!E44+[1]Capital!E48</f>
        <v>1988.7030159000001</v>
      </c>
      <c r="G180" s="5">
        <f>[1]Capital!F44+[1]Capital!F48</f>
        <v>2003.1794021000001</v>
      </c>
      <c r="H180" s="5">
        <f>[1]Capital!G44+[1]Capital!G48</f>
        <v>2017.1696095</v>
      </c>
      <c r="I180" s="5">
        <f>[1]Capital!H44+[1]Capital!H48</f>
        <v>2030.8798082999999</v>
      </c>
      <c r="J180" s="5">
        <f>[1]Capital!I44+[1]Capital!I48</f>
        <v>2044.4980982</v>
      </c>
      <c r="K180" s="5">
        <f>[1]Capital!J44+[1]Capital!J48</f>
        <v>2058.1845638999998</v>
      </c>
      <c r="L180" s="5">
        <f>[1]Capital!K44+[1]Capital!K48</f>
        <v>2072.0703180999999</v>
      </c>
      <c r="M180" s="5">
        <f>[1]Capital!L44+[1]Capital!L48</f>
        <v>2086.3657404</v>
      </c>
      <c r="N180" s="5">
        <f>[1]Capital!M44+[1]Capital!M48</f>
        <v>2101.0992562000001</v>
      </c>
      <c r="O180" s="5">
        <f>[1]Capital!N44+[1]Capital!N48</f>
        <v>2116.3038111999999</v>
      </c>
      <c r="P180" s="5">
        <f>[1]Capital!O44+[1]Capital!O48</f>
        <v>2132.0098110999998</v>
      </c>
      <c r="Q180" s="5">
        <f>[1]Capital!P44+[1]Capital!P48</f>
        <v>2148.2394657</v>
      </c>
      <c r="R180" s="5">
        <f>[1]Capital!Q44+[1]Capital!Q48</f>
        <v>2165.0051776</v>
      </c>
      <c r="S180" s="5">
        <f>[1]Capital!R44+[1]Capital!R48</f>
        <v>2182.3000299</v>
      </c>
      <c r="T180" s="5">
        <f>[1]Capital!S44+[1]Capital!S48</f>
        <v>2200.1155962000003</v>
      </c>
      <c r="U180" s="5">
        <f>[1]Capital!T44+[1]Capital!T48</f>
        <v>2218.4403247999999</v>
      </c>
      <c r="V180" s="5">
        <f>[1]Capital!U44+[1]Capital!U48</f>
        <v>2237.2599181999999</v>
      </c>
      <c r="W180" s="5">
        <f>[1]Capital!V44+[1]Capital!V48</f>
        <v>2256.4838669000001</v>
      </c>
      <c r="X180" s="5">
        <f>[1]Capital!W44+[1]Capital!W48</f>
        <v>2276.1271314999999</v>
      </c>
      <c r="Y180" s="5">
        <f>[1]Capital!X44+[1]Capital!X48</f>
        <v>2296.1931890000001</v>
      </c>
      <c r="Z180" s="5">
        <f>[1]Capital!Y44+[1]Capital!Y48</f>
        <v>2316.6789141999998</v>
      </c>
      <c r="AA180" s="5">
        <f>[1]Capital!Z44+[1]Capital!Z48</f>
        <v>2337.5794249999999</v>
      </c>
      <c r="AB180" s="5">
        <f>[1]Capital!AA44+[1]Capital!AA48</f>
        <v>2358.6791495000002</v>
      </c>
      <c r="AC180" s="5">
        <f>[1]Capital!AB44+[1]Capital!AB48</f>
        <v>2379.9671933</v>
      </c>
      <c r="AD180" s="5">
        <f>[1]Capital!AC44+[1]Capital!AC48</f>
        <v>2401.4374786999997</v>
      </c>
      <c r="AE180" s="5">
        <f>[1]Capital!AD44+[1]Capital!AD48</f>
        <v>2423.0858601999998</v>
      </c>
      <c r="AF180" s="5">
        <f>[1]Capital!AE44+[1]Capital!AE48</f>
        <v>2444.9118889000001</v>
      </c>
      <c r="AG180" s="5">
        <f>[1]Capital!AF44+[1]Capital!AF48</f>
        <v>2466.9194188000001</v>
      </c>
      <c r="AH180" s="5">
        <f>[1]Capital!AG44+[1]Capital!AG48</f>
        <v>2489.1182843000001</v>
      </c>
      <c r="AI180" s="5">
        <f>[1]Capital!AH44+[1]Capital!AH48</f>
        <v>2511.5201793000001</v>
      </c>
      <c r="AJ180" s="5">
        <f>[1]Capital!AI44+[1]Capital!AI48</f>
        <v>2534.1385562999999</v>
      </c>
      <c r="AK180" s="5">
        <f>[1]Capital!AJ44+[1]Capital!AJ48</f>
        <v>2556.9881747999998</v>
      </c>
      <c r="AL180" s="5">
        <f>[1]Capital!AK44+[1]Capital!AK48</f>
        <v>2580.0846216999998</v>
      </c>
      <c r="AM180" s="5">
        <f>[1]Capital!AL44+[1]Capital!AL48</f>
        <v>2603.4124430000002</v>
      </c>
      <c r="AN180" s="5">
        <f>[1]Capital!AM44+[1]Capital!AM48</f>
        <v>2626.9657783000002</v>
      </c>
      <c r="AO180" s="5">
        <f>[1]Capital!AN44+[1]Capital!AN48</f>
        <v>2650.7464095999999</v>
      </c>
      <c r="AP180" s="5">
        <f>[1]Capital!AO44+[1]Capital!AO48</f>
        <v>2674.7607008999998</v>
      </c>
      <c r="AQ180" s="5">
        <f>[1]Capital!AP44+[1]Capital!AP48</f>
        <v>2699.0177561</v>
      </c>
      <c r="AR180" s="5">
        <f>[1]Capital!AQ44+[1]Capital!AQ48</f>
        <v>2723.5311646999999</v>
      </c>
      <c r="AS180" s="5">
        <f>[1]Capital!AR44+[1]Capital!AR48</f>
        <v>2748.3139927000002</v>
      </c>
      <c r="AT180" s="5">
        <f>[1]Capital!AS44+[1]Capital!AS48</f>
        <v>2773.3793464</v>
      </c>
      <c r="AU180" s="5">
        <f>[1]Capital!AT44+[1]Capital!AT48</f>
        <v>2798.7404524000003</v>
      </c>
      <c r="AV180" s="5">
        <f>[1]Capital!AU44+[1]Capital!AU48</f>
        <v>2824.4105685</v>
      </c>
      <c r="AW180" s="5">
        <f>[1]Capital!AV44+[1]Capital!AV48</f>
        <v>2850.4163853999999</v>
      </c>
      <c r="AX180" s="5">
        <f>[1]Capital!AW44+[1]Capital!AW48</f>
        <v>2876.7774082999999</v>
      </c>
      <c r="AY180" s="5">
        <f>[1]Capital!AX44+[1]Capital!AX48</f>
        <v>2899.5120446000001</v>
      </c>
      <c r="AZ180" s="5">
        <f>[1]Capital!AY44+[1]Capital!AY48</f>
        <v>2915.5941435</v>
      </c>
      <c r="BA180" s="5">
        <f>[1]Capital!AZ44+[1]Capital!AZ48</f>
        <v>2927.3235509000001</v>
      </c>
      <c r="BB180" s="5">
        <f>[1]Capital!BA44+[1]Capital!BA48</f>
        <v>3576.4547395999998</v>
      </c>
      <c r="BC180" s="5">
        <f>[1]Capital!BB44+[1]Capital!BB48</f>
        <v>3628.4320534999997</v>
      </c>
      <c r="BD180" s="5">
        <f>[1]Capital!BC44+[1]Capital!BC48</f>
        <v>3681.2543048999996</v>
      </c>
      <c r="BE180" s="5">
        <f>[1]Capital!BD44+[1]Capital!BD48</f>
        <v>3734.9281551999998</v>
      </c>
      <c r="BF180" s="5">
        <f>[1]Capital!BE44+[1]Capital!BE48</f>
        <v>3789.4617128</v>
      </c>
    </row>
    <row r="181" spans="1:58" x14ac:dyDescent="0.35">
      <c r="B181" t="s">
        <v>33</v>
      </c>
      <c r="C181" s="5">
        <f>[1]Capital!B50+[1]Capital!B52+[1]Capital!B54+[1]Capital!B56+[1]Capital!B58+[1]Capital!B60+[1]Capital!B62+[1]Capital!B64+[1]Capital!B66</f>
        <v>40246.807095110002</v>
      </c>
      <c r="D181" s="5">
        <f>[1]Capital!C50+[1]Capital!C52+[1]Capital!C54+[1]Capital!C56+[1]Capital!C58+[1]Capital!C60+[1]Capital!C62+[1]Capital!C64+[1]Capital!C66</f>
        <v>40619.81808035</v>
      </c>
      <c r="E181" s="5">
        <f>[1]Capital!D50+[1]Capital!D52+[1]Capital!D54+[1]Capital!D56+[1]Capital!D58+[1]Capital!D60+[1]Capital!D62+[1]Capital!D64+[1]Capital!D66</f>
        <v>40966.375937649995</v>
      </c>
      <c r="F181" s="5">
        <f>[1]Capital!E50+[1]Capital!E52+[1]Capital!E54+[1]Capital!E56+[1]Capital!E58+[1]Capital!E60+[1]Capital!E62+[1]Capital!E64+[1]Capital!E66</f>
        <v>41292.358594669997</v>
      </c>
      <c r="G181" s="5">
        <f>[1]Capital!F50+[1]Capital!F52+[1]Capital!F54+[1]Capital!F56+[1]Capital!F58+[1]Capital!F60+[1]Capital!F62+[1]Capital!F64+[1]Capital!F66</f>
        <v>41604.483803399999</v>
      </c>
      <c r="H181" s="5">
        <f>[1]Capital!G50+[1]Capital!G52+[1]Capital!G54+[1]Capital!G56+[1]Capital!G58+[1]Capital!G60+[1]Capital!G62+[1]Capital!G64+[1]Capital!G66</f>
        <v>41909.535547250001</v>
      </c>
      <c r="I181" s="5">
        <f>[1]Capital!H50+[1]Capital!H52+[1]Capital!H54+[1]Capital!H56+[1]Capital!H58+[1]Capital!H60+[1]Capital!H62+[1]Capital!H64+[1]Capital!H66</f>
        <v>42212.032229130004</v>
      </c>
      <c r="J181" s="5">
        <f>[1]Capital!I50+[1]Capital!I52+[1]Capital!I54+[1]Capital!I56+[1]Capital!I58+[1]Capital!I60+[1]Capital!I62+[1]Capital!I64+[1]Capital!I66</f>
        <v>42515.347037440006</v>
      </c>
      <c r="K181" s="5">
        <f>[1]Capital!J50+[1]Capital!J52+[1]Capital!J54+[1]Capital!J56+[1]Capital!J58+[1]Capital!J60+[1]Capital!J62+[1]Capital!J64+[1]Capital!J66</f>
        <v>42821.680385820007</v>
      </c>
      <c r="L181" s="5">
        <f>[1]Capital!K50+[1]Capital!K52+[1]Capital!K54+[1]Capital!K56+[1]Capital!K58+[1]Capital!K60+[1]Capital!K62+[1]Capital!K64+[1]Capital!K66</f>
        <v>43132.084410069998</v>
      </c>
      <c r="M181" s="5">
        <f>[1]Capital!L50+[1]Capital!L52+[1]Capital!L54+[1]Capital!L56+[1]Capital!L58+[1]Capital!L60+[1]Capital!L62+[1]Capital!L64+[1]Capital!L66</f>
        <v>43448.856190029997</v>
      </c>
      <c r="N181" s="5">
        <f>[1]Capital!M50+[1]Capital!M52+[1]Capital!M54+[1]Capital!M56+[1]Capital!M58+[1]Capital!M60+[1]Capital!M62+[1]Capital!M64+[1]Capital!M66</f>
        <v>43770.63123626</v>
      </c>
      <c r="O181" s="5">
        <f>[1]Capital!N50+[1]Capital!N52+[1]Capital!N54+[1]Capital!N56+[1]Capital!N58+[1]Capital!N60+[1]Capital!N62+[1]Capital!N64+[1]Capital!N66</f>
        <v>44095.477365610001</v>
      </c>
      <c r="P181" s="5">
        <f>[1]Capital!O50+[1]Capital!O52+[1]Capital!O54+[1]Capital!O56+[1]Capital!O58+[1]Capital!O60+[1]Capital!O62+[1]Capital!O64+[1]Capital!O66</f>
        <v>44421.477219129993</v>
      </c>
      <c r="Q181" s="5">
        <f>[1]Capital!P50+[1]Capital!P52+[1]Capital!P54+[1]Capital!P56+[1]Capital!P58+[1]Capital!P60+[1]Capital!P62+[1]Capital!P64+[1]Capital!P66</f>
        <v>44746.845956790014</v>
      </c>
      <c r="R181" s="5">
        <f>[1]Capital!Q50+[1]Capital!Q52+[1]Capital!Q54+[1]Capital!Q56+[1]Capital!Q58+[1]Capital!Q60+[1]Capital!Q62+[1]Capital!Q64+[1]Capital!Q66</f>
        <v>45069.990751260004</v>
      </c>
      <c r="S181" s="5">
        <f>[1]Capital!R50+[1]Capital!R52+[1]Capital!R54+[1]Capital!R56+[1]Capital!R58+[1]Capital!R60+[1]Capital!R62+[1]Capital!R64+[1]Capital!R66</f>
        <v>45389.443862799999</v>
      </c>
      <c r="T181" s="5">
        <f>[1]Capital!S50+[1]Capital!S52+[1]Capital!S54+[1]Capital!S56+[1]Capital!S58+[1]Capital!S60+[1]Capital!S62+[1]Capital!S64+[1]Capital!S66</f>
        <v>45704.062234479999</v>
      </c>
      <c r="U181" s="5">
        <f>[1]Capital!T50+[1]Capital!T52+[1]Capital!T54+[1]Capital!T56+[1]Capital!T58+[1]Capital!T60+[1]Capital!T62+[1]Capital!T64+[1]Capital!T66</f>
        <v>46013.066130760002</v>
      </c>
      <c r="V181" s="5">
        <f>[1]Capital!U50+[1]Capital!U52+[1]Capital!U54+[1]Capital!U56+[1]Capital!U58+[1]Capital!U60+[1]Capital!U62+[1]Capital!U64+[1]Capital!U66</f>
        <v>46316.048893050007</v>
      </c>
      <c r="W181" s="5">
        <f>[1]Capital!V50+[1]Capital!V52+[1]Capital!V54+[1]Capital!V56+[1]Capital!V58+[1]Capital!V60+[1]Capital!V62+[1]Capital!V64+[1]Capital!V66</f>
        <v>46611.409090039997</v>
      </c>
      <c r="X181" s="5">
        <f>[1]Capital!W50+[1]Capital!W52+[1]Capital!W54+[1]Capital!W56+[1]Capital!W58+[1]Capital!W60+[1]Capital!W62+[1]Capital!W64+[1]Capital!W66</f>
        <v>46899.822441549994</v>
      </c>
      <c r="Y181" s="5">
        <f>[1]Capital!X50+[1]Capital!X52+[1]Capital!X54+[1]Capital!X56+[1]Capital!X58+[1]Capital!X60+[1]Capital!X62+[1]Capital!X64+[1]Capital!X66</f>
        <v>47182.32655441</v>
      </c>
      <c r="Z181" s="5">
        <f>[1]Capital!Y50+[1]Capital!Y52+[1]Capital!Y54+[1]Capital!Y56+[1]Capital!Y58+[1]Capital!Y60+[1]Capital!Y62+[1]Capital!Y64+[1]Capital!Y66</f>
        <v>47460.012617579996</v>
      </c>
      <c r="AA181" s="5">
        <f>[1]Capital!Z50+[1]Capital!Z52+[1]Capital!Z54+[1]Capital!Z56+[1]Capital!Z58+[1]Capital!Z60+[1]Capital!Z62+[1]Capital!Z64+[1]Capital!Z66</f>
        <v>47734.018372769999</v>
      </c>
      <c r="AB181" s="5">
        <f>[1]Capital!AA50+[1]Capital!AA52+[1]Capital!AA54+[1]Capital!AA56+[1]Capital!AA58+[1]Capital!AA60+[1]Capital!AA62+[1]Capital!AA64+[1]Capital!AA66</f>
        <v>48001.237949400005</v>
      </c>
      <c r="AC181" s="5">
        <f>[1]Capital!AB50+[1]Capital!AB52+[1]Capital!AB54+[1]Capital!AB56+[1]Capital!AB58+[1]Capital!AB60+[1]Capital!AB62+[1]Capital!AB64+[1]Capital!AB66</f>
        <v>48262.059628870004</v>
      </c>
      <c r="AD181" s="5">
        <f>[1]Capital!AC50+[1]Capital!AC52+[1]Capital!AC54+[1]Capital!AC56+[1]Capital!AC58+[1]Capital!AC60+[1]Capital!AC62+[1]Capital!AC64+[1]Capital!AC66</f>
        <v>48517.645902469994</v>
      </c>
      <c r="AE181" s="5">
        <f>[1]Capital!AD50+[1]Capital!AD52+[1]Capital!AD54+[1]Capital!AD56+[1]Capital!AD58+[1]Capital!AD60+[1]Capital!AD62+[1]Capital!AD64+[1]Capital!AD66</f>
        <v>48769.307597449995</v>
      </c>
      <c r="AF181" s="5">
        <f>[1]Capital!AE50+[1]Capital!AE52+[1]Capital!AE54+[1]Capital!AE56+[1]Capital!AE58+[1]Capital!AE60+[1]Capital!AE62+[1]Capital!AE64+[1]Capital!AE66</f>
        <v>49018.380660459996</v>
      </c>
      <c r="AG181" s="5">
        <f>[1]Capital!AF50+[1]Capital!AF52+[1]Capital!AF54+[1]Capital!AF56+[1]Capital!AF58+[1]Capital!AF60+[1]Capital!AF62+[1]Capital!AF64+[1]Capital!AF66</f>
        <v>49266.200795359997</v>
      </c>
      <c r="AH181" s="5">
        <f>[1]Capital!AG50+[1]Capital!AG52+[1]Capital!AG54+[1]Capital!AG56+[1]Capital!AG58+[1]Capital!AG60+[1]Capital!AG62+[1]Capital!AG64+[1]Capital!AG66</f>
        <v>49514.104214309998</v>
      </c>
      <c r="AI181" s="5">
        <f>[1]Capital!AH50+[1]Capital!AH52+[1]Capital!AH54+[1]Capital!AH56+[1]Capital!AH58+[1]Capital!AH60+[1]Capital!AH62+[1]Capital!AH64+[1]Capital!AH66</f>
        <v>49763.383917140003</v>
      </c>
      <c r="AJ181" s="5">
        <f>[1]Capital!AI50+[1]Capital!AI52+[1]Capital!AI54+[1]Capital!AI56+[1]Capital!AI58+[1]Capital!AI60+[1]Capital!AI62+[1]Capital!AI64+[1]Capital!AI66</f>
        <v>50015.258569990001</v>
      </c>
      <c r="AK181" s="5">
        <f>[1]Capital!AJ50+[1]Capital!AJ52+[1]Capital!AJ54+[1]Capital!AJ56+[1]Capital!AJ58+[1]Capital!AJ60+[1]Capital!AJ62+[1]Capital!AJ64+[1]Capital!AJ66</f>
        <v>50270.845103109998</v>
      </c>
      <c r="AL181" s="5">
        <f>[1]Capital!AK50+[1]Capital!AK52+[1]Capital!AK54+[1]Capital!AK56+[1]Capital!AK58+[1]Capital!AK60+[1]Capital!AK62+[1]Capital!AK64+[1]Capital!AK66</f>
        <v>50531.140930250003</v>
      </c>
      <c r="AM181" s="5">
        <f>[1]Capital!AL50+[1]Capital!AL52+[1]Capital!AL54+[1]Capital!AL56+[1]Capital!AL58+[1]Capital!AL60+[1]Capital!AL62+[1]Capital!AL64+[1]Capital!AL66</f>
        <v>50796.191414430003</v>
      </c>
      <c r="AN181" s="5">
        <f>[1]Capital!AM50+[1]Capital!AM52+[1]Capital!AM54+[1]Capital!AM56+[1]Capital!AM58+[1]Capital!AM60+[1]Capital!AM62+[1]Capital!AM64+[1]Capital!AM66</f>
        <v>51066.173291259998</v>
      </c>
      <c r="AO181" s="5">
        <f>[1]Capital!AN50+[1]Capital!AN52+[1]Capital!AN54+[1]Capital!AN56+[1]Capital!AN58+[1]Capital!AN60+[1]Capital!AN62+[1]Capital!AN64+[1]Capital!AN66</f>
        <v>51341.413544290001</v>
      </c>
      <c r="AP181" s="5">
        <f>[1]Capital!AO50+[1]Capital!AO52+[1]Capital!AO54+[1]Capital!AO56+[1]Capital!AO58+[1]Capital!AO60+[1]Capital!AO62+[1]Capital!AO64+[1]Capital!AO66</f>
        <v>51622.26302436</v>
      </c>
      <c r="AQ181" s="5">
        <f>[1]Capital!AP50+[1]Capital!AP52+[1]Capital!AP54+[1]Capital!AP56+[1]Capital!AP58+[1]Capital!AP60+[1]Capital!AP62+[1]Capital!AP64+[1]Capital!AP66</f>
        <v>51909.034789439989</v>
      </c>
      <c r="AR181" s="5">
        <f>[1]Capital!AQ50+[1]Capital!AQ52+[1]Capital!AQ54+[1]Capital!AQ56+[1]Capital!AQ58+[1]Capital!AQ60+[1]Capital!AQ62+[1]Capital!AQ64+[1]Capital!AQ66</f>
        <v>52202.005260260004</v>
      </c>
      <c r="AS181" s="5">
        <f>[1]Capital!AR50+[1]Capital!AR52+[1]Capital!AR54+[1]Capital!AR56+[1]Capital!AR58+[1]Capital!AR60+[1]Capital!AR62+[1]Capital!AR64+[1]Capital!AR66</f>
        <v>52501.400396739999</v>
      </c>
      <c r="AT181" s="5">
        <f>[1]Capital!AS50+[1]Capital!AS52+[1]Capital!AS54+[1]Capital!AS56+[1]Capital!AS58+[1]Capital!AS60+[1]Capital!AS62+[1]Capital!AS64+[1]Capital!AS66</f>
        <v>52807.393272219997</v>
      </c>
      <c r="AU181" s="5">
        <f>[1]Capital!AT50+[1]Capital!AT52+[1]Capital!AT54+[1]Capital!AT56+[1]Capital!AT58+[1]Capital!AT60+[1]Capital!AT62+[1]Capital!AT64+[1]Capital!AT66</f>
        <v>53120.101018810004</v>
      </c>
      <c r="AV181" s="5">
        <f>[1]Capital!AU50+[1]Capital!AU52+[1]Capital!AU54+[1]Capital!AU56+[1]Capital!AU58+[1]Capital!AU60+[1]Capital!AU62+[1]Capital!AU64+[1]Capital!AU66</f>
        <v>53439.585801609996</v>
      </c>
      <c r="AW181" s="5">
        <f>[1]Capital!AV50+[1]Capital!AV52+[1]Capital!AV54+[1]Capital!AV56+[1]Capital!AV58+[1]Capital!AV60+[1]Capital!AV62+[1]Capital!AV64+[1]Capital!AV66</f>
        <v>53765.99312146</v>
      </c>
      <c r="AX181" s="5">
        <f>[1]Capital!AW50+[1]Capital!AW52+[1]Capital!AW54+[1]Capital!AW56+[1]Capital!AW58+[1]Capital!AW60+[1]Capital!AW62+[1]Capital!AW64+[1]Capital!AW66</f>
        <v>54099.420486170005</v>
      </c>
      <c r="AY181" s="5">
        <f>[1]Capital!AX50+[1]Capital!AX52+[1]Capital!AX54+[1]Capital!AX56+[1]Capital!AX58+[1]Capital!AX60+[1]Capital!AX62+[1]Capital!AX64+[1]Capital!AX66</f>
        <v>54417.320559530002</v>
      </c>
      <c r="AZ181" s="5">
        <f>[1]Capital!AY50+[1]Capital!AY52+[1]Capital!AY54+[1]Capital!AY56+[1]Capital!AY58+[1]Capital!AY60+[1]Capital!AY62+[1]Capital!AY64+[1]Capital!AY66</f>
        <v>54709.081913959999</v>
      </c>
      <c r="BA181" s="5">
        <f>[1]Capital!AZ50+[1]Capital!AZ52+[1]Capital!AZ54+[1]Capital!AZ56+[1]Capital!AZ58+[1]Capital!AZ60+[1]Capital!AZ62+[1]Capital!AZ64+[1]Capital!AZ66</f>
        <v>54981.443845519992</v>
      </c>
      <c r="BB181" s="5">
        <f>[1]Capital!BA50+[1]Capital!BA52+[1]Capital!BA54+[1]Capital!BA56+[1]Capital!BA58+[1]Capital!BA60+[1]Capital!BA62+[1]Capital!BA64+[1]Capital!BA66</f>
        <v>68170.981550700002</v>
      </c>
      <c r="BC181" s="5">
        <f>[1]Capital!BB50+[1]Capital!BB52+[1]Capital!BB54+[1]Capital!BB56+[1]Capital!BB58+[1]Capital!BB60+[1]Capital!BB62+[1]Capital!BB64+[1]Capital!BB66</f>
        <v>69131.744166999997</v>
      </c>
      <c r="BD181" s="5">
        <f>[1]Capital!BC50+[1]Capital!BC52+[1]Capital!BC54+[1]Capital!BC56+[1]Capital!BC58+[1]Capital!BC60+[1]Capital!BC62+[1]Capital!BC64+[1]Capital!BC66</f>
        <v>70114.828281199996</v>
      </c>
      <c r="BE181" s="5">
        <f>[1]Capital!BD50+[1]Capital!BD52+[1]Capital!BD54+[1]Capital!BD56+[1]Capital!BD58+[1]Capital!BD60+[1]Capital!BD62+[1]Capital!BD64+[1]Capital!BD66</f>
        <v>71120.353023399992</v>
      </c>
      <c r="BF181" s="5">
        <f>[1]Capital!BE50+[1]Capital!BE52+[1]Capital!BE54+[1]Capital!BE56+[1]Capital!BE58+[1]Capital!BE60+[1]Capital!BE62+[1]Capital!BE64+[1]Capital!BE66</f>
        <v>72148.430556299994</v>
      </c>
    </row>
    <row r="182" spans="1:58" x14ac:dyDescent="0.35"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</row>
    <row r="183" spans="1:58" x14ac:dyDescent="0.35">
      <c r="C183" s="2">
        <v>42005</v>
      </c>
      <c r="D183" s="2">
        <v>42370</v>
      </c>
      <c r="E183" s="2">
        <v>42736</v>
      </c>
      <c r="F183" s="2">
        <v>43101</v>
      </c>
      <c r="G183" s="2">
        <v>43466</v>
      </c>
      <c r="H183" s="2">
        <v>43831</v>
      </c>
      <c r="I183" s="2">
        <v>44197</v>
      </c>
      <c r="J183" s="2">
        <v>44562</v>
      </c>
      <c r="K183" s="2">
        <v>44927</v>
      </c>
      <c r="L183" s="2">
        <v>45292</v>
      </c>
      <c r="M183" s="2">
        <v>45658</v>
      </c>
      <c r="N183" s="2">
        <v>46023</v>
      </c>
      <c r="O183" s="2">
        <v>46388</v>
      </c>
      <c r="P183" s="2">
        <v>46753</v>
      </c>
      <c r="Q183" s="2">
        <v>47119</v>
      </c>
      <c r="R183" s="2">
        <v>47484</v>
      </c>
      <c r="S183" s="2">
        <v>47849</v>
      </c>
      <c r="T183" s="2">
        <v>48214</v>
      </c>
      <c r="U183" s="2">
        <v>48580</v>
      </c>
      <c r="V183" s="2">
        <v>48945</v>
      </c>
      <c r="W183" s="2">
        <v>49310</v>
      </c>
      <c r="X183" s="2">
        <v>49675</v>
      </c>
      <c r="Y183" s="2">
        <v>50041</v>
      </c>
      <c r="Z183" s="2">
        <v>50406</v>
      </c>
      <c r="AA183" s="2">
        <v>50771</v>
      </c>
      <c r="AB183" s="2">
        <v>51136</v>
      </c>
      <c r="AC183" s="2">
        <v>51502</v>
      </c>
      <c r="AD183" s="2">
        <v>51867</v>
      </c>
      <c r="AE183" s="2">
        <v>52232</v>
      </c>
      <c r="AF183" s="2">
        <v>52597</v>
      </c>
      <c r="AG183" s="2">
        <v>52963</v>
      </c>
      <c r="AH183" s="2">
        <v>53328</v>
      </c>
      <c r="AI183" s="2">
        <v>53693</v>
      </c>
      <c r="AJ183" s="2">
        <v>54058</v>
      </c>
      <c r="AK183" s="2">
        <v>54424</v>
      </c>
      <c r="AL183" s="2">
        <v>54789</v>
      </c>
      <c r="AM183" s="2">
        <v>54790</v>
      </c>
      <c r="AN183" s="2">
        <v>54791</v>
      </c>
      <c r="AO183" s="2">
        <v>54792</v>
      </c>
      <c r="AP183" s="2">
        <v>54793</v>
      </c>
      <c r="AQ183" s="2">
        <v>54794</v>
      </c>
      <c r="AR183" s="2">
        <v>54795</v>
      </c>
      <c r="AS183" s="2">
        <v>54796</v>
      </c>
      <c r="AT183" s="2">
        <v>54797</v>
      </c>
      <c r="AU183" s="2">
        <v>54798</v>
      </c>
      <c r="AV183" s="2">
        <v>54799</v>
      </c>
      <c r="AW183" s="2">
        <v>54800</v>
      </c>
      <c r="AX183" s="2">
        <v>54801</v>
      </c>
      <c r="AY183" s="2">
        <v>54802</v>
      </c>
      <c r="AZ183" s="2">
        <v>54803</v>
      </c>
      <c r="BA183" s="2">
        <v>54804</v>
      </c>
      <c r="BB183" s="2">
        <v>54805</v>
      </c>
      <c r="BC183" s="2">
        <v>54806</v>
      </c>
      <c r="BD183" s="2">
        <v>54807</v>
      </c>
      <c r="BE183" s="2">
        <v>54808</v>
      </c>
      <c r="BF183" s="2">
        <v>54809</v>
      </c>
    </row>
    <row r="184" spans="1:58" x14ac:dyDescent="0.35">
      <c r="A184" s="12" t="s">
        <v>42</v>
      </c>
      <c r="B184" t="s">
        <v>40</v>
      </c>
      <c r="C184" s="9">
        <f t="shared" ref="C184:AL184" si="68">C174/C136/(C164/C125)-1</f>
        <v>1.6767629559991004E-2</v>
      </c>
      <c r="D184" s="9">
        <f t="shared" si="68"/>
        <v>1.9607087611337448E-2</v>
      </c>
      <c r="E184" s="9">
        <f t="shared" si="68"/>
        <v>2.0535132250573129E-2</v>
      </c>
      <c r="F184" s="9">
        <f t="shared" si="68"/>
        <v>2.0674015883967778E-2</v>
      </c>
      <c r="G184" s="9">
        <f t="shared" si="68"/>
        <v>2.0515662636573673E-2</v>
      </c>
      <c r="H184" s="9">
        <f t="shared" si="68"/>
        <v>2.0283817453469188E-2</v>
      </c>
      <c r="I184" s="9">
        <f t="shared" si="68"/>
        <v>2.0063145688981932E-2</v>
      </c>
      <c r="J184" s="9">
        <f t="shared" si="68"/>
        <v>1.9798734855177358E-2</v>
      </c>
      <c r="K184" s="9">
        <f t="shared" si="68"/>
        <v>1.9408854327276348E-2</v>
      </c>
      <c r="L184" s="9">
        <f t="shared" si="68"/>
        <v>1.8812637284208344E-2</v>
      </c>
      <c r="M184" s="9">
        <f t="shared" si="68"/>
        <v>1.7946521293480178E-2</v>
      </c>
      <c r="N184" s="9">
        <f t="shared" si="68"/>
        <v>1.6873704510641074E-2</v>
      </c>
      <c r="O184" s="9">
        <f t="shared" si="68"/>
        <v>1.5537276408583711E-2</v>
      </c>
      <c r="P184" s="9">
        <f t="shared" si="68"/>
        <v>1.3967310065903238E-2</v>
      </c>
      <c r="Q184" s="9">
        <f t="shared" si="68"/>
        <v>1.2216678965944361E-2</v>
      </c>
      <c r="R184" s="9">
        <f t="shared" si="68"/>
        <v>1.0347786174628393E-2</v>
      </c>
      <c r="S184" s="9">
        <f t="shared" si="68"/>
        <v>8.4886135447332922E-3</v>
      </c>
      <c r="T184" s="9">
        <f t="shared" si="68"/>
        <v>6.635952160628289E-3</v>
      </c>
      <c r="U184" s="9">
        <f t="shared" si="68"/>
        <v>4.8250359161858825E-3</v>
      </c>
      <c r="V184" s="9">
        <f t="shared" si="68"/>
        <v>3.0817287653241987E-3</v>
      </c>
      <c r="W184" s="9">
        <f t="shared" si="68"/>
        <v>1.4260094576985516E-3</v>
      </c>
      <c r="X184" s="9">
        <f t="shared" si="68"/>
        <v>-1.440230878471116E-4</v>
      </c>
      <c r="Y184" s="9">
        <f t="shared" si="68"/>
        <v>-1.6237214095442543E-3</v>
      </c>
      <c r="Z184" s="9">
        <f t="shared" si="68"/>
        <v>-3.0158250351479676E-3</v>
      </c>
      <c r="AA184" s="9">
        <f t="shared" si="68"/>
        <v>-4.3255927419658668E-3</v>
      </c>
      <c r="AB184" s="9">
        <f t="shared" si="68"/>
        <v>-5.5511020817837764E-3</v>
      </c>
      <c r="AC184" s="9">
        <f t="shared" si="68"/>
        <v>-6.735810505863693E-3</v>
      </c>
      <c r="AD184" s="9">
        <f t="shared" si="68"/>
        <v>-7.8627781632496507E-3</v>
      </c>
      <c r="AE184" s="9">
        <f t="shared" si="68"/>
        <v>-8.9338736023066856E-3</v>
      </c>
      <c r="AF184" s="9">
        <f t="shared" si="68"/>
        <v>-9.9501876590659677E-3</v>
      </c>
      <c r="AG184" s="9">
        <f t="shared" si="68"/>
        <v>-1.0912243929510401E-2</v>
      </c>
      <c r="AH184" s="9">
        <f t="shared" si="68"/>
        <v>-1.1832329288235743E-2</v>
      </c>
      <c r="AI184" s="9">
        <f t="shared" si="68"/>
        <v>-1.270050749378604E-2</v>
      </c>
      <c r="AJ184" s="9">
        <f t="shared" si="68"/>
        <v>-1.3515041540133388E-2</v>
      </c>
      <c r="AK184" s="9">
        <f t="shared" si="68"/>
        <v>-1.4274551509472544E-2</v>
      </c>
      <c r="AL184" s="9">
        <f t="shared" si="68"/>
        <v>-1.4977865625109277E-2</v>
      </c>
      <c r="AM184" s="9">
        <f t="shared" ref="AM184:BC184" si="69">AM174/AM136/(AM164/AM125)-1</f>
        <v>-1.5723939749308191E-2</v>
      </c>
      <c r="AN184" s="9">
        <f t="shared" si="69"/>
        <v>-1.6432179595614271E-2</v>
      </c>
      <c r="AO184" s="9">
        <f t="shared" si="69"/>
        <v>-1.7089513472306694E-2</v>
      </c>
      <c r="AP184" s="9">
        <f t="shared" si="69"/>
        <v>-1.768637692629127E-2</v>
      </c>
      <c r="AQ184" s="9">
        <f t="shared" si="69"/>
        <v>-1.8215488152702686E-2</v>
      </c>
      <c r="AR184" s="9">
        <f t="shared" si="69"/>
        <v>-1.8687120088540898E-2</v>
      </c>
      <c r="AS184" s="9">
        <f t="shared" si="69"/>
        <v>-1.9086369629210065E-2</v>
      </c>
      <c r="AT184" s="9">
        <f t="shared" si="69"/>
        <v>-1.9410083425228764E-2</v>
      </c>
      <c r="AU184" s="9">
        <f t="shared" si="69"/>
        <v>-1.9657064525169798E-2</v>
      </c>
      <c r="AV184" s="9">
        <f t="shared" si="69"/>
        <v>-1.9827566347588199E-2</v>
      </c>
      <c r="AW184" s="9">
        <f t="shared" si="69"/>
        <v>-1.9972145522115348E-2</v>
      </c>
      <c r="AX184" s="9">
        <f t="shared" si="69"/>
        <v>-2.005515160335003E-2</v>
      </c>
      <c r="AY184" s="9">
        <f t="shared" si="69"/>
        <v>-1.004965597292351E-2</v>
      </c>
      <c r="AZ184" s="9">
        <f t="shared" si="69"/>
        <v>-7.9587206223141749E-4</v>
      </c>
      <c r="BA184" s="9">
        <f t="shared" si="69"/>
        <v>7.691565339679185E-3</v>
      </c>
      <c r="BB184" s="9">
        <f t="shared" si="69"/>
        <v>-3.7714110063516992E-3</v>
      </c>
      <c r="BC184" s="9">
        <f t="shared" si="69"/>
        <v>-3.8419386882917461E-3</v>
      </c>
      <c r="BD184" s="9">
        <f t="shared" ref="BD184:BF184" si="70">BD174/BD136/(BD164/BD125)-1</f>
        <v>-3.9012745783723046E-3</v>
      </c>
      <c r="BE184" s="9">
        <f t="shared" si="70"/>
        <v>-3.948911519975451E-3</v>
      </c>
      <c r="BF184" s="9">
        <f t="shared" si="70"/>
        <v>-3.984532117403683E-3</v>
      </c>
    </row>
    <row r="185" spans="1:58" x14ac:dyDescent="0.35">
      <c r="A185" t="s">
        <v>85</v>
      </c>
      <c r="B185" t="s">
        <v>7</v>
      </c>
      <c r="C185" s="9">
        <f t="shared" ref="C185:AL185" si="71">C175/C137/(C165/C126)-1</f>
        <v>1.7583890955782167E-2</v>
      </c>
      <c r="D185" s="9">
        <f t="shared" si="71"/>
        <v>1.5962939454043479E-2</v>
      </c>
      <c r="E185" s="9">
        <f t="shared" si="71"/>
        <v>1.1340211443878534E-2</v>
      </c>
      <c r="F185" s="9">
        <f t="shared" si="71"/>
        <v>6.4176002811684452E-3</v>
      </c>
      <c r="G185" s="9">
        <f t="shared" si="71"/>
        <v>2.6252231271810533E-3</v>
      </c>
      <c r="H185" s="9">
        <f t="shared" si="71"/>
        <v>6.1913066012775353E-4</v>
      </c>
      <c r="I185" s="9">
        <f t="shared" si="71"/>
        <v>5.5201004355853733E-4</v>
      </c>
      <c r="J185" s="9">
        <f t="shared" si="71"/>
        <v>2.2004526912278166E-3</v>
      </c>
      <c r="K185" s="9">
        <f t="shared" si="71"/>
        <v>5.155941284679777E-3</v>
      </c>
      <c r="L185" s="9">
        <f t="shared" si="71"/>
        <v>8.9274218312529463E-3</v>
      </c>
      <c r="M185" s="9">
        <f t="shared" si="71"/>
        <v>1.3029451589305463E-2</v>
      </c>
      <c r="N185" s="9">
        <f t="shared" si="71"/>
        <v>1.7103212183545047E-2</v>
      </c>
      <c r="O185" s="9">
        <f t="shared" si="71"/>
        <v>2.0779010051733326E-2</v>
      </c>
      <c r="P185" s="9">
        <f t="shared" si="71"/>
        <v>2.3844419716203546E-2</v>
      </c>
      <c r="Q185" s="9">
        <f t="shared" si="71"/>
        <v>2.6201028954700778E-2</v>
      </c>
      <c r="R185" s="9">
        <f t="shared" si="71"/>
        <v>2.7846991629090656E-2</v>
      </c>
      <c r="S185" s="9">
        <f t="shared" si="71"/>
        <v>2.8910986723598375E-2</v>
      </c>
      <c r="T185" s="9">
        <f t="shared" si="71"/>
        <v>2.9466607252139676E-2</v>
      </c>
      <c r="U185" s="9">
        <f t="shared" si="71"/>
        <v>2.964861815964448E-2</v>
      </c>
      <c r="V185" s="9">
        <f t="shared" si="71"/>
        <v>2.9593855063567265E-2</v>
      </c>
      <c r="W185" s="9">
        <f t="shared" si="71"/>
        <v>2.9427751580840322E-2</v>
      </c>
      <c r="X185" s="9">
        <f t="shared" si="71"/>
        <v>2.9262046035275713E-2</v>
      </c>
      <c r="Y185" s="9">
        <f t="shared" si="71"/>
        <v>2.9170095644050154E-2</v>
      </c>
      <c r="Z185" s="9">
        <f t="shared" si="71"/>
        <v>2.9213553499417788E-2</v>
      </c>
      <c r="AA185" s="9">
        <f t="shared" si="71"/>
        <v>2.9431321602525928E-2</v>
      </c>
      <c r="AB185" s="9">
        <f t="shared" si="71"/>
        <v>2.9838404533523155E-2</v>
      </c>
      <c r="AC185" s="9">
        <f t="shared" si="71"/>
        <v>3.0437310407956497E-2</v>
      </c>
      <c r="AD185" s="9">
        <f t="shared" si="71"/>
        <v>3.1203919521896717E-2</v>
      </c>
      <c r="AE185" s="9">
        <f t="shared" si="71"/>
        <v>3.2117066998742727E-2</v>
      </c>
      <c r="AF185" s="9">
        <f t="shared" si="71"/>
        <v>3.3153124496003494E-2</v>
      </c>
      <c r="AG185" s="9">
        <f t="shared" si="71"/>
        <v>3.4286403457042258E-2</v>
      </c>
      <c r="AH185" s="9">
        <f t="shared" si="71"/>
        <v>3.5480202514491799E-2</v>
      </c>
      <c r="AI185" s="9">
        <f t="shared" si="71"/>
        <v>3.6714478474590306E-2</v>
      </c>
      <c r="AJ185" s="9">
        <f t="shared" si="71"/>
        <v>3.7967547215943975E-2</v>
      </c>
      <c r="AK185" s="9">
        <f t="shared" si="71"/>
        <v>3.9222581709182469E-2</v>
      </c>
      <c r="AL185" s="9">
        <f t="shared" si="71"/>
        <v>4.0467805786151168E-2</v>
      </c>
      <c r="AM185" s="9">
        <f t="shared" ref="AM185:BC185" si="72">AM175/AM137/(AM165/AM126)-1</f>
        <v>4.1610684577475743E-2</v>
      </c>
      <c r="AN185" s="9">
        <f t="shared" si="72"/>
        <v>4.2691437878843219E-2</v>
      </c>
      <c r="AO185" s="9">
        <f t="shared" si="72"/>
        <v>4.3713039373524776E-2</v>
      </c>
      <c r="AP185" s="9">
        <f t="shared" si="72"/>
        <v>4.469180962574093E-2</v>
      </c>
      <c r="AQ185" s="9">
        <f t="shared" si="72"/>
        <v>4.5650194729712767E-2</v>
      </c>
      <c r="AR185" s="9">
        <f t="shared" si="72"/>
        <v>4.6599080315261832E-2</v>
      </c>
      <c r="AS185" s="9">
        <f t="shared" si="72"/>
        <v>4.7563267446008028E-2</v>
      </c>
      <c r="AT185" s="9">
        <f t="shared" si="72"/>
        <v>4.8559921597300271E-2</v>
      </c>
      <c r="AU185" s="9">
        <f t="shared" si="72"/>
        <v>4.9602801694878851E-2</v>
      </c>
      <c r="AV185" s="9">
        <f t="shared" si="72"/>
        <v>5.0701339442526194E-2</v>
      </c>
      <c r="AW185" s="9">
        <f t="shared" si="72"/>
        <v>5.1822067782961945E-2</v>
      </c>
      <c r="AX185" s="9">
        <f t="shared" si="72"/>
        <v>5.2974830249848504E-2</v>
      </c>
      <c r="AY185" s="9">
        <f t="shared" si="72"/>
        <v>5.4623377082818836E-2</v>
      </c>
      <c r="AZ185" s="9">
        <f t="shared" si="72"/>
        <v>5.6177336953664447E-2</v>
      </c>
      <c r="BA185" s="9">
        <f t="shared" si="72"/>
        <v>5.7666247921858815E-2</v>
      </c>
      <c r="BB185" s="9">
        <f t="shared" si="72"/>
        <v>5.6381957856215248E-3</v>
      </c>
      <c r="BC185" s="9">
        <f t="shared" si="72"/>
        <v>6.185596096760948E-3</v>
      </c>
      <c r="BD185" s="9">
        <f t="shared" ref="BD185:BF185" si="73">BD175/BD137/(BD165/BD126)-1</f>
        <v>6.7571042982161877E-3</v>
      </c>
      <c r="BE185" s="9">
        <f t="shared" si="73"/>
        <v>7.352203953093106E-3</v>
      </c>
      <c r="BF185" s="9">
        <f t="shared" si="73"/>
        <v>7.9700543077732E-3</v>
      </c>
    </row>
    <row r="186" spans="1:58" x14ac:dyDescent="0.35">
      <c r="B186" t="s">
        <v>30</v>
      </c>
      <c r="C186" s="9">
        <f t="shared" ref="C186:AL186" si="74">C176/C138/(C166/C127)-1</f>
        <v>2.5267362694855411E-2</v>
      </c>
      <c r="D186" s="9">
        <f t="shared" si="74"/>
        <v>2.6884409693163969E-2</v>
      </c>
      <c r="E186" s="9">
        <f t="shared" si="74"/>
        <v>2.6328108683013163E-2</v>
      </c>
      <c r="F186" s="9">
        <f t="shared" si="74"/>
        <v>2.4983473128842304E-2</v>
      </c>
      <c r="G186" s="9">
        <f t="shared" si="74"/>
        <v>2.3571838884569596E-2</v>
      </c>
      <c r="H186" s="9">
        <f t="shared" si="74"/>
        <v>2.2456636294273968E-2</v>
      </c>
      <c r="I186" s="9">
        <f t="shared" si="74"/>
        <v>2.1783922369846387E-2</v>
      </c>
      <c r="J186" s="9">
        <f t="shared" si="74"/>
        <v>2.1487251303823118E-2</v>
      </c>
      <c r="K186" s="9">
        <f t="shared" si="74"/>
        <v>2.1435087409702458E-2</v>
      </c>
      <c r="L186" s="9">
        <f t="shared" si="74"/>
        <v>2.1474076553426036E-2</v>
      </c>
      <c r="M186" s="9">
        <f t="shared" si="74"/>
        <v>2.1464589185187011E-2</v>
      </c>
      <c r="N186" s="9">
        <f t="shared" si="74"/>
        <v>2.1412561737470748E-2</v>
      </c>
      <c r="O186" s="9">
        <f t="shared" si="74"/>
        <v>2.1164934030069027E-2</v>
      </c>
      <c r="P186" s="9">
        <f t="shared" si="74"/>
        <v>2.0692194696679156E-2</v>
      </c>
      <c r="Q186" s="9">
        <f t="shared" si="74"/>
        <v>2.0001068142422751E-2</v>
      </c>
      <c r="R186" s="9">
        <f t="shared" si="74"/>
        <v>1.9120666988354795E-2</v>
      </c>
      <c r="S186" s="9">
        <f t="shared" si="74"/>
        <v>1.8192007823084611E-2</v>
      </c>
      <c r="T186" s="9">
        <f t="shared" si="74"/>
        <v>1.7163835493102741E-2</v>
      </c>
      <c r="U186" s="9">
        <f t="shared" si="74"/>
        <v>1.6066923588480719E-2</v>
      </c>
      <c r="V186" s="9">
        <f t="shared" si="74"/>
        <v>1.4928473252577623E-2</v>
      </c>
      <c r="W186" s="9">
        <f t="shared" si="74"/>
        <v>1.3771294124572675E-2</v>
      </c>
      <c r="X186" s="9">
        <f t="shared" si="74"/>
        <v>1.2607077376923126E-2</v>
      </c>
      <c r="Y186" s="9">
        <f t="shared" si="74"/>
        <v>1.1443094878831106E-2</v>
      </c>
      <c r="Z186" s="9">
        <f t="shared" si="74"/>
        <v>1.0287244367315873E-2</v>
      </c>
      <c r="AA186" s="9">
        <f t="shared" si="74"/>
        <v>9.1446694930958916E-3</v>
      </c>
      <c r="AB186" s="9">
        <f t="shared" si="74"/>
        <v>8.021600120268646E-3</v>
      </c>
      <c r="AC186" s="9">
        <f t="shared" si="74"/>
        <v>6.8891293722930236E-3</v>
      </c>
      <c r="AD186" s="9">
        <f t="shared" si="74"/>
        <v>5.7743498297064821E-3</v>
      </c>
      <c r="AE186" s="9">
        <f t="shared" si="74"/>
        <v>4.684986742213848E-3</v>
      </c>
      <c r="AF186" s="9">
        <f t="shared" si="74"/>
        <v>3.6285435621739026E-3</v>
      </c>
      <c r="AG186" s="9">
        <f t="shared" si="74"/>
        <v>2.6128367851039336E-3</v>
      </c>
      <c r="AH186" s="9">
        <f t="shared" si="74"/>
        <v>1.6268084634709634E-3</v>
      </c>
      <c r="AI186" s="9">
        <f t="shared" si="74"/>
        <v>6.9401500374000058E-4</v>
      </c>
      <c r="AJ186" s="9">
        <f t="shared" si="74"/>
        <v>-1.7744305094991031E-4</v>
      </c>
      <c r="AK186" s="9">
        <f t="shared" si="74"/>
        <v>-9.806523119174626E-4</v>
      </c>
      <c r="AL186" s="9">
        <f t="shared" si="74"/>
        <v>-1.7096834665755178E-3</v>
      </c>
      <c r="AM186" s="9">
        <f t="shared" ref="AM186:BC186" si="75">AM176/AM138/(AM166/AM127)-1</f>
        <v>-2.5165882905102688E-3</v>
      </c>
      <c r="AN186" s="9">
        <f t="shared" si="75"/>
        <v>-3.2607965453383958E-3</v>
      </c>
      <c r="AO186" s="9">
        <f t="shared" si="75"/>
        <v>-3.9286516631359403E-3</v>
      </c>
      <c r="AP186" s="9">
        <f t="shared" si="75"/>
        <v>-4.5094939523924182E-3</v>
      </c>
      <c r="AQ186" s="9">
        <f t="shared" si="75"/>
        <v>-4.9944906836375536E-3</v>
      </c>
      <c r="AR186" s="9">
        <f t="shared" si="75"/>
        <v>-5.4007185049447237E-3</v>
      </c>
      <c r="AS186" s="9">
        <f t="shared" si="75"/>
        <v>-5.7042988016255958E-3</v>
      </c>
      <c r="AT186" s="9">
        <f t="shared" si="75"/>
        <v>-5.9013359411119737E-3</v>
      </c>
      <c r="AU186" s="9">
        <f t="shared" si="75"/>
        <v>-5.9903079878610432E-3</v>
      </c>
      <c r="AV186" s="9">
        <f t="shared" si="75"/>
        <v>-5.9714848251340991E-3</v>
      </c>
      <c r="AW186" s="9">
        <f t="shared" si="75"/>
        <v>-5.9224438621826581E-3</v>
      </c>
      <c r="AX186" s="9">
        <f t="shared" si="75"/>
        <v>-5.7843832997033218E-3</v>
      </c>
      <c r="AY186" s="9">
        <f t="shared" si="75"/>
        <v>3.3016311101363716E-3</v>
      </c>
      <c r="AZ186" s="9">
        <f t="shared" si="75"/>
        <v>1.1604182590420731E-2</v>
      </c>
      <c r="BA186" s="9">
        <f t="shared" si="75"/>
        <v>1.9054549951905253E-2</v>
      </c>
      <c r="BB186" s="9">
        <f t="shared" si="75"/>
        <v>-3.2821464647670995E-3</v>
      </c>
      <c r="BC186" s="9">
        <f t="shared" si="75"/>
        <v>-3.3394258183653269E-3</v>
      </c>
      <c r="BD186" s="9">
        <f t="shared" ref="BD186:BF186" si="76">BD176/BD138/(BD166/BD127)-1</f>
        <v>-3.3843333408267728E-3</v>
      </c>
      <c r="BE186" s="9">
        <f t="shared" si="76"/>
        <v>-3.4160345222543631E-3</v>
      </c>
      <c r="BF186" s="9">
        <f t="shared" si="76"/>
        <v>-3.4338280245942432E-3</v>
      </c>
    </row>
    <row r="187" spans="1:58" x14ac:dyDescent="0.35">
      <c r="B187" t="s">
        <v>9</v>
      </c>
      <c r="C187" s="9">
        <f t="shared" ref="C187:AL187" si="77">C177/C139/(C167/C128)-1</f>
        <v>2.42417568034623E-2</v>
      </c>
      <c r="D187" s="9">
        <f t="shared" si="77"/>
        <v>2.5378189749982294E-2</v>
      </c>
      <c r="E187" s="9">
        <f t="shared" si="77"/>
        <v>2.5076971691372796E-2</v>
      </c>
      <c r="F187" s="9">
        <f t="shared" si="77"/>
        <v>2.4153078724363564E-2</v>
      </c>
      <c r="G187" s="9">
        <f t="shared" si="77"/>
        <v>2.2920933592469606E-2</v>
      </c>
      <c r="H187" s="9">
        <f t="shared" si="77"/>
        <v>2.1541652994120808E-2</v>
      </c>
      <c r="I187" s="9">
        <f t="shared" si="77"/>
        <v>2.0123203821435398E-2</v>
      </c>
      <c r="J187" s="9">
        <f t="shared" si="77"/>
        <v>1.8668739561268355E-2</v>
      </c>
      <c r="K187" s="9">
        <f t="shared" si="77"/>
        <v>1.7174962188296172E-2</v>
      </c>
      <c r="L187" s="9">
        <f t="shared" si="77"/>
        <v>1.5633549812968495E-2</v>
      </c>
      <c r="M187" s="9">
        <f t="shared" si="77"/>
        <v>1.404307624146961E-2</v>
      </c>
      <c r="N187" s="9">
        <f t="shared" si="77"/>
        <v>1.2510686925822245E-2</v>
      </c>
      <c r="O187" s="9">
        <f t="shared" si="77"/>
        <v>1.0957392983624414E-2</v>
      </c>
      <c r="P187" s="9">
        <f t="shared" si="77"/>
        <v>9.4028082648602851E-3</v>
      </c>
      <c r="Q187" s="9">
        <f t="shared" si="77"/>
        <v>7.8745559289046252E-3</v>
      </c>
      <c r="R187" s="9">
        <f t="shared" si="77"/>
        <v>6.3997348792577124E-3</v>
      </c>
      <c r="S187" s="9">
        <f t="shared" si="77"/>
        <v>5.0947949956872129E-3</v>
      </c>
      <c r="T187" s="9">
        <f t="shared" si="77"/>
        <v>3.8775396977457355E-3</v>
      </c>
      <c r="U187" s="9">
        <f t="shared" si="77"/>
        <v>2.7470599230339232E-3</v>
      </c>
      <c r="V187" s="9">
        <f t="shared" si="77"/>
        <v>1.6980934801085201E-3</v>
      </c>
      <c r="W187" s="9">
        <f t="shared" si="77"/>
        <v>7.1763217993847661E-4</v>
      </c>
      <c r="X187" s="9">
        <f t="shared" si="77"/>
        <v>-2.0032898393462784E-4</v>
      </c>
      <c r="Y187" s="9">
        <f t="shared" si="77"/>
        <v>-1.0758777398297559E-3</v>
      </c>
      <c r="Z187" s="9">
        <f t="shared" si="77"/>
        <v>-1.9220670623393277E-3</v>
      </c>
      <c r="AA187" s="9">
        <f t="shared" si="77"/>
        <v>-2.7509329260732018E-3</v>
      </c>
      <c r="AB187" s="9">
        <f t="shared" si="77"/>
        <v>-3.5859709944610074E-3</v>
      </c>
      <c r="AC187" s="9">
        <f t="shared" si="77"/>
        <v>-4.4404741200382292E-3</v>
      </c>
      <c r="AD187" s="9">
        <f t="shared" si="77"/>
        <v>-5.299695220677747E-3</v>
      </c>
      <c r="AE187" s="9">
        <f t="shared" si="77"/>
        <v>-6.1641385840865981E-3</v>
      </c>
      <c r="AF187" s="9">
        <f t="shared" si="77"/>
        <v>-7.0334749611500325E-3</v>
      </c>
      <c r="AG187" s="9">
        <f t="shared" si="77"/>
        <v>-7.9061856932786112E-3</v>
      </c>
      <c r="AH187" s="9">
        <f t="shared" si="77"/>
        <v>-8.7974880363470565E-3</v>
      </c>
      <c r="AI187" s="9">
        <f t="shared" si="77"/>
        <v>-9.6875349247276255E-3</v>
      </c>
      <c r="AJ187" s="9">
        <f t="shared" si="77"/>
        <v>-1.0572056062020052E-2</v>
      </c>
      <c r="AK187" s="9">
        <f t="shared" si="77"/>
        <v>-1.1447311760556245E-2</v>
      </c>
      <c r="AL187" s="9">
        <f t="shared" si="77"/>
        <v>-1.2309882122770177E-2</v>
      </c>
      <c r="AM187" s="9">
        <f t="shared" ref="AM187:BC187" si="78">AM177/AM139/(AM167/AM128)-1</f>
        <v>-1.3306733562952089E-2</v>
      </c>
      <c r="AN187" s="9">
        <f t="shared" si="78"/>
        <v>-1.4287754884189874E-2</v>
      </c>
      <c r="AO187" s="9">
        <f t="shared" si="78"/>
        <v>-1.5241147987409387E-2</v>
      </c>
      <c r="AP187" s="9">
        <f t="shared" si="78"/>
        <v>-1.6159508988204951E-2</v>
      </c>
      <c r="AQ187" s="9">
        <f t="shared" si="78"/>
        <v>-1.7037486487753606E-2</v>
      </c>
      <c r="AR187" s="9">
        <f t="shared" si="78"/>
        <v>-1.7893527752194549E-2</v>
      </c>
      <c r="AS187" s="9">
        <f t="shared" si="78"/>
        <v>-1.8704761112805723E-2</v>
      </c>
      <c r="AT187" s="9">
        <f t="shared" si="78"/>
        <v>-1.9468805842541292E-2</v>
      </c>
      <c r="AU187" s="9">
        <f t="shared" si="78"/>
        <v>-2.0185000269391407E-2</v>
      </c>
      <c r="AV187" s="9">
        <f t="shared" si="78"/>
        <v>-2.085376563497976E-2</v>
      </c>
      <c r="AW187" s="9">
        <f t="shared" si="78"/>
        <v>-2.1546372129208402E-2</v>
      </c>
      <c r="AX187" s="9">
        <f t="shared" si="78"/>
        <v>-2.2199299536898476E-2</v>
      </c>
      <c r="AY187" s="9">
        <f t="shared" si="78"/>
        <v>-1.3622186493771893E-2</v>
      </c>
      <c r="AZ187" s="9">
        <f t="shared" si="78"/>
        <v>-5.9235137133464288E-3</v>
      </c>
      <c r="BA187" s="9">
        <f t="shared" si="78"/>
        <v>7.6610779192209932E-4</v>
      </c>
      <c r="BB187" s="9">
        <f t="shared" si="78"/>
        <v>-4.8690593586189213E-3</v>
      </c>
      <c r="BC187" s="9">
        <f t="shared" si="78"/>
        <v>-5.0537698595797265E-3</v>
      </c>
      <c r="BD187" s="9">
        <f t="shared" ref="BD187:BF187" si="79">BD177/BD139/(BD167/BD128)-1</f>
        <v>-5.2348142376216211E-3</v>
      </c>
      <c r="BE187" s="9">
        <f t="shared" si="79"/>
        <v>-5.4118195360129961E-3</v>
      </c>
      <c r="BF187" s="9">
        <f t="shared" si="79"/>
        <v>-5.5845337401694284E-3</v>
      </c>
    </row>
    <row r="188" spans="1:58" x14ac:dyDescent="0.35">
      <c r="B188" t="s">
        <v>10</v>
      </c>
      <c r="C188" s="9">
        <f t="shared" ref="C188:AL188" si="80">C178/C140/(C168/C129)-1</f>
        <v>1.3021777033809911E-2</v>
      </c>
      <c r="D188" s="9">
        <f t="shared" si="80"/>
        <v>1.6581433964517167E-2</v>
      </c>
      <c r="E188" s="9">
        <f t="shared" si="80"/>
        <v>1.835609251753012E-2</v>
      </c>
      <c r="F188" s="9">
        <f t="shared" si="80"/>
        <v>1.9324318749408098E-2</v>
      </c>
      <c r="G188" s="9">
        <f t="shared" si="80"/>
        <v>1.9879159369592392E-2</v>
      </c>
      <c r="H188" s="9">
        <f t="shared" si="80"/>
        <v>2.0186102181914745E-2</v>
      </c>
      <c r="I188" s="9">
        <f t="shared" si="80"/>
        <v>2.0306085595884538E-2</v>
      </c>
      <c r="J188" s="9">
        <f t="shared" si="80"/>
        <v>2.0193462283595531E-2</v>
      </c>
      <c r="K188" s="9">
        <f t="shared" si="80"/>
        <v>1.97962503036897E-2</v>
      </c>
      <c r="L188" s="9">
        <f t="shared" si="80"/>
        <v>1.9075722059422429E-2</v>
      </c>
      <c r="M188" s="9">
        <f t="shared" si="80"/>
        <v>1.8012311806733461E-2</v>
      </c>
      <c r="N188" s="9">
        <f t="shared" si="80"/>
        <v>1.6707533183020207E-2</v>
      </c>
      <c r="O188" s="9">
        <f t="shared" si="80"/>
        <v>1.5152429831245762E-2</v>
      </c>
      <c r="P188" s="9">
        <f t="shared" si="80"/>
        <v>1.340835676775054E-2</v>
      </c>
      <c r="Q188" s="9">
        <f t="shared" si="80"/>
        <v>1.1550474769489005E-2</v>
      </c>
      <c r="R188" s="9">
        <f t="shared" si="80"/>
        <v>9.6549599461959179E-3</v>
      </c>
      <c r="S188" s="9">
        <f t="shared" si="80"/>
        <v>7.8432984469563038E-3</v>
      </c>
      <c r="T188" s="9">
        <f t="shared" si="80"/>
        <v>6.1263288152795248E-3</v>
      </c>
      <c r="U188" s="9">
        <f t="shared" si="80"/>
        <v>4.5350801526216067E-3</v>
      </c>
      <c r="V188" s="9">
        <f t="shared" si="80"/>
        <v>3.0881050216688966E-3</v>
      </c>
      <c r="W188" s="9">
        <f t="shared" si="80"/>
        <v>1.7977733390015516E-3</v>
      </c>
      <c r="X188" s="9">
        <f t="shared" si="80"/>
        <v>6.4793298360710239E-4</v>
      </c>
      <c r="Y188" s="9">
        <f t="shared" si="80"/>
        <v>-3.6314922325408894E-4</v>
      </c>
      <c r="Z188" s="9">
        <f t="shared" si="80"/>
        <v>-1.2484401273477053E-3</v>
      </c>
      <c r="AA188" s="9">
        <f t="shared" si="80"/>
        <v>-2.0226920324175612E-3</v>
      </c>
      <c r="AB188" s="9">
        <f t="shared" si="80"/>
        <v>-2.6886619750781104E-3</v>
      </c>
      <c r="AC188" s="9">
        <f t="shared" si="80"/>
        <v>-3.304619290225963E-3</v>
      </c>
      <c r="AD188" s="9">
        <f t="shared" si="80"/>
        <v>-3.8586415552024356E-3</v>
      </c>
      <c r="AE188" s="9">
        <f t="shared" si="80"/>
        <v>-4.3590839162191974E-3</v>
      </c>
      <c r="AF188" s="9">
        <f t="shared" si="80"/>
        <v>-4.8127605904261239E-3</v>
      </c>
      <c r="AG188" s="9">
        <f t="shared" si="80"/>
        <v>-5.2254515437237803E-3</v>
      </c>
      <c r="AH188" s="9">
        <f t="shared" si="80"/>
        <v>-5.6120165658982701E-3</v>
      </c>
      <c r="AI188" s="9">
        <f t="shared" si="80"/>
        <v>-5.9689746828438528E-3</v>
      </c>
      <c r="AJ188" s="9">
        <f t="shared" si="80"/>
        <v>-6.2983390653739146E-3</v>
      </c>
      <c r="AK188" s="9">
        <f t="shared" si="80"/>
        <v>-6.6020383253424519E-3</v>
      </c>
      <c r="AL188" s="9">
        <f t="shared" si="80"/>
        <v>-6.8817964514824581E-3</v>
      </c>
      <c r="AM188" s="9">
        <f t="shared" ref="AM188:BC188" si="81">AM178/AM140/(AM168/AM129)-1</f>
        <v>-7.2202764972560951E-3</v>
      </c>
      <c r="AN188" s="9">
        <f t="shared" si="81"/>
        <v>-7.5588054914874636E-3</v>
      </c>
      <c r="AO188" s="9">
        <f t="shared" si="81"/>
        <v>-7.8852388341266177E-3</v>
      </c>
      <c r="AP188" s="9">
        <f t="shared" si="81"/>
        <v>-8.1912226276141809E-3</v>
      </c>
      <c r="AQ188" s="9">
        <f t="shared" si="81"/>
        <v>-8.4707780383188602E-3</v>
      </c>
      <c r="AR188" s="9">
        <f t="shared" si="81"/>
        <v>-8.7327336637947894E-3</v>
      </c>
      <c r="AS188" s="9">
        <f t="shared" si="81"/>
        <v>-8.9655334621142613E-3</v>
      </c>
      <c r="AT188" s="9">
        <f t="shared" si="81"/>
        <v>-9.1664590225132292E-3</v>
      </c>
      <c r="AU188" s="9">
        <f t="shared" si="81"/>
        <v>-9.3344089010414244E-3</v>
      </c>
      <c r="AV188" s="9">
        <f t="shared" si="81"/>
        <v>-9.4693917638426495E-3</v>
      </c>
      <c r="AW188" s="9">
        <f t="shared" si="81"/>
        <v>-9.6133370034309218E-3</v>
      </c>
      <c r="AX188" s="9">
        <f t="shared" si="81"/>
        <v>-9.7370972220027774E-3</v>
      </c>
      <c r="AY188" s="9">
        <f t="shared" si="81"/>
        <v>9.9942377911599323E-4</v>
      </c>
      <c r="AZ188" s="9">
        <f t="shared" si="81"/>
        <v>1.0941671920332796E-2</v>
      </c>
      <c r="BA188" s="9">
        <f t="shared" si="81"/>
        <v>2.0133170369395215E-2</v>
      </c>
      <c r="BB188" s="9">
        <f t="shared" si="81"/>
        <v>-4.5152881580919901E-3</v>
      </c>
      <c r="BC188" s="9">
        <f t="shared" si="81"/>
        <v>-4.6558780453577198E-3</v>
      </c>
      <c r="BD188" s="9">
        <f t="shared" ref="BD188:BF188" si="82">BD178/BD140/(BD168/BD129)-1</f>
        <v>-4.7912267583254398E-3</v>
      </c>
      <c r="BE188" s="9">
        <f t="shared" si="82"/>
        <v>-4.9210641484708217E-3</v>
      </c>
      <c r="BF188" s="9">
        <f t="shared" si="82"/>
        <v>-5.0452665356431892E-3</v>
      </c>
    </row>
    <row r="189" spans="1:58" x14ac:dyDescent="0.35">
      <c r="B189" t="s">
        <v>29</v>
      </c>
      <c r="C189" s="9">
        <f t="shared" ref="C189:AL189" si="83">(C179+C180)/(C141+C142)/((C169+C170)/(C130+C131))-1</f>
        <v>2.4402584059043164E-2</v>
      </c>
      <c r="D189" s="9">
        <f t="shared" si="83"/>
        <v>2.6997038842598187E-2</v>
      </c>
      <c r="E189" s="9">
        <f t="shared" si="83"/>
        <v>2.7957286800175174E-2</v>
      </c>
      <c r="F189" s="9">
        <f t="shared" si="83"/>
        <v>2.8374253907917257E-2</v>
      </c>
      <c r="G189" s="9">
        <f t="shared" si="83"/>
        <v>2.8336002238013469E-2</v>
      </c>
      <c r="H189" s="9">
        <f t="shared" si="83"/>
        <v>2.7848490836393847E-2</v>
      </c>
      <c r="I189" s="9">
        <f t="shared" si="83"/>
        <v>2.6973271849693337E-2</v>
      </c>
      <c r="J189" s="9">
        <f t="shared" si="83"/>
        <v>2.577579988381995E-2</v>
      </c>
      <c r="K189" s="9">
        <f t="shared" si="83"/>
        <v>2.4335318330632738E-2</v>
      </c>
      <c r="L189" s="9">
        <f t="shared" si="83"/>
        <v>2.272197883671967E-2</v>
      </c>
      <c r="M189" s="9">
        <f t="shared" si="83"/>
        <v>2.1007134185492715E-2</v>
      </c>
      <c r="N189" s="9">
        <f t="shared" si="83"/>
        <v>1.9304906537029431E-2</v>
      </c>
      <c r="O189" s="9">
        <f t="shared" si="83"/>
        <v>1.7592350590369454E-2</v>
      </c>
      <c r="P189" s="9">
        <f t="shared" si="83"/>
        <v>1.5900412717360757E-2</v>
      </c>
      <c r="Q189" s="9">
        <f t="shared" si="83"/>
        <v>1.4259221369579134E-2</v>
      </c>
      <c r="R189" s="9">
        <f t="shared" si="83"/>
        <v>1.2693602992756459E-2</v>
      </c>
      <c r="S189" s="9">
        <f t="shared" si="83"/>
        <v>1.1304242973680712E-2</v>
      </c>
      <c r="T189" s="9">
        <f t="shared" si="83"/>
        <v>1.0022176191389898E-2</v>
      </c>
      <c r="U189" s="9">
        <f t="shared" si="83"/>
        <v>8.8459564954970205E-3</v>
      </c>
      <c r="V189" s="9">
        <f t="shared" si="83"/>
        <v>7.7735574657904483E-3</v>
      </c>
      <c r="W189" s="9">
        <f t="shared" si="83"/>
        <v>6.7885535118239471E-3</v>
      </c>
      <c r="X189" s="9">
        <f t="shared" si="83"/>
        <v>5.908026883658879E-3</v>
      </c>
      <c r="Y189" s="9">
        <f t="shared" si="83"/>
        <v>5.1053230755457868E-3</v>
      </c>
      <c r="Z189" s="9">
        <f t="shared" si="83"/>
        <v>4.3698508716560891E-3</v>
      </c>
      <c r="AA189" s="9">
        <f t="shared" si="83"/>
        <v>3.6911437605369191E-3</v>
      </c>
      <c r="AB189" s="9">
        <f t="shared" si="83"/>
        <v>3.0223005871601316E-3</v>
      </c>
      <c r="AC189" s="9">
        <f t="shared" si="83"/>
        <v>2.3944384558909348E-3</v>
      </c>
      <c r="AD189" s="9">
        <f t="shared" si="83"/>
        <v>1.7986115019137383E-3</v>
      </c>
      <c r="AE189" s="9">
        <f t="shared" si="83"/>
        <v>1.228730437806913E-3</v>
      </c>
      <c r="AF189" s="9">
        <f t="shared" si="83"/>
        <v>6.796224110674487E-4</v>
      </c>
      <c r="AG189" s="9">
        <f t="shared" si="83"/>
        <v>1.47513094644669E-4</v>
      </c>
      <c r="AH189" s="9">
        <f t="shared" si="83"/>
        <v>-3.8471023564923268E-4</v>
      </c>
      <c r="AI189" s="9">
        <f t="shared" si="83"/>
        <v>-9.0443679024931889E-4</v>
      </c>
      <c r="AJ189" s="9">
        <f t="shared" si="83"/>
        <v>-1.4113585616313262E-3</v>
      </c>
      <c r="AK189" s="9">
        <f t="shared" si="83"/>
        <v>-1.9053827451424032E-3</v>
      </c>
      <c r="AL189" s="9">
        <f t="shared" si="83"/>
        <v>-2.3861391907731289E-3</v>
      </c>
      <c r="AM189" s="9">
        <f t="shared" ref="AM189:BC189" si="84">(AM179+AM180)/(AM141+AM142)/((AM169+AM170)/(AM130+AM131))-1</f>
        <v>-2.9823465683831429E-3</v>
      </c>
      <c r="AN189" s="9">
        <f t="shared" si="84"/>
        <v>-3.5634535165592895E-3</v>
      </c>
      <c r="AO189" s="9">
        <f t="shared" si="84"/>
        <v>-4.1210117790186906E-3</v>
      </c>
      <c r="AP189" s="9">
        <f t="shared" si="84"/>
        <v>-4.6524157110520159E-3</v>
      </c>
      <c r="AQ189" s="9">
        <f t="shared" si="84"/>
        <v>-5.1556559343551855E-3</v>
      </c>
      <c r="AR189" s="9">
        <f t="shared" si="84"/>
        <v>-5.6463994085764746E-3</v>
      </c>
      <c r="AS189" s="9">
        <f t="shared" si="84"/>
        <v>-6.10559145097056E-3</v>
      </c>
      <c r="AT189" s="9">
        <f t="shared" si="84"/>
        <v>-6.5304422369882875E-3</v>
      </c>
      <c r="AU189" s="9">
        <f t="shared" si="84"/>
        <v>-6.9195542173380309E-3</v>
      </c>
      <c r="AV189" s="9">
        <f t="shared" si="84"/>
        <v>-7.2722819464334787E-3</v>
      </c>
      <c r="AW189" s="9">
        <f t="shared" si="84"/>
        <v>-7.6435608973702829E-3</v>
      </c>
      <c r="AX189" s="9">
        <f t="shared" si="84"/>
        <v>-7.9815653399543107E-3</v>
      </c>
      <c r="AY189" s="9">
        <f t="shared" si="84"/>
        <v>1.4279614644936434E-3</v>
      </c>
      <c r="AZ189" s="9">
        <f t="shared" si="84"/>
        <v>1.073260807386367E-2</v>
      </c>
      <c r="BA189" s="9">
        <f t="shared" si="84"/>
        <v>1.9594826053189518E-2</v>
      </c>
      <c r="BB189" s="9">
        <f t="shared" si="84"/>
        <v>-4.0902821510452325E-3</v>
      </c>
      <c r="BC189" s="9">
        <f t="shared" si="84"/>
        <v>-4.195930160900696E-3</v>
      </c>
      <c r="BD189" s="9">
        <f t="shared" ref="BD189:BF189" si="85">(BD179+BD180)/(BD141+BD142)/((BD169+BD170)/(BD130+BD131))-1</f>
        <v>-4.2938519498608718E-3</v>
      </c>
      <c r="BE189" s="9">
        <f t="shared" si="85"/>
        <v>-4.3843283318697468E-3</v>
      </c>
      <c r="BF189" s="9">
        <f t="shared" si="85"/>
        <v>-4.4677866069477989E-3</v>
      </c>
    </row>
    <row r="190" spans="1:58" x14ac:dyDescent="0.35">
      <c r="B190" t="s">
        <v>33</v>
      </c>
      <c r="C190" s="9">
        <f t="shared" ref="C190:AL190" si="86">C181/C143/(C171/C132)-1</f>
        <v>2.0195426714924469E-2</v>
      </c>
      <c r="D190" s="9">
        <f t="shared" si="86"/>
        <v>2.4731109472909907E-2</v>
      </c>
      <c r="E190" s="9">
        <f t="shared" si="86"/>
        <v>2.6884559527538432E-2</v>
      </c>
      <c r="F190" s="9">
        <f t="shared" si="86"/>
        <v>2.771260678819587E-2</v>
      </c>
      <c r="G190" s="9">
        <f t="shared" si="86"/>
        <v>2.7356601944209968E-2</v>
      </c>
      <c r="H190" s="9">
        <f t="shared" si="86"/>
        <v>2.6016941857393672E-2</v>
      </c>
      <c r="I190" s="9">
        <f t="shared" si="86"/>
        <v>2.402119226496735E-2</v>
      </c>
      <c r="J190" s="9">
        <f t="shared" si="86"/>
        <v>2.1703310763673933E-2</v>
      </c>
      <c r="K190" s="9">
        <f t="shared" si="86"/>
        <v>1.9355547437749587E-2</v>
      </c>
      <c r="L190" s="9">
        <f t="shared" si="86"/>
        <v>1.720260346475011E-2</v>
      </c>
      <c r="M190" s="9">
        <f t="shared" si="86"/>
        <v>1.5399139128275285E-2</v>
      </c>
      <c r="N190" s="9">
        <f t="shared" si="86"/>
        <v>1.4076613246570835E-2</v>
      </c>
      <c r="O190" s="9">
        <f t="shared" si="86"/>
        <v>1.3258743103418791E-2</v>
      </c>
      <c r="P190" s="9">
        <f t="shared" si="86"/>
        <v>1.2934159632902009E-2</v>
      </c>
      <c r="Q190" s="9">
        <f t="shared" si="86"/>
        <v>1.3070016323004197E-2</v>
      </c>
      <c r="R190" s="9">
        <f t="shared" si="86"/>
        <v>1.3618025905090425E-2</v>
      </c>
      <c r="S190" s="9">
        <f t="shared" si="86"/>
        <v>1.4564244875430843E-2</v>
      </c>
      <c r="T190" s="9">
        <f t="shared" si="86"/>
        <v>1.5833617913248776E-2</v>
      </c>
      <c r="U190" s="9">
        <f t="shared" si="86"/>
        <v>1.7353601097529037E-2</v>
      </c>
      <c r="V190" s="9">
        <f t="shared" si="86"/>
        <v>1.9059247051216088E-2</v>
      </c>
      <c r="W190" s="9">
        <f t="shared" si="86"/>
        <v>2.0891059968062065E-2</v>
      </c>
      <c r="X190" s="9">
        <f t="shared" si="86"/>
        <v>2.2811971128583464E-2</v>
      </c>
      <c r="Y190" s="9">
        <f t="shared" si="86"/>
        <v>2.4771685258202503E-2</v>
      </c>
      <c r="Z190" s="9">
        <f t="shared" si="86"/>
        <v>2.6742280600254853E-2</v>
      </c>
      <c r="AA190" s="9">
        <f t="shared" si="86"/>
        <v>2.8702051741518186E-2</v>
      </c>
      <c r="AB190" s="9">
        <f t="shared" si="86"/>
        <v>3.062327052829672E-2</v>
      </c>
      <c r="AC190" s="9">
        <f t="shared" si="86"/>
        <v>3.251087209911141E-2</v>
      </c>
      <c r="AD190" s="9">
        <f t="shared" si="86"/>
        <v>3.4337355424271188E-2</v>
      </c>
      <c r="AE190" s="9">
        <f t="shared" si="86"/>
        <v>3.6107222152796936E-2</v>
      </c>
      <c r="AF190" s="9">
        <f t="shared" si="86"/>
        <v>3.7827401164897578E-2</v>
      </c>
      <c r="AG190" s="9">
        <f t="shared" si="86"/>
        <v>3.9505977453017982E-2</v>
      </c>
      <c r="AH190" s="9">
        <f t="shared" si="86"/>
        <v>4.1145035127618135E-2</v>
      </c>
      <c r="AI190" s="9">
        <f t="shared" si="86"/>
        <v>4.2752846776571207E-2</v>
      </c>
      <c r="AJ190" s="9">
        <f t="shared" si="86"/>
        <v>4.4340366802883002E-2</v>
      </c>
      <c r="AK190" s="9">
        <f t="shared" si="86"/>
        <v>4.591803524214666E-2</v>
      </c>
      <c r="AL190" s="9">
        <f t="shared" si="86"/>
        <v>4.7495339924453983E-2</v>
      </c>
      <c r="AM190" s="9">
        <f t="shared" ref="AM190:BC190" si="87">AM181/AM143/(AM171/AM132)-1</f>
        <v>4.9031132692284984E-2</v>
      </c>
      <c r="AN190" s="9">
        <f t="shared" si="87"/>
        <v>5.0529478252312021E-2</v>
      </c>
      <c r="AO190" s="9">
        <f t="shared" si="87"/>
        <v>5.2013698991040025E-2</v>
      </c>
      <c r="AP190" s="9">
        <f t="shared" si="87"/>
        <v>5.3505847465996181E-2</v>
      </c>
      <c r="AQ190" s="9">
        <f t="shared" si="87"/>
        <v>5.5023002114838571E-2</v>
      </c>
      <c r="AR190" s="9">
        <f t="shared" si="87"/>
        <v>5.6571897681947148E-2</v>
      </c>
      <c r="AS190" s="9">
        <f t="shared" si="87"/>
        <v>5.8158682000865491E-2</v>
      </c>
      <c r="AT190" s="9">
        <f t="shared" si="87"/>
        <v>5.9792442956885461E-2</v>
      </c>
      <c r="AU190" s="9">
        <f t="shared" si="87"/>
        <v>6.14802334531801E-2</v>
      </c>
      <c r="AV190" s="9">
        <f t="shared" si="87"/>
        <v>6.3226852856511861E-2</v>
      </c>
      <c r="AW190" s="9">
        <f t="shared" si="87"/>
        <v>6.501956905947659E-2</v>
      </c>
      <c r="AX190" s="9">
        <f t="shared" si="87"/>
        <v>6.6845271494990754E-2</v>
      </c>
      <c r="AY190" s="9">
        <f t="shared" si="87"/>
        <v>7.4296527425900205E-2</v>
      </c>
      <c r="AZ190" s="9">
        <f t="shared" si="87"/>
        <v>8.1250878586825115E-2</v>
      </c>
      <c r="BA190" s="9">
        <f t="shared" si="87"/>
        <v>8.7702196197019022E-2</v>
      </c>
      <c r="BB190" s="9">
        <f t="shared" si="87"/>
        <v>2.2428448509804522E-2</v>
      </c>
      <c r="BC190" s="9">
        <f t="shared" si="87"/>
        <v>2.3685348665945183E-2</v>
      </c>
      <c r="BD190" s="9">
        <f t="shared" ref="BD190:BF190" si="88">BD181/BD143/(BD171/BD132)-1</f>
        <v>2.4985452524077578E-2</v>
      </c>
      <c r="BE190" s="9">
        <f t="shared" si="88"/>
        <v>2.6329744699673974E-2</v>
      </c>
      <c r="BF190" s="9">
        <f t="shared" si="88"/>
        <v>2.7717781782209183E-2</v>
      </c>
    </row>
    <row r="192" spans="1:58" x14ac:dyDescent="0.35">
      <c r="A192" s="12" t="s">
        <v>86</v>
      </c>
      <c r="B192" t="s">
        <v>27</v>
      </c>
      <c r="C192" s="5">
        <f>[1]Results!F1434</f>
        <v>27153.16001</v>
      </c>
      <c r="D192" s="5">
        <f>[1]Results!G1434</f>
        <v>26999.69198</v>
      </c>
      <c r="E192" s="5">
        <f>[1]Results!H1434</f>
        <v>26902.47495</v>
      </c>
      <c r="F192" s="5">
        <f>[1]Results!I1434</f>
        <v>26861.002250000001</v>
      </c>
      <c r="G192" s="5">
        <f>[1]Results!J1434</f>
        <v>26865.560310000001</v>
      </c>
      <c r="H192" s="5">
        <f>[1]Results!K1434</f>
        <v>26904.47133</v>
      </c>
      <c r="I192" s="5">
        <f>[1]Results!L1434</f>
        <v>26956.336670000001</v>
      </c>
      <c r="J192" s="5">
        <f>[1]Results!M1434</f>
        <v>27015.19643</v>
      </c>
      <c r="K192" s="5">
        <f>[1]Results!N1434</f>
        <v>27077.752710000001</v>
      </c>
      <c r="L192" s="5">
        <f>[1]Results!O1434</f>
        <v>27142.282279999999</v>
      </c>
      <c r="M192" s="5">
        <f>[1]Results!P1434</f>
        <v>27225.554789999998</v>
      </c>
      <c r="N192" s="5">
        <f>[1]Results!Q1434</f>
        <v>27305.106059999998</v>
      </c>
      <c r="O192" s="5">
        <f>[1]Results!R1434</f>
        <v>27380.250309999999</v>
      </c>
      <c r="P192" s="5">
        <f>[1]Results!S1434</f>
        <v>27451.236570000001</v>
      </c>
      <c r="Q192" s="5">
        <f>[1]Results!T1434</f>
        <v>27518.285530000001</v>
      </c>
      <c r="R192" s="5">
        <f>[1]Results!U1434</f>
        <v>27581.463059999998</v>
      </c>
      <c r="S192" s="5">
        <f>[1]Results!V1434</f>
        <v>27640.190139999999</v>
      </c>
      <c r="T192" s="5">
        <f>[1]Results!W1434</f>
        <v>27694.488069999999</v>
      </c>
      <c r="U192" s="5">
        <f>[1]Results!X1434</f>
        <v>27744.550029999999</v>
      </c>
      <c r="V192" s="5">
        <f>[1]Results!Y1434</f>
        <v>27790.70405</v>
      </c>
      <c r="W192" s="5">
        <f>[1]Results!Z1434</f>
        <v>27821.994869999999</v>
      </c>
      <c r="X192" s="5">
        <f>[1]Results!AA1434</f>
        <v>27852.776300000001</v>
      </c>
      <c r="Y192" s="5">
        <f>[1]Results!AB1434</f>
        <v>27883.924139999999</v>
      </c>
      <c r="Z192" s="5">
        <f>[1]Results!AC1434</f>
        <v>27915.724310000001</v>
      </c>
      <c r="AA192" s="5">
        <f>[1]Results!AD1434</f>
        <v>27948.35471</v>
      </c>
      <c r="AB192" s="5">
        <f>[1]Results!AE1434</f>
        <v>27951.273700000002</v>
      </c>
      <c r="AC192" s="5">
        <f>[1]Results!AF1434</f>
        <v>27947.446510000002</v>
      </c>
      <c r="AD192" s="5">
        <f>[1]Results!AG1434</f>
        <v>27940.679660000002</v>
      </c>
      <c r="AE192" s="5">
        <f>[1]Results!AH1434</f>
        <v>27933.34461</v>
      </c>
      <c r="AF192" s="5">
        <f>[1]Results!AI1434</f>
        <v>27927.026849999998</v>
      </c>
      <c r="AG192" s="5">
        <f>[1]Results!AJ1434</f>
        <v>27922.713250000001</v>
      </c>
      <c r="AH192" s="5">
        <f>[1]Results!AK1434</f>
        <v>27920.95549</v>
      </c>
      <c r="AI192" s="5">
        <f>[1]Results!AL1434</f>
        <v>27921.926520000001</v>
      </c>
      <c r="AJ192" s="5">
        <f>[1]Results!AM1434</f>
        <v>27925.524010000001</v>
      </c>
      <c r="AK192" s="5">
        <f>[1]Results!AN1434</f>
        <v>27931.49308</v>
      </c>
      <c r="AL192" s="5">
        <f>[1]Results!AO1434</f>
        <v>27939.511020000002</v>
      </c>
      <c r="AM192" s="5">
        <f>[1]Results!AP1434</f>
        <v>27943.09362</v>
      </c>
      <c r="AN192" s="5">
        <f>[1]Results!AQ1434</f>
        <v>27943.604169999999</v>
      </c>
      <c r="AO192" s="5">
        <f>[1]Results!AR1434</f>
        <v>27942.233090000002</v>
      </c>
      <c r="AP192" s="5">
        <f>[1]Results!AS1434</f>
        <v>27939.858110000001</v>
      </c>
      <c r="AQ192" s="5">
        <f>[1]Results!AT1434</f>
        <v>27937.079900000001</v>
      </c>
      <c r="AR192" s="5">
        <f>[1]Results!AU1434</f>
        <v>27934.284319999999</v>
      </c>
      <c r="AS192" s="5">
        <f>[1]Results!AV1434</f>
        <v>27931.732069999998</v>
      </c>
      <c r="AT192" s="5">
        <f>[1]Results!AW1434</f>
        <v>27929.48821</v>
      </c>
      <c r="AU192" s="5">
        <f>[1]Results!AX1434</f>
        <v>27927.497060000002</v>
      </c>
      <c r="AV192" s="5">
        <f>[1]Results!AY1434</f>
        <v>27925.63667</v>
      </c>
      <c r="AW192" s="5">
        <f>[1]Results!AZ1434</f>
        <v>27924.22752</v>
      </c>
      <c r="AX192" s="5">
        <f>[1]Results!BA1434</f>
        <v>27923.282739999999</v>
      </c>
      <c r="AY192" s="5">
        <f>[1]Results!BB1434</f>
        <v>27793.08108</v>
      </c>
      <c r="AZ192" s="5">
        <f>[1]Results!BC1434</f>
        <v>27587.46198</v>
      </c>
      <c r="BA192" s="5">
        <f>[1]Results!BD1434</f>
        <v>27356.28875</v>
      </c>
      <c r="BB192" s="5">
        <f>[1]Results!BE1434</f>
        <v>31151.28602</v>
      </c>
      <c r="BC192" s="5">
        <f>[1]Results!BF1434</f>
        <v>31189.76338</v>
      </c>
      <c r="BD192" s="5">
        <f>[1]Results!BG1434</f>
        <v>31227.690480000001</v>
      </c>
      <c r="BE192" s="5">
        <f>[1]Results!BH1434</f>
        <v>31265.089660000001</v>
      </c>
      <c r="BF192" s="5">
        <f>[1]Results!BI1434</f>
        <v>31301.985199999999</v>
      </c>
    </row>
    <row r="193" spans="1:58" x14ac:dyDescent="0.35">
      <c r="A193" t="s">
        <v>39</v>
      </c>
      <c r="B193" t="s">
        <v>7</v>
      </c>
      <c r="C193" s="5">
        <f>[1]Results!F1435</f>
        <v>757.07066540000005</v>
      </c>
      <c r="D193" s="5">
        <f>[1]Results!G1435</f>
        <v>754.07725979999998</v>
      </c>
      <c r="E193" s="5">
        <f>[1]Results!H1435</f>
        <v>751.96896600000002</v>
      </c>
      <c r="F193" s="5">
        <f>[1]Results!I1435</f>
        <v>750.79409740000006</v>
      </c>
      <c r="G193" s="5">
        <f>[1]Results!J1435</f>
        <v>750.01217629999996</v>
      </c>
      <c r="H193" s="5">
        <f>[1]Results!K1435</f>
        <v>748.94655580000006</v>
      </c>
      <c r="I193" s="5">
        <f>[1]Results!L1435</f>
        <v>746.69698129999995</v>
      </c>
      <c r="J193" s="5">
        <f>[1]Results!M1435</f>
        <v>742.95371069999999</v>
      </c>
      <c r="K193" s="5">
        <f>[1]Results!N1435</f>
        <v>737.74718319999999</v>
      </c>
      <c r="L193" s="5">
        <f>[1]Results!O1435</f>
        <v>731.32175029999996</v>
      </c>
      <c r="M193" s="5">
        <f>[1]Results!P1435</f>
        <v>724.57789660000003</v>
      </c>
      <c r="N193" s="5">
        <f>[1]Results!Q1435</f>
        <v>717.32992109999998</v>
      </c>
      <c r="O193" s="5">
        <f>[1]Results!R1435</f>
        <v>709.77322830000003</v>
      </c>
      <c r="P193" s="5">
        <f>[1]Results!S1435</f>
        <v>702.18154270000002</v>
      </c>
      <c r="Q193" s="5">
        <f>[1]Results!T1435</f>
        <v>694.79722140000001</v>
      </c>
      <c r="R193" s="5">
        <f>[1]Results!U1435</f>
        <v>687.78927610000005</v>
      </c>
      <c r="S193" s="5">
        <f>[1]Results!V1435</f>
        <v>681.28695219999997</v>
      </c>
      <c r="T193" s="5">
        <f>[1]Results!W1435</f>
        <v>675.27938989999996</v>
      </c>
      <c r="U193" s="5">
        <f>[1]Results!X1435</f>
        <v>669.71680170000002</v>
      </c>
      <c r="V193" s="5">
        <f>[1]Results!Y1435</f>
        <v>664.52382569999997</v>
      </c>
      <c r="W193" s="5">
        <f>[1]Results!Z1435</f>
        <v>659.29761629999996</v>
      </c>
      <c r="X193" s="5">
        <f>[1]Results!AA1435</f>
        <v>654.29422030000001</v>
      </c>
      <c r="Y193" s="5">
        <f>[1]Results!AB1435</f>
        <v>649.51401880000003</v>
      </c>
      <c r="Z193" s="5">
        <f>[1]Results!AC1435</f>
        <v>644.89232939999999</v>
      </c>
      <c r="AA193" s="5">
        <f>[1]Results!AD1435</f>
        <v>640.35208880000005</v>
      </c>
      <c r="AB193" s="5">
        <f>[1]Results!AE1435</f>
        <v>635.01229550000005</v>
      </c>
      <c r="AC193" s="5">
        <f>[1]Results!AF1435</f>
        <v>629.31468159999997</v>
      </c>
      <c r="AD193" s="5">
        <f>[1]Results!AG1435</f>
        <v>623.49443199999996</v>
      </c>
      <c r="AE193" s="5">
        <f>[1]Results!AH1435</f>
        <v>617.68967269999996</v>
      </c>
      <c r="AF193" s="5">
        <f>[1]Results!AI1435</f>
        <v>611.97404970000002</v>
      </c>
      <c r="AG193" s="5">
        <f>[1]Results!AJ1435</f>
        <v>606.37802720000002</v>
      </c>
      <c r="AH193" s="5">
        <f>[1]Results!AK1435</f>
        <v>600.89348219999999</v>
      </c>
      <c r="AI193" s="5">
        <f>[1]Results!AL1435</f>
        <v>595.5169823</v>
      </c>
      <c r="AJ193" s="5">
        <f>[1]Results!AM1435</f>
        <v>590.23580619999996</v>
      </c>
      <c r="AK193" s="5">
        <f>[1]Results!AN1435</f>
        <v>585.03527650000001</v>
      </c>
      <c r="AL193" s="5">
        <f>[1]Results!AO1435</f>
        <v>579.90306959999998</v>
      </c>
      <c r="AM193" s="5">
        <f>[1]Results!AP1435</f>
        <v>574.57520369999997</v>
      </c>
      <c r="AN193" s="5">
        <f>[1]Results!AQ1435</f>
        <v>569.13408819999995</v>
      </c>
      <c r="AO193" s="5">
        <f>[1]Results!AR1435</f>
        <v>563.67053559999999</v>
      </c>
      <c r="AP193" s="5">
        <f>[1]Results!AS1435</f>
        <v>558.25532959999998</v>
      </c>
      <c r="AQ193" s="5">
        <f>[1]Results!AT1435</f>
        <v>552.93301369999995</v>
      </c>
      <c r="AR193" s="5">
        <f>[1]Results!AU1435</f>
        <v>547.70787900000005</v>
      </c>
      <c r="AS193" s="5">
        <f>[1]Results!AV1435</f>
        <v>542.59398309999995</v>
      </c>
      <c r="AT193" s="5">
        <f>[1]Results!AW1435</f>
        <v>537.58805050000001</v>
      </c>
      <c r="AU193" s="5">
        <f>[1]Results!AX1435</f>
        <v>532.67682330000002</v>
      </c>
      <c r="AV193" s="5">
        <f>[1]Results!AY1435</f>
        <v>527.84292670000002</v>
      </c>
      <c r="AW193" s="5">
        <f>[1]Results!AZ1435</f>
        <v>523.02447129999996</v>
      </c>
      <c r="AX193" s="5">
        <f>[1]Results!BA1435</f>
        <v>518.24371729999996</v>
      </c>
      <c r="AY193" s="5">
        <f>[1]Results!BB1435</f>
        <v>529.20010439999999</v>
      </c>
      <c r="AZ193" s="5">
        <f>[1]Results!BC1435</f>
        <v>541.68402560000004</v>
      </c>
      <c r="BA193" s="5">
        <f>[1]Results!BD1435</f>
        <v>548.63411110000004</v>
      </c>
      <c r="BB193" s="5">
        <f>[1]Results!BE1435</f>
        <v>820.99118099999998</v>
      </c>
      <c r="BC193" s="5">
        <f>[1]Results!BF1435</f>
        <v>821.45874209999999</v>
      </c>
      <c r="BD193" s="5">
        <f>[1]Results!BG1435</f>
        <v>821.93549919999998</v>
      </c>
      <c r="BE193" s="5">
        <f>[1]Results!BH1435</f>
        <v>822.4226175</v>
      </c>
      <c r="BF193" s="5">
        <f>[1]Results!BI1435</f>
        <v>822.92123130000004</v>
      </c>
    </row>
    <row r="194" spans="1:58" x14ac:dyDescent="0.35">
      <c r="B194" t="s">
        <v>8</v>
      </c>
      <c r="C194" s="5">
        <f>[1]Results!F1438</f>
        <v>4315.6192540000002</v>
      </c>
      <c r="D194" s="5">
        <f>[1]Results!G1438</f>
        <v>4282.0923300000004</v>
      </c>
      <c r="E194" s="5">
        <f>[1]Results!H1438</f>
        <v>4262.283265</v>
      </c>
      <c r="F194" s="5">
        <f>[1]Results!I1438</f>
        <v>4254.0026740000003</v>
      </c>
      <c r="G194" s="5">
        <f>[1]Results!J1438</f>
        <v>4254.0127030000003</v>
      </c>
      <c r="H194" s="5">
        <f>[1]Results!K1438</f>
        <v>4259.164769</v>
      </c>
      <c r="I194" s="5">
        <f>[1]Results!L1438</f>
        <v>4265.3452299999999</v>
      </c>
      <c r="J194" s="5">
        <f>[1]Results!M1438</f>
        <v>4270.8896539999996</v>
      </c>
      <c r="K194" s="5">
        <f>[1]Results!N1438</f>
        <v>4275.0127940000002</v>
      </c>
      <c r="L194" s="5">
        <f>[1]Results!O1438</f>
        <v>4277.4796649999998</v>
      </c>
      <c r="M194" s="5">
        <f>[1]Results!P1438</f>
        <v>4280.8321180000003</v>
      </c>
      <c r="N194" s="5">
        <f>[1]Results!Q1438</f>
        <v>4282.4425099999999</v>
      </c>
      <c r="O194" s="5">
        <f>[1]Results!R1438</f>
        <v>4282.3834429999997</v>
      </c>
      <c r="P194" s="5">
        <f>[1]Results!S1438</f>
        <v>4281.0167469999997</v>
      </c>
      <c r="Q194" s="5">
        <f>[1]Results!T1438</f>
        <v>4278.7267110000003</v>
      </c>
      <c r="R194" s="5">
        <f>[1]Results!U1438</f>
        <v>4275.8446210000002</v>
      </c>
      <c r="S194" s="5">
        <f>[1]Results!V1438</f>
        <v>4272.494737</v>
      </c>
      <c r="T194" s="5">
        <f>[1]Results!W1438</f>
        <v>4268.9106780000002</v>
      </c>
      <c r="U194" s="5">
        <f>[1]Results!X1438</f>
        <v>4265.2862150000001</v>
      </c>
      <c r="V194" s="5">
        <f>[1]Results!Y1438</f>
        <v>4261.7781750000004</v>
      </c>
      <c r="W194" s="5">
        <f>[1]Results!Z1438</f>
        <v>4256.9889720000001</v>
      </c>
      <c r="X194" s="5">
        <f>[1]Results!AA1438</f>
        <v>4252.7182810000004</v>
      </c>
      <c r="Y194" s="5">
        <f>[1]Results!AB1438</f>
        <v>4249.2343129999999</v>
      </c>
      <c r="Z194" s="5">
        <f>[1]Results!AC1438</f>
        <v>4246.6040510000003</v>
      </c>
      <c r="AA194" s="5">
        <f>[1]Results!AD1438</f>
        <v>4244.826959</v>
      </c>
      <c r="AB194" s="5">
        <f>[1]Results!AE1438</f>
        <v>4239.8357319999996</v>
      </c>
      <c r="AC194" s="5">
        <f>[1]Results!AF1438</f>
        <v>4234.1826680000004</v>
      </c>
      <c r="AD194" s="5">
        <f>[1]Results!AG1438</f>
        <v>4228.491454</v>
      </c>
      <c r="AE194" s="5">
        <f>[1]Results!AH1438</f>
        <v>4223.1075259999998</v>
      </c>
      <c r="AF194" s="5">
        <f>[1]Results!AI1438</f>
        <v>4218.2276970000003</v>
      </c>
      <c r="AG194" s="5">
        <f>[1]Results!AJ1438</f>
        <v>4213.9448000000002</v>
      </c>
      <c r="AH194" s="5">
        <f>[1]Results!AK1438</f>
        <v>4210.288227</v>
      </c>
      <c r="AI194" s="5">
        <f>[1]Results!AL1438</f>
        <v>4207.217901</v>
      </c>
      <c r="AJ194" s="5">
        <f>[1]Results!AM1438</f>
        <v>4204.6529879999998</v>
      </c>
      <c r="AK194" s="5">
        <f>[1]Results!AN1438</f>
        <v>4202.4922569999999</v>
      </c>
      <c r="AL194" s="5">
        <f>[1]Results!AO1438</f>
        <v>4200.6288340000001</v>
      </c>
      <c r="AM194" s="5">
        <f>[1]Results!AP1438</f>
        <v>4198.2374300000001</v>
      </c>
      <c r="AN194" s="5">
        <f>[1]Results!AQ1438</f>
        <v>4195.3420169999999</v>
      </c>
      <c r="AO194" s="5">
        <f>[1]Results!AR1438</f>
        <v>4192.0365830000001</v>
      </c>
      <c r="AP194" s="5">
        <f>[1]Results!AS1438</f>
        <v>4188.4117749999996</v>
      </c>
      <c r="AQ194" s="5">
        <f>[1]Results!AT1438</f>
        <v>4184.5358409999999</v>
      </c>
      <c r="AR194" s="5">
        <f>[1]Results!AU1438</f>
        <v>4180.4618570000002</v>
      </c>
      <c r="AS194" s="5">
        <f>[1]Results!AV1438</f>
        <v>4176.2202079999997</v>
      </c>
      <c r="AT194" s="5">
        <f>[1]Results!AW1438</f>
        <v>4171.815525</v>
      </c>
      <c r="AU194" s="5">
        <f>[1]Results!AX1438</f>
        <v>4167.2364379999999</v>
      </c>
      <c r="AV194" s="5">
        <f>[1]Results!AY1438</f>
        <v>4162.462861</v>
      </c>
      <c r="AW194" s="5">
        <f>[1]Results!AZ1438</f>
        <v>4157.5523590000003</v>
      </c>
      <c r="AX194" s="5">
        <f>[1]Results!BA1438</f>
        <v>4152.5177430000003</v>
      </c>
      <c r="AY194" s="5">
        <f>[1]Results!BB1438</f>
        <v>4129.667367</v>
      </c>
      <c r="AZ194" s="5">
        <f>[1]Results!BC1438</f>
        <v>4095.8575930000002</v>
      </c>
      <c r="BA194" s="5">
        <f>[1]Results!BD1438</f>
        <v>4061.5678029999999</v>
      </c>
      <c r="BB194" s="5">
        <f>[1]Results!BE1438</f>
        <v>5231.1607729999996</v>
      </c>
      <c r="BC194" s="5">
        <f>[1]Results!BF1438</f>
        <v>5242.3388690000002</v>
      </c>
      <c r="BD194" s="5">
        <f>[1]Results!BG1438</f>
        <v>5253.0782669999999</v>
      </c>
      <c r="BE194" s="5">
        <f>[1]Results!BH1438</f>
        <v>5263.3729199999998</v>
      </c>
      <c r="BF194" s="5">
        <f>[1]Results!BI1438</f>
        <v>5273.218406</v>
      </c>
    </row>
    <row r="195" spans="1:58" x14ac:dyDescent="0.35">
      <c r="B195" t="s">
        <v>28</v>
      </c>
      <c r="C195" s="5">
        <f>[1]Results!F1450</f>
        <v>858.45489859999998</v>
      </c>
      <c r="D195" s="5">
        <f>[1]Results!G1450</f>
        <v>851.59641160000001</v>
      </c>
      <c r="E195" s="5">
        <f>[1]Results!H1450</f>
        <v>846.83441089999997</v>
      </c>
      <c r="F195" s="5">
        <f>[1]Results!I1450</f>
        <v>843.92903490000003</v>
      </c>
      <c r="G195" s="5">
        <f>[1]Results!J1450</f>
        <v>842.51646730000004</v>
      </c>
      <c r="H195" s="5">
        <f>[1]Results!K1450</f>
        <v>842.22001260000002</v>
      </c>
      <c r="I195" s="5">
        <f>[1]Results!L1450</f>
        <v>842.38207639999996</v>
      </c>
      <c r="J195" s="5">
        <f>[1]Results!M1450</f>
        <v>842.78979730000003</v>
      </c>
      <c r="K195" s="5">
        <f>[1]Results!N1450</f>
        <v>843.30517399999997</v>
      </c>
      <c r="L195" s="5">
        <f>[1]Results!O1450</f>
        <v>843.83242910000001</v>
      </c>
      <c r="M195" s="5">
        <f>[1]Results!P1450</f>
        <v>844.80908980000004</v>
      </c>
      <c r="N195" s="5">
        <f>[1]Results!Q1450</f>
        <v>845.5375348</v>
      </c>
      <c r="O195" s="5">
        <f>[1]Results!R1450</f>
        <v>845.97773549999999</v>
      </c>
      <c r="P195" s="5">
        <f>[1]Results!S1450</f>
        <v>846.13806669999997</v>
      </c>
      <c r="Q195" s="5">
        <f>[1]Results!T1450</f>
        <v>846.03330489999996</v>
      </c>
      <c r="R195" s="5">
        <f>[1]Results!U1450</f>
        <v>845.67975809999996</v>
      </c>
      <c r="S195" s="5">
        <f>[1]Results!V1450</f>
        <v>845.06482400000004</v>
      </c>
      <c r="T195" s="5">
        <f>[1]Results!W1450</f>
        <v>844.22081189999994</v>
      </c>
      <c r="U195" s="5">
        <f>[1]Results!X1450</f>
        <v>843.1831694</v>
      </c>
      <c r="V195" s="5">
        <f>[1]Results!Y1450</f>
        <v>841.98844510000004</v>
      </c>
      <c r="W195" s="5">
        <f>[1]Results!Z1450</f>
        <v>840.35409660000005</v>
      </c>
      <c r="X195" s="5">
        <f>[1]Results!AA1450</f>
        <v>838.70628299999998</v>
      </c>
      <c r="Y195" s="5">
        <f>[1]Results!AB1450</f>
        <v>837.09113090000005</v>
      </c>
      <c r="Z195" s="5">
        <f>[1]Results!AC1450</f>
        <v>835.52601649999997</v>
      </c>
      <c r="AA195" s="5">
        <f>[1]Results!AD1450</f>
        <v>834.02261420000002</v>
      </c>
      <c r="AB195" s="5">
        <f>[1]Results!AE1450</f>
        <v>831.74133389999997</v>
      </c>
      <c r="AC195" s="5">
        <f>[1]Results!AF1450</f>
        <v>829.33332129999997</v>
      </c>
      <c r="AD195" s="5">
        <f>[1]Results!AG1450</f>
        <v>826.91796169999998</v>
      </c>
      <c r="AE195" s="5">
        <f>[1]Results!AH1450</f>
        <v>824.55795690000002</v>
      </c>
      <c r="AF195" s="5">
        <f>[1]Results!AI1450</f>
        <v>822.29193210000005</v>
      </c>
      <c r="AG195" s="5">
        <f>[1]Results!AJ1450</f>
        <v>820.14172489999999</v>
      </c>
      <c r="AH195" s="5">
        <f>[1]Results!AK1450</f>
        <v>818.12017549999996</v>
      </c>
      <c r="AI195" s="5">
        <f>[1]Results!AL1450</f>
        <v>816.22529440000005</v>
      </c>
      <c r="AJ195" s="5">
        <f>[1]Results!AM1450</f>
        <v>814.44813450000004</v>
      </c>
      <c r="AK195" s="5">
        <f>[1]Results!AN1450</f>
        <v>812.77600670000004</v>
      </c>
      <c r="AL195" s="5">
        <f>[1]Results!AO1450</f>
        <v>811.19464619999997</v>
      </c>
      <c r="AM195" s="5">
        <f>[1]Results!AP1450</f>
        <v>809.54763679999996</v>
      </c>
      <c r="AN195" s="5">
        <f>[1]Results!AQ1450</f>
        <v>807.85533680000003</v>
      </c>
      <c r="AO195" s="5">
        <f>[1]Results!AR1450</f>
        <v>806.14178600000002</v>
      </c>
      <c r="AP195" s="5">
        <f>[1]Results!AS1450</f>
        <v>804.42517420000001</v>
      </c>
      <c r="AQ195" s="5">
        <f>[1]Results!AT1450</f>
        <v>802.71770079999999</v>
      </c>
      <c r="AR195" s="5">
        <f>[1]Results!AU1450</f>
        <v>801.03056630000003</v>
      </c>
      <c r="AS195" s="5">
        <f>[1]Results!AV1450</f>
        <v>799.36696449999999</v>
      </c>
      <c r="AT195" s="5">
        <f>[1]Results!AW1450</f>
        <v>797.72621260000005</v>
      </c>
      <c r="AU195" s="5">
        <f>[1]Results!AX1450</f>
        <v>796.10540839999999</v>
      </c>
      <c r="AV195" s="5">
        <f>[1]Results!AY1450</f>
        <v>794.50048260000005</v>
      </c>
      <c r="AW195" s="5">
        <f>[1]Results!AZ1450</f>
        <v>792.93114160000005</v>
      </c>
      <c r="AX195" s="5">
        <f>[1]Results!BA1450</f>
        <v>791.39146579999999</v>
      </c>
      <c r="AY195" s="5">
        <f>[1]Results!BB1450</f>
        <v>785.54316879999999</v>
      </c>
      <c r="AZ195" s="5">
        <f>[1]Results!BC1450</f>
        <v>776.729285</v>
      </c>
      <c r="BA195" s="5">
        <f>[1]Results!BD1450</f>
        <v>767.93343749999997</v>
      </c>
      <c r="BB195" s="5">
        <f>[1]Results!BE1450</f>
        <v>906.05349030000002</v>
      </c>
      <c r="BC195" s="5">
        <f>[1]Results!BF1450</f>
        <v>906.0849584</v>
      </c>
      <c r="BD195" s="5">
        <f>[1]Results!BG1450</f>
        <v>906.13729030000002</v>
      </c>
      <c r="BE195" s="5">
        <f>[1]Results!BH1450</f>
        <v>906.21093189999999</v>
      </c>
      <c r="BF195" s="5">
        <f>[1]Results!BI1450</f>
        <v>906.30620550000003</v>
      </c>
    </row>
    <row r="196" spans="1:58" x14ac:dyDescent="0.35">
      <c r="B196" t="s">
        <v>10</v>
      </c>
      <c r="C196" s="5">
        <f>[1]Results!F1455</f>
        <v>21117.509559999999</v>
      </c>
      <c r="D196" s="5">
        <f>[1]Results!G1455</f>
        <v>21008.158080000001</v>
      </c>
      <c r="E196" s="5">
        <f>[1]Results!H1455</f>
        <v>20938.509669999999</v>
      </c>
      <c r="F196" s="5">
        <f>[1]Results!I1455</f>
        <v>20910.26137</v>
      </c>
      <c r="G196" s="5">
        <f>[1]Results!J1455</f>
        <v>20917.730189999998</v>
      </c>
      <c r="H196" s="5">
        <f>[1]Results!K1455</f>
        <v>20953.395420000001</v>
      </c>
      <c r="I196" s="5">
        <f>[1]Results!L1455</f>
        <v>21001.565259999999</v>
      </c>
      <c r="J196" s="5">
        <f>[1]Results!M1455</f>
        <v>21058.499110000001</v>
      </c>
      <c r="K196" s="5">
        <f>[1]Results!N1455</f>
        <v>21121.828979999998</v>
      </c>
      <c r="L196" s="5">
        <f>[1]Results!O1455</f>
        <v>21189.954839999999</v>
      </c>
      <c r="M196" s="5">
        <f>[1]Results!P1455</f>
        <v>21275.747599999999</v>
      </c>
      <c r="N196" s="5">
        <f>[1]Results!Q1455</f>
        <v>21360.329699999998</v>
      </c>
      <c r="O196" s="5">
        <f>[1]Results!R1455</f>
        <v>21442.816080000001</v>
      </c>
      <c r="P196" s="5">
        <f>[1]Results!S1455</f>
        <v>21522.821080000002</v>
      </c>
      <c r="Q196" s="5">
        <f>[1]Results!T1455</f>
        <v>21599.924510000001</v>
      </c>
      <c r="R196" s="5">
        <f>[1]Results!U1455</f>
        <v>21673.671699999999</v>
      </c>
      <c r="S196" s="5">
        <f>[1]Results!V1455</f>
        <v>21743.231810000001</v>
      </c>
      <c r="T196" s="5">
        <f>[1]Results!W1455</f>
        <v>21808.366829999999</v>
      </c>
      <c r="U196" s="5">
        <f>[1]Results!X1455</f>
        <v>21869.08322</v>
      </c>
      <c r="V196" s="5">
        <f>[1]Results!Y1455</f>
        <v>21925.58252</v>
      </c>
      <c r="W196" s="5">
        <f>[1]Results!Z1455</f>
        <v>21969.016070000001</v>
      </c>
      <c r="X196" s="5">
        <f>[1]Results!AA1455</f>
        <v>22011.213329999999</v>
      </c>
      <c r="Y196" s="5">
        <f>[1]Results!AB1455</f>
        <v>22052.722839999999</v>
      </c>
      <c r="Z196" s="5">
        <f>[1]Results!AC1455</f>
        <v>22093.806049999999</v>
      </c>
      <c r="AA196" s="5">
        <f>[1]Results!AD1455</f>
        <v>22134.70451</v>
      </c>
      <c r="AB196" s="5">
        <f>[1]Results!AE1455</f>
        <v>22150.747879999999</v>
      </c>
      <c r="AC196" s="5">
        <f>[1]Results!AF1455</f>
        <v>22161.20522</v>
      </c>
      <c r="AD196" s="5">
        <f>[1]Results!AG1455</f>
        <v>22168.883549999999</v>
      </c>
      <c r="AE196" s="5">
        <f>[1]Results!AH1455</f>
        <v>22175.598709999998</v>
      </c>
      <c r="AF196" s="5">
        <f>[1]Results!AI1455</f>
        <v>22182.622889999999</v>
      </c>
      <c r="AG196" s="5">
        <f>[1]Results!AJ1455</f>
        <v>22190.79608</v>
      </c>
      <c r="AH196" s="5">
        <f>[1]Results!AK1455</f>
        <v>22200.636839999999</v>
      </c>
      <c r="AI196" s="5">
        <f>[1]Results!AL1455</f>
        <v>22212.363109999998</v>
      </c>
      <c r="AJ196" s="5">
        <f>[1]Results!AM1455</f>
        <v>22225.9758</v>
      </c>
      <c r="AK196" s="5">
        <f>[1]Results!AN1455</f>
        <v>22241.350170000002</v>
      </c>
      <c r="AL196" s="5">
        <f>[1]Results!AO1455</f>
        <v>22258.29896</v>
      </c>
      <c r="AM196" s="5">
        <f>[1]Results!AP1455</f>
        <v>22271.615669999999</v>
      </c>
      <c r="AN196" s="5">
        <f>[1]Results!AQ1455</f>
        <v>22282.528439999998</v>
      </c>
      <c r="AO196" s="5">
        <f>[1]Results!AR1455</f>
        <v>22292.012360000001</v>
      </c>
      <c r="AP196" s="5">
        <f>[1]Results!AS1455</f>
        <v>22300.762009999999</v>
      </c>
      <c r="AQ196" s="5">
        <f>[1]Results!AT1455</f>
        <v>22309.251660000002</v>
      </c>
      <c r="AR196" s="5">
        <f>[1]Results!AU1455</f>
        <v>22317.80041</v>
      </c>
      <c r="AS196" s="5">
        <f>[1]Results!AV1455</f>
        <v>22326.620169999998</v>
      </c>
      <c r="AT196" s="5">
        <f>[1]Results!AW1455</f>
        <v>22335.775130000002</v>
      </c>
      <c r="AU196" s="5">
        <f>[1]Results!AX1455</f>
        <v>22345.237519999999</v>
      </c>
      <c r="AV196" s="5">
        <f>[1]Results!AY1455</f>
        <v>22354.927530000001</v>
      </c>
      <c r="AW196" s="5">
        <f>[1]Results!AZ1455</f>
        <v>22365.156940000001</v>
      </c>
      <c r="AX196" s="5">
        <f>[1]Results!BA1455</f>
        <v>22375.905620000001</v>
      </c>
      <c r="AY196" s="5">
        <f>[1]Results!BB1455</f>
        <v>22265.069930000001</v>
      </c>
      <c r="AZ196" s="5">
        <f>[1]Results!BC1455</f>
        <v>22093.567770000001</v>
      </c>
      <c r="BA196" s="5">
        <f>[1]Results!BD1455</f>
        <v>21900.359840000001</v>
      </c>
      <c r="BB196" s="5">
        <f>[1]Results!BE1455</f>
        <v>24105.83799</v>
      </c>
      <c r="BC196" s="5">
        <f>[1]Results!BF1455</f>
        <v>24132.885460000001</v>
      </c>
      <c r="BD196" s="5">
        <f>[1]Results!BG1455</f>
        <v>24159.784810000001</v>
      </c>
      <c r="BE196" s="5">
        <f>[1]Results!BH1455</f>
        <v>24186.563109999999</v>
      </c>
      <c r="BF196" s="5">
        <f>[1]Results!BI1455</f>
        <v>24213.247859999999</v>
      </c>
    </row>
    <row r="197" spans="1:58" x14ac:dyDescent="0.35">
      <c r="B197" t="s">
        <v>29</v>
      </c>
      <c r="C197" s="5">
        <f>C202-C198</f>
        <v>10.4302322154</v>
      </c>
      <c r="D197" s="5">
        <f t="shared" ref="D197:AL197" si="89">D202-D198</f>
        <v>10.300408246</v>
      </c>
      <c r="E197" s="5">
        <f t="shared" si="89"/>
        <v>10.186662138199999</v>
      </c>
      <c r="F197" s="5">
        <f t="shared" si="89"/>
        <v>10.0915722003</v>
      </c>
      <c r="G197" s="5">
        <f t="shared" si="89"/>
        <v>10.017072284800001</v>
      </c>
      <c r="H197" s="5">
        <f t="shared" si="89"/>
        <v>9.9627112990000022</v>
      </c>
      <c r="I197" s="5">
        <f t="shared" si="89"/>
        <v>9.9225721418000017</v>
      </c>
      <c r="J197" s="5">
        <f t="shared" si="89"/>
        <v>9.8938010300999988</v>
      </c>
      <c r="K197" s="5">
        <f t="shared" si="89"/>
        <v>9.8735221202999988</v>
      </c>
      <c r="L197" s="5">
        <f t="shared" si="89"/>
        <v>9.859054050100001</v>
      </c>
      <c r="M197" s="5">
        <f t="shared" si="89"/>
        <v>9.8535676333000008</v>
      </c>
      <c r="N197" s="5">
        <f t="shared" si="89"/>
        <v>9.8482960380000009</v>
      </c>
      <c r="O197" s="5">
        <f t="shared" si="89"/>
        <v>9.8418127735999992</v>
      </c>
      <c r="P197" s="5">
        <f t="shared" si="89"/>
        <v>9.8336467106000001</v>
      </c>
      <c r="Q197" s="5">
        <f t="shared" si="89"/>
        <v>9.8236114107999999</v>
      </c>
      <c r="R197" s="5">
        <f t="shared" si="89"/>
        <v>9.8116528792000004</v>
      </c>
      <c r="S197" s="5">
        <f t="shared" si="89"/>
        <v>9.7974167702000017</v>
      </c>
      <c r="T197" s="5">
        <f t="shared" si="89"/>
        <v>9.7811753055999997</v>
      </c>
      <c r="U197" s="5">
        <f t="shared" si="89"/>
        <v>9.7632434774999979</v>
      </c>
      <c r="V197" s="5">
        <f t="shared" si="89"/>
        <v>9.7439406121999994</v>
      </c>
      <c r="W197" s="5">
        <f t="shared" si="89"/>
        <v>9.7201228140000016</v>
      </c>
      <c r="X197" s="5">
        <f t="shared" si="89"/>
        <v>9.6962813187000005</v>
      </c>
      <c r="Y197" s="5">
        <f t="shared" si="89"/>
        <v>9.6728938394999986</v>
      </c>
      <c r="Z197" s="5">
        <f t="shared" si="89"/>
        <v>9.6500504593999992</v>
      </c>
      <c r="AA197" s="5">
        <f t="shared" si="89"/>
        <v>9.6278027974999993</v>
      </c>
      <c r="AB197" s="5">
        <f t="shared" si="89"/>
        <v>9.5969976375999977</v>
      </c>
      <c r="AC197" s="5">
        <f t="shared" si="89"/>
        <v>9.5646332733000001</v>
      </c>
      <c r="AD197" s="5">
        <f t="shared" si="89"/>
        <v>9.5320910081000001</v>
      </c>
      <c r="AE197" s="5">
        <f t="shared" si="89"/>
        <v>9.4999937665000012</v>
      </c>
      <c r="AF197" s="5">
        <f t="shared" si="89"/>
        <v>9.4686949451999993</v>
      </c>
      <c r="AG197" s="5">
        <f t="shared" si="89"/>
        <v>9.4384164233999996</v>
      </c>
      <c r="AH197" s="5">
        <f t="shared" si="89"/>
        <v>9.4093424135000028</v>
      </c>
      <c r="AI197" s="5">
        <f t="shared" si="89"/>
        <v>9.3815254850999992</v>
      </c>
      <c r="AJ197" s="5">
        <f t="shared" si="89"/>
        <v>9.3549655620000003</v>
      </c>
      <c r="AK197" s="5">
        <f t="shared" si="89"/>
        <v>9.3296266450000012</v>
      </c>
      <c r="AL197" s="5">
        <f t="shared" si="89"/>
        <v>9.3054469027</v>
      </c>
      <c r="AM197" s="5">
        <f t="shared" ref="AM197:BC197" si="90">AM202-AM198</f>
        <v>9.2808028614999998</v>
      </c>
      <c r="AN197" s="5">
        <f t="shared" si="90"/>
        <v>9.2559039652999999</v>
      </c>
      <c r="AO197" s="5">
        <f t="shared" si="90"/>
        <v>9.2310408415999987</v>
      </c>
      <c r="AP197" s="5">
        <f t="shared" si="90"/>
        <v>9.2064355694</v>
      </c>
      <c r="AQ197" s="5">
        <f t="shared" si="90"/>
        <v>9.182231637100001</v>
      </c>
      <c r="AR197" s="5">
        <f t="shared" si="90"/>
        <v>9.1585527069000001</v>
      </c>
      <c r="AS197" s="5">
        <f t="shared" si="90"/>
        <v>9.1354298506000013</v>
      </c>
      <c r="AT197" s="5">
        <f t="shared" si="90"/>
        <v>9.1128638477999999</v>
      </c>
      <c r="AU197" s="5">
        <f t="shared" si="90"/>
        <v>9.0908410253999996</v>
      </c>
      <c r="AV197" s="5">
        <f t="shared" si="90"/>
        <v>9.0693396100000001</v>
      </c>
      <c r="AW197" s="5">
        <f t="shared" si="90"/>
        <v>9.0485806223999994</v>
      </c>
      <c r="AX197" s="5">
        <f t="shared" si="90"/>
        <v>9.0284912906999999</v>
      </c>
      <c r="AY197" s="5">
        <f t="shared" si="90"/>
        <v>8.5320193260000003</v>
      </c>
      <c r="AZ197" s="5">
        <f t="shared" si="90"/>
        <v>7.2257471872999988</v>
      </c>
      <c r="BA197" s="5">
        <f t="shared" si="90"/>
        <v>6.9486857496120003</v>
      </c>
      <c r="BB197" s="5">
        <f t="shared" si="90"/>
        <v>10.155948501900001</v>
      </c>
      <c r="BC197" s="5">
        <f t="shared" si="90"/>
        <v>10.145430733600001</v>
      </c>
      <c r="BD197" s="5">
        <f t="shared" ref="BD197:BF197" si="91">BD202-BD198</f>
        <v>10.1351860352</v>
      </c>
      <c r="BE197" s="5">
        <f t="shared" si="91"/>
        <v>10.125230133700001</v>
      </c>
      <c r="BF197" s="5">
        <f t="shared" si="91"/>
        <v>10.115579647300001</v>
      </c>
    </row>
    <row r="198" spans="1:58" x14ac:dyDescent="0.35">
      <c r="B198" t="s">
        <v>36</v>
      </c>
      <c r="C198" s="5">
        <f>C200+C201</f>
        <v>7.3058259045999998</v>
      </c>
      <c r="D198" s="5">
        <f t="shared" ref="D198:AL198" si="92">D200+D201</f>
        <v>7.2134828440000005</v>
      </c>
      <c r="E198" s="5">
        <f t="shared" si="92"/>
        <v>7.1242545018000003</v>
      </c>
      <c r="F198" s="5">
        <f t="shared" si="92"/>
        <v>7.0452045297000003</v>
      </c>
      <c r="G198" s="5">
        <f t="shared" si="92"/>
        <v>6.9809311852000002</v>
      </c>
      <c r="H198" s="5">
        <f t="shared" si="92"/>
        <v>6.9324885610000004</v>
      </c>
      <c r="I198" s="5">
        <f t="shared" si="92"/>
        <v>6.8963986481999999</v>
      </c>
      <c r="J198" s="5">
        <f t="shared" si="92"/>
        <v>6.8705829199000004</v>
      </c>
      <c r="K198" s="5">
        <f t="shared" si="92"/>
        <v>6.8527855897000007</v>
      </c>
      <c r="L198" s="5">
        <f t="shared" si="92"/>
        <v>6.8408961199</v>
      </c>
      <c r="M198" s="5">
        <f t="shared" si="92"/>
        <v>6.8364466966999995</v>
      </c>
      <c r="N198" s="5">
        <f t="shared" si="92"/>
        <v>6.8337639719999999</v>
      </c>
      <c r="O198" s="5">
        <f t="shared" si="92"/>
        <v>6.8317426464000004</v>
      </c>
      <c r="P198" s="5">
        <f t="shared" si="92"/>
        <v>6.8297752094000002</v>
      </c>
      <c r="Q198" s="5">
        <f t="shared" si="92"/>
        <v>6.8274393892000003</v>
      </c>
      <c r="R198" s="5">
        <f t="shared" si="92"/>
        <v>6.8244249108000004</v>
      </c>
      <c r="S198" s="5">
        <f t="shared" si="92"/>
        <v>6.8202832098000004</v>
      </c>
      <c r="T198" s="5">
        <f t="shared" si="92"/>
        <v>6.8149808943999997</v>
      </c>
      <c r="U198" s="5">
        <f t="shared" si="92"/>
        <v>6.8085389024999996</v>
      </c>
      <c r="V198" s="5">
        <f t="shared" si="92"/>
        <v>6.8010207478</v>
      </c>
      <c r="W198" s="5">
        <f t="shared" si="92"/>
        <v>6.7903978059999996</v>
      </c>
      <c r="X198" s="5">
        <f t="shared" si="92"/>
        <v>6.7793548013000002</v>
      </c>
      <c r="Y198" s="5">
        <f t="shared" si="92"/>
        <v>6.7681143605000003</v>
      </c>
      <c r="Z198" s="5">
        <f t="shared" si="92"/>
        <v>6.7567434806000009</v>
      </c>
      <c r="AA198" s="5">
        <f t="shared" si="92"/>
        <v>6.7453073124999996</v>
      </c>
      <c r="AB198" s="5">
        <f t="shared" si="92"/>
        <v>6.7281955723999998</v>
      </c>
      <c r="AC198" s="5">
        <f t="shared" si="92"/>
        <v>6.7097213967</v>
      </c>
      <c r="AD198" s="5">
        <f t="shared" si="92"/>
        <v>6.6906551119</v>
      </c>
      <c r="AE198" s="5">
        <f t="shared" si="92"/>
        <v>6.6714107235000002</v>
      </c>
      <c r="AF198" s="5">
        <f t="shared" si="92"/>
        <v>6.6522675847999997</v>
      </c>
      <c r="AG198" s="5">
        <f t="shared" si="92"/>
        <v>6.6334325666000007</v>
      </c>
      <c r="AH198" s="5">
        <f t="shared" si="92"/>
        <v>6.6150851264999995</v>
      </c>
      <c r="AI198" s="5">
        <f t="shared" si="92"/>
        <v>6.5973223048999996</v>
      </c>
      <c r="AJ198" s="5">
        <f t="shared" si="92"/>
        <v>6.5802041080000002</v>
      </c>
      <c r="AK198" s="5">
        <f t="shared" si="92"/>
        <v>6.5637613549999996</v>
      </c>
      <c r="AL198" s="5">
        <f t="shared" si="92"/>
        <v>6.5480020372999999</v>
      </c>
      <c r="AM198" s="5">
        <f t="shared" ref="AM198:BC198" si="93">AM200+AM201</f>
        <v>6.5319239385000003</v>
      </c>
      <c r="AN198" s="5">
        <f t="shared" si="93"/>
        <v>6.5156853646999995</v>
      </c>
      <c r="AO198" s="5">
        <f t="shared" si="93"/>
        <v>6.4994797084</v>
      </c>
      <c r="AP198" s="5">
        <f t="shared" si="93"/>
        <v>6.4834576606000001</v>
      </c>
      <c r="AQ198" s="5">
        <f t="shared" si="93"/>
        <v>6.4677233428999994</v>
      </c>
      <c r="AR198" s="5">
        <f t="shared" si="93"/>
        <v>6.4523645430999998</v>
      </c>
      <c r="AS198" s="5">
        <f t="shared" si="93"/>
        <v>6.4374182293999995</v>
      </c>
      <c r="AT198" s="5">
        <f t="shared" si="93"/>
        <v>6.4229036421999997</v>
      </c>
      <c r="AU198" s="5">
        <f t="shared" si="93"/>
        <v>6.4088291246000004</v>
      </c>
      <c r="AV198" s="5">
        <f t="shared" si="93"/>
        <v>6.3951957900000007</v>
      </c>
      <c r="AW198" s="5">
        <f t="shared" si="93"/>
        <v>6.3821342375999999</v>
      </c>
      <c r="AX198" s="5">
        <f t="shared" si="93"/>
        <v>6.3696131792999999</v>
      </c>
      <c r="AY198" s="5">
        <f t="shared" si="93"/>
        <v>6.1240328640000001</v>
      </c>
      <c r="AZ198" s="5">
        <f t="shared" si="93"/>
        <v>5.3374311827000005</v>
      </c>
      <c r="BA198" s="5">
        <f t="shared" si="93"/>
        <v>5.0096017703880005</v>
      </c>
      <c r="BB198" s="5">
        <f t="shared" si="93"/>
        <v>6.9507745180999994</v>
      </c>
      <c r="BC198" s="5">
        <f t="shared" si="93"/>
        <v>6.9395229864000001</v>
      </c>
      <c r="BD198" s="5">
        <f t="shared" ref="BD198:BF198" si="94">BD200+BD201</f>
        <v>6.9284598847999996</v>
      </c>
      <c r="BE198" s="5">
        <f t="shared" si="94"/>
        <v>6.9176046962999997</v>
      </c>
      <c r="BF198" s="5">
        <f t="shared" si="94"/>
        <v>6.9069772027000003</v>
      </c>
    </row>
    <row r="199" spans="1:58" x14ac:dyDescent="0.35">
      <c r="B199" t="s">
        <v>11</v>
      </c>
      <c r="C199" s="5">
        <f>[1]Results!F1463</f>
        <v>86.76957582</v>
      </c>
      <c r="D199" s="5">
        <f>[1]Results!G1463</f>
        <v>86.254004989999999</v>
      </c>
      <c r="E199" s="5">
        <f>[1]Results!H1463</f>
        <v>85.567712569999998</v>
      </c>
      <c r="F199" s="5">
        <f>[1]Results!I1463</f>
        <v>84.878300060000001</v>
      </c>
      <c r="G199" s="5">
        <f>[1]Results!J1463</f>
        <v>84.290768670000006</v>
      </c>
      <c r="H199" s="5">
        <f>[1]Results!K1463</f>
        <v>83.849376640000003</v>
      </c>
      <c r="I199" s="5">
        <f>[1]Results!L1463</f>
        <v>83.528144760000004</v>
      </c>
      <c r="J199" s="5">
        <f>[1]Results!M1463</f>
        <v>83.299768330000006</v>
      </c>
      <c r="K199" s="5">
        <f>[1]Results!N1463</f>
        <v>83.132277689999995</v>
      </c>
      <c r="L199" s="5">
        <f>[1]Results!O1463</f>
        <v>82.993655599999997</v>
      </c>
      <c r="M199" s="5">
        <f>[1]Results!P1463</f>
        <v>82.89807356</v>
      </c>
      <c r="N199" s="5">
        <f>[1]Results!Q1463</f>
        <v>82.784332039999995</v>
      </c>
      <c r="O199" s="5">
        <f>[1]Results!R1463</f>
        <v>82.626265040000007</v>
      </c>
      <c r="P199" s="5">
        <f>[1]Results!S1463</f>
        <v>82.415714370000003</v>
      </c>
      <c r="Q199" s="5">
        <f>[1]Results!T1463</f>
        <v>82.152729289999996</v>
      </c>
      <c r="R199" s="5">
        <f>[1]Results!U1463</f>
        <v>81.841630929999994</v>
      </c>
      <c r="S199" s="5">
        <f>[1]Results!V1463</f>
        <v>81.494121699999994</v>
      </c>
      <c r="T199" s="5">
        <f>[1]Results!W1463</f>
        <v>81.114198779999995</v>
      </c>
      <c r="U199" s="5">
        <f>[1]Results!X1463</f>
        <v>80.708843090000002</v>
      </c>
      <c r="V199" s="5">
        <f>[1]Results!Y1463</f>
        <v>80.286126199999998</v>
      </c>
      <c r="W199" s="5">
        <f>[1]Results!Z1463</f>
        <v>79.827597780000005</v>
      </c>
      <c r="X199" s="5">
        <f>[1]Results!AA1463</f>
        <v>79.368543529999997</v>
      </c>
      <c r="Y199" s="5">
        <f>[1]Results!AB1463</f>
        <v>78.920832610000005</v>
      </c>
      <c r="Z199" s="5">
        <f>[1]Results!AC1463</f>
        <v>78.489063540000004</v>
      </c>
      <c r="AA199" s="5">
        <f>[1]Results!AD1463</f>
        <v>78.075427419999997</v>
      </c>
      <c r="AB199" s="5">
        <f>[1]Results!AE1463</f>
        <v>77.611262490000001</v>
      </c>
      <c r="AC199" s="5">
        <f>[1]Results!AF1463</f>
        <v>77.136270510000003</v>
      </c>
      <c r="AD199" s="5">
        <f>[1]Results!AG1463</f>
        <v>76.669516119999997</v>
      </c>
      <c r="AE199" s="5">
        <f>[1]Results!AH1463</f>
        <v>76.219339129999994</v>
      </c>
      <c r="AF199" s="5">
        <f>[1]Results!AI1463</f>
        <v>75.789316979999995</v>
      </c>
      <c r="AG199" s="5">
        <f>[1]Results!AJ1463</f>
        <v>75.380765019999998</v>
      </c>
      <c r="AH199" s="5">
        <f>[1]Results!AK1463</f>
        <v>74.992342339999993</v>
      </c>
      <c r="AI199" s="5">
        <f>[1]Results!AL1463</f>
        <v>74.624392049999997</v>
      </c>
      <c r="AJ199" s="5">
        <f>[1]Results!AM1463</f>
        <v>74.276113550000005</v>
      </c>
      <c r="AK199" s="5">
        <f>[1]Results!AN1463</f>
        <v>73.945984350000003</v>
      </c>
      <c r="AL199" s="5">
        <f>[1]Results!AO1463</f>
        <v>73.632067680000006</v>
      </c>
      <c r="AM199" s="5">
        <f>[1]Results!AP1463</f>
        <v>73.304957020000003</v>
      </c>
      <c r="AN199" s="5">
        <f>[1]Results!AQ1463</f>
        <v>72.972703069999994</v>
      </c>
      <c r="AO199" s="5">
        <f>[1]Results!AR1463</f>
        <v>72.641309190000001</v>
      </c>
      <c r="AP199" s="5">
        <f>[1]Results!AS1463</f>
        <v>72.313921710000002</v>
      </c>
      <c r="AQ199" s="5">
        <f>[1]Results!AT1463</f>
        <v>71.99172824</v>
      </c>
      <c r="AR199" s="5">
        <f>[1]Results!AU1463</f>
        <v>71.672682109999997</v>
      </c>
      <c r="AS199" s="5">
        <f>[1]Results!AV1463</f>
        <v>71.357900009999994</v>
      </c>
      <c r="AT199" s="5">
        <f>[1]Results!AW1463</f>
        <v>71.047526099999999</v>
      </c>
      <c r="AU199" s="5">
        <f>[1]Results!AX1463</f>
        <v>70.741201110000006</v>
      </c>
      <c r="AV199" s="5">
        <f>[1]Results!AY1463</f>
        <v>70.438334499999996</v>
      </c>
      <c r="AW199" s="5">
        <f>[1]Results!AZ1463</f>
        <v>70.131892149999999</v>
      </c>
      <c r="AX199" s="5">
        <f>[1]Results!BA1463</f>
        <v>69.826094170000005</v>
      </c>
      <c r="AY199" s="5">
        <f>[1]Results!BB1463</f>
        <v>68.944455189999999</v>
      </c>
      <c r="AZ199" s="5">
        <f>[1]Results!BC1463</f>
        <v>67.060131569999996</v>
      </c>
      <c r="BA199" s="5">
        <f>[1]Results!BD1463</f>
        <v>65.835268279999994</v>
      </c>
      <c r="BB199" s="5">
        <f>[1]Results!BE1463</f>
        <v>70.135860050000005</v>
      </c>
      <c r="BC199" s="5">
        <f>[1]Results!BF1463</f>
        <v>69.91039542</v>
      </c>
      <c r="BD199" s="5">
        <f>[1]Results!BG1463</f>
        <v>69.69096304</v>
      </c>
      <c r="BE199" s="5">
        <f>[1]Results!BH1463</f>
        <v>69.477245850000003</v>
      </c>
      <c r="BF199" s="5">
        <f>[1]Results!BI1463</f>
        <v>69.268945419999994</v>
      </c>
    </row>
    <row r="200" spans="1:58" x14ac:dyDescent="0.35">
      <c r="B200" t="s">
        <v>35</v>
      </c>
      <c r="C200" s="5">
        <f>[1]Results!F1460</f>
        <v>6.5953844559999997</v>
      </c>
      <c r="D200" s="5">
        <f>[1]Results!G1460</f>
        <v>6.5108014980000002</v>
      </c>
      <c r="E200" s="5">
        <f>[1]Results!H1460</f>
        <v>6.4280914620000003</v>
      </c>
      <c r="F200" s="5">
        <f>[1]Results!I1460</f>
        <v>6.3543057950000001</v>
      </c>
      <c r="G200" s="5">
        <f>[1]Results!J1460</f>
        <v>6.2939891760000002</v>
      </c>
      <c r="H200" s="5">
        <f>[1]Results!K1460</f>
        <v>6.2482213800000004</v>
      </c>
      <c r="I200" s="5">
        <f>[1]Results!L1460</f>
        <v>6.2139331870000003</v>
      </c>
      <c r="J200" s="5">
        <f>[1]Results!M1460</f>
        <v>6.189246625</v>
      </c>
      <c r="K200" s="5">
        <f>[1]Results!N1460</f>
        <v>6.1721099400000003</v>
      </c>
      <c r="L200" s="5">
        <f>[1]Results!O1460</f>
        <v>6.1606136600000001</v>
      </c>
      <c r="M200" s="5">
        <f>[1]Results!P1460</f>
        <v>6.1560413479999996</v>
      </c>
      <c r="N200" s="5">
        <f>[1]Results!Q1460</f>
        <v>6.1533681790000001</v>
      </c>
      <c r="O200" s="5">
        <f>[1]Results!R1460</f>
        <v>6.151635798</v>
      </c>
      <c r="P200" s="5">
        <f>[1]Results!S1460</f>
        <v>6.1502697580000003</v>
      </c>
      <c r="Q200" s="5">
        <f>[1]Results!T1460</f>
        <v>6.1488407220000001</v>
      </c>
      <c r="R200" s="5">
        <f>[1]Results!U1460</f>
        <v>6.1470134380000001</v>
      </c>
      <c r="S200" s="5">
        <f>[1]Results!V1460</f>
        <v>6.1443234090000001</v>
      </c>
      <c r="T200" s="5">
        <f>[1]Results!W1460</f>
        <v>6.1406923549999997</v>
      </c>
      <c r="U200" s="5">
        <f>[1]Results!X1460</f>
        <v>6.136092283</v>
      </c>
      <c r="V200" s="5">
        <f>[1]Results!Y1460</f>
        <v>6.1305393459999999</v>
      </c>
      <c r="W200" s="5">
        <f>[1]Results!Z1460</f>
        <v>6.1222310950000001</v>
      </c>
      <c r="X200" s="5">
        <f>[1]Results!AA1460</f>
        <v>6.1135021790000001</v>
      </c>
      <c r="Y200" s="5">
        <f>[1]Results!AB1460</f>
        <v>6.104507516</v>
      </c>
      <c r="Z200" s="5">
        <f>[1]Results!AC1460</f>
        <v>6.0952975040000004</v>
      </c>
      <c r="AA200" s="5">
        <f>[1]Results!AD1460</f>
        <v>6.0859316229999996</v>
      </c>
      <c r="AB200" s="5">
        <f>[1]Results!AE1460</f>
        <v>6.071511192</v>
      </c>
      <c r="AC200" s="5">
        <f>[1]Results!AF1460</f>
        <v>6.0558510779999999</v>
      </c>
      <c r="AD200" s="5">
        <f>[1]Results!AG1460</f>
        <v>6.0395800050000004</v>
      </c>
      <c r="AE200" s="5">
        <f>[1]Results!AH1460</f>
        <v>6.0230519080000002</v>
      </c>
      <c r="AF200" s="5">
        <f>[1]Results!AI1460</f>
        <v>6.0065175200000001</v>
      </c>
      <c r="AG200" s="5">
        <f>[1]Results!AJ1460</f>
        <v>5.9901696500000003</v>
      </c>
      <c r="AH200" s="5">
        <f>[1]Results!AK1460</f>
        <v>5.9741805369999996</v>
      </c>
      <c r="AI200" s="5">
        <f>[1]Results!AL1460</f>
        <v>5.9586466539999998</v>
      </c>
      <c r="AJ200" s="5">
        <f>[1]Results!AM1460</f>
        <v>5.9436320990000002</v>
      </c>
      <c r="AK200" s="5">
        <f>[1]Results!AN1460</f>
        <v>5.9291749019999997</v>
      </c>
      <c r="AL200" s="5">
        <f>[1]Results!AO1460</f>
        <v>5.9152924029999996</v>
      </c>
      <c r="AM200" s="5">
        <f>[1]Results!AP1460</f>
        <v>5.9011327370000002</v>
      </c>
      <c r="AN200" s="5">
        <f>[1]Results!AQ1460</f>
        <v>5.8868387679999996</v>
      </c>
      <c r="AO200" s="5">
        <f>[1]Results!AR1460</f>
        <v>5.8725765839999999</v>
      </c>
      <c r="AP200" s="5">
        <f>[1]Results!AS1460</f>
        <v>5.8584764390000004</v>
      </c>
      <c r="AQ200" s="5">
        <f>[1]Results!AT1460</f>
        <v>5.8446304099999997</v>
      </c>
      <c r="AR200" s="5">
        <f>[1]Results!AU1460</f>
        <v>5.8311207290000002</v>
      </c>
      <c r="AS200" s="5">
        <f>[1]Results!AV1460</f>
        <v>5.8179819239999997</v>
      </c>
      <c r="AT200" s="5">
        <f>[1]Results!AW1460</f>
        <v>5.805234199</v>
      </c>
      <c r="AU200" s="5">
        <f>[1]Results!AX1460</f>
        <v>5.7928885320000001</v>
      </c>
      <c r="AV200" s="5">
        <f>[1]Results!AY1460</f>
        <v>5.7809495020000004</v>
      </c>
      <c r="AW200" s="5">
        <f>[1]Results!AZ1460</f>
        <v>5.7695432479999997</v>
      </c>
      <c r="AX200" s="5">
        <f>[1]Results!BA1460</f>
        <v>5.758639981</v>
      </c>
      <c r="AY200" s="5">
        <f>[1]Results!BB1460</f>
        <v>5.624996436</v>
      </c>
      <c r="AZ200" s="5">
        <f>[1]Results!BC1460</f>
        <v>5.2313257120000003</v>
      </c>
      <c r="BA200" s="5">
        <f>[1]Results!BD1460</f>
        <v>5.0087980840000004</v>
      </c>
      <c r="BB200" s="5">
        <f>[1]Results!BE1460</f>
        <v>6.2603257899999996</v>
      </c>
      <c r="BC200" s="5">
        <f>[1]Results!BF1460</f>
        <v>6.2497078110000004</v>
      </c>
      <c r="BD200" s="5">
        <f>[1]Results!BG1460</f>
        <v>6.2392568309999996</v>
      </c>
      <c r="BE200" s="5">
        <f>[1]Results!BH1460</f>
        <v>6.2289919490000001</v>
      </c>
      <c r="BF200" s="5">
        <f>[1]Results!BI1460</f>
        <v>6.2189324130000001</v>
      </c>
    </row>
    <row r="201" spans="1:58" x14ac:dyDescent="0.35">
      <c r="B201" t="s">
        <v>34</v>
      </c>
      <c r="C201" s="5">
        <f>[1]Results!F1462</f>
        <v>0.71044144860000003</v>
      </c>
      <c r="D201" s="5">
        <f>[1]Results!G1462</f>
        <v>0.70268134599999998</v>
      </c>
      <c r="E201" s="5">
        <f>[1]Results!H1462</f>
        <v>0.69616303980000005</v>
      </c>
      <c r="F201" s="5">
        <f>[1]Results!I1462</f>
        <v>0.69089873469999996</v>
      </c>
      <c r="G201" s="5">
        <f>[1]Results!J1462</f>
        <v>0.68694200920000004</v>
      </c>
      <c r="H201" s="5">
        <f>[1]Results!K1462</f>
        <v>0.68426718099999995</v>
      </c>
      <c r="I201" s="5">
        <f>[1]Results!L1462</f>
        <v>0.68246546119999996</v>
      </c>
      <c r="J201" s="5">
        <f>[1]Results!M1462</f>
        <v>0.68133629490000003</v>
      </c>
      <c r="K201" s="5">
        <f>[1]Results!N1462</f>
        <v>0.68067564970000005</v>
      </c>
      <c r="L201" s="5">
        <f>[1]Results!O1462</f>
        <v>0.68028245990000002</v>
      </c>
      <c r="M201" s="5">
        <f>[1]Results!P1462</f>
        <v>0.68040534870000002</v>
      </c>
      <c r="N201" s="5">
        <f>[1]Results!Q1462</f>
        <v>0.68039579299999997</v>
      </c>
      <c r="O201" s="5">
        <f>[1]Results!R1462</f>
        <v>0.68010684840000002</v>
      </c>
      <c r="P201" s="5">
        <f>[1]Results!S1462</f>
        <v>0.67950545139999996</v>
      </c>
      <c r="Q201" s="5">
        <f>[1]Results!T1462</f>
        <v>0.67859866719999995</v>
      </c>
      <c r="R201" s="5">
        <f>[1]Results!U1462</f>
        <v>0.67741147280000003</v>
      </c>
      <c r="S201" s="5">
        <f>[1]Results!V1462</f>
        <v>0.67595980079999995</v>
      </c>
      <c r="T201" s="5">
        <f>[1]Results!W1462</f>
        <v>0.6742885394</v>
      </c>
      <c r="U201" s="5">
        <f>[1]Results!X1462</f>
        <v>0.67244661949999995</v>
      </c>
      <c r="V201" s="5">
        <f>[1]Results!Y1462</f>
        <v>0.67048140180000004</v>
      </c>
      <c r="W201" s="5">
        <f>[1]Results!Z1462</f>
        <v>0.66816671100000002</v>
      </c>
      <c r="X201" s="5">
        <f>[1]Results!AA1462</f>
        <v>0.66585262229999997</v>
      </c>
      <c r="Y201" s="5">
        <f>[1]Results!AB1462</f>
        <v>0.66360684449999996</v>
      </c>
      <c r="Z201" s="5">
        <f>[1]Results!AC1462</f>
        <v>0.66144597660000004</v>
      </c>
      <c r="AA201" s="5">
        <f>[1]Results!AD1462</f>
        <v>0.65937568950000003</v>
      </c>
      <c r="AB201" s="5">
        <f>[1]Results!AE1462</f>
        <v>0.65668438039999999</v>
      </c>
      <c r="AC201" s="5">
        <f>[1]Results!AF1462</f>
        <v>0.65387031870000001</v>
      </c>
      <c r="AD201" s="5">
        <f>[1]Results!AG1462</f>
        <v>0.65107510690000003</v>
      </c>
      <c r="AE201" s="5">
        <f>[1]Results!AH1462</f>
        <v>0.64835881549999996</v>
      </c>
      <c r="AF201" s="5">
        <f>[1]Results!AI1462</f>
        <v>0.64575006479999997</v>
      </c>
      <c r="AG201" s="5">
        <f>[1]Results!AJ1462</f>
        <v>0.64326291660000001</v>
      </c>
      <c r="AH201" s="5">
        <f>[1]Results!AK1462</f>
        <v>0.64090458949999995</v>
      </c>
      <c r="AI201" s="5">
        <f>[1]Results!AL1462</f>
        <v>0.6386756509</v>
      </c>
      <c r="AJ201" s="5">
        <f>[1]Results!AM1462</f>
        <v>0.63657200899999999</v>
      </c>
      <c r="AK201" s="5">
        <f>[1]Results!AN1462</f>
        <v>0.63458645300000005</v>
      </c>
      <c r="AL201" s="5">
        <f>[1]Results!AO1462</f>
        <v>0.63270963430000005</v>
      </c>
      <c r="AM201" s="5">
        <f>[1]Results!AP1462</f>
        <v>0.63079120150000001</v>
      </c>
      <c r="AN201" s="5">
        <f>[1]Results!AQ1462</f>
        <v>0.62884659669999998</v>
      </c>
      <c r="AO201" s="5">
        <f>[1]Results!AR1462</f>
        <v>0.62690312439999996</v>
      </c>
      <c r="AP201" s="5">
        <f>[1]Results!AS1462</f>
        <v>0.62498122160000003</v>
      </c>
      <c r="AQ201" s="5">
        <f>[1]Results!AT1462</f>
        <v>0.62309293290000001</v>
      </c>
      <c r="AR201" s="5">
        <f>[1]Results!AU1462</f>
        <v>0.62124381409999996</v>
      </c>
      <c r="AS201" s="5">
        <f>[1]Results!AV1462</f>
        <v>0.61943630540000005</v>
      </c>
      <c r="AT201" s="5">
        <f>[1]Results!AW1462</f>
        <v>0.61766944319999995</v>
      </c>
      <c r="AU201" s="5">
        <f>[1]Results!AX1462</f>
        <v>0.6159405926</v>
      </c>
      <c r="AV201" s="5">
        <f>[1]Results!AY1462</f>
        <v>0.61424628800000003</v>
      </c>
      <c r="AW201" s="5">
        <f>[1]Results!AZ1462</f>
        <v>0.61259098960000002</v>
      </c>
      <c r="AX201" s="5">
        <f>[1]Results!BA1462</f>
        <v>0.61097319829999996</v>
      </c>
      <c r="AY201" s="5">
        <f>[1]Results!BB1462</f>
        <v>0.49903642799999998</v>
      </c>
      <c r="AZ201" s="5">
        <f>[1]Results!BC1462</f>
        <v>0.1061054707</v>
      </c>
      <c r="BA201" s="5">
        <f>[1]Results!BD1462</f>
        <v>8.0368638800000004E-4</v>
      </c>
      <c r="BB201" s="5">
        <f>[1]Results!BE1462</f>
        <v>0.69044872810000002</v>
      </c>
      <c r="BC201" s="5">
        <f>[1]Results!BF1462</f>
        <v>0.68981517540000004</v>
      </c>
      <c r="BD201" s="5">
        <f>[1]Results!BG1462</f>
        <v>0.68920305380000002</v>
      </c>
      <c r="BE201" s="5">
        <f>[1]Results!BH1462</f>
        <v>0.68861274729999999</v>
      </c>
      <c r="BF201" s="5">
        <f>[1]Results!BI1462</f>
        <v>0.68804478970000005</v>
      </c>
    </row>
    <row r="202" spans="1:58" x14ac:dyDescent="0.35">
      <c r="B202" t="s">
        <v>37</v>
      </c>
      <c r="C202" s="5">
        <f>[1]Results!F1458</f>
        <v>17.736058119999999</v>
      </c>
      <c r="D202" s="5">
        <f>[1]Results!G1458</f>
        <v>17.513891090000001</v>
      </c>
      <c r="E202" s="5">
        <f>[1]Results!H1458</f>
        <v>17.310916639999999</v>
      </c>
      <c r="F202" s="5">
        <f>[1]Results!I1458</f>
        <v>17.136776730000001</v>
      </c>
      <c r="G202" s="5">
        <f>[1]Results!J1458</f>
        <v>16.99800347</v>
      </c>
      <c r="H202" s="5">
        <f>[1]Results!K1458</f>
        <v>16.895199860000002</v>
      </c>
      <c r="I202" s="5">
        <f>[1]Results!L1458</f>
        <v>16.818970790000002</v>
      </c>
      <c r="J202" s="5">
        <f>[1]Results!M1458</f>
        <v>16.764383949999999</v>
      </c>
      <c r="K202" s="5">
        <f>[1]Results!N1458</f>
        <v>16.72630771</v>
      </c>
      <c r="L202" s="5">
        <f>[1]Results!O1458</f>
        <v>16.699950170000001</v>
      </c>
      <c r="M202" s="5">
        <f>[1]Results!P1458</f>
        <v>16.69001433</v>
      </c>
      <c r="N202" s="5">
        <f>[1]Results!Q1458</f>
        <v>16.682060010000001</v>
      </c>
      <c r="O202" s="5">
        <f>[1]Results!R1458</f>
        <v>16.67355542</v>
      </c>
      <c r="P202" s="5">
        <f>[1]Results!S1458</f>
        <v>16.663421920000001</v>
      </c>
      <c r="Q202" s="5">
        <f>[1]Results!T1458</f>
        <v>16.6510508</v>
      </c>
      <c r="R202" s="5">
        <f>[1]Results!U1458</f>
        <v>16.636077790000002</v>
      </c>
      <c r="S202" s="5">
        <f>[1]Results!V1458</f>
        <v>16.617699980000001</v>
      </c>
      <c r="T202" s="5">
        <f>[1]Results!W1458</f>
        <v>16.596156199999999</v>
      </c>
      <c r="U202" s="5">
        <f>[1]Results!X1458</f>
        <v>16.571782379999998</v>
      </c>
      <c r="V202" s="5">
        <f>[1]Results!Y1458</f>
        <v>16.544961359999999</v>
      </c>
      <c r="W202" s="5">
        <f>[1]Results!Z1458</f>
        <v>16.510520620000001</v>
      </c>
      <c r="X202" s="5">
        <f>[1]Results!AA1458</f>
        <v>16.475636120000001</v>
      </c>
      <c r="Y202" s="5">
        <f>[1]Results!AB1458</f>
        <v>16.441008199999999</v>
      </c>
      <c r="Z202" s="5">
        <f>[1]Results!AC1458</f>
        <v>16.40679394</v>
      </c>
      <c r="AA202" s="5">
        <f>[1]Results!AD1458</f>
        <v>16.373110109999999</v>
      </c>
      <c r="AB202" s="5">
        <f>[1]Results!AE1458</f>
        <v>16.325193209999998</v>
      </c>
      <c r="AC202" s="5">
        <f>[1]Results!AF1458</f>
        <v>16.274354670000001</v>
      </c>
      <c r="AD202" s="5">
        <f>[1]Results!AG1458</f>
        <v>16.22274612</v>
      </c>
      <c r="AE202" s="5">
        <f>[1]Results!AH1458</f>
        <v>16.17140449</v>
      </c>
      <c r="AF202" s="5">
        <f>[1]Results!AI1458</f>
        <v>16.12096253</v>
      </c>
      <c r="AG202" s="5">
        <f>[1]Results!AJ1458</f>
        <v>16.071848989999999</v>
      </c>
      <c r="AH202" s="5">
        <f>[1]Results!AK1458</f>
        <v>16.024427540000001</v>
      </c>
      <c r="AI202" s="5">
        <f>[1]Results!AL1458</f>
        <v>15.97884779</v>
      </c>
      <c r="AJ202" s="5">
        <f>[1]Results!AM1458</f>
        <v>15.935169670000001</v>
      </c>
      <c r="AK202" s="5">
        <f>[1]Results!AN1458</f>
        <v>15.893388</v>
      </c>
      <c r="AL202" s="5">
        <f>[1]Results!AO1458</f>
        <v>15.85344894</v>
      </c>
      <c r="AM202" s="5">
        <f>[1]Results!AP1458</f>
        <v>15.8127268</v>
      </c>
      <c r="AN202" s="5">
        <f>[1]Results!AQ1458</f>
        <v>15.771589329999999</v>
      </c>
      <c r="AO202" s="5">
        <f>[1]Results!AR1458</f>
        <v>15.73052055</v>
      </c>
      <c r="AP202" s="5">
        <f>[1]Results!AS1458</f>
        <v>15.689893229999999</v>
      </c>
      <c r="AQ202" s="5">
        <f>[1]Results!AT1458</f>
        <v>15.64995498</v>
      </c>
      <c r="AR202" s="5">
        <f>[1]Results!AU1458</f>
        <v>15.61091725</v>
      </c>
      <c r="AS202" s="5">
        <f>[1]Results!AV1458</f>
        <v>15.57284808</v>
      </c>
      <c r="AT202" s="5">
        <f>[1]Results!AW1458</f>
        <v>15.53576749</v>
      </c>
      <c r="AU202" s="5">
        <f>[1]Results!AX1458</f>
        <v>15.49967015</v>
      </c>
      <c r="AV202" s="5">
        <f>[1]Results!AY1458</f>
        <v>15.464535400000001</v>
      </c>
      <c r="AW202" s="5">
        <f>[1]Results!AZ1458</f>
        <v>15.43071486</v>
      </c>
      <c r="AX202" s="5">
        <f>[1]Results!BA1458</f>
        <v>15.39810447</v>
      </c>
      <c r="AY202" s="5">
        <f>[1]Results!BB1458</f>
        <v>14.65605219</v>
      </c>
      <c r="AZ202" s="5">
        <f>[1]Results!BC1458</f>
        <v>12.563178369999999</v>
      </c>
      <c r="BA202" s="5">
        <f>[1]Results!BD1458</f>
        <v>11.958287520000001</v>
      </c>
      <c r="BB202" s="5">
        <f>[1]Results!BE1458</f>
        <v>17.10672302</v>
      </c>
      <c r="BC202" s="5">
        <f>[1]Results!BF1458</f>
        <v>17.084953720000001</v>
      </c>
      <c r="BD202" s="5">
        <f>[1]Results!BG1458</f>
        <v>17.063645919999999</v>
      </c>
      <c r="BE202" s="5">
        <f>[1]Results!BH1458</f>
        <v>17.04283483</v>
      </c>
      <c r="BF202" s="5">
        <f>[1]Results!BI1458</f>
        <v>17.022556850000001</v>
      </c>
    </row>
    <row r="203" spans="1:58" x14ac:dyDescent="0.35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</row>
    <row r="204" spans="1:58" x14ac:dyDescent="0.35">
      <c r="A204" s="12" t="s">
        <v>86</v>
      </c>
      <c r="B204" t="s">
        <v>27</v>
      </c>
      <c r="C204" s="3">
        <f>[1]Results!F1473</f>
        <v>27373.111219999999</v>
      </c>
      <c r="D204" s="3">
        <f>[1]Results!G1473</f>
        <v>27400.93634</v>
      </c>
      <c r="E204" s="3">
        <f>[1]Results!H1473</f>
        <v>27433.953450000001</v>
      </c>
      <c r="F204" s="3">
        <f>[1]Results!I1473</f>
        <v>27480.89587</v>
      </c>
      <c r="G204" s="3">
        <f>[1]Results!J1473</f>
        <v>27544.510450000002</v>
      </c>
      <c r="H204" s="3">
        <f>[1]Results!K1473</f>
        <v>27624.07502</v>
      </c>
      <c r="I204" s="3">
        <f>[1]Results!L1473</f>
        <v>27706.268950000001</v>
      </c>
      <c r="J204" s="3">
        <f>[1]Results!M1473</f>
        <v>27790.2598</v>
      </c>
      <c r="K204" s="3">
        <f>[1]Results!N1473</f>
        <v>27875.428110000001</v>
      </c>
      <c r="L204" s="3">
        <f>[1]Results!O1473</f>
        <v>27961.067040000002</v>
      </c>
      <c r="M204" s="3">
        <f>[1]Results!P1473</f>
        <v>28064.472399999999</v>
      </c>
      <c r="N204" s="3">
        <f>[1]Results!Q1473</f>
        <v>28163.229459999999</v>
      </c>
      <c r="O204" s="3">
        <f>[1]Results!R1473</f>
        <v>28256.372090000001</v>
      </c>
      <c r="P204" s="3">
        <f>[1]Results!S1473</f>
        <v>28344.062269999999</v>
      </c>
      <c r="Q204" s="3">
        <f>[1]Results!T1473</f>
        <v>28426.751619999999</v>
      </c>
      <c r="R204" s="3">
        <f>[1]Results!U1473</f>
        <v>28505.002850000001</v>
      </c>
      <c r="S204" s="3">
        <f>[1]Results!V1473</f>
        <v>28579.430469999999</v>
      </c>
      <c r="T204" s="3">
        <f>[1]Results!W1473</f>
        <v>28650.655650000001</v>
      </c>
      <c r="U204" s="3">
        <f>[1]Results!X1473</f>
        <v>28719.2713</v>
      </c>
      <c r="V204" s="3">
        <f>[1]Results!Y1473</f>
        <v>28785.821199999998</v>
      </c>
      <c r="W204" s="3">
        <f>[1]Results!Z1473</f>
        <v>28839.05572</v>
      </c>
      <c r="X204" s="3">
        <f>[1]Results!AA1473</f>
        <v>28893.533090000001</v>
      </c>
      <c r="Y204" s="3">
        <f>[1]Results!AB1473</f>
        <v>28949.889940000001</v>
      </c>
      <c r="Z204" s="3">
        <f>[1]Results!AC1473</f>
        <v>29008.075840000001</v>
      </c>
      <c r="AA204" s="3">
        <f>[1]Results!AD1473</f>
        <v>29067.888029999998</v>
      </c>
      <c r="AB204" s="3">
        <f>[1]Results!AE1473</f>
        <v>29097.351210000001</v>
      </c>
      <c r="AC204" s="3">
        <f>[1]Results!AF1473</f>
        <v>29119.526600000001</v>
      </c>
      <c r="AD204" s="3">
        <f>[1]Results!AG1473</f>
        <v>29137.92625</v>
      </c>
      <c r="AE204" s="3">
        <f>[1]Results!AH1473</f>
        <v>29154.71947</v>
      </c>
      <c r="AF204" s="3">
        <f>[1]Results!AI1473</f>
        <v>29171.367890000001</v>
      </c>
      <c r="AG204" s="3">
        <f>[1]Results!AJ1473</f>
        <v>29188.787509999998</v>
      </c>
      <c r="AH204" s="3">
        <f>[1]Results!AK1473</f>
        <v>29207.445680000001</v>
      </c>
      <c r="AI204" s="3">
        <f>[1]Results!AL1473</f>
        <v>29227.470590000001</v>
      </c>
      <c r="AJ204" s="3">
        <f>[1]Results!AM1473</f>
        <v>29248.763910000001</v>
      </c>
      <c r="AK204" s="3">
        <f>[1]Results!AN1473</f>
        <v>29271.099129999999</v>
      </c>
      <c r="AL204" s="3">
        <f>[1]Results!AO1473</f>
        <v>29294.196029999999</v>
      </c>
      <c r="AM204" s="3">
        <f>[1]Results!AP1473</f>
        <v>29311.121149999999</v>
      </c>
      <c r="AN204" s="3">
        <f>[1]Results!AQ1473</f>
        <v>29322.97135</v>
      </c>
      <c r="AO204" s="3">
        <f>[1]Results!AR1473</f>
        <v>29331.024109999998</v>
      </c>
      <c r="AP204" s="3">
        <f>[1]Results!AS1473</f>
        <v>29336.384620000001</v>
      </c>
      <c r="AQ204" s="3">
        <f>[1]Results!AT1473</f>
        <v>29339.928100000001</v>
      </c>
      <c r="AR204" s="3">
        <f>[1]Results!AU1473</f>
        <v>29342.29968</v>
      </c>
      <c r="AS204" s="3">
        <f>[1]Results!AV1473</f>
        <v>29343.932949999999</v>
      </c>
      <c r="AT204" s="3">
        <f>[1]Results!AW1473</f>
        <v>29345.082539999999</v>
      </c>
      <c r="AU204" s="3">
        <f>[1]Results!AX1473</f>
        <v>29345.86548</v>
      </c>
      <c r="AV204" s="3">
        <f>[1]Results!AY1473</f>
        <v>29346.304479999999</v>
      </c>
      <c r="AW204" s="3">
        <f>[1]Results!AZ1473</f>
        <v>29346.894950000002</v>
      </c>
      <c r="AX204" s="3">
        <f>[1]Results!BA1473</f>
        <v>29347.470990000002</v>
      </c>
      <c r="AY204" s="3">
        <f>[1]Results!BB1473</f>
        <v>29347.853060000001</v>
      </c>
      <c r="AZ204" s="3">
        <f>[1]Results!BC1473</f>
        <v>29347.888569999999</v>
      </c>
      <c r="BA204" s="3">
        <f>[1]Results!BD1473</f>
        <v>29347.461800000001</v>
      </c>
      <c r="BB204" s="3">
        <f>[1]Results!BE1473</f>
        <v>31107.650259999999</v>
      </c>
      <c r="BC204" s="3">
        <f>[1]Results!BF1473</f>
        <v>31143.853749999998</v>
      </c>
      <c r="BD204" s="3">
        <f>[1]Results!BG1473</f>
        <v>31179.418160000001</v>
      </c>
      <c r="BE204" s="3">
        <f>[1]Results!BH1473</f>
        <v>31214.358059999999</v>
      </c>
      <c r="BF204" s="3">
        <f>[1]Results!BI1473</f>
        <v>31248.702590000001</v>
      </c>
    </row>
    <row r="205" spans="1:58" x14ac:dyDescent="0.35">
      <c r="A205" t="s">
        <v>38</v>
      </c>
      <c r="B205" t="s">
        <v>7</v>
      </c>
      <c r="C205" s="3">
        <f>[1]Results!F1474</f>
        <v>760.65848940000001</v>
      </c>
      <c r="D205" s="3">
        <f>[1]Results!G1474</f>
        <v>758.28932899999995</v>
      </c>
      <c r="E205" s="3">
        <f>[1]Results!H1474</f>
        <v>753.64188039999999</v>
      </c>
      <c r="F205" s="3">
        <f>[1]Results!I1474</f>
        <v>747.89557879999995</v>
      </c>
      <c r="G205" s="3">
        <f>[1]Results!J1474</f>
        <v>741.81255629999998</v>
      </c>
      <c r="H205" s="3">
        <f>[1]Results!K1474</f>
        <v>735.77943800000003</v>
      </c>
      <c r="I205" s="3">
        <f>[1]Results!L1474</f>
        <v>729.59090409999999</v>
      </c>
      <c r="J205" s="3">
        <f>[1]Results!M1474</f>
        <v>723.27096700000004</v>
      </c>
      <c r="K205" s="3">
        <f>[1]Results!N1474</f>
        <v>716.86644209999997</v>
      </c>
      <c r="L205" s="3">
        <f>[1]Results!O1474</f>
        <v>710.41708879999999</v>
      </c>
      <c r="M205" s="3">
        <f>[1]Results!P1474</f>
        <v>704.48407959999997</v>
      </c>
      <c r="N205" s="3">
        <f>[1]Results!Q1474</f>
        <v>698.50361369999996</v>
      </c>
      <c r="O205" s="3">
        <f>[1]Results!R1474</f>
        <v>692.37066619999996</v>
      </c>
      <c r="P205" s="3">
        <f>[1]Results!S1474</f>
        <v>686.10684000000003</v>
      </c>
      <c r="Q205" s="3">
        <f>[1]Results!T1474</f>
        <v>679.77708280000002</v>
      </c>
      <c r="R205" s="3">
        <f>[1]Results!U1474</f>
        <v>673.45186620000004</v>
      </c>
      <c r="S205" s="3">
        <f>[1]Results!V1474</f>
        <v>667.19015320000005</v>
      </c>
      <c r="T205" s="3">
        <f>[1]Results!W1474</f>
        <v>661.0329074</v>
      </c>
      <c r="U205" s="3">
        <f>[1]Results!X1474</f>
        <v>655.00270060000003</v>
      </c>
      <c r="V205" s="3">
        <f>[1]Results!Y1474</f>
        <v>649.10637410000004</v>
      </c>
      <c r="W205" s="3">
        <f>[1]Results!Z1474</f>
        <v>643.03012139999998</v>
      </c>
      <c r="X205" s="3">
        <f>[1]Results!AA1474</f>
        <v>637.10376629999996</v>
      </c>
      <c r="Y205" s="3">
        <f>[1]Results!AB1474</f>
        <v>631.38507030000005</v>
      </c>
      <c r="Z205" s="3">
        <f>[1]Results!AC1474</f>
        <v>625.8569655</v>
      </c>
      <c r="AA205" s="3">
        <f>[1]Results!AD1474</f>
        <v>620.47747370000002</v>
      </c>
      <c r="AB205" s="3">
        <f>[1]Results!AE1474</f>
        <v>614.40991770000005</v>
      </c>
      <c r="AC205" s="3">
        <f>[1]Results!AF1474</f>
        <v>608.1264089</v>
      </c>
      <c r="AD205" s="3">
        <f>[1]Results!AG1474</f>
        <v>601.83269089999999</v>
      </c>
      <c r="AE205" s="3">
        <f>[1]Results!AH1474</f>
        <v>595.64204689999997</v>
      </c>
      <c r="AF205" s="3">
        <f>[1]Results!AI1474</f>
        <v>589.60667360000002</v>
      </c>
      <c r="AG205" s="3">
        <f>[1]Results!AJ1474</f>
        <v>583.73788460000003</v>
      </c>
      <c r="AH205" s="3">
        <f>[1]Results!AK1474</f>
        <v>578.02160330000004</v>
      </c>
      <c r="AI205" s="3">
        <f>[1]Results!AL1474</f>
        <v>572.4307675</v>
      </c>
      <c r="AJ205" s="3">
        <f>[1]Results!AM1474</f>
        <v>566.93468949999999</v>
      </c>
      <c r="AK205" s="3">
        <f>[1]Results!AN1474</f>
        <v>561.5054255</v>
      </c>
      <c r="AL205" s="3">
        <f>[1]Results!AO1474</f>
        <v>556.12142240000003</v>
      </c>
      <c r="AM205" s="3">
        <f>[1]Results!AP1474</f>
        <v>550.62147130000005</v>
      </c>
      <c r="AN205" s="3">
        <f>[1]Results!AQ1474</f>
        <v>545.01665839999998</v>
      </c>
      <c r="AO205" s="3">
        <f>[1]Results!AR1474</f>
        <v>539.3589571</v>
      </c>
      <c r="AP205" s="3">
        <f>[1]Results!AS1474</f>
        <v>533.7038526</v>
      </c>
      <c r="AQ205" s="3">
        <f>[1]Results!AT1474</f>
        <v>528.09583620000001</v>
      </c>
      <c r="AR205" s="3">
        <f>[1]Results!AU1474</f>
        <v>522.5642077</v>
      </c>
      <c r="AS205" s="3">
        <f>[1]Results!AV1474</f>
        <v>517.12375350000002</v>
      </c>
      <c r="AT205" s="3">
        <f>[1]Results!AW1474</f>
        <v>511.77764500000001</v>
      </c>
      <c r="AU205" s="3">
        <f>[1]Results!AX1474</f>
        <v>506.52107990000002</v>
      </c>
      <c r="AV205" s="3">
        <f>[1]Results!AY1474</f>
        <v>501.34480280000002</v>
      </c>
      <c r="AW205" s="3">
        <f>[1]Results!AZ1474</f>
        <v>496.24851510000002</v>
      </c>
      <c r="AX205" s="3">
        <f>[1]Results!BA1474</f>
        <v>491.22081320000001</v>
      </c>
      <c r="AY205" s="3">
        <f>[1]Results!BB1474</f>
        <v>486.24974400000002</v>
      </c>
      <c r="AZ205" s="3">
        <f>[1]Results!BC1474</f>
        <v>481.32589039999999</v>
      </c>
      <c r="BA205" s="3">
        <f>[1]Results!BD1474</f>
        <v>476.44328739999997</v>
      </c>
      <c r="BB205" s="3">
        <f>[1]Results!BE1474</f>
        <v>821.15535560000001</v>
      </c>
      <c r="BC205" s="3">
        <f>[1]Results!BF1474</f>
        <v>821.62769619999995</v>
      </c>
      <c r="BD205" s="3">
        <f>[1]Results!BG1474</f>
        <v>822.10868189999997</v>
      </c>
      <c r="BE205" s="3">
        <f>[1]Results!BH1474</f>
        <v>822.59935270000005</v>
      </c>
      <c r="BF205" s="3">
        <f>[1]Results!BI1474</f>
        <v>823.10108200000002</v>
      </c>
    </row>
    <row r="206" spans="1:58" x14ac:dyDescent="0.35">
      <c r="B206" t="s">
        <v>30</v>
      </c>
      <c r="C206" s="3">
        <f>[1]Results!F1477</f>
        <v>4367.3850510000002</v>
      </c>
      <c r="D206" s="3">
        <f>[1]Results!G1477</f>
        <v>4370.8044440000003</v>
      </c>
      <c r="E206" s="3">
        <f>[1]Results!H1477</f>
        <v>4374.1628929999997</v>
      </c>
      <c r="F206" s="3">
        <f>[1]Results!I1477</f>
        <v>4378.9259890000003</v>
      </c>
      <c r="G206" s="3">
        <f>[1]Results!J1477</f>
        <v>4385.5638840000001</v>
      </c>
      <c r="H206" s="3">
        <f>[1]Results!K1477</f>
        <v>4394.0148980000004</v>
      </c>
      <c r="I206" s="3">
        <f>[1]Results!L1477</f>
        <v>4402.4281110000002</v>
      </c>
      <c r="J206" s="3">
        <f>[1]Results!M1477</f>
        <v>4410.586789</v>
      </c>
      <c r="K206" s="3">
        <f>[1]Results!N1477</f>
        <v>4418.4555810000002</v>
      </c>
      <c r="L206" s="3">
        <f>[1]Results!O1477</f>
        <v>4426.0400630000004</v>
      </c>
      <c r="M206" s="3">
        <f>[1]Results!P1477</f>
        <v>4435.8893539999999</v>
      </c>
      <c r="N206" s="3">
        <f>[1]Results!Q1477</f>
        <v>4445.2086330000002</v>
      </c>
      <c r="O206" s="3">
        <f>[1]Results!R1477</f>
        <v>4453.7519920000004</v>
      </c>
      <c r="P206" s="3">
        <f>[1]Results!S1477</f>
        <v>4461.5827179999997</v>
      </c>
      <c r="Q206" s="3">
        <f>[1]Results!T1477</f>
        <v>4468.853153</v>
      </c>
      <c r="R206" s="3">
        <f>[1]Results!U1477</f>
        <v>4475.7370970000002</v>
      </c>
      <c r="S206" s="3">
        <f>[1]Results!V1477</f>
        <v>4482.4041180000004</v>
      </c>
      <c r="T206" s="3">
        <f>[1]Results!W1477</f>
        <v>4489.0069119999998</v>
      </c>
      <c r="U206" s="3">
        <f>[1]Results!X1477</f>
        <v>4495.6743930000002</v>
      </c>
      <c r="V206" s="3">
        <f>[1]Results!Y1477</f>
        <v>4502.5086719999999</v>
      </c>
      <c r="W206" s="3">
        <f>[1]Results!Z1477</f>
        <v>4507.9734280000002</v>
      </c>
      <c r="X206" s="3">
        <f>[1]Results!AA1477</f>
        <v>4513.9011620000001</v>
      </c>
      <c r="Y206" s="3">
        <f>[1]Results!AB1477</f>
        <v>4520.4992810000003</v>
      </c>
      <c r="Z206" s="3">
        <f>[1]Results!AC1477</f>
        <v>4527.7707280000004</v>
      </c>
      <c r="AA206" s="3">
        <f>[1]Results!AD1477</f>
        <v>4535.6517990000002</v>
      </c>
      <c r="AB206" s="3">
        <f>[1]Results!AE1477</f>
        <v>4539.7370389999996</v>
      </c>
      <c r="AC206" s="3">
        <f>[1]Results!AF1477</f>
        <v>4542.6642670000001</v>
      </c>
      <c r="AD206" s="3">
        <f>[1]Results!AG1477</f>
        <v>4545.0300589999997</v>
      </c>
      <c r="AE206" s="3">
        <f>[1]Results!AH1477</f>
        <v>4547.1660410000004</v>
      </c>
      <c r="AF206" s="3">
        <f>[1]Results!AI1477</f>
        <v>4549.2666390000004</v>
      </c>
      <c r="AG206" s="3">
        <f>[1]Results!AJ1477</f>
        <v>4551.4307449999997</v>
      </c>
      <c r="AH206" s="3">
        <f>[1]Results!AK1477</f>
        <v>4553.6840430000002</v>
      </c>
      <c r="AI206" s="3">
        <f>[1]Results!AL1477</f>
        <v>4555.9983060000004</v>
      </c>
      <c r="AJ206" s="3">
        <f>[1]Results!AM1477</f>
        <v>4558.3100990000003</v>
      </c>
      <c r="AK206" s="3">
        <f>[1]Results!AN1477</f>
        <v>4560.5376999999999</v>
      </c>
      <c r="AL206" s="3">
        <f>[1]Results!AO1477</f>
        <v>4562.5947489999999</v>
      </c>
      <c r="AM206" s="3">
        <f>[1]Results!AP1477</f>
        <v>4563.5097299999998</v>
      </c>
      <c r="AN206" s="3">
        <f>[1]Results!AQ1477</f>
        <v>4563.2988809999997</v>
      </c>
      <c r="AO206" s="3">
        <f>[1]Results!AR1477</f>
        <v>4562.0930719999997</v>
      </c>
      <c r="AP206" s="3">
        <f>[1]Results!AS1477</f>
        <v>4560.0365389999997</v>
      </c>
      <c r="AQ206" s="3">
        <f>[1]Results!AT1477</f>
        <v>4557.2573089999996</v>
      </c>
      <c r="AR206" s="3">
        <f>[1]Results!AU1477</f>
        <v>4553.8583040000003</v>
      </c>
      <c r="AS206" s="3">
        <f>[1]Results!AV1477</f>
        <v>4549.9158859999998</v>
      </c>
      <c r="AT206" s="3">
        <f>[1]Results!AW1477</f>
        <v>4545.4821609999999</v>
      </c>
      <c r="AU206" s="3">
        <f>[1]Results!AX1477</f>
        <v>4540.589575</v>
      </c>
      <c r="AV206" s="3">
        <f>[1]Results!AY1477</f>
        <v>4535.2566029999998</v>
      </c>
      <c r="AW206" s="3">
        <f>[1]Results!AZ1477</f>
        <v>4529.5630760000004</v>
      </c>
      <c r="AX206" s="3">
        <f>[1]Results!BA1477</f>
        <v>4523.5091579999998</v>
      </c>
      <c r="AY206" s="3">
        <f>[1]Results!BB1477</f>
        <v>4517.0876779999999</v>
      </c>
      <c r="AZ206" s="3">
        <f>[1]Results!BC1477</f>
        <v>4510.2944129999996</v>
      </c>
      <c r="BA206" s="3">
        <f>[1]Results!BD1477</f>
        <v>4503.1314769999999</v>
      </c>
      <c r="BB206" s="3">
        <f>[1]Results!BE1477</f>
        <v>5222.4697040000001</v>
      </c>
      <c r="BC206" s="3">
        <f>[1]Results!BF1477</f>
        <v>5232.6580800000002</v>
      </c>
      <c r="BD206" s="3">
        <f>[1]Results!BG1477</f>
        <v>5242.3468860000003</v>
      </c>
      <c r="BE206" s="3">
        <f>[1]Results!BH1477</f>
        <v>5251.5300660000003</v>
      </c>
      <c r="BF206" s="3">
        <f>[1]Results!BI1477</f>
        <v>5260.2061640000002</v>
      </c>
    </row>
    <row r="207" spans="1:58" x14ac:dyDescent="0.35">
      <c r="B207" t="s">
        <v>28</v>
      </c>
      <c r="C207" s="3">
        <f>[1]Results!F1489</f>
        <v>868.31324719999998</v>
      </c>
      <c r="D207" s="3">
        <f>[1]Results!G1489</f>
        <v>868.41160790000004</v>
      </c>
      <c r="E207" s="3">
        <f>[1]Results!H1489</f>
        <v>868.15704300000004</v>
      </c>
      <c r="F207" s="3">
        <f>[1]Results!I1489</f>
        <v>868.03789570000004</v>
      </c>
      <c r="G207" s="3">
        <f>[1]Results!J1489</f>
        <v>868.27823479999995</v>
      </c>
      <c r="H207" s="3">
        <f>[1]Results!K1489</f>
        <v>868.92831560000002</v>
      </c>
      <c r="I207" s="3">
        <f>[1]Results!L1489</f>
        <v>869.62572250000005</v>
      </c>
      <c r="J207" s="3">
        <f>[1]Results!M1489</f>
        <v>870.34983580000005</v>
      </c>
      <c r="K207" s="3">
        <f>[1]Results!N1489</f>
        <v>871.07925869999997</v>
      </c>
      <c r="L207" s="3">
        <f>[1]Results!O1489</f>
        <v>871.78419980000001</v>
      </c>
      <c r="M207" s="3">
        <f>[1]Results!P1489</f>
        <v>872.95541839999999</v>
      </c>
      <c r="N207" s="3">
        <f>[1]Results!Q1489</f>
        <v>873.9307043</v>
      </c>
      <c r="O207" s="3">
        <f>[1]Results!R1489</f>
        <v>874.67356610000002</v>
      </c>
      <c r="P207" s="3">
        <f>[1]Results!S1489</f>
        <v>875.19644889999995</v>
      </c>
      <c r="Q207" s="3">
        <f>[1]Results!T1489</f>
        <v>875.52180290000001</v>
      </c>
      <c r="R207" s="3">
        <f>[1]Results!U1489</f>
        <v>875.67577240000003</v>
      </c>
      <c r="S207" s="3">
        <f>[1]Results!V1489</f>
        <v>875.68646320000005</v>
      </c>
      <c r="T207" s="3">
        <f>[1]Results!W1489</f>
        <v>875.58250759999999</v>
      </c>
      <c r="U207" s="3">
        <f>[1]Results!X1489</f>
        <v>875.39172859999996</v>
      </c>
      <c r="V207" s="3">
        <f>[1]Results!Y1489</f>
        <v>875.14011110000001</v>
      </c>
      <c r="W207" s="3">
        <f>[1]Results!Z1489</f>
        <v>874.51699900000006</v>
      </c>
      <c r="X207" s="3">
        <f>[1]Results!AA1489</f>
        <v>873.95003640000004</v>
      </c>
      <c r="Y207" s="3">
        <f>[1]Results!AB1489</f>
        <v>873.46782089999999</v>
      </c>
      <c r="Z207" s="3">
        <f>[1]Results!AC1489</f>
        <v>873.07009870000002</v>
      </c>
      <c r="AA207" s="3">
        <f>[1]Results!AD1489</f>
        <v>872.75201360000005</v>
      </c>
      <c r="AB207" s="3">
        <f>[1]Results!AE1489</f>
        <v>871.61129080000001</v>
      </c>
      <c r="AC207" s="3">
        <f>[1]Results!AF1489</f>
        <v>870.31289809999998</v>
      </c>
      <c r="AD207" s="3">
        <f>[1]Results!AG1489</f>
        <v>868.97153719999994</v>
      </c>
      <c r="AE207" s="3">
        <f>[1]Results!AH1489</f>
        <v>867.64691860000005</v>
      </c>
      <c r="AF207" s="3">
        <f>[1]Results!AI1489</f>
        <v>866.37631329999999</v>
      </c>
      <c r="AG207" s="3">
        <f>[1]Results!AJ1489</f>
        <v>865.18148359999998</v>
      </c>
      <c r="AH207" s="3">
        <f>[1]Results!AK1489</f>
        <v>864.0718382</v>
      </c>
      <c r="AI207" s="3">
        <f>[1]Results!AL1489</f>
        <v>863.04745409999998</v>
      </c>
      <c r="AJ207" s="3">
        <f>[1]Results!AM1489</f>
        <v>862.10208920000002</v>
      </c>
      <c r="AK207" s="3">
        <f>[1]Results!AN1489</f>
        <v>861.22582190000003</v>
      </c>
      <c r="AL207" s="3">
        <f>[1]Results!AO1489</f>
        <v>860.40709530000004</v>
      </c>
      <c r="AM207" s="3">
        <f>[1]Results!AP1489</f>
        <v>859.44872629999998</v>
      </c>
      <c r="AN207" s="3">
        <f>[1]Results!AQ1489</f>
        <v>858.38019710000003</v>
      </c>
      <c r="AO207" s="3">
        <f>[1]Results!AR1489</f>
        <v>857.23806539999998</v>
      </c>
      <c r="AP207" s="3">
        <f>[1]Results!AS1489</f>
        <v>856.05205190000004</v>
      </c>
      <c r="AQ207" s="3">
        <f>[1]Results!AT1489</f>
        <v>854.84426529999996</v>
      </c>
      <c r="AR207" s="3">
        <f>[1]Results!AU1489</f>
        <v>853.63010320000001</v>
      </c>
      <c r="AS207" s="3">
        <f>[1]Results!AV1489</f>
        <v>852.41927620000001</v>
      </c>
      <c r="AT207" s="3">
        <f>[1]Results!AW1489</f>
        <v>851.21689739999999</v>
      </c>
      <c r="AU207" s="3">
        <f>[1]Results!AX1489</f>
        <v>850.02462370000001</v>
      </c>
      <c r="AV207" s="3">
        <f>[1]Results!AY1489</f>
        <v>848.84175830000004</v>
      </c>
      <c r="AW207" s="3">
        <f>[1]Results!AZ1489</f>
        <v>847.68080689999999</v>
      </c>
      <c r="AX207" s="3">
        <f>[1]Results!BA1489</f>
        <v>846.53582129999995</v>
      </c>
      <c r="AY207" s="3">
        <f>[1]Results!BB1489</f>
        <v>845.40029719999995</v>
      </c>
      <c r="AZ207" s="3">
        <f>[1]Results!BC1489</f>
        <v>844.26859249999995</v>
      </c>
      <c r="BA207" s="3">
        <f>[1]Results!BD1489</f>
        <v>843.13614680000001</v>
      </c>
      <c r="BB207" s="3">
        <f>[1]Results!BE1489</f>
        <v>906.06296829999997</v>
      </c>
      <c r="BC207" s="3">
        <f>[1]Results!BF1489</f>
        <v>906.10522619999995</v>
      </c>
      <c r="BD207" s="3">
        <f>[1]Results!BG1489</f>
        <v>906.16741290000004</v>
      </c>
      <c r="BE207" s="3">
        <f>[1]Results!BH1489</f>
        <v>906.24966629999994</v>
      </c>
      <c r="BF207" s="3">
        <f>[1]Results!BI1489</f>
        <v>906.35235750000004</v>
      </c>
    </row>
    <row r="208" spans="1:58" x14ac:dyDescent="0.35">
      <c r="B208" t="s">
        <v>10</v>
      </c>
      <c r="C208" s="3">
        <f>[1]Results!F1494</f>
        <v>21271.810890000001</v>
      </c>
      <c r="D208" s="3">
        <f>[1]Results!G1494</f>
        <v>21298.722040000001</v>
      </c>
      <c r="E208" s="3">
        <f>[1]Results!H1494</f>
        <v>21333.762439999999</v>
      </c>
      <c r="F208" s="3">
        <f>[1]Results!I1494</f>
        <v>21382.380379999999</v>
      </c>
      <c r="G208" s="3">
        <f>[1]Results!J1494</f>
        <v>21445.760709999999</v>
      </c>
      <c r="H208" s="3">
        <f>[1]Results!K1494</f>
        <v>21522.754819999998</v>
      </c>
      <c r="I208" s="3">
        <f>[1]Results!L1494</f>
        <v>21602.47956</v>
      </c>
      <c r="J208" s="3">
        <f>[1]Results!M1494</f>
        <v>21684.321769999999</v>
      </c>
      <c r="K208" s="3">
        <f>[1]Results!N1494</f>
        <v>21767.681410000001</v>
      </c>
      <c r="L208" s="3">
        <f>[1]Results!O1494</f>
        <v>21851.847760000001</v>
      </c>
      <c r="M208" s="3">
        <f>[1]Results!P1494</f>
        <v>21950.475340000001</v>
      </c>
      <c r="N208" s="3">
        <f>[1]Results!Q1494</f>
        <v>22045.235700000001</v>
      </c>
      <c r="O208" s="3">
        <f>[1]Results!R1494</f>
        <v>22135.565060000001</v>
      </c>
      <c r="P208" s="3">
        <f>[1]Results!S1494</f>
        <v>22221.53025</v>
      </c>
      <c r="Q208" s="3">
        <f>[1]Results!T1494</f>
        <v>22303.341189999999</v>
      </c>
      <c r="R208" s="3">
        <f>[1]Results!U1494</f>
        <v>22381.28686</v>
      </c>
      <c r="S208" s="3">
        <f>[1]Results!V1494</f>
        <v>22455.721160000001</v>
      </c>
      <c r="T208" s="3">
        <f>[1]Results!W1494</f>
        <v>22527.03872</v>
      </c>
      <c r="U208" s="3">
        <f>[1]Results!X1494</f>
        <v>22595.648789999999</v>
      </c>
      <c r="V208" s="3">
        <f>[1]Results!Y1494</f>
        <v>22661.95594</v>
      </c>
      <c r="W208" s="3">
        <f>[1]Results!Z1494</f>
        <v>22716.899850000002</v>
      </c>
      <c r="X208" s="3">
        <f>[1]Results!AA1494</f>
        <v>22772.40943</v>
      </c>
      <c r="Y208" s="3">
        <f>[1]Results!AB1494</f>
        <v>22828.81927</v>
      </c>
      <c r="Z208" s="3">
        <f>[1]Results!AC1494</f>
        <v>22886.09187</v>
      </c>
      <c r="AA208" s="3">
        <f>[1]Results!AD1494</f>
        <v>22944.13523</v>
      </c>
      <c r="AB208" s="3">
        <f>[1]Results!AE1494</f>
        <v>22977.205190000001</v>
      </c>
      <c r="AC208" s="3">
        <f>[1]Results!AF1494</f>
        <v>23004.53357</v>
      </c>
      <c r="AD208" s="3">
        <f>[1]Results!AG1494</f>
        <v>23028.697820000001</v>
      </c>
      <c r="AE208" s="3">
        <f>[1]Results!AH1494</f>
        <v>23051.355039999999</v>
      </c>
      <c r="AF208" s="3">
        <f>[1]Results!AI1494</f>
        <v>23073.679390000001</v>
      </c>
      <c r="AG208" s="3">
        <f>[1]Results!AJ1494</f>
        <v>23096.453160000001</v>
      </c>
      <c r="AH208" s="3">
        <f>[1]Results!AK1494</f>
        <v>23120.122019999999</v>
      </c>
      <c r="AI208" s="3">
        <f>[1]Results!AL1494</f>
        <v>23144.869419999999</v>
      </c>
      <c r="AJ208" s="3">
        <f>[1]Results!AM1494</f>
        <v>23170.698079999998</v>
      </c>
      <c r="AK208" s="3">
        <f>[1]Results!AN1494</f>
        <v>23197.50217</v>
      </c>
      <c r="AL208" s="3">
        <f>[1]Results!AO1494</f>
        <v>23225.12241</v>
      </c>
      <c r="AM208" s="3">
        <f>[1]Results!AP1494</f>
        <v>23247.97437</v>
      </c>
      <c r="AN208" s="3">
        <f>[1]Results!AQ1494</f>
        <v>23267.097839999999</v>
      </c>
      <c r="AO208" s="3">
        <f>[1]Results!AR1494</f>
        <v>23283.54782</v>
      </c>
      <c r="AP208" s="3">
        <f>[1]Results!AS1494</f>
        <v>23298.197400000001</v>
      </c>
      <c r="AQ208" s="3">
        <f>[1]Results!AT1494</f>
        <v>23311.72536</v>
      </c>
      <c r="AR208" s="3">
        <f>[1]Results!AU1494</f>
        <v>23324.628079999999</v>
      </c>
      <c r="AS208" s="3">
        <f>[1]Results!AV1494</f>
        <v>23337.23763</v>
      </c>
      <c r="AT208" s="3">
        <f>[1]Results!AW1494</f>
        <v>23349.74785</v>
      </c>
      <c r="AU208" s="3">
        <f>[1]Results!AX1494</f>
        <v>23362.246309999999</v>
      </c>
      <c r="AV208" s="3">
        <f>[1]Results!AY1494</f>
        <v>23374.747210000001</v>
      </c>
      <c r="AW208" s="3">
        <f>[1]Results!AZ1494</f>
        <v>23387.652689999999</v>
      </c>
      <c r="AX208" s="3">
        <f>[1]Results!BA1494</f>
        <v>23400.814409999999</v>
      </c>
      <c r="AY208" s="3">
        <f>[1]Results!BB1494</f>
        <v>23414.079140000002</v>
      </c>
      <c r="AZ208" s="3">
        <f>[1]Results!BC1494</f>
        <v>23427.31422</v>
      </c>
      <c r="BA208" s="3">
        <f>[1]Results!BD1494</f>
        <v>23440.412929999999</v>
      </c>
      <c r="BB208" s="3">
        <f>[1]Results!BE1494</f>
        <v>24069.530859999999</v>
      </c>
      <c r="BC208" s="3">
        <f>[1]Results!BF1494</f>
        <v>24095.26267</v>
      </c>
      <c r="BD208" s="3">
        <f>[1]Results!BG1494</f>
        <v>24120.821110000001</v>
      </c>
      <c r="BE208" s="3">
        <f>[1]Results!BH1494</f>
        <v>24146.22565</v>
      </c>
      <c r="BF208" s="3">
        <f>[1]Results!BI1494</f>
        <v>24171.505140000001</v>
      </c>
    </row>
    <row r="209" spans="1:58" x14ac:dyDescent="0.35">
      <c r="B209" t="s">
        <v>29</v>
      </c>
      <c r="C209" s="3">
        <f>C214-C210</f>
        <v>10.5874424355</v>
      </c>
      <c r="D209" s="3">
        <f t="shared" ref="D209:AL209" si="95">D214-D210</f>
        <v>10.566333572100001</v>
      </c>
      <c r="E209" s="3">
        <f t="shared" si="95"/>
        <v>10.524419403400001</v>
      </c>
      <c r="F209" s="3">
        <f t="shared" si="95"/>
        <v>10.478472948</v>
      </c>
      <c r="G209" s="3">
        <f t="shared" si="95"/>
        <v>10.439057140599999</v>
      </c>
      <c r="H209" s="3">
        <f t="shared" si="95"/>
        <v>10.410507227299998</v>
      </c>
      <c r="I209" s="3">
        <f t="shared" si="95"/>
        <v>10.389640393099999</v>
      </c>
      <c r="J209" s="3">
        <f t="shared" si="95"/>
        <v>10.375514541200001</v>
      </c>
      <c r="K209" s="3">
        <f t="shared" si="95"/>
        <v>10.366686012300001</v>
      </c>
      <c r="L209" s="3">
        <f t="shared" si="95"/>
        <v>10.361554994399999</v>
      </c>
      <c r="M209" s="3">
        <f t="shared" si="95"/>
        <v>10.364463498999999</v>
      </c>
      <c r="N209" s="3">
        <f t="shared" si="95"/>
        <v>10.367250140800001</v>
      </c>
      <c r="O209" s="3">
        <f t="shared" si="95"/>
        <v>10.3687933583</v>
      </c>
      <c r="P209" s="3">
        <f t="shared" si="95"/>
        <v>10.368845249100001</v>
      </c>
      <c r="Q209" s="3">
        <f t="shared" si="95"/>
        <v>10.367392557799999</v>
      </c>
      <c r="R209" s="3">
        <f t="shared" si="95"/>
        <v>10.364509393300001</v>
      </c>
      <c r="S209" s="3">
        <f t="shared" si="95"/>
        <v>10.3603225549</v>
      </c>
      <c r="T209" s="3">
        <f t="shared" si="95"/>
        <v>10.354997996900002</v>
      </c>
      <c r="U209" s="3">
        <f t="shared" si="95"/>
        <v>10.348728495500001</v>
      </c>
      <c r="V209" s="3">
        <f t="shared" si="95"/>
        <v>10.3417206597</v>
      </c>
      <c r="W209" s="3">
        <f t="shared" si="95"/>
        <v>10.3304311248</v>
      </c>
      <c r="X209" s="3">
        <f t="shared" si="95"/>
        <v>10.3196136404</v>
      </c>
      <c r="Y209" s="3">
        <f t="shared" si="95"/>
        <v>10.3096029504</v>
      </c>
      <c r="Z209" s="3">
        <f t="shared" si="95"/>
        <v>10.3003439057</v>
      </c>
      <c r="AA209" s="3">
        <f t="shared" si="95"/>
        <v>10.291756476699998</v>
      </c>
      <c r="AB209" s="3">
        <f t="shared" si="95"/>
        <v>10.273685067199999</v>
      </c>
      <c r="AC209" s="3">
        <f t="shared" si="95"/>
        <v>10.253666131999999</v>
      </c>
      <c r="AD209" s="3">
        <f t="shared" si="95"/>
        <v>10.233090807899998</v>
      </c>
      <c r="AE209" s="3">
        <f t="shared" si="95"/>
        <v>10.212556576200001</v>
      </c>
      <c r="AF209" s="3">
        <f t="shared" si="95"/>
        <v>10.192385782999999</v>
      </c>
      <c r="AG209" s="3">
        <f t="shared" si="95"/>
        <v>10.172774433399999</v>
      </c>
      <c r="AH209" s="3">
        <f t="shared" si="95"/>
        <v>10.153839769499999</v>
      </c>
      <c r="AI209" s="3">
        <f t="shared" si="95"/>
        <v>10.135639387100001</v>
      </c>
      <c r="AJ209" s="3">
        <f t="shared" si="95"/>
        <v>10.118183296800002</v>
      </c>
      <c r="AK209" s="3">
        <f t="shared" si="95"/>
        <v>10.1014447629</v>
      </c>
      <c r="AL209" s="3">
        <f t="shared" si="95"/>
        <v>10.085370803299998</v>
      </c>
      <c r="AM209" s="3">
        <f t="shared" ref="AM209:BC209" si="96">AM214-AM210</f>
        <v>10.067789357199999</v>
      </c>
      <c r="AN209" s="3">
        <f t="shared" si="96"/>
        <v>10.049095684399997</v>
      </c>
      <c r="AO209" s="3">
        <f t="shared" si="96"/>
        <v>10.0297500595</v>
      </c>
      <c r="AP209" s="3">
        <f t="shared" si="96"/>
        <v>10.010089005800001</v>
      </c>
      <c r="AQ209" s="3">
        <f t="shared" si="96"/>
        <v>9.9903337255999993</v>
      </c>
      <c r="AR209" s="3">
        <f t="shared" si="96"/>
        <v>9.9706252828000004</v>
      </c>
      <c r="AS209" s="3">
        <f t="shared" si="96"/>
        <v>9.9510525570000006</v>
      </c>
      <c r="AT209" s="3">
        <f t="shared" si="96"/>
        <v>9.9316700284999992</v>
      </c>
      <c r="AU209" s="3">
        <f t="shared" si="96"/>
        <v>9.9125086666999991</v>
      </c>
      <c r="AV209" s="3">
        <f t="shared" si="96"/>
        <v>9.8935829624</v>
      </c>
      <c r="AW209" s="3">
        <f t="shared" si="96"/>
        <v>9.8750621997999986</v>
      </c>
      <c r="AX209" s="3">
        <f t="shared" si="96"/>
        <v>9.8569035259000017</v>
      </c>
      <c r="AY209" s="3">
        <f t="shared" si="96"/>
        <v>9.8390556053999987</v>
      </c>
      <c r="AZ209" s="3">
        <f t="shared" si="96"/>
        <v>9.8214759238999996</v>
      </c>
      <c r="BA209" s="3">
        <f t="shared" si="96"/>
        <v>9.8041320801999987</v>
      </c>
      <c r="BB209" s="3">
        <f t="shared" si="96"/>
        <v>10.1385891352</v>
      </c>
      <c r="BC209" s="3">
        <f t="shared" si="96"/>
        <v>10.1267563557</v>
      </c>
      <c r="BD209" s="3">
        <f t="shared" ref="BD209:BF209" si="97">BD214-BD210</f>
        <v>10.115161729</v>
      </c>
      <c r="BE209" s="3">
        <f t="shared" si="97"/>
        <v>10.1038212526</v>
      </c>
      <c r="BF209" s="3">
        <f t="shared" si="97"/>
        <v>10.092751701099999</v>
      </c>
    </row>
    <row r="210" spans="1:58" x14ac:dyDescent="0.35">
      <c r="B210" t="s">
        <v>36</v>
      </c>
      <c r="C210" s="3">
        <f>C212+C213</f>
        <v>7.4063095145000002</v>
      </c>
      <c r="D210" s="3">
        <f t="shared" ref="D210:AL210" si="98">D212+D213</f>
        <v>7.3829918078999999</v>
      </c>
      <c r="E210" s="3">
        <f t="shared" si="98"/>
        <v>7.3403685565999996</v>
      </c>
      <c r="F210" s="3">
        <f t="shared" si="98"/>
        <v>7.294505472</v>
      </c>
      <c r="G210" s="3">
        <f t="shared" si="98"/>
        <v>7.2553711193999995</v>
      </c>
      <c r="H210" s="3">
        <f t="shared" si="98"/>
        <v>7.2268856327000002</v>
      </c>
      <c r="I210" s="3">
        <f t="shared" si="98"/>
        <v>7.2070408069000003</v>
      </c>
      <c r="J210" s="3">
        <f t="shared" si="98"/>
        <v>7.1946256587999997</v>
      </c>
      <c r="K210" s="3">
        <f t="shared" si="98"/>
        <v>7.1879419077</v>
      </c>
      <c r="L210" s="3">
        <f t="shared" si="98"/>
        <v>7.1852813855999997</v>
      </c>
      <c r="M210" s="3">
        <f t="shared" si="98"/>
        <v>7.1887430909999992</v>
      </c>
      <c r="N210" s="3">
        <f t="shared" si="98"/>
        <v>7.1929112491999998</v>
      </c>
      <c r="O210" s="3">
        <f t="shared" si="98"/>
        <v>7.1968707017</v>
      </c>
      <c r="P210" s="3">
        <f t="shared" si="98"/>
        <v>7.2002236009000002</v>
      </c>
      <c r="Q210" s="3">
        <f t="shared" si="98"/>
        <v>7.2027654922000002</v>
      </c>
      <c r="R210" s="3">
        <f t="shared" si="98"/>
        <v>7.2043948166999998</v>
      </c>
      <c r="S210" s="3">
        <f t="shared" si="98"/>
        <v>7.2050816951000005</v>
      </c>
      <c r="T210" s="3">
        <f t="shared" si="98"/>
        <v>7.2048502930999998</v>
      </c>
      <c r="U210" s="3">
        <f t="shared" si="98"/>
        <v>7.2037644844999997</v>
      </c>
      <c r="V210" s="3">
        <f t="shared" si="98"/>
        <v>7.2019151803000003</v>
      </c>
      <c r="W210" s="3">
        <f t="shared" si="98"/>
        <v>7.1970882351999999</v>
      </c>
      <c r="X210" s="3">
        <f t="shared" si="98"/>
        <v>7.1922058196000007</v>
      </c>
      <c r="Y210" s="3">
        <f t="shared" si="98"/>
        <v>7.1874299096000005</v>
      </c>
      <c r="Z210" s="3">
        <f t="shared" si="98"/>
        <v>7.1827559643000001</v>
      </c>
      <c r="AA210" s="3">
        <f t="shared" si="98"/>
        <v>7.1781761033000002</v>
      </c>
      <c r="AB210" s="3">
        <f t="shared" si="98"/>
        <v>7.1674291528000005</v>
      </c>
      <c r="AC210" s="3">
        <f t="shared" si="98"/>
        <v>7.1552052279999998</v>
      </c>
      <c r="AD210" s="3">
        <f t="shared" si="98"/>
        <v>7.1422613221000004</v>
      </c>
      <c r="AE210" s="3">
        <f t="shared" si="98"/>
        <v>7.1289764837999998</v>
      </c>
      <c r="AF210" s="3">
        <f t="shared" si="98"/>
        <v>7.1155929569999996</v>
      </c>
      <c r="AG210" s="3">
        <f t="shared" si="98"/>
        <v>7.1022851766000006</v>
      </c>
      <c r="AH210" s="3">
        <f t="shared" si="98"/>
        <v>7.0891797704999995</v>
      </c>
      <c r="AI210" s="3">
        <f t="shared" si="98"/>
        <v>7.0763632028999996</v>
      </c>
      <c r="AJ210" s="3">
        <f t="shared" si="98"/>
        <v>7.0638875431999999</v>
      </c>
      <c r="AK210" s="3">
        <f t="shared" si="98"/>
        <v>7.0517766871000003</v>
      </c>
      <c r="AL210" s="3">
        <f t="shared" si="98"/>
        <v>7.0400328866999997</v>
      </c>
      <c r="AM210" s="3">
        <f t="shared" ref="AM210:BC210" si="99">AM212+AM213</f>
        <v>7.0273319528</v>
      </c>
      <c r="AN210" s="3">
        <f t="shared" si="99"/>
        <v>7.0139426556000002</v>
      </c>
      <c r="AO210" s="3">
        <f t="shared" si="99"/>
        <v>7.0001420505</v>
      </c>
      <c r="AP210" s="3">
        <f t="shared" si="99"/>
        <v>6.9861348641999994</v>
      </c>
      <c r="AQ210" s="3">
        <f t="shared" si="99"/>
        <v>6.9720620044000006</v>
      </c>
      <c r="AR210" s="3">
        <f t="shared" si="99"/>
        <v>6.9580199372000004</v>
      </c>
      <c r="AS210" s="3">
        <f t="shared" si="99"/>
        <v>6.9440752429999995</v>
      </c>
      <c r="AT210" s="3">
        <f t="shared" si="99"/>
        <v>6.9302737314999998</v>
      </c>
      <c r="AU210" s="3">
        <f t="shared" si="99"/>
        <v>6.9166461233000005</v>
      </c>
      <c r="AV210" s="3">
        <f t="shared" si="99"/>
        <v>6.9032119476</v>
      </c>
      <c r="AW210" s="3">
        <f t="shared" si="99"/>
        <v>6.8900865702000003</v>
      </c>
      <c r="AX210" s="3">
        <f t="shared" si="99"/>
        <v>6.8772516940999999</v>
      </c>
      <c r="AY210" s="3">
        <f t="shared" si="99"/>
        <v>6.8646849946000001</v>
      </c>
      <c r="AZ210" s="3">
        <f t="shared" si="99"/>
        <v>6.8523681461000008</v>
      </c>
      <c r="BA210" s="3">
        <f t="shared" si="99"/>
        <v>6.8402875097999996</v>
      </c>
      <c r="BB210" s="3">
        <f t="shared" si="99"/>
        <v>6.9228504148000001</v>
      </c>
      <c r="BC210" s="3">
        <f t="shared" si="99"/>
        <v>6.9103832043000004</v>
      </c>
      <c r="BD210" s="3">
        <f t="shared" ref="BD210:BF210" si="100">BD212+BD213</f>
        <v>6.8980857909999997</v>
      </c>
      <c r="BE210" s="3">
        <f t="shared" si="100"/>
        <v>6.8859729474</v>
      </c>
      <c r="BF210" s="3">
        <f t="shared" si="100"/>
        <v>6.8740612289000005</v>
      </c>
    </row>
    <row r="211" spans="1:58" x14ac:dyDescent="0.35">
      <c r="B211" t="s">
        <v>33</v>
      </c>
      <c r="C211" s="3">
        <f>[1]Results!F1502</f>
        <v>86.949796230000004</v>
      </c>
      <c r="D211" s="3">
        <f>[1]Results!G1502</f>
        <v>86.759592549999994</v>
      </c>
      <c r="E211" s="3">
        <f>[1]Results!H1502</f>
        <v>86.364399559999995</v>
      </c>
      <c r="F211" s="3">
        <f>[1]Results!I1502</f>
        <v>85.88305269</v>
      </c>
      <c r="G211" s="3">
        <f>[1]Results!J1502</f>
        <v>85.400635449999996</v>
      </c>
      <c r="H211" s="3">
        <f>[1]Results!K1502</f>
        <v>84.96015285</v>
      </c>
      <c r="I211" s="3">
        <f>[1]Results!L1502</f>
        <v>84.547974850000003</v>
      </c>
      <c r="J211" s="3">
        <f>[1]Results!M1502</f>
        <v>84.160296889999998</v>
      </c>
      <c r="K211" s="3">
        <f>[1]Results!N1502</f>
        <v>83.790788050000003</v>
      </c>
      <c r="L211" s="3">
        <f>[1]Results!O1502</f>
        <v>83.431096460000006</v>
      </c>
      <c r="M211" s="3">
        <f>[1]Results!P1502</f>
        <v>83.115001500000005</v>
      </c>
      <c r="N211" s="3">
        <f>[1]Results!Q1502</f>
        <v>82.790649610000003</v>
      </c>
      <c r="O211" s="3">
        <f>[1]Results!R1502</f>
        <v>82.445136930000004</v>
      </c>
      <c r="P211" s="3">
        <f>[1]Results!S1502</f>
        <v>82.076945080000002</v>
      </c>
      <c r="Q211" s="3">
        <f>[1]Results!T1502</f>
        <v>81.688228539999997</v>
      </c>
      <c r="R211" s="3">
        <f>[1]Results!U1502</f>
        <v>81.282354510000005</v>
      </c>
      <c r="S211" s="3">
        <f>[1]Results!V1502</f>
        <v>80.863174259999994</v>
      </c>
      <c r="T211" s="3">
        <f>[1]Results!W1502</f>
        <v>80.434756410000006</v>
      </c>
      <c r="U211" s="3">
        <f>[1]Results!X1502</f>
        <v>80.001201589999994</v>
      </c>
      <c r="V211" s="3">
        <f>[1]Results!Y1502</f>
        <v>79.566460379999995</v>
      </c>
      <c r="W211" s="3">
        <f>[1]Results!Z1502</f>
        <v>79.107793819999998</v>
      </c>
      <c r="X211" s="3">
        <f>[1]Results!AA1502</f>
        <v>78.656878160000005</v>
      </c>
      <c r="Y211" s="3">
        <f>[1]Results!AB1502</f>
        <v>78.221465510000002</v>
      </c>
      <c r="Z211" s="3">
        <f>[1]Results!AC1502</f>
        <v>77.803074229999993</v>
      </c>
      <c r="AA211" s="3">
        <f>[1]Results!AD1502</f>
        <v>77.401581230000005</v>
      </c>
      <c r="AB211" s="3">
        <f>[1]Results!AE1502</f>
        <v>76.9466508</v>
      </c>
      <c r="AC211" s="3">
        <f>[1]Results!AF1502</f>
        <v>76.480585020000007</v>
      </c>
      <c r="AD211" s="3">
        <f>[1]Results!AG1502</f>
        <v>76.018787180000004</v>
      </c>
      <c r="AE211" s="3">
        <f>[1]Results!AH1502</f>
        <v>75.567892549999996</v>
      </c>
      <c r="AF211" s="3">
        <f>[1]Results!AI1502</f>
        <v>75.130904389999998</v>
      </c>
      <c r="AG211" s="3">
        <f>[1]Results!AJ1502</f>
        <v>74.709179980000002</v>
      </c>
      <c r="AH211" s="3">
        <f>[1]Results!AK1502</f>
        <v>74.303158240000002</v>
      </c>
      <c r="AI211" s="3">
        <f>[1]Results!AL1502</f>
        <v>73.912632099999996</v>
      </c>
      <c r="AJ211" s="3">
        <f>[1]Results!AM1502</f>
        <v>73.536882559999995</v>
      </c>
      <c r="AK211" s="3">
        <f>[1]Results!AN1502</f>
        <v>73.174789820000001</v>
      </c>
      <c r="AL211" s="3">
        <f>[1]Results!AO1502</f>
        <v>72.824951560000002</v>
      </c>
      <c r="AM211" s="3">
        <f>[1]Results!AP1502</f>
        <v>72.471722360000001</v>
      </c>
      <c r="AN211" s="3">
        <f>[1]Results!AQ1502</f>
        <v>72.114731140000004</v>
      </c>
      <c r="AO211" s="3">
        <f>[1]Results!AR1502</f>
        <v>71.756296550000002</v>
      </c>
      <c r="AP211" s="3">
        <f>[1]Results!AS1502</f>
        <v>71.398547309999998</v>
      </c>
      <c r="AQ211" s="3">
        <f>[1]Results!AT1502</f>
        <v>71.042930769999998</v>
      </c>
      <c r="AR211" s="3">
        <f>[1]Results!AU1502</f>
        <v>70.690335869999998</v>
      </c>
      <c r="AS211" s="3">
        <f>[1]Results!AV1502</f>
        <v>70.341281269999996</v>
      </c>
      <c r="AT211" s="3">
        <f>[1]Results!AW1502</f>
        <v>69.996043830000005</v>
      </c>
      <c r="AU211" s="3">
        <f>[1]Results!AX1502</f>
        <v>69.654727940000001</v>
      </c>
      <c r="AV211" s="3">
        <f>[1]Results!AY1502</f>
        <v>69.317302229999996</v>
      </c>
      <c r="AW211" s="3">
        <f>[1]Results!AZ1502</f>
        <v>68.984710640000003</v>
      </c>
      <c r="AX211" s="3">
        <f>[1]Results!BA1502</f>
        <v>68.656624280000003</v>
      </c>
      <c r="AY211" s="3">
        <f>[1]Results!BB1502</f>
        <v>68.332455060000001</v>
      </c>
      <c r="AZ211" s="3">
        <f>[1]Results!BC1502</f>
        <v>68.011606650000004</v>
      </c>
      <c r="BA211" s="3">
        <f>[1]Results!BD1502</f>
        <v>67.693538669999995</v>
      </c>
      <c r="BB211" s="3">
        <f>[1]Results!BE1502</f>
        <v>71.369933189999998</v>
      </c>
      <c r="BC211" s="3">
        <f>[1]Results!BF1502</f>
        <v>71.162944929999995</v>
      </c>
      <c r="BD211" s="3">
        <f>[1]Results!BG1502</f>
        <v>70.960819119999996</v>
      </c>
      <c r="BE211" s="3">
        <f>[1]Results!BH1502</f>
        <v>70.76353349</v>
      </c>
      <c r="BF211" s="3">
        <f>[1]Results!BI1502</f>
        <v>70.57103103</v>
      </c>
    </row>
    <row r="212" spans="1:58" x14ac:dyDescent="0.35">
      <c r="B212" t="s">
        <v>35</v>
      </c>
      <c r="C212" s="3">
        <f>[1]Results!F1499</f>
        <v>6.6862304540000004</v>
      </c>
      <c r="D212" s="3">
        <f>[1]Results!G1499</f>
        <v>6.6635022169999996</v>
      </c>
      <c r="E212" s="3">
        <f>[1]Results!H1499</f>
        <v>6.6224086289999997</v>
      </c>
      <c r="F212" s="3">
        <f>[1]Results!I1499</f>
        <v>6.5783342139999998</v>
      </c>
      <c r="G212" s="3">
        <f>[1]Results!J1499</f>
        <v>6.5407867489999996</v>
      </c>
      <c r="H212" s="3">
        <f>[1]Results!K1499</f>
        <v>6.513467822</v>
      </c>
      <c r="I212" s="3">
        <f>[1]Results!L1499</f>
        <v>6.4945982500000001</v>
      </c>
      <c r="J212" s="3">
        <f>[1]Results!M1499</f>
        <v>6.4829859399999998</v>
      </c>
      <c r="K212" s="3">
        <f>[1]Results!N1499</f>
        <v>6.4769621170000002</v>
      </c>
      <c r="L212" s="3">
        <f>[1]Results!O1499</f>
        <v>6.4748689170000002</v>
      </c>
      <c r="M212" s="3">
        <f>[1]Results!P1499</f>
        <v>6.4784150809999996</v>
      </c>
      <c r="N212" s="3">
        <f>[1]Results!Q1499</f>
        <v>6.4827512379999996</v>
      </c>
      <c r="O212" s="3">
        <f>[1]Results!R1499</f>
        <v>6.4870560240000001</v>
      </c>
      <c r="P212" s="3">
        <f>[1]Results!S1499</f>
        <v>6.490936477</v>
      </c>
      <c r="Q212" s="3">
        <f>[1]Results!T1499</f>
        <v>6.4941709330000004</v>
      </c>
      <c r="R212" s="3">
        <f>[1]Results!U1499</f>
        <v>6.4966354260000001</v>
      </c>
      <c r="S212" s="3">
        <f>[1]Results!V1499</f>
        <v>6.4982761660000001</v>
      </c>
      <c r="T212" s="3">
        <f>[1]Results!W1499</f>
        <v>6.4990926739999999</v>
      </c>
      <c r="U212" s="3">
        <f>[1]Results!X1499</f>
        <v>6.4991239839999997</v>
      </c>
      <c r="V212" s="3">
        <f>[1]Results!Y1499</f>
        <v>6.4984367460000003</v>
      </c>
      <c r="W212" s="3">
        <f>[1]Results!Z1499</f>
        <v>6.495080432</v>
      </c>
      <c r="X212" s="3">
        <f>[1]Results!AA1499</f>
        <v>6.4916239640000004</v>
      </c>
      <c r="Y212" s="3">
        <f>[1]Results!AB1499</f>
        <v>6.488179337</v>
      </c>
      <c r="Z212" s="3">
        <f>[1]Results!AC1499</f>
        <v>6.4847411350000002</v>
      </c>
      <c r="AA212" s="3">
        <f>[1]Results!AD1499</f>
        <v>6.4813087060000001</v>
      </c>
      <c r="AB212" s="3">
        <f>[1]Results!AE1499</f>
        <v>6.4723940930000001</v>
      </c>
      <c r="AC212" s="3">
        <f>[1]Results!AF1499</f>
        <v>6.4621578150000003</v>
      </c>
      <c r="AD212" s="3">
        <f>[1]Results!AG1499</f>
        <v>6.4512179290000002</v>
      </c>
      <c r="AE212" s="3">
        <f>[1]Results!AH1499</f>
        <v>6.4398967310000002</v>
      </c>
      <c r="AF212" s="3">
        <f>[1]Results!AI1499</f>
        <v>6.4284102399999998</v>
      </c>
      <c r="AG212" s="3">
        <f>[1]Results!AJ1499</f>
        <v>6.4169201070000002</v>
      </c>
      <c r="AH212" s="3">
        <f>[1]Results!AK1499</f>
        <v>6.4055474099999996</v>
      </c>
      <c r="AI212" s="3">
        <f>[1]Results!AL1499</f>
        <v>6.3943778489999996</v>
      </c>
      <c r="AJ212" s="3">
        <f>[1]Results!AM1499</f>
        <v>6.3834663279999999</v>
      </c>
      <c r="AK212" s="3">
        <f>[1]Results!AN1499</f>
        <v>6.3728423330000004</v>
      </c>
      <c r="AL212" s="3">
        <f>[1]Results!AO1499</f>
        <v>6.3625156709999997</v>
      </c>
      <c r="AM212" s="3">
        <f>[1]Results!AP1499</f>
        <v>6.3513283999999999</v>
      </c>
      <c r="AN212" s="3">
        <f>[1]Results!AQ1499</f>
        <v>6.339531021</v>
      </c>
      <c r="AO212" s="3">
        <f>[1]Results!AR1499</f>
        <v>6.3273663210000004</v>
      </c>
      <c r="AP212" s="3">
        <f>[1]Results!AS1499</f>
        <v>6.3150123259999997</v>
      </c>
      <c r="AQ212" s="3">
        <f>[1]Results!AT1499</f>
        <v>6.3025926290000003</v>
      </c>
      <c r="AR212" s="3">
        <f>[1]Results!AU1499</f>
        <v>6.2901932980000002</v>
      </c>
      <c r="AS212" s="3">
        <f>[1]Results!AV1499</f>
        <v>6.2778749639999996</v>
      </c>
      <c r="AT212" s="3">
        <f>[1]Results!AW1499</f>
        <v>6.2656802589999998</v>
      </c>
      <c r="AU212" s="3">
        <f>[1]Results!AX1499</f>
        <v>6.2536385020000003</v>
      </c>
      <c r="AV212" s="3">
        <f>[1]Results!AY1499</f>
        <v>6.2417690209999996</v>
      </c>
      <c r="AW212" s="3">
        <f>[1]Results!AZ1499</f>
        <v>6.2301754960000002</v>
      </c>
      <c r="AX212" s="3">
        <f>[1]Results!BA1499</f>
        <v>6.2188430759999997</v>
      </c>
      <c r="AY212" s="3">
        <f>[1]Results!BB1499</f>
        <v>6.2077543789999998</v>
      </c>
      <c r="AZ212" s="3">
        <f>[1]Results!BC1499</f>
        <v>6.1968955040000004</v>
      </c>
      <c r="BA212" s="3">
        <f>[1]Results!BD1499</f>
        <v>6.1862564139999998</v>
      </c>
      <c r="BB212" s="3">
        <f>[1]Results!BE1499</f>
        <v>6.2314564189999997</v>
      </c>
      <c r="BC212" s="3">
        <f>[1]Results!BF1499</f>
        <v>6.21968941</v>
      </c>
      <c r="BD212" s="3">
        <f>[1]Results!BG1499</f>
        <v>6.2080740509999996</v>
      </c>
      <c r="BE212" s="3">
        <f>[1]Results!BH1499</f>
        <v>6.1966238159999998</v>
      </c>
      <c r="BF212" s="3">
        <f>[1]Results!BI1499</f>
        <v>6.1853541830000003</v>
      </c>
    </row>
    <row r="213" spans="1:58" x14ac:dyDescent="0.35">
      <c r="B213" t="s">
        <v>34</v>
      </c>
      <c r="C213" s="3">
        <f>[1]Results!F1501</f>
        <v>0.72007906050000003</v>
      </c>
      <c r="D213" s="3">
        <f>[1]Results!G1501</f>
        <v>0.71948959089999998</v>
      </c>
      <c r="E213" s="3">
        <f>[1]Results!H1501</f>
        <v>0.71795992760000005</v>
      </c>
      <c r="F213" s="3">
        <f>[1]Results!I1501</f>
        <v>0.71617125800000003</v>
      </c>
      <c r="G213" s="3">
        <f>[1]Results!J1501</f>
        <v>0.7145843704</v>
      </c>
      <c r="H213" s="3">
        <f>[1]Results!K1501</f>
        <v>0.71341781069999999</v>
      </c>
      <c r="I213" s="3">
        <f>[1]Results!L1501</f>
        <v>0.71244255690000002</v>
      </c>
      <c r="J213" s="3">
        <f>[1]Results!M1501</f>
        <v>0.71163971879999999</v>
      </c>
      <c r="K213" s="3">
        <f>[1]Results!N1501</f>
        <v>0.71097979069999995</v>
      </c>
      <c r="L213" s="3">
        <f>[1]Results!O1501</f>
        <v>0.71041246859999996</v>
      </c>
      <c r="M213" s="3">
        <f>[1]Results!P1501</f>
        <v>0.71032801000000001</v>
      </c>
      <c r="N213" s="3">
        <f>[1]Results!Q1501</f>
        <v>0.71016001120000005</v>
      </c>
      <c r="O213" s="3">
        <f>[1]Results!R1501</f>
        <v>0.70981467769999995</v>
      </c>
      <c r="P213" s="3">
        <f>[1]Results!S1501</f>
        <v>0.70928712390000004</v>
      </c>
      <c r="Q213" s="3">
        <f>[1]Results!T1501</f>
        <v>0.70859455920000003</v>
      </c>
      <c r="R213" s="3">
        <f>[1]Results!U1501</f>
        <v>0.70775939070000005</v>
      </c>
      <c r="S213" s="3">
        <f>[1]Results!V1501</f>
        <v>0.70680552910000005</v>
      </c>
      <c r="T213" s="3">
        <f>[1]Results!W1501</f>
        <v>0.70575761910000001</v>
      </c>
      <c r="U213" s="3">
        <f>[1]Results!X1501</f>
        <v>0.70464050050000004</v>
      </c>
      <c r="V213" s="3">
        <f>[1]Results!Y1501</f>
        <v>0.70347843430000001</v>
      </c>
      <c r="W213" s="3">
        <f>[1]Results!Z1501</f>
        <v>0.7020078032</v>
      </c>
      <c r="X213" s="3">
        <f>[1]Results!AA1501</f>
        <v>0.70058185559999997</v>
      </c>
      <c r="Y213" s="3">
        <f>[1]Results!AB1501</f>
        <v>0.69925057260000001</v>
      </c>
      <c r="Z213" s="3">
        <f>[1]Results!AC1501</f>
        <v>0.69801482930000003</v>
      </c>
      <c r="AA213" s="3">
        <f>[1]Results!AD1501</f>
        <v>0.69686739730000002</v>
      </c>
      <c r="AB213" s="3">
        <f>[1]Results!AE1501</f>
        <v>0.69503505980000002</v>
      </c>
      <c r="AC213" s="3">
        <f>[1]Results!AF1501</f>
        <v>0.69304741299999995</v>
      </c>
      <c r="AD213" s="3">
        <f>[1]Results!AG1501</f>
        <v>0.69104339309999996</v>
      </c>
      <c r="AE213" s="3">
        <f>[1]Results!AH1501</f>
        <v>0.6890797528</v>
      </c>
      <c r="AF213" s="3">
        <f>[1]Results!AI1501</f>
        <v>0.687182717</v>
      </c>
      <c r="AG213" s="3">
        <f>[1]Results!AJ1501</f>
        <v>0.68536506959999999</v>
      </c>
      <c r="AH213" s="3">
        <f>[1]Results!AK1501</f>
        <v>0.68363236049999998</v>
      </c>
      <c r="AI213" s="3">
        <f>[1]Results!AL1501</f>
        <v>0.68198535390000004</v>
      </c>
      <c r="AJ213" s="3">
        <f>[1]Results!AM1501</f>
        <v>0.68042121519999998</v>
      </c>
      <c r="AK213" s="3">
        <f>[1]Results!AN1501</f>
        <v>0.67893435410000003</v>
      </c>
      <c r="AL213" s="3">
        <f>[1]Results!AO1501</f>
        <v>0.67751721570000001</v>
      </c>
      <c r="AM213" s="3">
        <f>[1]Results!AP1501</f>
        <v>0.67600355280000002</v>
      </c>
      <c r="AN213" s="3">
        <f>[1]Results!AQ1501</f>
        <v>0.67441163459999998</v>
      </c>
      <c r="AO213" s="3">
        <f>[1]Results!AR1501</f>
        <v>0.67277572949999997</v>
      </c>
      <c r="AP213" s="3">
        <f>[1]Results!AS1501</f>
        <v>0.67112253820000001</v>
      </c>
      <c r="AQ213" s="3">
        <f>[1]Results!AT1501</f>
        <v>0.66946937539999996</v>
      </c>
      <c r="AR213" s="3">
        <f>[1]Results!AU1501</f>
        <v>0.66782663919999996</v>
      </c>
      <c r="AS213" s="3">
        <f>[1]Results!AV1501</f>
        <v>0.66620027900000001</v>
      </c>
      <c r="AT213" s="3">
        <f>[1]Results!AW1501</f>
        <v>0.6645934725</v>
      </c>
      <c r="AU213" s="3">
        <f>[1]Results!AX1501</f>
        <v>0.66300762130000002</v>
      </c>
      <c r="AV213" s="3">
        <f>[1]Results!AY1501</f>
        <v>0.66144292660000004</v>
      </c>
      <c r="AW213" s="3">
        <f>[1]Results!AZ1501</f>
        <v>0.65991107419999995</v>
      </c>
      <c r="AX213" s="3">
        <f>[1]Results!BA1501</f>
        <v>0.65840861809999995</v>
      </c>
      <c r="AY213" s="3">
        <f>[1]Results!BB1501</f>
        <v>0.65693061559999999</v>
      </c>
      <c r="AZ213" s="3">
        <f>[1]Results!BC1501</f>
        <v>0.6554726421</v>
      </c>
      <c r="BA213" s="3">
        <f>[1]Results!BD1501</f>
        <v>0.65403109579999996</v>
      </c>
      <c r="BB213" s="3">
        <f>[1]Results!BE1501</f>
        <v>0.69139399580000005</v>
      </c>
      <c r="BC213" s="3">
        <f>[1]Results!BF1501</f>
        <v>0.6906937943</v>
      </c>
      <c r="BD213" s="3">
        <f>[1]Results!BG1501</f>
        <v>0.69001173999999998</v>
      </c>
      <c r="BE213" s="3">
        <f>[1]Results!BH1501</f>
        <v>0.68934913139999998</v>
      </c>
      <c r="BF213" s="3">
        <f>[1]Results!BI1501</f>
        <v>0.68870704589999998</v>
      </c>
    </row>
    <row r="214" spans="1:58" x14ac:dyDescent="0.35">
      <c r="B214" t="s">
        <v>37</v>
      </c>
      <c r="C214" s="3">
        <f>[1]Results!F1497</f>
        <v>17.99375195</v>
      </c>
      <c r="D214" s="3">
        <f>[1]Results!G1497</f>
        <v>17.949325380000001</v>
      </c>
      <c r="E214" s="3">
        <f>[1]Results!H1497</f>
        <v>17.864787960000001</v>
      </c>
      <c r="F214" s="3">
        <f>[1]Results!I1497</f>
        <v>17.772978420000001</v>
      </c>
      <c r="G214" s="3">
        <f>[1]Results!J1497</f>
        <v>17.694428259999999</v>
      </c>
      <c r="H214" s="3">
        <f>[1]Results!K1497</f>
        <v>17.637392859999999</v>
      </c>
      <c r="I214" s="3">
        <f>[1]Results!L1497</f>
        <v>17.596681199999999</v>
      </c>
      <c r="J214" s="3">
        <f>[1]Results!M1497</f>
        <v>17.570140200000001</v>
      </c>
      <c r="K214" s="3">
        <f>[1]Results!N1497</f>
        <v>17.554627920000001</v>
      </c>
      <c r="L214" s="3">
        <f>[1]Results!O1497</f>
        <v>17.546836379999998</v>
      </c>
      <c r="M214" s="3">
        <f>[1]Results!P1497</f>
        <v>17.553206589999998</v>
      </c>
      <c r="N214" s="3">
        <f>[1]Results!Q1497</f>
        <v>17.560161390000001</v>
      </c>
      <c r="O214" s="3">
        <f>[1]Results!R1497</f>
        <v>17.56566406</v>
      </c>
      <c r="P214" s="3">
        <f>[1]Results!S1497</f>
        <v>17.569068850000001</v>
      </c>
      <c r="Q214" s="3">
        <f>[1]Results!T1497</f>
        <v>17.57015805</v>
      </c>
      <c r="R214" s="3">
        <f>[1]Results!U1497</f>
        <v>17.568904209999999</v>
      </c>
      <c r="S214" s="3">
        <f>[1]Results!V1497</f>
        <v>17.56540425</v>
      </c>
      <c r="T214" s="3">
        <f>[1]Results!W1497</f>
        <v>17.559848290000001</v>
      </c>
      <c r="U214" s="3">
        <f>[1]Results!X1497</f>
        <v>17.55249298</v>
      </c>
      <c r="V214" s="3">
        <f>[1]Results!Y1497</f>
        <v>17.54363584</v>
      </c>
      <c r="W214" s="3">
        <f>[1]Results!Z1497</f>
        <v>17.527519359999999</v>
      </c>
      <c r="X214" s="3">
        <f>[1]Results!AA1497</f>
        <v>17.511819460000002</v>
      </c>
      <c r="Y214" s="3">
        <f>[1]Results!AB1497</f>
        <v>17.497032860000001</v>
      </c>
      <c r="Z214" s="3">
        <f>[1]Results!AC1497</f>
        <v>17.48309987</v>
      </c>
      <c r="AA214" s="3">
        <f>[1]Results!AD1497</f>
        <v>17.469932579999998</v>
      </c>
      <c r="AB214" s="3">
        <f>[1]Results!AE1497</f>
        <v>17.441114219999999</v>
      </c>
      <c r="AC214" s="3">
        <f>[1]Results!AF1497</f>
        <v>17.408871359999999</v>
      </c>
      <c r="AD214" s="3">
        <f>[1]Results!AG1497</f>
        <v>17.37535213</v>
      </c>
      <c r="AE214" s="3">
        <f>[1]Results!AH1497</f>
        <v>17.34153306</v>
      </c>
      <c r="AF214" s="3">
        <f>[1]Results!AI1497</f>
        <v>17.307978739999999</v>
      </c>
      <c r="AG214" s="3">
        <f>[1]Results!AJ1497</f>
        <v>17.27505961</v>
      </c>
      <c r="AH214" s="3">
        <f>[1]Results!AK1497</f>
        <v>17.243019539999999</v>
      </c>
      <c r="AI214" s="3">
        <f>[1]Results!AL1497</f>
        <v>17.212002590000001</v>
      </c>
      <c r="AJ214" s="3">
        <f>[1]Results!AM1497</f>
        <v>17.182070840000002</v>
      </c>
      <c r="AK214" s="3">
        <f>[1]Results!AN1497</f>
        <v>17.15322145</v>
      </c>
      <c r="AL214" s="3">
        <f>[1]Results!AO1497</f>
        <v>17.125403689999999</v>
      </c>
      <c r="AM214" s="3">
        <f>[1]Results!AP1497</f>
        <v>17.09512131</v>
      </c>
      <c r="AN214" s="3">
        <f>[1]Results!AQ1497</f>
        <v>17.063038339999999</v>
      </c>
      <c r="AO214" s="3">
        <f>[1]Results!AR1497</f>
        <v>17.029892109999999</v>
      </c>
      <c r="AP214" s="3">
        <f>[1]Results!AS1497</f>
        <v>16.996223870000001</v>
      </c>
      <c r="AQ214" s="3">
        <f>[1]Results!AT1497</f>
        <v>16.962395730000001</v>
      </c>
      <c r="AR214" s="3">
        <f>[1]Results!AU1497</f>
        <v>16.92864522</v>
      </c>
      <c r="AS214" s="3">
        <f>[1]Results!AV1497</f>
        <v>16.895127800000001</v>
      </c>
      <c r="AT214" s="3">
        <f>[1]Results!AW1497</f>
        <v>16.861943759999999</v>
      </c>
      <c r="AU214" s="3">
        <f>[1]Results!AX1497</f>
        <v>16.82915479</v>
      </c>
      <c r="AV214" s="3">
        <f>[1]Results!AY1497</f>
        <v>16.796794909999999</v>
      </c>
      <c r="AW214" s="3">
        <f>[1]Results!AZ1497</f>
        <v>16.76514877</v>
      </c>
      <c r="AX214" s="3">
        <f>[1]Results!BA1497</f>
        <v>16.734155220000002</v>
      </c>
      <c r="AY214" s="3">
        <f>[1]Results!BB1497</f>
        <v>16.7037406</v>
      </c>
      <c r="AZ214" s="3">
        <f>[1]Results!BC1497</f>
        <v>16.673844070000001</v>
      </c>
      <c r="BA214" s="3">
        <f>[1]Results!BD1497</f>
        <v>16.644419589999998</v>
      </c>
      <c r="BB214" s="3">
        <f>[1]Results!BE1497</f>
        <v>17.061439549999999</v>
      </c>
      <c r="BC214" s="3">
        <f>[1]Results!BF1497</f>
        <v>17.03713956</v>
      </c>
      <c r="BD214" s="3">
        <f>[1]Results!BG1497</f>
        <v>17.01324752</v>
      </c>
      <c r="BE214" s="3">
        <f>[1]Results!BH1497</f>
        <v>16.989794199999999</v>
      </c>
      <c r="BF214" s="3">
        <f>[1]Results!BI1497</f>
        <v>16.96681293</v>
      </c>
    </row>
    <row r="216" spans="1:58" x14ac:dyDescent="0.35">
      <c r="A216" s="12" t="s">
        <v>86</v>
      </c>
      <c r="B216" t="s">
        <v>27</v>
      </c>
      <c r="C216" s="5">
        <f t="shared" ref="C216:AL216" si="101">C192-C204</f>
        <v>-219.95120999999926</v>
      </c>
      <c r="D216" s="5">
        <f t="shared" si="101"/>
        <v>-401.2443600000006</v>
      </c>
      <c r="E216" s="5">
        <f t="shared" si="101"/>
        <v>-531.47850000000108</v>
      </c>
      <c r="F216" s="5">
        <f t="shared" si="101"/>
        <v>-619.89361999999892</v>
      </c>
      <c r="G216" s="5">
        <f t="shared" si="101"/>
        <v>-678.95014000000083</v>
      </c>
      <c r="H216" s="5">
        <f t="shared" si="101"/>
        <v>-719.60368999999992</v>
      </c>
      <c r="I216" s="5">
        <f t="shared" si="101"/>
        <v>-749.9322800000009</v>
      </c>
      <c r="J216" s="5">
        <f t="shared" si="101"/>
        <v>-775.06336999999985</v>
      </c>
      <c r="K216" s="5">
        <f t="shared" si="101"/>
        <v>-797.67540000000008</v>
      </c>
      <c r="L216" s="5">
        <f t="shared" si="101"/>
        <v>-818.78476000000228</v>
      </c>
      <c r="M216" s="5">
        <f t="shared" si="101"/>
        <v>-838.91761000000042</v>
      </c>
      <c r="N216" s="5">
        <f t="shared" si="101"/>
        <v>-858.1234000000004</v>
      </c>
      <c r="O216" s="5">
        <f t="shared" si="101"/>
        <v>-876.12178000000131</v>
      </c>
      <c r="P216" s="5">
        <f t="shared" si="101"/>
        <v>-892.8256999999976</v>
      </c>
      <c r="Q216" s="5">
        <f t="shared" si="101"/>
        <v>-908.46608999999808</v>
      </c>
      <c r="R216" s="5">
        <f t="shared" si="101"/>
        <v>-923.53979000000254</v>
      </c>
      <c r="S216" s="5">
        <f t="shared" si="101"/>
        <v>-939.24033000000054</v>
      </c>
      <c r="T216" s="5">
        <f t="shared" si="101"/>
        <v>-956.16758000000118</v>
      </c>
      <c r="U216" s="5">
        <f t="shared" si="101"/>
        <v>-974.72127000000182</v>
      </c>
      <c r="V216" s="5">
        <f t="shared" si="101"/>
        <v>-995.11714999999822</v>
      </c>
      <c r="W216" s="5">
        <f t="shared" si="101"/>
        <v>-1017.0608500000017</v>
      </c>
      <c r="X216" s="5">
        <f t="shared" si="101"/>
        <v>-1040.7567899999995</v>
      </c>
      <c r="Y216" s="5">
        <f t="shared" si="101"/>
        <v>-1065.9658000000018</v>
      </c>
      <c r="Z216" s="5">
        <f t="shared" si="101"/>
        <v>-1092.3515299999999</v>
      </c>
      <c r="AA216" s="5">
        <f t="shared" si="101"/>
        <v>-1119.5333199999986</v>
      </c>
      <c r="AB216" s="5">
        <f t="shared" si="101"/>
        <v>-1146.0775099999992</v>
      </c>
      <c r="AC216" s="5">
        <f t="shared" si="101"/>
        <v>-1172.0800899999995</v>
      </c>
      <c r="AD216" s="5">
        <f t="shared" si="101"/>
        <v>-1197.2465899999988</v>
      </c>
      <c r="AE216" s="5">
        <f t="shared" si="101"/>
        <v>-1221.3748599999999</v>
      </c>
      <c r="AF216" s="5">
        <f t="shared" si="101"/>
        <v>-1244.341040000003</v>
      </c>
      <c r="AG216" s="5">
        <f t="shared" si="101"/>
        <v>-1266.0742599999976</v>
      </c>
      <c r="AH216" s="5">
        <f t="shared" si="101"/>
        <v>-1286.4901900000004</v>
      </c>
      <c r="AI216" s="5">
        <f t="shared" si="101"/>
        <v>-1305.5440699999999</v>
      </c>
      <c r="AJ216" s="5">
        <f t="shared" si="101"/>
        <v>-1323.2399000000005</v>
      </c>
      <c r="AK216" s="5">
        <f t="shared" si="101"/>
        <v>-1339.6060499999985</v>
      </c>
      <c r="AL216" s="5">
        <f t="shared" si="101"/>
        <v>-1354.6850099999974</v>
      </c>
      <c r="AM216" s="5">
        <f t="shared" ref="AM216:BC216" si="102">AM192-AM204</f>
        <v>-1368.0275299999994</v>
      </c>
      <c r="AN216" s="5">
        <f t="shared" si="102"/>
        <v>-1379.3671800000011</v>
      </c>
      <c r="AO216" s="5">
        <f t="shared" si="102"/>
        <v>-1388.7910199999969</v>
      </c>
      <c r="AP216" s="5">
        <f t="shared" si="102"/>
        <v>-1396.5265099999997</v>
      </c>
      <c r="AQ216" s="5">
        <f t="shared" si="102"/>
        <v>-1402.8482000000004</v>
      </c>
      <c r="AR216" s="5">
        <f t="shared" si="102"/>
        <v>-1408.0153600000012</v>
      </c>
      <c r="AS216" s="5">
        <f t="shared" si="102"/>
        <v>-1412.2008800000003</v>
      </c>
      <c r="AT216" s="5">
        <f t="shared" si="102"/>
        <v>-1415.5943299999999</v>
      </c>
      <c r="AU216" s="5">
        <f t="shared" si="102"/>
        <v>-1418.3684199999989</v>
      </c>
      <c r="AV216" s="5">
        <f t="shared" si="102"/>
        <v>-1420.667809999999</v>
      </c>
      <c r="AW216" s="5">
        <f t="shared" si="102"/>
        <v>-1422.6674300000013</v>
      </c>
      <c r="AX216" s="5">
        <f t="shared" si="102"/>
        <v>-1424.1882500000029</v>
      </c>
      <c r="AY216" s="5">
        <f t="shared" si="102"/>
        <v>-1554.7719800000013</v>
      </c>
      <c r="AZ216" s="5">
        <f t="shared" si="102"/>
        <v>-1760.4265899999991</v>
      </c>
      <c r="BA216" s="5">
        <f t="shared" si="102"/>
        <v>-1991.1730500000012</v>
      </c>
      <c r="BB216" s="5">
        <f t="shared" si="102"/>
        <v>43.635760000001028</v>
      </c>
      <c r="BC216" s="5">
        <f t="shared" si="102"/>
        <v>45.909630000001926</v>
      </c>
      <c r="BD216" s="5">
        <f t="shared" ref="BD216:BF216" si="103">BD192-BD204</f>
        <v>48.272320000000036</v>
      </c>
      <c r="BE216" s="5">
        <f t="shared" si="103"/>
        <v>50.7316000000028</v>
      </c>
      <c r="BF216" s="5">
        <f t="shared" si="103"/>
        <v>53.282609999998385</v>
      </c>
    </row>
    <row r="217" spans="1:58" x14ac:dyDescent="0.35">
      <c r="A217" t="s">
        <v>87</v>
      </c>
      <c r="B217" t="s">
        <v>7</v>
      </c>
      <c r="C217" s="5">
        <f t="shared" ref="C217:AL217" si="104">C193-C205</f>
        <v>-3.587823999999955</v>
      </c>
      <c r="D217" s="5">
        <f t="shared" si="104"/>
        <v>-4.2120691999999735</v>
      </c>
      <c r="E217" s="5">
        <f t="shared" si="104"/>
        <v>-1.6729143999999678</v>
      </c>
      <c r="F217" s="5">
        <f t="shared" si="104"/>
        <v>2.8985186000001022</v>
      </c>
      <c r="G217" s="5">
        <f t="shared" si="104"/>
        <v>8.1996199999999817</v>
      </c>
      <c r="H217" s="5">
        <f t="shared" si="104"/>
        <v>13.167117800000028</v>
      </c>
      <c r="I217" s="5">
        <f t="shared" si="104"/>
        <v>17.106077199999959</v>
      </c>
      <c r="J217" s="5">
        <f t="shared" si="104"/>
        <v>19.682743699999946</v>
      </c>
      <c r="K217" s="5">
        <f t="shared" si="104"/>
        <v>20.880741100000023</v>
      </c>
      <c r="L217" s="5">
        <f t="shared" si="104"/>
        <v>20.904661499999975</v>
      </c>
      <c r="M217" s="5">
        <f t="shared" si="104"/>
        <v>20.093817000000058</v>
      </c>
      <c r="N217" s="5">
        <f t="shared" si="104"/>
        <v>18.826307400000019</v>
      </c>
      <c r="O217" s="5">
        <f t="shared" si="104"/>
        <v>17.402562100000068</v>
      </c>
      <c r="P217" s="5">
        <f t="shared" si="104"/>
        <v>16.074702699999989</v>
      </c>
      <c r="Q217" s="5">
        <f t="shared" si="104"/>
        <v>15.020138599999996</v>
      </c>
      <c r="R217" s="5">
        <f t="shared" si="104"/>
        <v>14.337409900000011</v>
      </c>
      <c r="S217" s="5">
        <f t="shared" si="104"/>
        <v>14.096798999999919</v>
      </c>
      <c r="T217" s="5">
        <f t="shared" si="104"/>
        <v>14.246482499999956</v>
      </c>
      <c r="U217" s="5">
        <f t="shared" si="104"/>
        <v>14.714101099999993</v>
      </c>
      <c r="V217" s="5">
        <f t="shared" si="104"/>
        <v>15.417451599999936</v>
      </c>
      <c r="W217" s="5">
        <f t="shared" si="104"/>
        <v>16.267494899999974</v>
      </c>
      <c r="X217" s="5">
        <f t="shared" si="104"/>
        <v>17.190454000000045</v>
      </c>
      <c r="Y217" s="5">
        <f t="shared" si="104"/>
        <v>18.128948499999979</v>
      </c>
      <c r="Z217" s="5">
        <f t="shared" si="104"/>
        <v>19.035363899999993</v>
      </c>
      <c r="AA217" s="5">
        <f t="shared" si="104"/>
        <v>19.874615100000028</v>
      </c>
      <c r="AB217" s="5">
        <f t="shared" si="104"/>
        <v>20.602377799999999</v>
      </c>
      <c r="AC217" s="5">
        <f t="shared" si="104"/>
        <v>21.18827269999997</v>
      </c>
      <c r="AD217" s="5">
        <f t="shared" si="104"/>
        <v>21.661741099999972</v>
      </c>
      <c r="AE217" s="5">
        <f t="shared" si="104"/>
        <v>22.047625799999992</v>
      </c>
      <c r="AF217" s="5">
        <f t="shared" si="104"/>
        <v>22.367376100000001</v>
      </c>
      <c r="AG217" s="5">
        <f t="shared" si="104"/>
        <v>22.64014259999999</v>
      </c>
      <c r="AH217" s="5">
        <f t="shared" si="104"/>
        <v>22.871878899999956</v>
      </c>
      <c r="AI217" s="5">
        <f t="shared" si="104"/>
        <v>23.086214799999993</v>
      </c>
      <c r="AJ217" s="5">
        <f t="shared" si="104"/>
        <v>23.301116699999966</v>
      </c>
      <c r="AK217" s="5">
        <f t="shared" si="104"/>
        <v>23.529851000000008</v>
      </c>
      <c r="AL217" s="5">
        <f t="shared" si="104"/>
        <v>23.781647199999952</v>
      </c>
      <c r="AM217" s="5">
        <f t="shared" ref="AM217:BC217" si="105">AM193-AM205</f>
        <v>23.953732399999922</v>
      </c>
      <c r="AN217" s="5">
        <f t="shared" si="105"/>
        <v>24.117429799999968</v>
      </c>
      <c r="AO217" s="5">
        <f t="shared" si="105"/>
        <v>24.311578499999996</v>
      </c>
      <c r="AP217" s="5">
        <f t="shared" si="105"/>
        <v>24.551476999999977</v>
      </c>
      <c r="AQ217" s="5">
        <f t="shared" si="105"/>
        <v>24.837177499999939</v>
      </c>
      <c r="AR217" s="5">
        <f t="shared" si="105"/>
        <v>25.143671300000051</v>
      </c>
      <c r="AS217" s="5">
        <f t="shared" si="105"/>
        <v>25.470229599999925</v>
      </c>
      <c r="AT217" s="5">
        <f t="shared" si="105"/>
        <v>25.810405500000002</v>
      </c>
      <c r="AU217" s="5">
        <f t="shared" si="105"/>
        <v>26.155743400000006</v>
      </c>
      <c r="AV217" s="5">
        <f t="shared" si="105"/>
        <v>26.498123899999996</v>
      </c>
      <c r="AW217" s="5">
        <f t="shared" si="105"/>
        <v>26.775956199999939</v>
      </c>
      <c r="AX217" s="5">
        <f t="shared" si="105"/>
        <v>27.022904099999948</v>
      </c>
      <c r="AY217" s="5">
        <f t="shared" si="105"/>
        <v>42.950360399999965</v>
      </c>
      <c r="AZ217" s="5">
        <f t="shared" si="105"/>
        <v>60.358135200000049</v>
      </c>
      <c r="BA217" s="5">
        <f t="shared" si="105"/>
        <v>72.190823700000067</v>
      </c>
      <c r="BB217" s="5">
        <f t="shared" si="105"/>
        <v>-0.16417460000002393</v>
      </c>
      <c r="BC217" s="5">
        <f t="shared" si="105"/>
        <v>-0.16895409999995081</v>
      </c>
      <c r="BD217" s="5">
        <f t="shared" ref="BD217:BF217" si="106">BD193-BD205</f>
        <v>-0.17318269999998392</v>
      </c>
      <c r="BE217" s="5">
        <f t="shared" si="106"/>
        <v>-0.17673520000005283</v>
      </c>
      <c r="BF217" s="5">
        <f t="shared" si="106"/>
        <v>-0.17985069999997449</v>
      </c>
    </row>
    <row r="218" spans="1:58" x14ac:dyDescent="0.35">
      <c r="B218" t="s">
        <v>30</v>
      </c>
      <c r="C218" s="5">
        <f t="shared" ref="C218:AL218" si="107">C194-C206</f>
        <v>-51.76579700000002</v>
      </c>
      <c r="D218" s="5">
        <f t="shared" si="107"/>
        <v>-88.712113999999929</v>
      </c>
      <c r="E218" s="5">
        <f t="shared" si="107"/>
        <v>-111.87962799999968</v>
      </c>
      <c r="F218" s="5">
        <f t="shared" si="107"/>
        <v>-124.923315</v>
      </c>
      <c r="G218" s="5">
        <f t="shared" si="107"/>
        <v>-131.55118099999981</v>
      </c>
      <c r="H218" s="5">
        <f t="shared" si="107"/>
        <v>-134.85012900000038</v>
      </c>
      <c r="I218" s="5">
        <f t="shared" si="107"/>
        <v>-137.08288100000027</v>
      </c>
      <c r="J218" s="5">
        <f t="shared" si="107"/>
        <v>-139.69713500000034</v>
      </c>
      <c r="K218" s="5">
        <f t="shared" si="107"/>
        <v>-143.44278699999995</v>
      </c>
      <c r="L218" s="5">
        <f t="shared" si="107"/>
        <v>-148.56039800000053</v>
      </c>
      <c r="M218" s="5">
        <f t="shared" si="107"/>
        <v>-155.05723599999965</v>
      </c>
      <c r="N218" s="5">
        <f t="shared" si="107"/>
        <v>-162.76612300000033</v>
      </c>
      <c r="O218" s="5">
        <f t="shared" si="107"/>
        <v>-171.36854900000071</v>
      </c>
      <c r="P218" s="5">
        <f t="shared" si="107"/>
        <v>-180.56597099999999</v>
      </c>
      <c r="Q218" s="5">
        <f t="shared" si="107"/>
        <v>-190.12644199999977</v>
      </c>
      <c r="R218" s="5">
        <f t="shared" si="107"/>
        <v>-199.89247599999999</v>
      </c>
      <c r="S218" s="5">
        <f t="shared" si="107"/>
        <v>-209.90938100000039</v>
      </c>
      <c r="T218" s="5">
        <f t="shared" si="107"/>
        <v>-220.09623399999964</v>
      </c>
      <c r="U218" s="5">
        <f t="shared" si="107"/>
        <v>-230.38817800000015</v>
      </c>
      <c r="V218" s="5">
        <f t="shared" si="107"/>
        <v>-240.73049699999956</v>
      </c>
      <c r="W218" s="5">
        <f t="shared" si="107"/>
        <v>-250.98445600000014</v>
      </c>
      <c r="X218" s="5">
        <f t="shared" si="107"/>
        <v>-261.18288099999972</v>
      </c>
      <c r="Y218" s="5">
        <f t="shared" si="107"/>
        <v>-271.26496800000041</v>
      </c>
      <c r="Z218" s="5">
        <f t="shared" si="107"/>
        <v>-281.16667700000016</v>
      </c>
      <c r="AA218" s="5">
        <f t="shared" si="107"/>
        <v>-290.82484000000022</v>
      </c>
      <c r="AB218" s="5">
        <f t="shared" si="107"/>
        <v>-299.90130700000009</v>
      </c>
      <c r="AC218" s="5">
        <f t="shared" si="107"/>
        <v>-308.48159899999973</v>
      </c>
      <c r="AD218" s="5">
        <f t="shared" si="107"/>
        <v>-316.53860499999973</v>
      </c>
      <c r="AE218" s="5">
        <f t="shared" si="107"/>
        <v>-324.05851500000063</v>
      </c>
      <c r="AF218" s="5">
        <f t="shared" si="107"/>
        <v>-331.03894200000013</v>
      </c>
      <c r="AG218" s="5">
        <f t="shared" si="107"/>
        <v>-337.48594499999945</v>
      </c>
      <c r="AH218" s="5">
        <f t="shared" si="107"/>
        <v>-343.3958160000002</v>
      </c>
      <c r="AI218" s="5">
        <f t="shared" si="107"/>
        <v>-348.78040500000043</v>
      </c>
      <c r="AJ218" s="5">
        <f t="shared" si="107"/>
        <v>-353.65711100000044</v>
      </c>
      <c r="AK218" s="5">
        <f t="shared" si="107"/>
        <v>-358.04544299999998</v>
      </c>
      <c r="AL218" s="5">
        <f t="shared" si="107"/>
        <v>-361.96591499999977</v>
      </c>
      <c r="AM218" s="5">
        <f t="shared" ref="AM218:BC218" si="108">AM194-AM206</f>
        <v>-365.27229999999963</v>
      </c>
      <c r="AN218" s="5">
        <f t="shared" si="108"/>
        <v>-367.95686399999977</v>
      </c>
      <c r="AO218" s="5">
        <f t="shared" si="108"/>
        <v>-370.0564889999996</v>
      </c>
      <c r="AP218" s="5">
        <f t="shared" si="108"/>
        <v>-371.62476400000014</v>
      </c>
      <c r="AQ218" s="5">
        <f t="shared" si="108"/>
        <v>-372.72146799999973</v>
      </c>
      <c r="AR218" s="5">
        <f t="shared" si="108"/>
        <v>-373.39644700000008</v>
      </c>
      <c r="AS218" s="5">
        <f t="shared" si="108"/>
        <v>-373.69567800000004</v>
      </c>
      <c r="AT218" s="5">
        <f t="shared" si="108"/>
        <v>-373.66663599999993</v>
      </c>
      <c r="AU218" s="5">
        <f t="shared" si="108"/>
        <v>-373.35313700000006</v>
      </c>
      <c r="AV218" s="5">
        <f t="shared" si="108"/>
        <v>-372.79374199999984</v>
      </c>
      <c r="AW218" s="5">
        <f t="shared" si="108"/>
        <v>-372.01071700000011</v>
      </c>
      <c r="AX218" s="5">
        <f t="shared" si="108"/>
        <v>-370.99141499999951</v>
      </c>
      <c r="AY218" s="5">
        <f t="shared" si="108"/>
        <v>-387.42031099999986</v>
      </c>
      <c r="AZ218" s="5">
        <f t="shared" si="108"/>
        <v>-414.43681999999944</v>
      </c>
      <c r="BA218" s="5">
        <f t="shared" si="108"/>
        <v>-441.56367399999999</v>
      </c>
      <c r="BB218" s="5">
        <f t="shared" si="108"/>
        <v>8.6910689999995157</v>
      </c>
      <c r="BC218" s="5">
        <f t="shared" si="108"/>
        <v>9.6807890000000043</v>
      </c>
      <c r="BD218" s="5">
        <f t="shared" ref="BD218:BF218" si="109">BD194-BD206</f>
        <v>10.731380999999601</v>
      </c>
      <c r="BE218" s="5">
        <f t="shared" si="109"/>
        <v>11.842853999999534</v>
      </c>
      <c r="BF218" s="5">
        <f t="shared" si="109"/>
        <v>13.012241999999787</v>
      </c>
    </row>
    <row r="219" spans="1:58" x14ac:dyDescent="0.35">
      <c r="B219" t="s">
        <v>28</v>
      </c>
      <c r="C219" s="5">
        <f t="shared" ref="C219:AL219" si="110">C195-C207</f>
        <v>-9.8583485999999994</v>
      </c>
      <c r="D219" s="5">
        <f t="shared" si="110"/>
        <v>-16.815196300000025</v>
      </c>
      <c r="E219" s="5">
        <f t="shared" si="110"/>
        <v>-21.322632100000078</v>
      </c>
      <c r="F219" s="5">
        <f t="shared" si="110"/>
        <v>-24.108860800000002</v>
      </c>
      <c r="G219" s="5">
        <f t="shared" si="110"/>
        <v>-25.761767499999905</v>
      </c>
      <c r="H219" s="5">
        <f t="shared" si="110"/>
        <v>-26.708303000000001</v>
      </c>
      <c r="I219" s="5">
        <f t="shared" si="110"/>
        <v>-27.243646100000092</v>
      </c>
      <c r="J219" s="5">
        <f t="shared" si="110"/>
        <v>-27.560038500000019</v>
      </c>
      <c r="K219" s="5">
        <f t="shared" si="110"/>
        <v>-27.774084700000003</v>
      </c>
      <c r="L219" s="5">
        <f t="shared" si="110"/>
        <v>-27.951770699999997</v>
      </c>
      <c r="M219" s="5">
        <f t="shared" si="110"/>
        <v>-28.146328599999947</v>
      </c>
      <c r="N219" s="5">
        <f t="shared" si="110"/>
        <v>-28.393169499999999</v>
      </c>
      <c r="O219" s="5">
        <f t="shared" si="110"/>
        <v>-28.695830600000022</v>
      </c>
      <c r="P219" s="5">
        <f t="shared" si="110"/>
        <v>-29.058382199999983</v>
      </c>
      <c r="Q219" s="5">
        <f t="shared" si="110"/>
        <v>-29.48849800000005</v>
      </c>
      <c r="R219" s="5">
        <f t="shared" si="110"/>
        <v>-29.99601430000007</v>
      </c>
      <c r="S219" s="5">
        <f t="shared" si="110"/>
        <v>-30.621639200000004</v>
      </c>
      <c r="T219" s="5">
        <f t="shared" si="110"/>
        <v>-31.361695700000041</v>
      </c>
      <c r="U219" s="5">
        <f t="shared" si="110"/>
        <v>-32.208559199999968</v>
      </c>
      <c r="V219" s="5">
        <f t="shared" si="110"/>
        <v>-33.151665999999977</v>
      </c>
      <c r="W219" s="5">
        <f t="shared" si="110"/>
        <v>-34.162902400000007</v>
      </c>
      <c r="X219" s="5">
        <f t="shared" si="110"/>
        <v>-35.24375340000006</v>
      </c>
      <c r="Y219" s="5">
        <f t="shared" si="110"/>
        <v>-36.37668999999994</v>
      </c>
      <c r="Z219" s="5">
        <f t="shared" si="110"/>
        <v>-37.544082200000048</v>
      </c>
      <c r="AA219" s="5">
        <f t="shared" si="110"/>
        <v>-38.729399400000034</v>
      </c>
      <c r="AB219" s="5">
        <f t="shared" si="110"/>
        <v>-39.869956900000034</v>
      </c>
      <c r="AC219" s="5">
        <f t="shared" si="110"/>
        <v>-40.979576800000018</v>
      </c>
      <c r="AD219" s="5">
        <f t="shared" si="110"/>
        <v>-42.053575499999965</v>
      </c>
      <c r="AE219" s="5">
        <f t="shared" si="110"/>
        <v>-43.088961700000027</v>
      </c>
      <c r="AF219" s="5">
        <f t="shared" si="110"/>
        <v>-44.084381199999939</v>
      </c>
      <c r="AG219" s="5">
        <f t="shared" si="110"/>
        <v>-45.039758699999993</v>
      </c>
      <c r="AH219" s="5">
        <f t="shared" si="110"/>
        <v>-45.951662700000043</v>
      </c>
      <c r="AI219" s="5">
        <f t="shared" si="110"/>
        <v>-46.822159699999929</v>
      </c>
      <c r="AJ219" s="5">
        <f t="shared" si="110"/>
        <v>-47.653954699999986</v>
      </c>
      <c r="AK219" s="5">
        <f t="shared" si="110"/>
        <v>-48.449815199999989</v>
      </c>
      <c r="AL219" s="5">
        <f t="shared" si="110"/>
        <v>-49.212449100000072</v>
      </c>
      <c r="AM219" s="5">
        <f t="shared" ref="AM219:BC219" si="111">AM195-AM207</f>
        <v>-49.901089500000012</v>
      </c>
      <c r="AN219" s="5">
        <f t="shared" si="111"/>
        <v>-50.5248603</v>
      </c>
      <c r="AO219" s="5">
        <f t="shared" si="111"/>
        <v>-51.096279399999958</v>
      </c>
      <c r="AP219" s="5">
        <f t="shared" si="111"/>
        <v>-51.626877700000023</v>
      </c>
      <c r="AQ219" s="5">
        <f t="shared" si="111"/>
        <v>-52.126564499999972</v>
      </c>
      <c r="AR219" s="5">
        <f t="shared" si="111"/>
        <v>-52.599536899999976</v>
      </c>
      <c r="AS219" s="5">
        <f t="shared" si="111"/>
        <v>-53.052311700000018</v>
      </c>
      <c r="AT219" s="5">
        <f t="shared" si="111"/>
        <v>-53.49068479999994</v>
      </c>
      <c r="AU219" s="5">
        <f t="shared" si="111"/>
        <v>-53.919215300000019</v>
      </c>
      <c r="AV219" s="5">
        <f t="shared" si="111"/>
        <v>-54.341275699999983</v>
      </c>
      <c r="AW219" s="5">
        <f t="shared" si="111"/>
        <v>-54.749665299999947</v>
      </c>
      <c r="AX219" s="5">
        <f t="shared" si="111"/>
        <v>-55.144355499999961</v>
      </c>
      <c r="AY219" s="5">
        <f t="shared" si="111"/>
        <v>-59.857128399999965</v>
      </c>
      <c r="AZ219" s="5">
        <f t="shared" si="111"/>
        <v>-67.53930749999995</v>
      </c>
      <c r="BA219" s="5">
        <f t="shared" si="111"/>
        <v>-75.202709300000038</v>
      </c>
      <c r="BB219" s="5">
        <f t="shared" si="111"/>
        <v>-9.4779999999445863E-3</v>
      </c>
      <c r="BC219" s="5">
        <f t="shared" si="111"/>
        <v>-2.0267799999942326E-2</v>
      </c>
      <c r="BD219" s="5">
        <f t="shared" ref="BD219:BF219" si="112">BD195-BD207</f>
        <v>-3.0122600000026978E-2</v>
      </c>
      <c r="BE219" s="5">
        <f t="shared" si="112"/>
        <v>-3.8734399999952984E-2</v>
      </c>
      <c r="BF219" s="5">
        <f t="shared" si="112"/>
        <v>-4.615200000000641E-2</v>
      </c>
    </row>
    <row r="220" spans="1:58" x14ac:dyDescent="0.35">
      <c r="B220" t="s">
        <v>10</v>
      </c>
      <c r="C220" s="5">
        <f t="shared" ref="C220:AL220" si="113">C196-C208</f>
        <v>-154.30133000000205</v>
      </c>
      <c r="D220" s="5">
        <f t="shared" si="113"/>
        <v>-290.5639599999995</v>
      </c>
      <c r="E220" s="5">
        <f t="shared" si="113"/>
        <v>-395.25276999999915</v>
      </c>
      <c r="F220" s="5">
        <f t="shared" si="113"/>
        <v>-472.11900999999853</v>
      </c>
      <c r="G220" s="5">
        <f t="shared" si="113"/>
        <v>-528.03052000000025</v>
      </c>
      <c r="H220" s="5">
        <f t="shared" si="113"/>
        <v>-569.35939999999755</v>
      </c>
      <c r="I220" s="5">
        <f t="shared" si="113"/>
        <v>-600.91430000000037</v>
      </c>
      <c r="J220" s="5">
        <f t="shared" si="113"/>
        <v>-625.822659999998</v>
      </c>
      <c r="K220" s="5">
        <f t="shared" si="113"/>
        <v>-645.85243000000264</v>
      </c>
      <c r="L220" s="5">
        <f t="shared" si="113"/>
        <v>-661.89292000000205</v>
      </c>
      <c r="M220" s="5">
        <f t="shared" si="113"/>
        <v>-674.72774000000209</v>
      </c>
      <c r="N220" s="5">
        <f t="shared" si="113"/>
        <v>-684.90600000000268</v>
      </c>
      <c r="O220" s="5">
        <f t="shared" si="113"/>
        <v>-692.7489800000003</v>
      </c>
      <c r="P220" s="5">
        <f t="shared" si="113"/>
        <v>-698.70916999999827</v>
      </c>
      <c r="Q220" s="5">
        <f t="shared" si="113"/>
        <v>-703.41667999999845</v>
      </c>
      <c r="R220" s="5">
        <f t="shared" si="113"/>
        <v>-707.6151600000012</v>
      </c>
      <c r="S220" s="5">
        <f t="shared" si="113"/>
        <v>-712.48934999999983</v>
      </c>
      <c r="T220" s="5">
        <f t="shared" si="113"/>
        <v>-718.67189000000144</v>
      </c>
      <c r="U220" s="5">
        <f t="shared" si="113"/>
        <v>-726.56556999999884</v>
      </c>
      <c r="V220" s="5">
        <f t="shared" si="113"/>
        <v>-736.3734199999999</v>
      </c>
      <c r="W220" s="5">
        <f t="shared" si="113"/>
        <v>-747.88378000000012</v>
      </c>
      <c r="X220" s="5">
        <f t="shared" si="113"/>
        <v>-761.19610000000102</v>
      </c>
      <c r="Y220" s="5">
        <f t="shared" si="113"/>
        <v>-776.09643000000142</v>
      </c>
      <c r="Z220" s="5">
        <f t="shared" si="113"/>
        <v>-792.28582000000097</v>
      </c>
      <c r="AA220" s="5">
        <f t="shared" si="113"/>
        <v>-809.43072000000029</v>
      </c>
      <c r="AB220" s="5">
        <f t="shared" si="113"/>
        <v>-826.4573100000016</v>
      </c>
      <c r="AC220" s="5">
        <f t="shared" si="113"/>
        <v>-843.32834999999977</v>
      </c>
      <c r="AD220" s="5">
        <f t="shared" si="113"/>
        <v>-859.81427000000258</v>
      </c>
      <c r="AE220" s="5">
        <f t="shared" si="113"/>
        <v>-875.75633000000016</v>
      </c>
      <c r="AF220" s="5">
        <f t="shared" si="113"/>
        <v>-891.05650000000242</v>
      </c>
      <c r="AG220" s="5">
        <f t="shared" si="113"/>
        <v>-905.65708000000086</v>
      </c>
      <c r="AH220" s="5">
        <f t="shared" si="113"/>
        <v>-919.48517999999967</v>
      </c>
      <c r="AI220" s="5">
        <f t="shared" si="113"/>
        <v>-932.50631000000067</v>
      </c>
      <c r="AJ220" s="5">
        <f t="shared" si="113"/>
        <v>-944.72227999999814</v>
      </c>
      <c r="AK220" s="5">
        <f t="shared" si="113"/>
        <v>-956.15199999999822</v>
      </c>
      <c r="AL220" s="5">
        <f t="shared" si="113"/>
        <v>-966.82344999999987</v>
      </c>
      <c r="AM220" s="5">
        <f t="shared" ref="AM220:BC220" si="114">AM196-AM208</f>
        <v>-976.35870000000068</v>
      </c>
      <c r="AN220" s="5">
        <f t="shared" si="114"/>
        <v>-984.56940000000031</v>
      </c>
      <c r="AO220" s="5">
        <f t="shared" si="114"/>
        <v>-991.53545999999915</v>
      </c>
      <c r="AP220" s="5">
        <f t="shared" si="114"/>
        <v>-997.43539000000237</v>
      </c>
      <c r="AQ220" s="5">
        <f t="shared" si="114"/>
        <v>-1002.4736999999986</v>
      </c>
      <c r="AR220" s="5">
        <f t="shared" si="114"/>
        <v>-1006.8276699999988</v>
      </c>
      <c r="AS220" s="5">
        <f t="shared" si="114"/>
        <v>-1010.6174600000013</v>
      </c>
      <c r="AT220" s="5">
        <f t="shared" si="114"/>
        <v>-1013.9727199999979</v>
      </c>
      <c r="AU220" s="5">
        <f t="shared" si="114"/>
        <v>-1017.0087899999999</v>
      </c>
      <c r="AV220" s="5">
        <f t="shared" si="114"/>
        <v>-1019.8196800000005</v>
      </c>
      <c r="AW220" s="5">
        <f t="shared" si="114"/>
        <v>-1022.4957499999982</v>
      </c>
      <c r="AX220" s="5">
        <f t="shared" si="114"/>
        <v>-1024.9087899999977</v>
      </c>
      <c r="AY220" s="5">
        <f t="shared" si="114"/>
        <v>-1149.0092100000002</v>
      </c>
      <c r="AZ220" s="5">
        <f t="shared" si="114"/>
        <v>-1333.7464499999987</v>
      </c>
      <c r="BA220" s="5">
        <f t="shared" si="114"/>
        <v>-1540.0530899999976</v>
      </c>
      <c r="BB220" s="5">
        <f t="shared" si="114"/>
        <v>36.307130000001052</v>
      </c>
      <c r="BC220" s="5">
        <f t="shared" si="114"/>
        <v>37.62279000000126</v>
      </c>
      <c r="BD220" s="5">
        <f t="shared" ref="BD220:BF220" si="115">BD196-BD208</f>
        <v>38.963700000000244</v>
      </c>
      <c r="BE220" s="5">
        <f t="shared" si="115"/>
        <v>40.337459999998828</v>
      </c>
      <c r="BF220" s="5">
        <f t="shared" si="115"/>
        <v>41.742719999998371</v>
      </c>
    </row>
    <row r="221" spans="1:58" x14ac:dyDescent="0.35">
      <c r="B221" t="s">
        <v>31</v>
      </c>
      <c r="C221" s="5">
        <f>C197-C209</f>
        <v>-0.15721022009999963</v>
      </c>
      <c r="D221" s="5">
        <f t="shared" ref="D221:AL221" si="116">D197-D209</f>
        <v>-0.26592532610000141</v>
      </c>
      <c r="E221" s="5">
        <f t="shared" si="116"/>
        <v>-0.33775726520000227</v>
      </c>
      <c r="F221" s="5">
        <f t="shared" si="116"/>
        <v>-0.38690074770000038</v>
      </c>
      <c r="G221" s="5">
        <f t="shared" si="116"/>
        <v>-0.42198485579999812</v>
      </c>
      <c r="H221" s="5">
        <f t="shared" si="116"/>
        <v>-0.44779592829999615</v>
      </c>
      <c r="I221" s="5">
        <f t="shared" si="116"/>
        <v>-0.46706825129999707</v>
      </c>
      <c r="J221" s="5">
        <f t="shared" si="116"/>
        <v>-0.48171351110000238</v>
      </c>
      <c r="K221" s="5">
        <f t="shared" si="116"/>
        <v>-0.49316389200000188</v>
      </c>
      <c r="L221" s="5">
        <f t="shared" si="116"/>
        <v>-0.5025009442999977</v>
      </c>
      <c r="M221" s="5">
        <f t="shared" si="116"/>
        <v>-0.51089586569999845</v>
      </c>
      <c r="N221" s="5">
        <f t="shared" si="116"/>
        <v>-0.51895410280000043</v>
      </c>
      <c r="O221" s="5">
        <f t="shared" si="116"/>
        <v>-0.52698058470000042</v>
      </c>
      <c r="P221" s="5">
        <f t="shared" si="116"/>
        <v>-0.53519853850000132</v>
      </c>
      <c r="Q221" s="5">
        <f t="shared" si="116"/>
        <v>-0.54378114699999891</v>
      </c>
      <c r="R221" s="5">
        <f t="shared" si="116"/>
        <v>-0.55285651410000014</v>
      </c>
      <c r="S221" s="5">
        <f t="shared" si="116"/>
        <v>-0.56290578469999808</v>
      </c>
      <c r="T221" s="5">
        <f t="shared" si="116"/>
        <v>-0.57382269130000196</v>
      </c>
      <c r="U221" s="5">
        <f t="shared" si="116"/>
        <v>-0.58548501800000352</v>
      </c>
      <c r="V221" s="5">
        <f t="shared" si="116"/>
        <v>-0.59778004750000058</v>
      </c>
      <c r="W221" s="5">
        <f t="shared" si="116"/>
        <v>-0.61030831079999892</v>
      </c>
      <c r="X221" s="5">
        <f t="shared" si="116"/>
        <v>-0.62333232169999953</v>
      </c>
      <c r="Y221" s="5">
        <f t="shared" si="116"/>
        <v>-0.63670911090000182</v>
      </c>
      <c r="Z221" s="5">
        <f t="shared" si="116"/>
        <v>-0.65029344630000097</v>
      </c>
      <c r="AA221" s="5">
        <f t="shared" si="116"/>
        <v>-0.6639536791999987</v>
      </c>
      <c r="AB221" s="5">
        <f t="shared" si="116"/>
        <v>-0.67668742960000117</v>
      </c>
      <c r="AC221" s="5">
        <f t="shared" si="116"/>
        <v>-0.6890328586999992</v>
      </c>
      <c r="AD221" s="5">
        <f t="shared" si="116"/>
        <v>-0.70099979979999816</v>
      </c>
      <c r="AE221" s="5">
        <f t="shared" si="116"/>
        <v>-0.71256280969999963</v>
      </c>
      <c r="AF221" s="5">
        <f t="shared" si="116"/>
        <v>-0.72369083779999954</v>
      </c>
      <c r="AG221" s="5">
        <f t="shared" si="116"/>
        <v>-0.73435800999999934</v>
      </c>
      <c r="AH221" s="5">
        <f t="shared" si="116"/>
        <v>-0.74449735599999656</v>
      </c>
      <c r="AI221" s="5">
        <f t="shared" si="116"/>
        <v>-0.75411390200000206</v>
      </c>
      <c r="AJ221" s="5">
        <f t="shared" si="116"/>
        <v>-0.76321773480000132</v>
      </c>
      <c r="AK221" s="5">
        <f t="shared" si="116"/>
        <v>-0.77181811789999877</v>
      </c>
      <c r="AL221" s="5">
        <f t="shared" si="116"/>
        <v>-0.77992390059999828</v>
      </c>
      <c r="AM221" s="5">
        <f t="shared" ref="AM221:BC221" si="117">AM197-AM209</f>
        <v>-0.78698649569999901</v>
      </c>
      <c r="AN221" s="5">
        <f t="shared" si="117"/>
        <v>-0.79319171909999753</v>
      </c>
      <c r="AO221" s="5">
        <f t="shared" si="117"/>
        <v>-0.79870921790000082</v>
      </c>
      <c r="AP221" s="5">
        <f t="shared" si="117"/>
        <v>-0.8036534364000012</v>
      </c>
      <c r="AQ221" s="5">
        <f t="shared" si="117"/>
        <v>-0.80810208849999832</v>
      </c>
      <c r="AR221" s="5">
        <f t="shared" si="117"/>
        <v>-0.81207257590000026</v>
      </c>
      <c r="AS221" s="5">
        <f t="shared" si="117"/>
        <v>-0.81562270639999923</v>
      </c>
      <c r="AT221" s="5">
        <f t="shared" si="117"/>
        <v>-0.81880618069999933</v>
      </c>
      <c r="AU221" s="5">
        <f t="shared" si="117"/>
        <v>-0.82166764129999947</v>
      </c>
      <c r="AV221" s="5">
        <f t="shared" si="117"/>
        <v>-0.82424335239999991</v>
      </c>
      <c r="AW221" s="5">
        <f t="shared" si="117"/>
        <v>-0.82648157739999917</v>
      </c>
      <c r="AX221" s="5">
        <f t="shared" si="117"/>
        <v>-0.82841223520000185</v>
      </c>
      <c r="AY221" s="5">
        <f t="shared" si="117"/>
        <v>-1.3070362793999983</v>
      </c>
      <c r="AZ221" s="5">
        <f t="shared" si="117"/>
        <v>-2.5957287366000008</v>
      </c>
      <c r="BA221" s="5">
        <f t="shared" si="117"/>
        <v>-2.8554463305879985</v>
      </c>
      <c r="BB221" s="5">
        <f t="shared" si="117"/>
        <v>1.7359366700000933E-2</v>
      </c>
      <c r="BC221" s="5">
        <f t="shared" si="117"/>
        <v>1.8674377900001815E-2</v>
      </c>
      <c r="BD221" s="5">
        <f t="shared" ref="BD221:BF221" si="118">BD197-BD209</f>
        <v>2.0024306199999842E-2</v>
      </c>
      <c r="BE221" s="5">
        <f t="shared" si="118"/>
        <v>2.1408881100001054E-2</v>
      </c>
      <c r="BF221" s="5">
        <f t="shared" si="118"/>
        <v>2.2827946200001392E-2</v>
      </c>
    </row>
    <row r="222" spans="1:58" x14ac:dyDescent="0.35">
      <c r="B222" t="s">
        <v>36</v>
      </c>
      <c r="C222" s="5">
        <f>C198-C210</f>
        <v>-0.10048360990000038</v>
      </c>
      <c r="D222" s="5">
        <f t="shared" ref="D222:AL222" si="119">D198-D210</f>
        <v>-0.16950896389999937</v>
      </c>
      <c r="E222" s="5">
        <f t="shared" si="119"/>
        <v>-0.21611405479999934</v>
      </c>
      <c r="F222" s="5">
        <f t="shared" si="119"/>
        <v>-0.24930094229999966</v>
      </c>
      <c r="G222" s="5">
        <f t="shared" si="119"/>
        <v>-0.27443993419999924</v>
      </c>
      <c r="H222" s="5">
        <f t="shared" si="119"/>
        <v>-0.29439707169999974</v>
      </c>
      <c r="I222" s="5">
        <f t="shared" si="119"/>
        <v>-0.31064215870000034</v>
      </c>
      <c r="J222" s="5">
        <f t="shared" si="119"/>
        <v>-0.32404273889999935</v>
      </c>
      <c r="K222" s="5">
        <f t="shared" si="119"/>
        <v>-0.33515631799999923</v>
      </c>
      <c r="L222" s="5">
        <f t="shared" si="119"/>
        <v>-0.34438526569999972</v>
      </c>
      <c r="M222" s="5">
        <f t="shared" si="119"/>
        <v>-0.3522963942999997</v>
      </c>
      <c r="N222" s="5">
        <f t="shared" si="119"/>
        <v>-0.35914727719999995</v>
      </c>
      <c r="O222" s="5">
        <f t="shared" si="119"/>
        <v>-0.36512805529999959</v>
      </c>
      <c r="P222" s="5">
        <f t="shared" si="119"/>
        <v>-0.37044839150000008</v>
      </c>
      <c r="Q222" s="5">
        <f t="shared" si="119"/>
        <v>-0.37532610299999991</v>
      </c>
      <c r="R222" s="5">
        <f t="shared" si="119"/>
        <v>-0.37996990589999946</v>
      </c>
      <c r="S222" s="5">
        <f t="shared" si="119"/>
        <v>-0.38479848530000016</v>
      </c>
      <c r="T222" s="5">
        <f t="shared" si="119"/>
        <v>-0.38986939870000015</v>
      </c>
      <c r="U222" s="5">
        <f t="shared" si="119"/>
        <v>-0.39522558200000013</v>
      </c>
      <c r="V222" s="5">
        <f t="shared" si="119"/>
        <v>-0.40089443250000034</v>
      </c>
      <c r="W222" s="5">
        <f t="shared" si="119"/>
        <v>-0.4066904292000002</v>
      </c>
      <c r="X222" s="5">
        <f t="shared" si="119"/>
        <v>-0.41285101830000048</v>
      </c>
      <c r="Y222" s="5">
        <f t="shared" si="119"/>
        <v>-0.41931554910000024</v>
      </c>
      <c r="Z222" s="5">
        <f t="shared" si="119"/>
        <v>-0.42601248369999922</v>
      </c>
      <c r="AA222" s="5">
        <f t="shared" si="119"/>
        <v>-0.43286879080000062</v>
      </c>
      <c r="AB222" s="5">
        <f t="shared" si="119"/>
        <v>-0.43923358040000071</v>
      </c>
      <c r="AC222" s="5">
        <f t="shared" si="119"/>
        <v>-0.4454838312999998</v>
      </c>
      <c r="AD222" s="5">
        <f t="shared" si="119"/>
        <v>-0.45160621020000047</v>
      </c>
      <c r="AE222" s="5">
        <f t="shared" si="119"/>
        <v>-0.45756576029999962</v>
      </c>
      <c r="AF222" s="5">
        <f t="shared" si="119"/>
        <v>-0.46332537219999992</v>
      </c>
      <c r="AG222" s="5">
        <f t="shared" si="119"/>
        <v>-0.46885260999999989</v>
      </c>
      <c r="AH222" s="5">
        <f t="shared" si="119"/>
        <v>-0.47409464400000001</v>
      </c>
      <c r="AI222" s="5">
        <f t="shared" si="119"/>
        <v>-0.47904089800000005</v>
      </c>
      <c r="AJ222" s="5">
        <f t="shared" si="119"/>
        <v>-0.48368343519999968</v>
      </c>
      <c r="AK222" s="5">
        <f t="shared" si="119"/>
        <v>-0.4880153321000007</v>
      </c>
      <c r="AL222" s="5">
        <f t="shared" si="119"/>
        <v>-0.49203084939999986</v>
      </c>
      <c r="AM222" s="5">
        <f t="shared" ref="AM222:BC222" si="120">AM198-AM210</f>
        <v>-0.4954080142999997</v>
      </c>
      <c r="AN222" s="5">
        <f t="shared" si="120"/>
        <v>-0.4982572909000007</v>
      </c>
      <c r="AO222" s="5">
        <f t="shared" si="120"/>
        <v>-0.50066234210000005</v>
      </c>
      <c r="AP222" s="5">
        <f t="shared" si="120"/>
        <v>-0.50267720359999934</v>
      </c>
      <c r="AQ222" s="5">
        <f t="shared" si="120"/>
        <v>-0.50433866150000117</v>
      </c>
      <c r="AR222" s="5">
        <f t="shared" si="120"/>
        <v>-0.5056553941000006</v>
      </c>
      <c r="AS222" s="5">
        <f t="shared" si="120"/>
        <v>-0.50665701359999993</v>
      </c>
      <c r="AT222" s="5">
        <f t="shared" si="120"/>
        <v>-0.50737008930000016</v>
      </c>
      <c r="AU222" s="5">
        <f t="shared" si="120"/>
        <v>-0.50781699870000008</v>
      </c>
      <c r="AV222" s="5">
        <f t="shared" si="120"/>
        <v>-0.5080161575999993</v>
      </c>
      <c r="AW222" s="5">
        <f t="shared" si="120"/>
        <v>-0.50795233260000039</v>
      </c>
      <c r="AX222" s="5">
        <f t="shared" si="120"/>
        <v>-0.5076385148</v>
      </c>
      <c r="AY222" s="5">
        <f t="shared" si="120"/>
        <v>-0.74065213060000001</v>
      </c>
      <c r="AZ222" s="5">
        <f t="shared" si="120"/>
        <v>-1.5149369634000003</v>
      </c>
      <c r="BA222" s="5">
        <f t="shared" si="120"/>
        <v>-1.8306857394119991</v>
      </c>
      <c r="BB222" s="5">
        <f t="shared" si="120"/>
        <v>2.7924103299999281E-2</v>
      </c>
      <c r="BC222" s="5">
        <f t="shared" si="120"/>
        <v>2.9139782099999678E-2</v>
      </c>
      <c r="BD222" s="5">
        <f t="shared" ref="BD222:BF222" si="121">BD198-BD210</f>
        <v>3.0374093799999891E-2</v>
      </c>
      <c r="BE222" s="5">
        <f t="shared" si="121"/>
        <v>3.1631748899999756E-2</v>
      </c>
      <c r="BF222" s="5">
        <f t="shared" si="121"/>
        <v>3.2915973799999776E-2</v>
      </c>
    </row>
    <row r="223" spans="1:58" x14ac:dyDescent="0.35">
      <c r="B223" t="s">
        <v>11</v>
      </c>
      <c r="C223" s="5">
        <f>C199-C211</f>
        <v>-0.18022041000000399</v>
      </c>
      <c r="D223" s="5">
        <f t="shared" ref="D223:AL223" si="122">D199-D211</f>
        <v>-0.50558755999999505</v>
      </c>
      <c r="E223" s="5">
        <f t="shared" si="122"/>
        <v>-0.79668698999999776</v>
      </c>
      <c r="F223" s="5">
        <f t="shared" si="122"/>
        <v>-1.0047526299999987</v>
      </c>
      <c r="G223" s="5">
        <f t="shared" si="122"/>
        <v>-1.1098667799999902</v>
      </c>
      <c r="H223" s="5">
        <f t="shared" si="122"/>
        <v>-1.1107762099999974</v>
      </c>
      <c r="I223" s="5">
        <f t="shared" si="122"/>
        <v>-1.0198300899999992</v>
      </c>
      <c r="J223" s="5">
        <f t="shared" si="122"/>
        <v>-0.86052855999999167</v>
      </c>
      <c r="K223" s="5">
        <f t="shared" si="122"/>
        <v>-0.65851036000000818</v>
      </c>
      <c r="L223" s="5">
        <f t="shared" si="122"/>
        <v>-0.43744086000000948</v>
      </c>
      <c r="M223" s="5">
        <f t="shared" si="122"/>
        <v>-0.21692794000000504</v>
      </c>
      <c r="N223" s="5">
        <f t="shared" si="122"/>
        <v>-6.3175700000073221E-3</v>
      </c>
      <c r="O223" s="5">
        <f t="shared" si="122"/>
        <v>0.18112811000000306</v>
      </c>
      <c r="P223" s="5">
        <f t="shared" si="122"/>
        <v>0.33876929000000189</v>
      </c>
      <c r="Q223" s="5">
        <f t="shared" si="122"/>
        <v>0.46450074999999913</v>
      </c>
      <c r="R223" s="5">
        <f t="shared" si="122"/>
        <v>0.55927641999998912</v>
      </c>
      <c r="S223" s="5">
        <f t="shared" si="122"/>
        <v>0.63094743999999992</v>
      </c>
      <c r="T223" s="5">
        <f t="shared" si="122"/>
        <v>0.67944236999998964</v>
      </c>
      <c r="U223" s="5">
        <f t="shared" si="122"/>
        <v>0.70764150000000825</v>
      </c>
      <c r="V223" s="5">
        <f t="shared" si="122"/>
        <v>0.71966582000000301</v>
      </c>
      <c r="W223" s="5">
        <f t="shared" si="122"/>
        <v>0.71980396000000724</v>
      </c>
      <c r="X223" s="5">
        <f t="shared" si="122"/>
        <v>0.71166536999999153</v>
      </c>
      <c r="Y223" s="5">
        <f t="shared" si="122"/>
        <v>0.69936710000000346</v>
      </c>
      <c r="Z223" s="5">
        <f t="shared" si="122"/>
        <v>0.68598931000001073</v>
      </c>
      <c r="AA223" s="5">
        <f t="shared" si="122"/>
        <v>0.67384618999999191</v>
      </c>
      <c r="AB223" s="5">
        <f t="shared" si="122"/>
        <v>0.66461169000000098</v>
      </c>
      <c r="AC223" s="5">
        <f t="shared" si="122"/>
        <v>0.65568548999999621</v>
      </c>
      <c r="AD223" s="5">
        <f t="shared" si="122"/>
        <v>0.65072893999999337</v>
      </c>
      <c r="AE223" s="5">
        <f t="shared" si="122"/>
        <v>0.65144657999999822</v>
      </c>
      <c r="AF223" s="5">
        <f t="shared" si="122"/>
        <v>0.65841258999999752</v>
      </c>
      <c r="AG223" s="5">
        <f t="shared" si="122"/>
        <v>0.67158503999999652</v>
      </c>
      <c r="AH223" s="5">
        <f t="shared" si="122"/>
        <v>0.68918409999999142</v>
      </c>
      <c r="AI223" s="5">
        <f t="shared" si="122"/>
        <v>0.71175995000000114</v>
      </c>
      <c r="AJ223" s="5">
        <f t="shared" si="122"/>
        <v>0.73923099000001002</v>
      </c>
      <c r="AK223" s="5">
        <f t="shared" si="122"/>
        <v>0.77119453000000249</v>
      </c>
      <c r="AL223" s="5">
        <f t="shared" si="122"/>
        <v>0.80711612000000343</v>
      </c>
      <c r="AM223" s="5">
        <f t="shared" ref="AM223:BC223" si="123">AM199-AM211</f>
        <v>0.83323466000000224</v>
      </c>
      <c r="AN223" s="5">
        <f t="shared" si="123"/>
        <v>0.85797192999999083</v>
      </c>
      <c r="AO223" s="5">
        <f t="shared" si="123"/>
        <v>0.88501263999999935</v>
      </c>
      <c r="AP223" s="5">
        <f t="shared" si="123"/>
        <v>0.91537440000000458</v>
      </c>
      <c r="AQ223" s="5">
        <f t="shared" si="123"/>
        <v>0.94879747000000236</v>
      </c>
      <c r="AR223" s="5">
        <f t="shared" si="123"/>
        <v>0.98234623999999826</v>
      </c>
      <c r="AS223" s="5">
        <f t="shared" si="123"/>
        <v>1.0166187399999984</v>
      </c>
      <c r="AT223" s="5">
        <f t="shared" si="123"/>
        <v>1.0514822699999939</v>
      </c>
      <c r="AU223" s="5">
        <f t="shared" si="123"/>
        <v>1.086473170000005</v>
      </c>
      <c r="AV223" s="5">
        <f t="shared" si="123"/>
        <v>1.1210322700000006</v>
      </c>
      <c r="AW223" s="5">
        <f t="shared" si="123"/>
        <v>1.1471815099999958</v>
      </c>
      <c r="AX223" s="5">
        <f t="shared" si="123"/>
        <v>1.169469890000002</v>
      </c>
      <c r="AY223" s="5">
        <f t="shared" si="123"/>
        <v>0.61200012999999842</v>
      </c>
      <c r="AZ223" s="5">
        <f t="shared" si="123"/>
        <v>-0.95147508000000869</v>
      </c>
      <c r="BA223" s="5">
        <f t="shared" si="123"/>
        <v>-1.8582703900000013</v>
      </c>
      <c r="BB223" s="5">
        <f t="shared" si="123"/>
        <v>-1.2340731399999925</v>
      </c>
      <c r="BC223" s="5">
        <f t="shared" si="123"/>
        <v>-1.2525495099999944</v>
      </c>
      <c r="BD223" s="5">
        <f t="shared" ref="BD223:BF223" si="124">BD199-BD211</f>
        <v>-1.2698560799999967</v>
      </c>
      <c r="BE223" s="5">
        <f t="shared" si="124"/>
        <v>-1.2862876399999976</v>
      </c>
      <c r="BF223" s="5">
        <f t="shared" si="124"/>
        <v>-1.302085610000006</v>
      </c>
    </row>
    <row r="225" spans="1:58" x14ac:dyDescent="0.35">
      <c r="A225" s="12" t="s">
        <v>86</v>
      </c>
      <c r="B225" t="s">
        <v>14</v>
      </c>
      <c r="C225" s="7" t="s">
        <v>15</v>
      </c>
      <c r="D225" s="7" t="s">
        <v>16</v>
      </c>
      <c r="E225" s="7" t="s">
        <v>17</v>
      </c>
    </row>
    <row r="226" spans="1:58" x14ac:dyDescent="0.35">
      <c r="A226" t="s">
        <v>87</v>
      </c>
      <c r="B226" t="s">
        <v>27</v>
      </c>
      <c r="C226" s="6">
        <f t="shared" ref="C226:C232" si="125">R216</f>
        <v>-923.53979000000254</v>
      </c>
      <c r="D226" s="6">
        <f t="shared" ref="D226:D232" si="126">AB216</f>
        <v>-1146.0775099999992</v>
      </c>
      <c r="E226" s="6">
        <f>AL216</f>
        <v>-1354.6850099999974</v>
      </c>
    </row>
    <row r="227" spans="1:58" x14ac:dyDescent="0.35">
      <c r="B227" t="s">
        <v>7</v>
      </c>
      <c r="C227" s="6">
        <f t="shared" si="125"/>
        <v>14.337409900000011</v>
      </c>
      <c r="D227" s="6">
        <f t="shared" si="126"/>
        <v>20.602377799999999</v>
      </c>
      <c r="E227" s="6">
        <f t="shared" ref="E227:E231" si="127">AL217</f>
        <v>23.781647199999952</v>
      </c>
    </row>
    <row r="228" spans="1:58" x14ac:dyDescent="0.35">
      <c r="B228" t="s">
        <v>30</v>
      </c>
      <c r="C228" s="6">
        <f t="shared" si="125"/>
        <v>-199.89247599999999</v>
      </c>
      <c r="D228" s="6">
        <f t="shared" si="126"/>
        <v>-299.90130700000009</v>
      </c>
      <c r="E228" s="6">
        <f t="shared" si="127"/>
        <v>-361.96591499999977</v>
      </c>
    </row>
    <row r="229" spans="1:58" x14ac:dyDescent="0.35">
      <c r="B229" t="s">
        <v>28</v>
      </c>
      <c r="C229" s="6">
        <f t="shared" si="125"/>
        <v>-29.99601430000007</v>
      </c>
      <c r="D229" s="6">
        <f t="shared" si="126"/>
        <v>-39.869956900000034</v>
      </c>
      <c r="E229" s="6">
        <f t="shared" si="127"/>
        <v>-49.212449100000072</v>
      </c>
    </row>
    <row r="230" spans="1:58" x14ac:dyDescent="0.35">
      <c r="B230" t="s">
        <v>10</v>
      </c>
      <c r="C230" s="6">
        <f t="shared" si="125"/>
        <v>-707.6151600000012</v>
      </c>
      <c r="D230" s="6">
        <f t="shared" si="126"/>
        <v>-826.4573100000016</v>
      </c>
      <c r="E230" s="6">
        <f t="shared" si="127"/>
        <v>-966.82344999999987</v>
      </c>
    </row>
    <row r="231" spans="1:58" x14ac:dyDescent="0.35">
      <c r="B231" t="s">
        <v>29</v>
      </c>
      <c r="C231" s="1">
        <f t="shared" si="125"/>
        <v>-0.55285651410000014</v>
      </c>
      <c r="D231" s="1">
        <f t="shared" si="126"/>
        <v>-0.67668742960000117</v>
      </c>
      <c r="E231" s="1">
        <f t="shared" si="127"/>
        <v>-0.77992390059999828</v>
      </c>
    </row>
    <row r="232" spans="1:58" x14ac:dyDescent="0.35">
      <c r="B232" t="s">
        <v>32</v>
      </c>
      <c r="C232" s="1">
        <f t="shared" si="125"/>
        <v>-0.37996990589999946</v>
      </c>
      <c r="D232" s="1">
        <f t="shared" si="126"/>
        <v>-0.43923358040000071</v>
      </c>
      <c r="E232" s="1">
        <f t="shared" ref="E232" si="128">AL222</f>
        <v>-0.49203084939999986</v>
      </c>
    </row>
    <row r="233" spans="1:58" x14ac:dyDescent="0.35">
      <c r="B233" t="s">
        <v>33</v>
      </c>
      <c r="C233" s="1">
        <f t="shared" ref="C233" si="129">R223</f>
        <v>0.55927641999998912</v>
      </c>
      <c r="D233" s="1">
        <f t="shared" ref="D233" si="130">AB223</f>
        <v>0.66461169000000098</v>
      </c>
      <c r="E233" s="1">
        <f t="shared" ref="E233" si="131">AL223</f>
        <v>0.80711612000000343</v>
      </c>
    </row>
    <row r="235" spans="1:58" x14ac:dyDescent="0.35">
      <c r="A235" s="12" t="s">
        <v>43</v>
      </c>
      <c r="B235" t="s">
        <v>26</v>
      </c>
      <c r="C235" s="5">
        <f>C236+C237+C238+C239</f>
        <v>95.609951838000001</v>
      </c>
      <c r="D235" s="5">
        <f t="shared" ref="D235:AL235" si="132">D236+D237+D238+D239</f>
        <v>95.852259511</v>
      </c>
      <c r="E235" s="5">
        <f t="shared" si="132"/>
        <v>96.5000888</v>
      </c>
      <c r="F235" s="5">
        <f t="shared" si="132"/>
        <v>97.403043036</v>
      </c>
      <c r="G235" s="5">
        <f t="shared" si="132"/>
        <v>98.529698513000014</v>
      </c>
      <c r="H235" s="5">
        <f t="shared" si="132"/>
        <v>99.847632181000009</v>
      </c>
      <c r="I235" s="5">
        <f t="shared" si="132"/>
        <v>101.254633856</v>
      </c>
      <c r="J235" s="5">
        <f t="shared" si="132"/>
        <v>102.742124069</v>
      </c>
      <c r="K235" s="5">
        <f t="shared" si="132"/>
        <v>104.28451316099999</v>
      </c>
      <c r="L235" s="5">
        <f t="shared" si="132"/>
        <v>105.85570115499999</v>
      </c>
      <c r="M235" s="5">
        <f t="shared" si="132"/>
        <v>107.53941168</v>
      </c>
      <c r="N235" s="5">
        <f t="shared" si="132"/>
        <v>109.15123291500001</v>
      </c>
      <c r="O235" s="5">
        <f t="shared" si="132"/>
        <v>110.718904374</v>
      </c>
      <c r="P235" s="5">
        <f t="shared" si="132"/>
        <v>112.24665566799999</v>
      </c>
      <c r="Q235" s="5">
        <f t="shared" si="132"/>
        <v>113.73448114399999</v>
      </c>
      <c r="R235" s="5">
        <f t="shared" si="132"/>
        <v>115.18352820300001</v>
      </c>
      <c r="S235" s="5">
        <f t="shared" si="132"/>
        <v>116.59096875600001</v>
      </c>
      <c r="T235" s="5">
        <f t="shared" si="132"/>
        <v>117.96552365700001</v>
      </c>
      <c r="U235" s="5">
        <f t="shared" si="132"/>
        <v>119.314776799</v>
      </c>
      <c r="V235" s="5">
        <f t="shared" si="132"/>
        <v>120.64655658999999</v>
      </c>
      <c r="W235" s="5">
        <f t="shared" si="132"/>
        <v>121.89289676199999</v>
      </c>
      <c r="X235" s="5">
        <f t="shared" si="132"/>
        <v>123.177794788</v>
      </c>
      <c r="Y235" s="5">
        <f t="shared" si="132"/>
        <v>124.48278078799999</v>
      </c>
      <c r="Z235" s="5">
        <f t="shared" si="132"/>
        <v>125.806933845</v>
      </c>
      <c r="AA235" s="5">
        <f t="shared" si="132"/>
        <v>127.153715014</v>
      </c>
      <c r="AB235" s="5">
        <f t="shared" si="132"/>
        <v>128.31306537</v>
      </c>
      <c r="AC235" s="5">
        <f t="shared" si="132"/>
        <v>129.516160369</v>
      </c>
      <c r="AD235" s="5">
        <f t="shared" si="132"/>
        <v>130.74430864999999</v>
      </c>
      <c r="AE235" s="5">
        <f t="shared" si="132"/>
        <v>131.99661730399998</v>
      </c>
      <c r="AF235" s="5">
        <f t="shared" si="132"/>
        <v>133.276608321</v>
      </c>
      <c r="AG235" s="5">
        <f t="shared" si="132"/>
        <v>134.58799274899999</v>
      </c>
      <c r="AH235" s="5">
        <f t="shared" si="132"/>
        <v>135.93447206600001</v>
      </c>
      <c r="AI235" s="5">
        <f t="shared" si="132"/>
        <v>137.31709603799999</v>
      </c>
      <c r="AJ235" s="5">
        <f t="shared" si="132"/>
        <v>138.73604653000001</v>
      </c>
      <c r="AK235" s="5">
        <f t="shared" si="132"/>
        <v>140.19064113299999</v>
      </c>
      <c r="AL235" s="5">
        <f t="shared" si="132"/>
        <v>141.67950999600001</v>
      </c>
      <c r="AM235" s="5">
        <f t="shared" ref="AM235:BC235" si="133">AM236+AM237+AM238+AM239</f>
        <v>143.15913954500002</v>
      </c>
      <c r="AN235" s="5">
        <f t="shared" si="133"/>
        <v>144.650088103</v>
      </c>
      <c r="AO235" s="5">
        <f t="shared" si="133"/>
        <v>146.15810369100001</v>
      </c>
      <c r="AP235" s="5">
        <f t="shared" si="133"/>
        <v>147.68480358400001</v>
      </c>
      <c r="AQ235" s="5">
        <f t="shared" si="133"/>
        <v>149.230593537</v>
      </c>
      <c r="AR235" s="5">
        <f t="shared" si="133"/>
        <v>150.79661337799999</v>
      </c>
      <c r="AS235" s="5">
        <f t="shared" si="133"/>
        <v>152.38236999599999</v>
      </c>
      <c r="AT235" s="5">
        <f t="shared" si="133"/>
        <v>153.987414766</v>
      </c>
      <c r="AU235" s="5">
        <f t="shared" si="133"/>
        <v>155.61123146599999</v>
      </c>
      <c r="AV235" s="5">
        <f t="shared" si="133"/>
        <v>157.25318567799999</v>
      </c>
      <c r="AW235" s="5">
        <f t="shared" si="133"/>
        <v>158.92028118300001</v>
      </c>
      <c r="AX235" s="5">
        <f t="shared" si="133"/>
        <v>160.60876812800001</v>
      </c>
      <c r="AY235" s="5">
        <f t="shared" si="133"/>
        <v>161.063681952</v>
      </c>
      <c r="AZ235" s="5">
        <f t="shared" si="133"/>
        <v>162.21052355099999</v>
      </c>
      <c r="BA235" s="5">
        <f t="shared" si="133"/>
        <v>162.343554665</v>
      </c>
      <c r="BB235" s="5">
        <f t="shared" si="133"/>
        <v>219.54593958000001</v>
      </c>
      <c r="BC235" s="5">
        <f t="shared" si="133"/>
        <v>223.20089697</v>
      </c>
      <c r="BD235" s="5">
        <f t="shared" ref="BD235:BF235" si="134">BD236+BD237+BD238+BD239</f>
        <v>226.91325506999999</v>
      </c>
      <c r="BE235" s="5">
        <f t="shared" si="134"/>
        <v>230.68433690999996</v>
      </c>
      <c r="BF235" s="5">
        <f t="shared" si="134"/>
        <v>234.51543447</v>
      </c>
    </row>
    <row r="236" spans="1:58" x14ac:dyDescent="0.35">
      <c r="A236" t="s">
        <v>39</v>
      </c>
      <c r="B236" t="s">
        <v>7</v>
      </c>
      <c r="C236" s="5">
        <f>[1]Results!F378</f>
        <v>4.8286383280000003</v>
      </c>
      <c r="D236" s="5">
        <f>[1]Results!G378</f>
        <v>4.8499440509999996</v>
      </c>
      <c r="E236" s="5">
        <f>[1]Results!H378</f>
        <v>4.8852977600000003</v>
      </c>
      <c r="F236" s="5">
        <f>[1]Results!I378</f>
        <v>4.9285978359999998</v>
      </c>
      <c r="G236" s="5">
        <f>[1]Results!J378</f>
        <v>4.9754183530000002</v>
      </c>
      <c r="H236" s="5">
        <f>[1]Results!K378</f>
        <v>5.021881681</v>
      </c>
      <c r="I236" s="5">
        <f>[1]Results!L378</f>
        <v>5.0615246860000003</v>
      </c>
      <c r="J236" s="5">
        <f>[1]Results!M378</f>
        <v>5.0938267789999996</v>
      </c>
      <c r="K236" s="5">
        <f>[1]Results!N378</f>
        <v>5.1193142509999996</v>
      </c>
      <c r="L236" s="5">
        <f>[1]Results!O378</f>
        <v>5.1391186649999998</v>
      </c>
      <c r="M236" s="5">
        <f>[1]Results!P378</f>
        <v>5.1606134499999996</v>
      </c>
      <c r="N236" s="5">
        <f>[1]Results!Q378</f>
        <v>5.1774326850000003</v>
      </c>
      <c r="O236" s="5">
        <f>[1]Results!R378</f>
        <v>5.191377954</v>
      </c>
      <c r="P236" s="5">
        <f>[1]Results!S378</f>
        <v>5.2045019080000001</v>
      </c>
      <c r="Q236" s="5">
        <f>[1]Results!T378</f>
        <v>5.2182668239999996</v>
      </c>
      <c r="R236" s="5">
        <f>[1]Results!U378</f>
        <v>5.2335742930000002</v>
      </c>
      <c r="S236" s="5">
        <f>[1]Results!V378</f>
        <v>5.2511717559999997</v>
      </c>
      <c r="T236" s="5">
        <f>[1]Results!W378</f>
        <v>5.2707466270000003</v>
      </c>
      <c r="U236" s="5">
        <f>[1]Results!X378</f>
        <v>5.2920621990000001</v>
      </c>
      <c r="V236" s="5">
        <f>[1]Results!Y378</f>
        <v>5.3147648600000004</v>
      </c>
      <c r="W236" s="5">
        <f>[1]Results!Z378</f>
        <v>5.334578832</v>
      </c>
      <c r="X236" s="5">
        <f>[1]Results!AA378</f>
        <v>5.3565288080000002</v>
      </c>
      <c r="Y236" s="5">
        <f>[1]Results!AB378</f>
        <v>5.3799087080000003</v>
      </c>
      <c r="Z236" s="5">
        <f>[1]Results!AC378</f>
        <v>5.4039036549999997</v>
      </c>
      <c r="AA236" s="5">
        <f>[1]Results!AD378</f>
        <v>5.4279383040000004</v>
      </c>
      <c r="AB236" s="5">
        <f>[1]Results!AE378</f>
        <v>5.4410915400000004</v>
      </c>
      <c r="AC236" s="5">
        <f>[1]Results!AF378</f>
        <v>5.4529573090000003</v>
      </c>
      <c r="AD236" s="5">
        <f>[1]Results!AG378</f>
        <v>5.4648480499999996</v>
      </c>
      <c r="AE236" s="5">
        <f>[1]Results!AH378</f>
        <v>5.4770931139999997</v>
      </c>
      <c r="AF236" s="5">
        <f>[1]Results!AI378</f>
        <v>5.4898437910000002</v>
      </c>
      <c r="AG236" s="5">
        <f>[1]Results!AJ378</f>
        <v>5.5031480290000001</v>
      </c>
      <c r="AH236" s="5">
        <f>[1]Results!AK378</f>
        <v>5.516874456</v>
      </c>
      <c r="AI236" s="5">
        <f>[1]Results!AL378</f>
        <v>5.5310802780000001</v>
      </c>
      <c r="AJ236" s="5">
        <f>[1]Results!AM378</f>
        <v>5.5457072299999997</v>
      </c>
      <c r="AK236" s="5">
        <f>[1]Results!AN378</f>
        <v>5.5606924229999999</v>
      </c>
      <c r="AL236" s="5">
        <f>[1]Results!AO378</f>
        <v>5.5759918859999997</v>
      </c>
      <c r="AM236" s="5">
        <f>[1]Results!AP378</f>
        <v>5.5883354750000001</v>
      </c>
      <c r="AN236" s="5">
        <f>[1]Results!AQ378</f>
        <v>5.5998067230000004</v>
      </c>
      <c r="AO236" s="5">
        <f>[1]Results!AR378</f>
        <v>5.6113066409999997</v>
      </c>
      <c r="AP236" s="5">
        <f>[1]Results!AS378</f>
        <v>5.6232858639999996</v>
      </c>
      <c r="AQ236" s="5">
        <f>[1]Results!AT378</f>
        <v>5.6359451270000003</v>
      </c>
      <c r="AR236" s="5">
        <f>[1]Results!AU378</f>
        <v>5.649155318</v>
      </c>
      <c r="AS236" s="5">
        <f>[1]Results!AV378</f>
        <v>5.663047036</v>
      </c>
      <c r="AT236" s="5">
        <f>[1]Results!AW378</f>
        <v>5.6775227360000002</v>
      </c>
      <c r="AU236" s="5">
        <f>[1]Results!AX378</f>
        <v>5.6924306659999999</v>
      </c>
      <c r="AV236" s="5">
        <f>[1]Results!AY378</f>
        <v>5.7076112380000001</v>
      </c>
      <c r="AW236" s="5">
        <f>[1]Results!AZ378</f>
        <v>5.7225018629999997</v>
      </c>
      <c r="AX236" s="5">
        <f>[1]Results!BA378</f>
        <v>5.7375929680000004</v>
      </c>
      <c r="AY236" s="5">
        <f>[1]Results!BB378</f>
        <v>5.7629035320000002</v>
      </c>
      <c r="AZ236" s="5">
        <f>[1]Results!BC378</f>
        <v>5.8259262109999996</v>
      </c>
      <c r="BA236" s="5">
        <f>[1]Results!BD378</f>
        <v>5.8332822750000002</v>
      </c>
      <c r="BB236" s="5">
        <f>[1]Results!BE378</f>
        <v>10.89254086</v>
      </c>
      <c r="BC236" s="5">
        <f>[1]Results!BF378</f>
        <v>11.071818240000001</v>
      </c>
      <c r="BD236" s="5">
        <f>[1]Results!BG378</f>
        <v>11.25394421</v>
      </c>
      <c r="BE236" s="5">
        <f>[1]Results!BH378</f>
        <v>11.439009499999999</v>
      </c>
      <c r="BF236" s="5">
        <f>[1]Results!BI378</f>
        <v>11.62710313</v>
      </c>
    </row>
    <row r="237" spans="1:58" x14ac:dyDescent="0.35">
      <c r="B237" t="s">
        <v>8</v>
      </c>
      <c r="C237" s="5">
        <f>[1]Results!F390</f>
        <v>42.781181500000002</v>
      </c>
      <c r="D237" s="5">
        <f>[1]Results!G390</f>
        <v>42.82130239</v>
      </c>
      <c r="E237" s="5">
        <f>[1]Results!H390</f>
        <v>43.095316779999997</v>
      </c>
      <c r="F237" s="5">
        <f>[1]Results!I390</f>
        <v>43.498108360000003</v>
      </c>
      <c r="G237" s="5">
        <f>[1]Results!J390</f>
        <v>44.007504160000003</v>
      </c>
      <c r="H237" s="5">
        <f>[1]Results!K390</f>
        <v>44.605083999999998</v>
      </c>
      <c r="I237" s="5">
        <f>[1]Results!L390</f>
        <v>45.24027426</v>
      </c>
      <c r="J237" s="5">
        <f>[1]Results!M390</f>
        <v>45.908616989999999</v>
      </c>
      <c r="K237" s="5">
        <f>[1]Results!N390</f>
        <v>46.59678804</v>
      </c>
      <c r="L237" s="5">
        <f>[1]Results!O390</f>
        <v>47.29120073</v>
      </c>
      <c r="M237" s="5">
        <f>[1]Results!P390</f>
        <v>48.02987134</v>
      </c>
      <c r="N237" s="5">
        <f>[1]Results!Q390</f>
        <v>48.722258490000002</v>
      </c>
      <c r="O237" s="5">
        <f>[1]Results!R390</f>
        <v>49.384159519999997</v>
      </c>
      <c r="P237" s="5">
        <f>[1]Results!S390</f>
        <v>50.018179289999999</v>
      </c>
      <c r="Q237" s="5">
        <f>[1]Results!T390</f>
        <v>50.624987439999998</v>
      </c>
      <c r="R237" s="5">
        <f>[1]Results!U390</f>
        <v>51.206107979999999</v>
      </c>
      <c r="S237" s="5">
        <f>[1]Results!V390</f>
        <v>51.759165600000003</v>
      </c>
      <c r="T237" s="5">
        <f>[1]Results!W390</f>
        <v>52.29179122</v>
      </c>
      <c r="U237" s="5">
        <f>[1]Results!X390</f>
        <v>52.809246969999997</v>
      </c>
      <c r="V237" s="5">
        <f>[1]Results!Y390</f>
        <v>53.316596279999999</v>
      </c>
      <c r="W237" s="5">
        <f>[1]Results!Z390</f>
        <v>53.783779699999997</v>
      </c>
      <c r="X237" s="5">
        <f>[1]Results!AA390</f>
        <v>54.269925610000001</v>
      </c>
      <c r="Y237" s="5">
        <f>[1]Results!AB390</f>
        <v>54.766451709999998</v>
      </c>
      <c r="Z237" s="5">
        <f>[1]Results!AC390</f>
        <v>55.273297300000003</v>
      </c>
      <c r="AA237" s="5">
        <f>[1]Results!AD390</f>
        <v>55.792410070000003</v>
      </c>
      <c r="AB237" s="5">
        <f>[1]Results!AE390</f>
        <v>56.228048950000002</v>
      </c>
      <c r="AC237" s="5">
        <f>[1]Results!AF390</f>
        <v>56.689491959999998</v>
      </c>
      <c r="AD237" s="5">
        <f>[1]Results!AG390</f>
        <v>57.165826860000003</v>
      </c>
      <c r="AE237" s="5">
        <f>[1]Results!AH390</f>
        <v>57.655773009999997</v>
      </c>
      <c r="AF237" s="5">
        <f>[1]Results!AI390</f>
        <v>58.160370499999999</v>
      </c>
      <c r="AG237" s="5">
        <f>[1]Results!AJ390</f>
        <v>58.680868529999998</v>
      </c>
      <c r="AH237" s="5">
        <f>[1]Results!AK390</f>
        <v>59.219137539999998</v>
      </c>
      <c r="AI237" s="5">
        <f>[1]Results!AL390</f>
        <v>59.774740749999999</v>
      </c>
      <c r="AJ237" s="5">
        <f>[1]Results!AM390</f>
        <v>60.347288349999999</v>
      </c>
      <c r="AK237" s="5">
        <f>[1]Results!AN390</f>
        <v>60.936027119999999</v>
      </c>
      <c r="AL237" s="5">
        <f>[1]Results!AO390</f>
        <v>61.539880349999997</v>
      </c>
      <c r="AM237" s="5">
        <f>[1]Results!AP390</f>
        <v>62.144001000000003</v>
      </c>
      <c r="AN237" s="5">
        <f>[1]Results!AQ390</f>
        <v>62.753040679999998</v>
      </c>
      <c r="AO237" s="5">
        <f>[1]Results!AR390</f>
        <v>63.368717910000001</v>
      </c>
      <c r="AP237" s="5">
        <f>[1]Results!AS390</f>
        <v>63.991321380000002</v>
      </c>
      <c r="AQ237" s="5">
        <f>[1]Results!AT390</f>
        <v>64.620671889999997</v>
      </c>
      <c r="AR237" s="5">
        <f>[1]Results!AU390</f>
        <v>65.257836850000004</v>
      </c>
      <c r="AS237" s="5">
        <f>[1]Results!AV390</f>
        <v>65.90160951</v>
      </c>
      <c r="AT237" s="5">
        <f>[1]Results!AW390</f>
        <v>66.551546540000004</v>
      </c>
      <c r="AU237" s="5">
        <f>[1]Results!AX390</f>
        <v>67.207294239999996</v>
      </c>
      <c r="AV237" s="5">
        <f>[1]Results!AY390</f>
        <v>67.868471020000001</v>
      </c>
      <c r="AW237" s="5">
        <f>[1]Results!AZ390</f>
        <v>68.541038510000007</v>
      </c>
      <c r="AX237" s="5">
        <f>[1]Results!BA390</f>
        <v>69.220583750000003</v>
      </c>
      <c r="AY237" s="5">
        <f>[1]Results!BB390</f>
        <v>69.512650870000002</v>
      </c>
      <c r="AZ237" s="5">
        <f>[1]Results!BC390</f>
        <v>70.245615959999995</v>
      </c>
      <c r="BA237" s="5">
        <f>[1]Results!BD390</f>
        <v>70.331016790000007</v>
      </c>
      <c r="BB237" s="5">
        <f>[1]Results!BE390</f>
        <v>101.8741746</v>
      </c>
      <c r="BC237" s="5">
        <f>[1]Results!BF390</f>
        <v>103.62538499999999</v>
      </c>
      <c r="BD237" s="5">
        <f>[1]Results!BG390</f>
        <v>105.40327739999999</v>
      </c>
      <c r="BE237" s="5">
        <f>[1]Results!BH390</f>
        <v>107.20839049999999</v>
      </c>
      <c r="BF237" s="5">
        <f>[1]Results!BI390</f>
        <v>109.0412402</v>
      </c>
    </row>
    <row r="238" spans="1:58" x14ac:dyDescent="0.35">
      <c r="B238" t="s">
        <v>28</v>
      </c>
      <c r="C238" s="5">
        <f>[1]Results!F366</f>
        <v>25.854329620000001</v>
      </c>
      <c r="D238" s="5">
        <f>[1]Results!G366</f>
        <v>25.993885250000002</v>
      </c>
      <c r="E238" s="5">
        <f>[1]Results!H366</f>
        <v>26.220517170000001</v>
      </c>
      <c r="F238" s="5">
        <f>[1]Results!I366</f>
        <v>26.489499890000001</v>
      </c>
      <c r="G238" s="5">
        <f>[1]Results!J366</f>
        <v>26.79030298</v>
      </c>
      <c r="H238" s="5">
        <f>[1]Results!K366</f>
        <v>27.116521639999998</v>
      </c>
      <c r="I238" s="5">
        <f>[1]Results!L366</f>
        <v>27.44623284</v>
      </c>
      <c r="J238" s="5">
        <f>[1]Results!M366</f>
        <v>27.784235370000001</v>
      </c>
      <c r="K238" s="5">
        <f>[1]Results!N366</f>
        <v>28.129326859999999</v>
      </c>
      <c r="L238" s="5">
        <f>[1]Results!O366</f>
        <v>28.479488310000001</v>
      </c>
      <c r="M238" s="5">
        <f>[1]Results!P366</f>
        <v>28.859838570000001</v>
      </c>
      <c r="N238" s="5">
        <f>[1]Results!Q366</f>
        <v>29.223006059999999</v>
      </c>
      <c r="O238" s="5">
        <f>[1]Results!R366</f>
        <v>29.581003079999999</v>
      </c>
      <c r="P238" s="5">
        <f>[1]Results!S366</f>
        <v>29.93574795</v>
      </c>
      <c r="Q238" s="5">
        <f>[1]Results!T366</f>
        <v>30.28718679</v>
      </c>
      <c r="R238" s="5">
        <f>[1]Results!U366</f>
        <v>30.635129160000002</v>
      </c>
      <c r="S238" s="5">
        <f>[1]Results!V366</f>
        <v>30.977238610000001</v>
      </c>
      <c r="T238" s="5">
        <f>[1]Results!W366</f>
        <v>31.315607610000001</v>
      </c>
      <c r="U238" s="5">
        <f>[1]Results!X366</f>
        <v>31.65120254</v>
      </c>
      <c r="V238" s="5">
        <f>[1]Results!Y366</f>
        <v>31.984963969999999</v>
      </c>
      <c r="W238" s="5">
        <f>[1]Results!Z366</f>
        <v>32.298703889999999</v>
      </c>
      <c r="X238" s="5">
        <f>[1]Results!AA366</f>
        <v>32.624514359999999</v>
      </c>
      <c r="Y238" s="5">
        <f>[1]Results!AB366</f>
        <v>32.95526632</v>
      </c>
      <c r="Z238" s="5">
        <f>[1]Results!AC366</f>
        <v>33.290155089999999</v>
      </c>
      <c r="AA238" s="5">
        <f>[1]Results!AD366</f>
        <v>33.629647769999998</v>
      </c>
      <c r="AB238" s="5">
        <f>[1]Results!AE366</f>
        <v>33.920130319999998</v>
      </c>
      <c r="AC238" s="5">
        <f>[1]Results!AF366</f>
        <v>34.224523660000003</v>
      </c>
      <c r="AD238" s="5">
        <f>[1]Results!AG366</f>
        <v>34.534676750000003</v>
      </c>
      <c r="AE238" s="5">
        <f>[1]Results!AH366</f>
        <v>34.849979699999999</v>
      </c>
      <c r="AF238" s="5">
        <f>[1]Results!AI366</f>
        <v>35.171191589999999</v>
      </c>
      <c r="AG238" s="5">
        <f>[1]Results!AJ366</f>
        <v>35.499014819999999</v>
      </c>
      <c r="AH238" s="5">
        <f>[1]Results!AK366</f>
        <v>35.834361399999999</v>
      </c>
      <c r="AI238" s="5">
        <f>[1]Results!AL366</f>
        <v>36.176996330000001</v>
      </c>
      <c r="AJ238" s="5">
        <f>[1]Results!AM366</f>
        <v>36.526767470000003</v>
      </c>
      <c r="AK238" s="5">
        <f>[1]Results!AN366</f>
        <v>36.88344025</v>
      </c>
      <c r="AL238" s="5">
        <f>[1]Results!AO366</f>
        <v>37.246713040000003</v>
      </c>
      <c r="AM238" s="5">
        <f>[1]Results!AP366</f>
        <v>37.608156229999999</v>
      </c>
      <c r="AN238" s="5">
        <f>[1]Results!AQ366</f>
        <v>37.971782930000003</v>
      </c>
      <c r="AO238" s="5">
        <f>[1]Results!AR366</f>
        <v>38.338822950000001</v>
      </c>
      <c r="AP238" s="5">
        <f>[1]Results!AS366</f>
        <v>38.709747360000001</v>
      </c>
      <c r="AQ238" s="5">
        <f>[1]Results!AT366</f>
        <v>39.084808549999998</v>
      </c>
      <c r="AR238" s="5">
        <f>[1]Results!AU366</f>
        <v>39.46485698</v>
      </c>
      <c r="AS238" s="5">
        <f>[1]Results!AV366</f>
        <v>39.849462629999998</v>
      </c>
      <c r="AT238" s="5">
        <f>[1]Results!AW366</f>
        <v>40.238499969999999</v>
      </c>
      <c r="AU238" s="5">
        <f>[1]Results!AX366</f>
        <v>40.631852670000001</v>
      </c>
      <c r="AV238" s="5">
        <f>[1]Results!AY366</f>
        <v>41.029384559999997</v>
      </c>
      <c r="AW238" s="5">
        <f>[1]Results!AZ366</f>
        <v>41.434435389999997</v>
      </c>
      <c r="AX238" s="5">
        <f>[1]Results!BA366</f>
        <v>41.844622919999999</v>
      </c>
      <c r="AY238" s="5">
        <f>[1]Results!BB366</f>
        <v>41.94838541</v>
      </c>
      <c r="AZ238" s="5">
        <f>[1]Results!BC366</f>
        <v>42.217156799999998</v>
      </c>
      <c r="BA238" s="5">
        <f>[1]Results!BD366</f>
        <v>42.248232940000001</v>
      </c>
      <c r="BB238" s="5">
        <f>[1]Results!BE366</f>
        <v>55.400333269999997</v>
      </c>
      <c r="BC238" s="5">
        <f>[1]Results!BF366</f>
        <v>56.275190469999998</v>
      </c>
      <c r="BD238" s="5">
        <f>[1]Results!BG366</f>
        <v>57.165000159999998</v>
      </c>
      <c r="BE238" s="5">
        <f>[1]Results!BH366</f>
        <v>58.070065749999998</v>
      </c>
      <c r="BF238" s="5">
        <f>[1]Results!BI366</f>
        <v>58.990694609999998</v>
      </c>
    </row>
    <row r="239" spans="1:58" x14ac:dyDescent="0.35">
      <c r="B239" t="s">
        <v>10</v>
      </c>
      <c r="C239" s="5">
        <f>[1]Results!F402</f>
        <v>22.14580239</v>
      </c>
      <c r="D239" s="5">
        <f>[1]Results!G402</f>
        <v>22.187127820000001</v>
      </c>
      <c r="E239" s="5">
        <f>[1]Results!H402</f>
        <v>22.298957089999998</v>
      </c>
      <c r="F239" s="5">
        <f>[1]Results!I402</f>
        <v>22.486836950000001</v>
      </c>
      <c r="G239" s="5">
        <f>[1]Results!J402</f>
        <v>22.756473020000001</v>
      </c>
      <c r="H239" s="5">
        <f>[1]Results!K402</f>
        <v>23.104144860000002</v>
      </c>
      <c r="I239" s="5">
        <f>[1]Results!L402</f>
        <v>23.50660207</v>
      </c>
      <c r="J239" s="5">
        <f>[1]Results!M402</f>
        <v>23.955444929999999</v>
      </c>
      <c r="K239" s="5">
        <f>[1]Results!N402</f>
        <v>24.439084009999998</v>
      </c>
      <c r="L239" s="5">
        <f>[1]Results!O402</f>
        <v>24.94589345</v>
      </c>
      <c r="M239" s="5">
        <f>[1]Results!P402</f>
        <v>25.48908832</v>
      </c>
      <c r="N239" s="5">
        <f>[1]Results!Q402</f>
        <v>26.028535680000001</v>
      </c>
      <c r="O239" s="5">
        <f>[1]Results!R402</f>
        <v>26.562363820000002</v>
      </c>
      <c r="P239" s="5">
        <f>[1]Results!S402</f>
        <v>27.088226519999999</v>
      </c>
      <c r="Q239" s="5">
        <f>[1]Results!T402</f>
        <v>27.604040090000002</v>
      </c>
      <c r="R239" s="5">
        <f>[1]Results!U402</f>
        <v>28.108716770000001</v>
      </c>
      <c r="S239" s="5">
        <f>[1]Results!V402</f>
        <v>28.603392790000001</v>
      </c>
      <c r="T239" s="5">
        <f>[1]Results!W402</f>
        <v>29.0873782</v>
      </c>
      <c r="U239" s="5">
        <f>[1]Results!X402</f>
        <v>29.56226509</v>
      </c>
      <c r="V239" s="5">
        <f>[1]Results!Y402</f>
        <v>30.030231480000001</v>
      </c>
      <c r="W239" s="5">
        <f>[1]Results!Z402</f>
        <v>30.475834339999999</v>
      </c>
      <c r="X239" s="5">
        <f>[1]Results!AA402</f>
        <v>30.926826009999999</v>
      </c>
      <c r="Y239" s="5">
        <f>[1]Results!AB402</f>
        <v>31.381154049999999</v>
      </c>
      <c r="Z239" s="5">
        <f>[1]Results!AC402</f>
        <v>31.839577800000001</v>
      </c>
      <c r="AA239" s="5">
        <f>[1]Results!AD402</f>
        <v>32.303718869999997</v>
      </c>
      <c r="AB239" s="5">
        <f>[1]Results!AE402</f>
        <v>32.723794560000002</v>
      </c>
      <c r="AC239" s="5">
        <f>[1]Results!AF402</f>
        <v>33.149187439999999</v>
      </c>
      <c r="AD239" s="5">
        <f>[1]Results!AG402</f>
        <v>33.578956990000002</v>
      </c>
      <c r="AE239" s="5">
        <f>[1]Results!AH402</f>
        <v>34.013771480000003</v>
      </c>
      <c r="AF239" s="5">
        <f>[1]Results!AI402</f>
        <v>34.455202440000001</v>
      </c>
      <c r="AG239" s="5">
        <f>[1]Results!AJ402</f>
        <v>34.904961370000002</v>
      </c>
      <c r="AH239" s="5">
        <f>[1]Results!AK402</f>
        <v>35.364098669999997</v>
      </c>
      <c r="AI239" s="5">
        <f>[1]Results!AL402</f>
        <v>35.834278679999997</v>
      </c>
      <c r="AJ239" s="5">
        <f>[1]Results!AM402</f>
        <v>36.316283480000003</v>
      </c>
      <c r="AK239" s="5">
        <f>[1]Results!AN402</f>
        <v>36.810481340000003</v>
      </c>
      <c r="AL239" s="5">
        <f>[1]Results!AO402</f>
        <v>37.316924720000003</v>
      </c>
      <c r="AM239" s="5">
        <f>[1]Results!AP402</f>
        <v>37.81864684</v>
      </c>
      <c r="AN239" s="5">
        <f>[1]Results!AQ402</f>
        <v>38.32545777</v>
      </c>
      <c r="AO239" s="5">
        <f>[1]Results!AR402</f>
        <v>38.83925619</v>
      </c>
      <c r="AP239" s="5">
        <f>[1]Results!AS402</f>
        <v>39.360448980000001</v>
      </c>
      <c r="AQ239" s="5">
        <f>[1]Results!AT402</f>
        <v>39.889167970000003</v>
      </c>
      <c r="AR239" s="5">
        <f>[1]Results!AU402</f>
        <v>40.424764230000001</v>
      </c>
      <c r="AS239" s="5">
        <f>[1]Results!AV402</f>
        <v>40.968250820000002</v>
      </c>
      <c r="AT239" s="5">
        <f>[1]Results!AW402</f>
        <v>41.519845519999997</v>
      </c>
      <c r="AU239" s="5">
        <f>[1]Results!AX402</f>
        <v>42.079653890000003</v>
      </c>
      <c r="AV239" s="5">
        <f>[1]Results!AY402</f>
        <v>42.647718859999998</v>
      </c>
      <c r="AW239" s="5">
        <f>[1]Results!AZ402</f>
        <v>43.222305419999998</v>
      </c>
      <c r="AX239" s="5">
        <f>[1]Results!BA402</f>
        <v>43.805968489999998</v>
      </c>
      <c r="AY239" s="5">
        <f>[1]Results!BB402</f>
        <v>43.839742139999998</v>
      </c>
      <c r="AZ239" s="5">
        <f>[1]Results!BC402</f>
        <v>43.921824579999999</v>
      </c>
      <c r="BA239" s="5">
        <f>[1]Results!BD402</f>
        <v>43.931022659999996</v>
      </c>
      <c r="BB239" s="5">
        <f>[1]Results!BE402</f>
        <v>51.378890849999998</v>
      </c>
      <c r="BC239" s="5">
        <f>[1]Results!BF402</f>
        <v>52.228503259999997</v>
      </c>
      <c r="BD239" s="5">
        <f>[1]Results!BG402</f>
        <v>53.091033299999999</v>
      </c>
      <c r="BE239" s="5">
        <f>[1]Results!BH402</f>
        <v>53.966871159999997</v>
      </c>
      <c r="BF239" s="5">
        <f>[1]Results!BI402</f>
        <v>54.856396529999998</v>
      </c>
    </row>
    <row r="240" spans="1:58" x14ac:dyDescent="0.35">
      <c r="B240" t="s">
        <v>44</v>
      </c>
      <c r="C240" s="5">
        <f>[1]Results!F353</f>
        <v>64.301440170000006</v>
      </c>
      <c r="D240" s="5">
        <f>[1]Results!G353</f>
        <v>64.227304559999993</v>
      </c>
      <c r="E240" s="5">
        <f>[1]Results!H353</f>
        <v>63.820862990000002</v>
      </c>
      <c r="F240" s="5">
        <f>[1]Results!I353</f>
        <v>63.358257729999998</v>
      </c>
      <c r="G240" s="5">
        <f>[1]Results!J353</f>
        <v>62.946980420000003</v>
      </c>
      <c r="H240" s="5">
        <f>[1]Results!K353</f>
        <v>62.622310910000003</v>
      </c>
      <c r="I240" s="5">
        <f>[1]Results!L353</f>
        <v>62.369722279999998</v>
      </c>
      <c r="J240" s="5">
        <f>[1]Results!M353</f>
        <v>62.186632269999997</v>
      </c>
      <c r="K240" s="5">
        <f>[1]Results!N353</f>
        <v>62.06258347</v>
      </c>
      <c r="L240" s="5">
        <f>[1]Results!O353</f>
        <v>61.987047750000002</v>
      </c>
      <c r="M240" s="5">
        <f>[1]Results!P353</f>
        <v>61.978960389999997</v>
      </c>
      <c r="N240" s="5">
        <f>[1]Results!Q353</f>
        <v>61.984500670000003</v>
      </c>
      <c r="O240" s="5">
        <f>[1]Results!R353</f>
        <v>62.006944820000001</v>
      </c>
      <c r="P240" s="5">
        <f>[1]Results!S353</f>
        <v>62.045609810000002</v>
      </c>
      <c r="Q240" s="5">
        <f>[1]Results!T353</f>
        <v>62.097860490000002</v>
      </c>
      <c r="R240" s="5">
        <f>[1]Results!U353</f>
        <v>62.16057137</v>
      </c>
      <c r="S240" s="5">
        <f>[1]Results!V353</f>
        <v>62.22720881</v>
      </c>
      <c r="T240" s="5">
        <f>[1]Results!W353</f>
        <v>62.297110230000001</v>
      </c>
      <c r="U240" s="5">
        <f>[1]Results!X353</f>
        <v>62.368933779999999</v>
      </c>
      <c r="V240" s="5">
        <f>[1]Results!Y353</f>
        <v>62.441298410000002</v>
      </c>
      <c r="W240" s="5">
        <f>[1]Results!Z353</f>
        <v>62.494288220000001</v>
      </c>
      <c r="X240" s="5">
        <f>[1]Results!AA353</f>
        <v>62.555176330000002</v>
      </c>
      <c r="Y240" s="5">
        <f>[1]Results!AB353</f>
        <v>62.618819909999999</v>
      </c>
      <c r="Z240" s="5">
        <f>[1]Results!AC353</f>
        <v>62.682597180000002</v>
      </c>
      <c r="AA240" s="5">
        <f>[1]Results!AD353</f>
        <v>62.74558021</v>
      </c>
      <c r="AB240" s="5">
        <f>[1]Results!AE353</f>
        <v>62.756465300000002</v>
      </c>
      <c r="AC240" s="5">
        <f>[1]Results!AF353</f>
        <v>62.769005110000002</v>
      </c>
      <c r="AD240" s="5">
        <f>[1]Results!AG353</f>
        <v>62.781473820000002</v>
      </c>
      <c r="AE240" s="5">
        <f>[1]Results!AH353</f>
        <v>62.792820460000002</v>
      </c>
      <c r="AF240" s="5">
        <f>[1]Results!AI353</f>
        <v>62.803041919999998</v>
      </c>
      <c r="AG240" s="5">
        <f>[1]Results!AJ353</f>
        <v>62.812554159999998</v>
      </c>
      <c r="AH240" s="5">
        <f>[1]Results!AK353</f>
        <v>62.822765990000001</v>
      </c>
      <c r="AI240" s="5">
        <f>[1]Results!AL353</f>
        <v>62.833868150000001</v>
      </c>
      <c r="AJ240" s="5">
        <f>[1]Results!AM353</f>
        <v>62.846304549999999</v>
      </c>
      <c r="AK240" s="5">
        <f>[1]Results!AN353</f>
        <v>62.860606079999997</v>
      </c>
      <c r="AL240" s="5">
        <f>[1]Results!AO353</f>
        <v>62.877302049999997</v>
      </c>
      <c r="AM240" s="5">
        <f>[1]Results!AP353</f>
        <v>62.893009399999997</v>
      </c>
      <c r="AN240" s="5">
        <f>[1]Results!AQ353</f>
        <v>62.909134600000002</v>
      </c>
      <c r="AO240" s="5">
        <f>[1]Results!AR353</f>
        <v>62.926745189999998</v>
      </c>
      <c r="AP240" s="5">
        <f>[1]Results!AS353</f>
        <v>62.946549259999998</v>
      </c>
      <c r="AQ240" s="5">
        <f>[1]Results!AT353</f>
        <v>62.969059340000001</v>
      </c>
      <c r="AR240" s="5">
        <f>[1]Results!AU353</f>
        <v>62.995751550000001</v>
      </c>
      <c r="AS240" s="5">
        <f>[1]Results!AV353</f>
        <v>63.026311909999997</v>
      </c>
      <c r="AT240" s="5">
        <f>[1]Results!AW353</f>
        <v>63.060746819999999</v>
      </c>
      <c r="AU240" s="5">
        <f>[1]Results!AX353</f>
        <v>63.099198639999997</v>
      </c>
      <c r="AV240" s="5">
        <f>[1]Results!AY353</f>
        <v>63.141851930000001</v>
      </c>
      <c r="AW240" s="5">
        <f>[1]Results!AZ353</f>
        <v>63.193298929999997</v>
      </c>
      <c r="AX240" s="5">
        <f>[1]Results!BA353</f>
        <v>63.251170569999999</v>
      </c>
      <c r="AY240" s="5">
        <f>[1]Results!BB353</f>
        <v>63.218519120000003</v>
      </c>
      <c r="AZ240" s="5">
        <f>[1]Results!BC353</f>
        <v>63.215735860000002</v>
      </c>
      <c r="BA240" s="5">
        <f>[1]Results!BD353</f>
        <v>63.215936220000003</v>
      </c>
      <c r="BB240" s="5">
        <f>[1]Results!BE353</f>
        <v>64.419719540000003</v>
      </c>
      <c r="BC240" s="5">
        <f>[1]Results!BF353</f>
        <v>64.521376770000003</v>
      </c>
      <c r="BD240" s="5">
        <f>[1]Results!BG353</f>
        <v>64.626029189999997</v>
      </c>
      <c r="BE240" s="5">
        <f>[1]Results!BH353</f>
        <v>64.733579050000003</v>
      </c>
      <c r="BF240" s="5">
        <f>[1]Results!BI353</f>
        <v>64.844110799999996</v>
      </c>
    </row>
    <row r="241" spans="1:58" x14ac:dyDescent="0.35">
      <c r="B241" t="s">
        <v>45</v>
      </c>
      <c r="C241" s="5">
        <f>[1]Results!F354</f>
        <v>42.52087745</v>
      </c>
      <c r="D241" s="5">
        <f>[1]Results!G354</f>
        <v>42.746999270000003</v>
      </c>
      <c r="E241" s="5">
        <f>[1]Results!H354</f>
        <v>42.526766330000001</v>
      </c>
      <c r="F241" s="5">
        <f>[1]Results!I354</f>
        <v>42.169627869999999</v>
      </c>
      <c r="G241" s="5">
        <f>[1]Results!J354</f>
        <v>41.805713600000004</v>
      </c>
      <c r="H241" s="5">
        <f>[1]Results!K354</f>
        <v>41.483559469999996</v>
      </c>
      <c r="I241" s="5">
        <f>[1]Results!L354</f>
        <v>41.198876009999999</v>
      </c>
      <c r="J241" s="5">
        <f>[1]Results!M354</f>
        <v>40.953489090000005</v>
      </c>
      <c r="K241" s="5">
        <f>[1]Results!N354</f>
        <v>40.739778600000001</v>
      </c>
      <c r="L241" s="5">
        <f>[1]Results!O354</f>
        <v>40.549642409999997</v>
      </c>
      <c r="M241" s="5">
        <f>[1]Results!P354</f>
        <v>40.399989700000006</v>
      </c>
      <c r="N241" s="5">
        <f>[1]Results!Q354</f>
        <v>40.244430159999993</v>
      </c>
      <c r="O241" s="5">
        <f>[1]Results!R354</f>
        <v>40.08911458</v>
      </c>
      <c r="P241" s="5">
        <f>[1]Results!S354</f>
        <v>39.936036139999999</v>
      </c>
      <c r="Q241" s="5">
        <f>[1]Results!T354</f>
        <v>39.785671740000005</v>
      </c>
      <c r="R241" s="5">
        <f>[1]Results!U354</f>
        <v>39.637819229999998</v>
      </c>
      <c r="S241" s="5">
        <f>[1]Results!V354</f>
        <v>39.488734399999998</v>
      </c>
      <c r="T241" s="5">
        <f>[1]Results!W354</f>
        <v>39.340106899999995</v>
      </c>
      <c r="U241" s="5">
        <f>[1]Results!X354</f>
        <v>39.19249473</v>
      </c>
      <c r="V241" s="5">
        <f>[1]Results!Y354</f>
        <v>39.046035609999997</v>
      </c>
      <c r="W241" s="5">
        <f>[1]Results!Z354</f>
        <v>38.885143590000006</v>
      </c>
      <c r="X241" s="5">
        <f>[1]Results!AA354</f>
        <v>38.734290799999997</v>
      </c>
      <c r="Y241" s="5">
        <f>[1]Results!AB354</f>
        <v>38.58874488</v>
      </c>
      <c r="Z241" s="5">
        <f>[1]Results!AC354</f>
        <v>38.446263469999998</v>
      </c>
      <c r="AA241" s="5">
        <f>[1]Results!AD354</f>
        <v>38.30583214</v>
      </c>
      <c r="AB241" s="5">
        <f>[1]Results!AE354</f>
        <v>38.124976090000004</v>
      </c>
      <c r="AC241" s="5">
        <f>[1]Results!AF354</f>
        <v>37.95128596</v>
      </c>
      <c r="AD241" s="5">
        <f>[1]Results!AG354</f>
        <v>37.782106399999996</v>
      </c>
      <c r="AE241" s="5">
        <f>[1]Results!AH354</f>
        <v>37.61600163</v>
      </c>
      <c r="AF241" s="5">
        <f>[1]Results!AI354</f>
        <v>37.452085650000001</v>
      </c>
      <c r="AG241" s="5">
        <f>[1]Results!AJ354</f>
        <v>37.289970490000002</v>
      </c>
      <c r="AH241" s="5">
        <f>[1]Results!AK354</f>
        <v>37.130307880000004</v>
      </c>
      <c r="AI241" s="5">
        <f>[1]Results!AL354</f>
        <v>36.972615149999996</v>
      </c>
      <c r="AJ241" s="5">
        <f>[1]Results!AM354</f>
        <v>36.816728550000001</v>
      </c>
      <c r="AK241" s="5">
        <f>[1]Results!AN354</f>
        <v>36.66260673</v>
      </c>
      <c r="AL241" s="5">
        <f>[1]Results!AO354</f>
        <v>36.510248539999999</v>
      </c>
      <c r="AM241" s="5">
        <f>[1]Results!AP354</f>
        <v>36.357572829999995</v>
      </c>
      <c r="AN241" s="5">
        <f>[1]Results!AQ354</f>
        <v>36.205259770000005</v>
      </c>
      <c r="AO241" s="5">
        <f>[1]Results!AR354</f>
        <v>36.05386566</v>
      </c>
      <c r="AP241" s="5">
        <f>[1]Results!AS354</f>
        <v>35.903696029999999</v>
      </c>
      <c r="AQ241" s="5">
        <f>[1]Results!AT354</f>
        <v>35.754869290000002</v>
      </c>
      <c r="AR241" s="5">
        <f>[1]Results!AU354</f>
        <v>35.608459539999998</v>
      </c>
      <c r="AS241" s="5">
        <f>[1]Results!AV354</f>
        <v>35.463826920000002</v>
      </c>
      <c r="AT241" s="5">
        <f>[1]Results!AW354</f>
        <v>35.320720630000004</v>
      </c>
      <c r="AU241" s="5">
        <f>[1]Results!AX354</f>
        <v>35.179049560000003</v>
      </c>
      <c r="AV241" s="5">
        <f>[1]Results!AY354</f>
        <v>35.038787899999996</v>
      </c>
      <c r="AW241" s="5">
        <f>[1]Results!AZ354</f>
        <v>34.904023760000001</v>
      </c>
      <c r="AX241" s="5">
        <f>[1]Results!BA354</f>
        <v>34.772204469999998</v>
      </c>
      <c r="AY241" s="5">
        <f>[1]Results!BB354</f>
        <v>34.670697099999998</v>
      </c>
      <c r="AZ241" s="5">
        <f>[1]Results!BC354</f>
        <v>34.598581420000002</v>
      </c>
      <c r="BA241" s="5">
        <f>[1]Results!BD354</f>
        <v>34.530509090000002</v>
      </c>
      <c r="BB241" s="5">
        <f>[1]Results!BE354</f>
        <v>34.849368820000002</v>
      </c>
      <c r="BC241" s="5">
        <f>[1]Results!BF354</f>
        <v>34.745864249999997</v>
      </c>
      <c r="BD241" s="5">
        <f>[1]Results!BG354</f>
        <v>34.643640210000001</v>
      </c>
      <c r="BE241" s="5">
        <f>[1]Results!BH354</f>
        <v>34.542457280000001</v>
      </c>
      <c r="BF241" s="5">
        <f>[1]Results!BI354</f>
        <v>34.442238750000001</v>
      </c>
    </row>
    <row r="242" spans="1:58" x14ac:dyDescent="0.35">
      <c r="B242" t="s">
        <v>46</v>
      </c>
      <c r="C242" s="5">
        <f>[1]Results!F362</f>
        <v>21.78056273</v>
      </c>
      <c r="D242" s="5">
        <f>[1]Results!G362</f>
        <v>21.48030528</v>
      </c>
      <c r="E242" s="5">
        <f>[1]Results!H362</f>
        <v>21.294096660000001</v>
      </c>
      <c r="F242" s="5">
        <f>[1]Results!I362</f>
        <v>21.188629859999999</v>
      </c>
      <c r="G242" s="5">
        <f>[1]Results!J362</f>
        <v>21.141266820000002</v>
      </c>
      <c r="H242" s="5">
        <f>[1]Results!K362</f>
        <v>21.13875144</v>
      </c>
      <c r="I242" s="5">
        <f>[1]Results!L362</f>
        <v>21.170846269999998</v>
      </c>
      <c r="J242" s="5">
        <f>[1]Results!M362</f>
        <v>21.233143179999999</v>
      </c>
      <c r="K242" s="5">
        <f>[1]Results!N362</f>
        <v>21.322804870000002</v>
      </c>
      <c r="L242" s="5">
        <f>[1]Results!O362</f>
        <v>21.437405340000002</v>
      </c>
      <c r="M242" s="5">
        <f>[1]Results!P362</f>
        <v>21.578970690000002</v>
      </c>
      <c r="N242" s="5">
        <f>[1]Results!Q362</f>
        <v>21.740070510000002</v>
      </c>
      <c r="O242" s="5">
        <f>[1]Results!R362</f>
        <v>21.91783023</v>
      </c>
      <c r="P242" s="5">
        <f>[1]Results!S362</f>
        <v>22.109573659999999</v>
      </c>
      <c r="Q242" s="5">
        <f>[1]Results!T362</f>
        <v>22.312188750000001</v>
      </c>
      <c r="R242" s="5">
        <f>[1]Results!U362</f>
        <v>22.522752140000001</v>
      </c>
      <c r="S242" s="5">
        <f>[1]Results!V362</f>
        <v>22.738474409999998</v>
      </c>
      <c r="T242" s="5">
        <f>[1]Results!W362</f>
        <v>22.957003329999999</v>
      </c>
      <c r="U242" s="5">
        <f>[1]Results!X362</f>
        <v>23.176439049999999</v>
      </c>
      <c r="V242" s="5">
        <f>[1]Results!Y362</f>
        <v>23.39526279</v>
      </c>
      <c r="W242" s="5">
        <f>[1]Results!Z362</f>
        <v>23.609144629999999</v>
      </c>
      <c r="X242" s="5">
        <f>[1]Results!AA362</f>
        <v>23.820885539999999</v>
      </c>
      <c r="Y242" s="5">
        <f>[1]Results!AB362</f>
        <v>24.030075030000003</v>
      </c>
      <c r="Z242" s="5">
        <f>[1]Results!AC362</f>
        <v>24.23633371</v>
      </c>
      <c r="AA242" s="5">
        <f>[1]Results!AD362</f>
        <v>24.43974807</v>
      </c>
      <c r="AB242" s="5">
        <f>[1]Results!AE362</f>
        <v>24.631489210000002</v>
      </c>
      <c r="AC242" s="5">
        <f>[1]Results!AF362</f>
        <v>24.817719149999999</v>
      </c>
      <c r="AD242" s="5">
        <f>[1]Results!AG362</f>
        <v>24.999367420000002</v>
      </c>
      <c r="AE242" s="5">
        <f>[1]Results!AH362</f>
        <v>25.176818829999998</v>
      </c>
      <c r="AF242" s="5">
        <f>[1]Results!AI362</f>
        <v>25.350956270000001</v>
      </c>
      <c r="AG242" s="5">
        <f>[1]Results!AJ362</f>
        <v>25.522583659999999</v>
      </c>
      <c r="AH242" s="5">
        <f>[1]Results!AK362</f>
        <v>25.69245811</v>
      </c>
      <c r="AI242" s="5">
        <f>[1]Results!AL362</f>
        <v>25.861253000000001</v>
      </c>
      <c r="AJ242" s="5">
        <f>[1]Results!AM362</f>
        <v>26.029576010000003</v>
      </c>
      <c r="AK242" s="5">
        <f>[1]Results!AN362</f>
        <v>26.197999339999999</v>
      </c>
      <c r="AL242" s="5">
        <f>[1]Results!AO362</f>
        <v>26.367053510000002</v>
      </c>
      <c r="AM242" s="5">
        <f>[1]Results!AP362</f>
        <v>26.535436570000002</v>
      </c>
      <c r="AN242" s="5">
        <f>[1]Results!AQ362</f>
        <v>26.703874819999999</v>
      </c>
      <c r="AO242" s="5">
        <f>[1]Results!AR362</f>
        <v>26.872879530000002</v>
      </c>
      <c r="AP242" s="5">
        <f>[1]Results!AS362</f>
        <v>27.042853239999999</v>
      </c>
      <c r="AQ242" s="5">
        <f>[1]Results!AT362</f>
        <v>27.214190049999999</v>
      </c>
      <c r="AR242" s="5">
        <f>[1]Results!AU362</f>
        <v>27.387292010000003</v>
      </c>
      <c r="AS242" s="5">
        <f>[1]Results!AV362</f>
        <v>27.562484989999998</v>
      </c>
      <c r="AT242" s="5">
        <f>[1]Results!AW362</f>
        <v>27.740026190000002</v>
      </c>
      <c r="AU242" s="5">
        <f>[1]Results!AX362</f>
        <v>27.920149079999998</v>
      </c>
      <c r="AV242" s="5">
        <f>[1]Results!AY362</f>
        <v>28.103064030000002</v>
      </c>
      <c r="AW242" s="5">
        <f>[1]Results!AZ362</f>
        <v>28.289275170000003</v>
      </c>
      <c r="AX242" s="5">
        <f>[1]Results!BA362</f>
        <v>28.478966100000001</v>
      </c>
      <c r="AY242" s="5">
        <f>[1]Results!BB362</f>
        <v>28.547822010000001</v>
      </c>
      <c r="AZ242" s="5">
        <f>[1]Results!BC362</f>
        <v>28.617154429999999</v>
      </c>
      <c r="BA242" s="5">
        <f>[1]Results!BD362</f>
        <v>28.685427129999997</v>
      </c>
      <c r="BB242" s="5">
        <f>[1]Results!BE362</f>
        <v>29.57035072</v>
      </c>
      <c r="BC242" s="5">
        <f>[1]Results!BF362</f>
        <v>29.775512519999999</v>
      </c>
      <c r="BD242" s="5">
        <f>[1]Results!BG362</f>
        <v>29.98238898</v>
      </c>
      <c r="BE242" s="5">
        <f>[1]Results!BH362</f>
        <v>30.191121769999999</v>
      </c>
      <c r="BF242" s="5">
        <f>[1]Results!BI362</f>
        <v>30.401872050000001</v>
      </c>
    </row>
    <row r="244" spans="1:58" x14ac:dyDescent="0.35">
      <c r="A244" s="12" t="s">
        <v>43</v>
      </c>
      <c r="B244" t="s">
        <v>26</v>
      </c>
      <c r="C244" s="5">
        <f>C245+C246+C247+C248</f>
        <v>98.015569859999999</v>
      </c>
      <c r="D244" s="5">
        <f t="shared" ref="D244:AL244" si="135">D245+D246+D247+D248</f>
        <v>99.166563551999985</v>
      </c>
      <c r="E244" s="5">
        <f t="shared" si="135"/>
        <v>100.39253893999999</v>
      </c>
      <c r="F244" s="5">
        <f t="shared" si="135"/>
        <v>101.718982438</v>
      </c>
      <c r="G244" s="5">
        <f t="shared" si="135"/>
        <v>103.148949402</v>
      </c>
      <c r="H244" s="5">
        <f t="shared" si="135"/>
        <v>104.67237150099999</v>
      </c>
      <c r="I244" s="5">
        <f t="shared" si="135"/>
        <v>106.210156987</v>
      </c>
      <c r="J244" s="5">
        <f t="shared" si="135"/>
        <v>107.77812097</v>
      </c>
      <c r="K244" s="5">
        <f t="shared" si="135"/>
        <v>109.371925175</v>
      </c>
      <c r="L244" s="5">
        <f t="shared" si="135"/>
        <v>110.982892132</v>
      </c>
      <c r="M244" s="5">
        <f t="shared" si="135"/>
        <v>112.71340782599999</v>
      </c>
      <c r="N244" s="5">
        <f t="shared" si="135"/>
        <v>114.38811823399999</v>
      </c>
      <c r="O244" s="5">
        <f t="shared" si="135"/>
        <v>116.04041296599999</v>
      </c>
      <c r="P244" s="5">
        <f t="shared" si="135"/>
        <v>117.67874402</v>
      </c>
      <c r="Q244" s="5">
        <f t="shared" si="135"/>
        <v>119.305519765</v>
      </c>
      <c r="R244" s="5">
        <f t="shared" si="135"/>
        <v>120.922704693</v>
      </c>
      <c r="S244" s="5">
        <f t="shared" si="135"/>
        <v>122.53315068800001</v>
      </c>
      <c r="T244" s="5">
        <f t="shared" si="135"/>
        <v>124.140658589</v>
      </c>
      <c r="U244" s="5">
        <f t="shared" si="135"/>
        <v>125.749687337</v>
      </c>
      <c r="V244" s="5">
        <f t="shared" si="135"/>
        <v>127.36500166899999</v>
      </c>
      <c r="W244" s="5">
        <f t="shared" si="135"/>
        <v>128.91101744299999</v>
      </c>
      <c r="X244" s="5">
        <f t="shared" si="135"/>
        <v>130.515297272</v>
      </c>
      <c r="Y244" s="5">
        <f t="shared" si="135"/>
        <v>132.15415700399998</v>
      </c>
      <c r="Z244" s="5">
        <f t="shared" si="135"/>
        <v>133.82341408100001</v>
      </c>
      <c r="AA244" s="5">
        <f t="shared" si="135"/>
        <v>135.52385881499998</v>
      </c>
      <c r="AB244" s="5">
        <f t="shared" si="135"/>
        <v>137.02800201900001</v>
      </c>
      <c r="AC244" s="5">
        <f t="shared" si="135"/>
        <v>138.57929159299999</v>
      </c>
      <c r="AD244" s="5">
        <f t="shared" si="135"/>
        <v>140.15526689699999</v>
      </c>
      <c r="AE244" s="5">
        <f t="shared" si="135"/>
        <v>141.75345606799999</v>
      </c>
      <c r="AF244" s="5">
        <f t="shared" si="135"/>
        <v>143.376555419</v>
      </c>
      <c r="AG244" s="5">
        <f t="shared" si="135"/>
        <v>145.02787079199999</v>
      </c>
      <c r="AH244" s="5">
        <f t="shared" si="135"/>
        <v>146.70996795399998</v>
      </c>
      <c r="AI244" s="5">
        <f t="shared" si="135"/>
        <v>148.42432733499999</v>
      </c>
      <c r="AJ244" s="5">
        <f t="shared" si="135"/>
        <v>150.17136404899998</v>
      </c>
      <c r="AK244" s="5">
        <f t="shared" si="135"/>
        <v>151.950599557</v>
      </c>
      <c r="AL244" s="5">
        <f t="shared" si="135"/>
        <v>153.76088900600001</v>
      </c>
      <c r="AM244" s="5">
        <f t="shared" ref="AM244:BC244" si="136">AM245+AM246+AM247+AM248</f>
        <v>155.54655455299999</v>
      </c>
      <c r="AN244" s="5">
        <f t="shared" si="136"/>
        <v>157.33409190700002</v>
      </c>
      <c r="AO244" s="5">
        <f t="shared" si="136"/>
        <v>159.13125249500001</v>
      </c>
      <c r="AP244" s="5">
        <f t="shared" si="136"/>
        <v>160.94080614399999</v>
      </c>
      <c r="AQ244" s="5">
        <f t="shared" si="136"/>
        <v>162.764304821</v>
      </c>
      <c r="AR244" s="5">
        <f t="shared" si="136"/>
        <v>164.603002154</v>
      </c>
      <c r="AS244" s="5">
        <f t="shared" si="136"/>
        <v>166.45800338499998</v>
      </c>
      <c r="AT244" s="5">
        <f t="shared" si="136"/>
        <v>168.330232975</v>
      </c>
      <c r="AU244" s="5">
        <f t="shared" si="136"/>
        <v>170.22039027699998</v>
      </c>
      <c r="AV244" s="5">
        <f t="shared" si="136"/>
        <v>172.12893796</v>
      </c>
      <c r="AW244" s="5">
        <f t="shared" si="136"/>
        <v>174.060929886</v>
      </c>
      <c r="AX244" s="5">
        <f t="shared" si="136"/>
        <v>176.01391700900001</v>
      </c>
      <c r="AY244" s="5">
        <f t="shared" si="136"/>
        <v>177.98702477400002</v>
      </c>
      <c r="AZ244" s="5">
        <f t="shared" si="136"/>
        <v>179.97977622799999</v>
      </c>
      <c r="BA244" s="5">
        <f t="shared" si="136"/>
        <v>181.99181534300001</v>
      </c>
      <c r="BB244" s="5">
        <f t="shared" si="136"/>
        <v>219.62979436000001</v>
      </c>
      <c r="BC244" s="5">
        <f t="shared" si="136"/>
        <v>223.28244995</v>
      </c>
      <c r="BD244" s="5">
        <f t="shared" ref="BD244:BF244" si="137">BD245+BD246+BD247+BD248</f>
        <v>226.99166742999998</v>
      </c>
      <c r="BE244" s="5">
        <f t="shared" si="137"/>
        <v>230.75868786000001</v>
      </c>
      <c r="BF244" s="5">
        <f t="shared" si="137"/>
        <v>234.58481332999997</v>
      </c>
    </row>
    <row r="245" spans="1:58" x14ac:dyDescent="0.35">
      <c r="A245" t="s">
        <v>38</v>
      </c>
      <c r="B245" t="s">
        <v>7</v>
      </c>
      <c r="C245" s="5">
        <f>[1]Results!F439</f>
        <v>4.8973122399999998</v>
      </c>
      <c r="D245" s="5">
        <f>[1]Results!G439</f>
        <v>4.9281095319999997</v>
      </c>
      <c r="E245" s="5">
        <f>[1]Results!H439</f>
        <v>4.9509513500000004</v>
      </c>
      <c r="F245" s="5">
        <f>[1]Results!I439</f>
        <v>4.9732135179999997</v>
      </c>
      <c r="G245" s="5">
        <f>[1]Results!J439</f>
        <v>4.9973595020000001</v>
      </c>
      <c r="H245" s="5">
        <f>[1]Results!K439</f>
        <v>5.0237681810000003</v>
      </c>
      <c r="I245" s="5">
        <f>[1]Results!L439</f>
        <v>5.0484399870000001</v>
      </c>
      <c r="J245" s="5">
        <f>[1]Results!M439</f>
        <v>5.0719991999999996</v>
      </c>
      <c r="K245" s="5">
        <f>[1]Results!N439</f>
        <v>5.094817215</v>
      </c>
      <c r="L245" s="5">
        <f>[1]Results!O439</f>
        <v>5.1170023819999999</v>
      </c>
      <c r="M245" s="5">
        <f>[1]Results!P439</f>
        <v>5.1444144959999996</v>
      </c>
      <c r="N245" s="5">
        <f>[1]Results!Q439</f>
        <v>5.1687906339999996</v>
      </c>
      <c r="O245" s="5">
        <f>[1]Results!R439</f>
        <v>5.1907684659999997</v>
      </c>
      <c r="P245" s="5">
        <f>[1]Results!S439</f>
        <v>5.2112123800000001</v>
      </c>
      <c r="Q245" s="5">
        <f>[1]Results!T439</f>
        <v>5.2307545549999999</v>
      </c>
      <c r="R245" s="5">
        <f>[1]Results!U439</f>
        <v>5.2498568529999998</v>
      </c>
      <c r="S245" s="5">
        <f>[1]Results!V439</f>
        <v>5.2688540079999999</v>
      </c>
      <c r="T245" s="5">
        <f>[1]Results!W439</f>
        <v>5.287972559</v>
      </c>
      <c r="U245" s="5">
        <f>[1]Results!X439</f>
        <v>5.3073476470000003</v>
      </c>
      <c r="V245" s="5">
        <f>[1]Results!Y439</f>
        <v>5.3270404490000001</v>
      </c>
      <c r="W245" s="5">
        <f>[1]Results!Z439</f>
        <v>5.3431859130000001</v>
      </c>
      <c r="X245" s="5">
        <f>[1]Results!AA439</f>
        <v>5.3612951219999996</v>
      </c>
      <c r="Y245" s="5">
        <f>[1]Results!AB439</f>
        <v>5.3809168940000003</v>
      </c>
      <c r="Z245" s="5">
        <f>[1]Results!AC439</f>
        <v>5.4015005409999999</v>
      </c>
      <c r="AA245" s="5">
        <f>[1]Results!AD439</f>
        <v>5.4226621850000001</v>
      </c>
      <c r="AB245" s="5">
        <f>[1]Results!AE439</f>
        <v>5.4335635189999998</v>
      </c>
      <c r="AC245" s="5">
        <f>[1]Results!AF439</f>
        <v>5.4442094130000003</v>
      </c>
      <c r="AD245" s="5">
        <f>[1]Results!AG439</f>
        <v>5.4555028070000002</v>
      </c>
      <c r="AE245" s="5">
        <f>[1]Results!AH439</f>
        <v>5.4676431780000003</v>
      </c>
      <c r="AF245" s="5">
        <f>[1]Results!AI439</f>
        <v>5.4806712190000004</v>
      </c>
      <c r="AG245" s="5">
        <f>[1]Results!AJ439</f>
        <v>5.494514852</v>
      </c>
      <c r="AH245" s="5">
        <f>[1]Results!AK439</f>
        <v>5.5090213439999998</v>
      </c>
      <c r="AI245" s="5">
        <f>[1]Results!AL439</f>
        <v>5.5239993549999999</v>
      </c>
      <c r="AJ245" s="5">
        <f>[1]Results!AM439</f>
        <v>5.539257439</v>
      </c>
      <c r="AK245" s="5">
        <f>[1]Results!AN439</f>
        <v>5.5546324970000001</v>
      </c>
      <c r="AL245" s="5">
        <f>[1]Results!AO439</f>
        <v>5.5700062060000004</v>
      </c>
      <c r="AM245" s="5">
        <f>[1]Results!AP439</f>
        <v>5.5830511930000002</v>
      </c>
      <c r="AN245" s="5">
        <f>[1]Results!AQ439</f>
        <v>5.5947255870000001</v>
      </c>
      <c r="AO245" s="5">
        <f>[1]Results!AR439</f>
        <v>5.6057731750000004</v>
      </c>
      <c r="AP245" s="5">
        <f>[1]Results!AS439</f>
        <v>5.616674304</v>
      </c>
      <c r="AQ245" s="5">
        <f>[1]Results!AT439</f>
        <v>5.6277256309999997</v>
      </c>
      <c r="AR245" s="5">
        <f>[1]Results!AU439</f>
        <v>5.6390897239999997</v>
      </c>
      <c r="AS245" s="5">
        <f>[1]Results!AV439</f>
        <v>5.6508285850000002</v>
      </c>
      <c r="AT245" s="5">
        <f>[1]Results!AW439</f>
        <v>5.662932305</v>
      </c>
      <c r="AU245" s="5">
        <f>[1]Results!AX439</f>
        <v>5.6753453770000002</v>
      </c>
      <c r="AV245" s="5">
        <f>[1]Results!AY439</f>
        <v>5.6879898400000002</v>
      </c>
      <c r="AW245" s="5">
        <f>[1]Results!AZ439</f>
        <v>5.700966126</v>
      </c>
      <c r="AX245" s="5">
        <f>[1]Results!BA439</f>
        <v>5.7141227189999997</v>
      </c>
      <c r="AY245" s="5">
        <f>[1]Results!BB439</f>
        <v>5.7273464939999998</v>
      </c>
      <c r="AZ245" s="5">
        <f>[1]Results!BC439</f>
        <v>5.740567918</v>
      </c>
      <c r="BA245" s="5">
        <f>[1]Results!BD439</f>
        <v>5.753753133</v>
      </c>
      <c r="BB245" s="5">
        <f>[1]Results!BE439</f>
        <v>10.78471672</v>
      </c>
      <c r="BC245" s="5">
        <f>[1]Results!BF439</f>
        <v>10.958941790000001</v>
      </c>
      <c r="BD245" s="5">
        <f>[1]Results!BG439</f>
        <v>11.13593225</v>
      </c>
      <c r="BE245" s="5">
        <f>[1]Results!BH439</f>
        <v>11.315761910000001</v>
      </c>
      <c r="BF245" s="5">
        <f>[1]Results!BI439</f>
        <v>11.498509670000001</v>
      </c>
    </row>
    <row r="246" spans="1:58" x14ac:dyDescent="0.35">
      <c r="B246" t="s">
        <v>30</v>
      </c>
      <c r="C246" s="5">
        <f>[1]Results!F451</f>
        <v>44.238908969999997</v>
      </c>
      <c r="D246" s="5">
        <f>[1]Results!G451</f>
        <v>44.767453349999997</v>
      </c>
      <c r="E246" s="5">
        <f>[1]Results!H451</f>
        <v>45.336812770000002</v>
      </c>
      <c r="F246" s="5">
        <f>[1]Results!I451</f>
        <v>45.954189169999999</v>
      </c>
      <c r="G246" s="5">
        <f>[1]Results!J451</f>
        <v>46.618659559999998</v>
      </c>
      <c r="H246" s="5">
        <f>[1]Results!K451</f>
        <v>47.324354649999997</v>
      </c>
      <c r="I246" s="5">
        <f>[1]Results!L451</f>
        <v>48.033243470000002</v>
      </c>
      <c r="J246" s="5">
        <f>[1]Results!M451</f>
        <v>48.753295790000003</v>
      </c>
      <c r="K246" s="5">
        <f>[1]Results!N451</f>
        <v>49.482383540000001</v>
      </c>
      <c r="L246" s="5">
        <f>[1]Results!O451</f>
        <v>50.216274089999999</v>
      </c>
      <c r="M246" s="5">
        <f>[1]Results!P451</f>
        <v>51.003479740000003</v>
      </c>
      <c r="N246" s="5">
        <f>[1]Results!Q451</f>
        <v>51.759807080000002</v>
      </c>
      <c r="O246" s="5">
        <f>[1]Results!R451</f>
        <v>52.502519370000002</v>
      </c>
      <c r="P246" s="5">
        <f>[1]Results!S451</f>
        <v>53.236262979999999</v>
      </c>
      <c r="Q246" s="5">
        <f>[1]Results!T451</f>
        <v>53.962632890000002</v>
      </c>
      <c r="R246" s="5">
        <f>[1]Results!U451</f>
        <v>54.682976889999999</v>
      </c>
      <c r="S246" s="5">
        <f>[1]Results!V451</f>
        <v>55.399087520000002</v>
      </c>
      <c r="T246" s="5">
        <f>[1]Results!W451</f>
        <v>56.113244250000001</v>
      </c>
      <c r="U246" s="5">
        <f>[1]Results!X451</f>
        <v>56.828053410000003</v>
      </c>
      <c r="V246" s="5">
        <f>[1]Results!Y451</f>
        <v>57.546245069999998</v>
      </c>
      <c r="W246" s="5">
        <f>[1]Results!Z451</f>
        <v>58.232619309999997</v>
      </c>
      <c r="X246" s="5">
        <f>[1]Results!AA451</f>
        <v>58.948437990000002</v>
      </c>
      <c r="Y246" s="5">
        <f>[1]Results!AB451</f>
        <v>59.681962929999997</v>
      </c>
      <c r="Z246" s="5">
        <f>[1]Results!AC451</f>
        <v>60.43116732</v>
      </c>
      <c r="AA246" s="5">
        <f>[1]Results!AD451</f>
        <v>61.196484179999999</v>
      </c>
      <c r="AB246" s="5">
        <f>[1]Results!AE451</f>
        <v>61.871037020000003</v>
      </c>
      <c r="AC246" s="5">
        <f>[1]Results!AF451</f>
        <v>62.571427989999997</v>
      </c>
      <c r="AD246" s="5">
        <f>[1]Results!AG451</f>
        <v>63.2857062</v>
      </c>
      <c r="AE246" s="5">
        <f>[1]Results!AH451</f>
        <v>64.011899400000004</v>
      </c>
      <c r="AF246" s="5">
        <f>[1]Results!AI451</f>
        <v>64.750733460000006</v>
      </c>
      <c r="AG246" s="5">
        <f>[1]Results!AJ451</f>
        <v>65.503412929999996</v>
      </c>
      <c r="AH246" s="5">
        <f>[1]Results!AK451</f>
        <v>66.270900249999997</v>
      </c>
      <c r="AI246" s="5">
        <f>[1]Results!AL451</f>
        <v>67.05367382</v>
      </c>
      <c r="AJ246" s="5">
        <f>[1]Results!AM451</f>
        <v>67.851688569999993</v>
      </c>
      <c r="AK246" s="5">
        <f>[1]Results!AN451</f>
        <v>68.664438230000002</v>
      </c>
      <c r="AL246" s="5">
        <f>[1]Results!AO451</f>
        <v>69.491065050000003</v>
      </c>
      <c r="AM246" s="5">
        <f>[1]Results!AP451</f>
        <v>70.305150830000002</v>
      </c>
      <c r="AN246" s="5">
        <f>[1]Results!AQ451</f>
        <v>71.119240270000006</v>
      </c>
      <c r="AO246" s="5">
        <f>[1]Results!AR451</f>
        <v>71.936587990000007</v>
      </c>
      <c r="AP246" s="5">
        <f>[1]Results!AS451</f>
        <v>72.758021200000002</v>
      </c>
      <c r="AQ246" s="5">
        <f>[1]Results!AT451</f>
        <v>73.583846679999994</v>
      </c>
      <c r="AR246" s="5">
        <f>[1]Results!AU451</f>
        <v>74.414337689999996</v>
      </c>
      <c r="AS246" s="5">
        <f>[1]Results!AV451</f>
        <v>75.249807669999996</v>
      </c>
      <c r="AT246" s="5">
        <f>[1]Results!AW451</f>
        <v>76.090570499999998</v>
      </c>
      <c r="AU246" s="5">
        <f>[1]Results!AX451</f>
        <v>76.936887940000005</v>
      </c>
      <c r="AV246" s="5">
        <f>[1]Results!AY451</f>
        <v>77.788936890000002</v>
      </c>
      <c r="AW246" s="5">
        <f>[1]Results!AZ451</f>
        <v>78.649045169999994</v>
      </c>
      <c r="AX246" s="5">
        <f>[1]Results!BA451</f>
        <v>79.515992130000001</v>
      </c>
      <c r="AY246" s="5">
        <f>[1]Results!BB451</f>
        <v>80.389334700000006</v>
      </c>
      <c r="AZ246" s="5">
        <f>[1]Results!BC451</f>
        <v>81.268824480000006</v>
      </c>
      <c r="BA246" s="5">
        <f>[1]Results!BD451</f>
        <v>82.154271050000006</v>
      </c>
      <c r="BB246" s="5">
        <f>[1]Results!BE451</f>
        <v>101.9694488</v>
      </c>
      <c r="BC246" s="5">
        <f>[1]Results!BF451</f>
        <v>103.7202384</v>
      </c>
      <c r="BD246" s="5">
        <f>[1]Results!BG451</f>
        <v>105.4971243</v>
      </c>
      <c r="BE246" s="5">
        <f>[1]Results!BH451</f>
        <v>107.30059749999999</v>
      </c>
      <c r="BF246" s="5">
        <f>[1]Results!BI451</f>
        <v>109.13117939999999</v>
      </c>
    </row>
    <row r="247" spans="1:58" x14ac:dyDescent="0.35">
      <c r="B247" t="s">
        <v>28</v>
      </c>
      <c r="C247" s="5">
        <f>[1]Results!F427</f>
        <v>26.381568130000002</v>
      </c>
      <c r="D247" s="5">
        <f>[1]Results!G427</f>
        <v>26.68599863</v>
      </c>
      <c r="E247" s="5">
        <f>[1]Results!H427</f>
        <v>27.005254430000001</v>
      </c>
      <c r="F247" s="5">
        <f>[1]Results!I427</f>
        <v>27.342508769999998</v>
      </c>
      <c r="G247" s="5">
        <f>[1]Results!J427</f>
        <v>27.69783048</v>
      </c>
      <c r="H247" s="5">
        <f>[1]Results!K427</f>
        <v>28.069380949999999</v>
      </c>
      <c r="I247" s="5">
        <f>[1]Results!L427</f>
        <v>28.438404500000001</v>
      </c>
      <c r="J247" s="5">
        <f>[1]Results!M427</f>
        <v>28.81189401</v>
      </c>
      <c r="K247" s="5">
        <f>[1]Results!N427</f>
        <v>29.190163170000002</v>
      </c>
      <c r="L247" s="5">
        <f>[1]Results!O427</f>
        <v>29.572256840000001</v>
      </c>
      <c r="M247" s="5">
        <f>[1]Results!P427</f>
        <v>29.985233239999999</v>
      </c>
      <c r="N247" s="5">
        <f>[1]Results!Q427</f>
        <v>30.383105659999998</v>
      </c>
      <c r="O247" s="5">
        <f>[1]Results!R427</f>
        <v>30.77741756</v>
      </c>
      <c r="P247" s="5">
        <f>[1]Results!S427</f>
        <v>31.170575370000002</v>
      </c>
      <c r="Q247" s="5">
        <f>[1]Results!T427</f>
        <v>31.563202839999999</v>
      </c>
      <c r="R247" s="5">
        <f>[1]Results!U427</f>
        <v>31.95576677</v>
      </c>
      <c r="S247" s="5">
        <f>[1]Results!V427</f>
        <v>32.348848750000002</v>
      </c>
      <c r="T247" s="5">
        <f>[1]Results!W427</f>
        <v>32.743136620000001</v>
      </c>
      <c r="U247" s="5">
        <f>[1]Results!X427</f>
        <v>33.13937481</v>
      </c>
      <c r="V247" s="5">
        <f>[1]Results!Y427</f>
        <v>33.538321349999997</v>
      </c>
      <c r="W247" s="5">
        <f>[1]Results!Z427</f>
        <v>33.920399430000003</v>
      </c>
      <c r="X247" s="5">
        <f>[1]Results!AA427</f>
        <v>34.318988900000001</v>
      </c>
      <c r="Y247" s="5">
        <f>[1]Results!AB427</f>
        <v>34.725974229999998</v>
      </c>
      <c r="Z247" s="5">
        <f>[1]Results!AC427</f>
        <v>35.139980880000003</v>
      </c>
      <c r="AA247" s="5">
        <f>[1]Results!AD427</f>
        <v>35.560986149999998</v>
      </c>
      <c r="AB247" s="5">
        <f>[1]Results!AE427</f>
        <v>35.931192199999998</v>
      </c>
      <c r="AC247" s="5">
        <f>[1]Results!AF427</f>
        <v>36.316391469999999</v>
      </c>
      <c r="AD247" s="5">
        <f>[1]Results!AG427</f>
        <v>36.70804167</v>
      </c>
      <c r="AE247" s="5">
        <f>[1]Results!AH427</f>
        <v>37.105340929999997</v>
      </c>
      <c r="AF247" s="5">
        <f>[1]Results!AI427</f>
        <v>37.508948830000001</v>
      </c>
      <c r="AG247" s="5">
        <f>[1]Results!AJ427</f>
        <v>37.919521549999999</v>
      </c>
      <c r="AH247" s="5">
        <f>[1]Results!AK427</f>
        <v>38.33744592</v>
      </c>
      <c r="AI247" s="5">
        <f>[1]Results!AL427</f>
        <v>38.76285292</v>
      </c>
      <c r="AJ247" s="5">
        <f>[1]Results!AM427</f>
        <v>39.195687049999997</v>
      </c>
      <c r="AK247" s="5">
        <f>[1]Results!AN427</f>
        <v>39.635774210000001</v>
      </c>
      <c r="AL247" s="5">
        <f>[1]Results!AO427</f>
        <v>40.082874699999998</v>
      </c>
      <c r="AM247" s="5">
        <f>[1]Results!AP427</f>
        <v>40.52301259</v>
      </c>
      <c r="AN247" s="5">
        <f>[1]Results!AQ427</f>
        <v>40.964104349999999</v>
      </c>
      <c r="AO247" s="5">
        <f>[1]Results!AR427</f>
        <v>41.408246830000003</v>
      </c>
      <c r="AP247" s="5">
        <f>[1]Results!AS427</f>
        <v>41.856278029999999</v>
      </c>
      <c r="AQ247" s="5">
        <f>[1]Results!AT427</f>
        <v>42.308730789999998</v>
      </c>
      <c r="AR247" s="5">
        <f>[1]Results!AU427</f>
        <v>42.765994679999999</v>
      </c>
      <c r="AS247" s="5">
        <f>[1]Results!AV427</f>
        <v>43.228337340000003</v>
      </c>
      <c r="AT247" s="5">
        <f>[1]Results!AW427</f>
        <v>43.695917260000002</v>
      </c>
      <c r="AU247" s="5">
        <f>[1]Results!AX427</f>
        <v>44.168805319999997</v>
      </c>
      <c r="AV247" s="5">
        <f>[1]Results!AY427</f>
        <v>44.647010760000001</v>
      </c>
      <c r="AW247" s="5">
        <f>[1]Results!AZ427</f>
        <v>45.131724159999997</v>
      </c>
      <c r="AX247" s="5">
        <f>[1]Results!BA427</f>
        <v>45.622170390000001</v>
      </c>
      <c r="AY247" s="5">
        <f>[1]Results!BB427</f>
        <v>46.118091270000001</v>
      </c>
      <c r="AZ247" s="5">
        <f>[1]Results!BC427</f>
        <v>46.619347040000001</v>
      </c>
      <c r="BA247" s="5">
        <f>[1]Results!BD427</f>
        <v>47.12583652</v>
      </c>
      <c r="BB247" s="5">
        <f>[1]Results!BE427</f>
        <v>55.493589890000003</v>
      </c>
      <c r="BC247" s="5">
        <f>[1]Results!BF427</f>
        <v>56.373474880000003</v>
      </c>
      <c r="BD247" s="5">
        <f>[1]Results!BG427</f>
        <v>57.26841727</v>
      </c>
      <c r="BE247" s="5">
        <f>[1]Results!BH427</f>
        <v>58.178734579999997</v>
      </c>
      <c r="BF247" s="5">
        <f>[1]Results!BI427</f>
        <v>59.104750869999997</v>
      </c>
    </row>
    <row r="248" spans="1:58" x14ac:dyDescent="0.35">
      <c r="B248" t="s">
        <v>10</v>
      </c>
      <c r="C248" s="5">
        <f>[1]Results!F463</f>
        <v>22.497780519999999</v>
      </c>
      <c r="D248" s="5">
        <f>[1]Results!G463</f>
        <v>22.785002039999998</v>
      </c>
      <c r="E248" s="5">
        <f>[1]Results!H463</f>
        <v>23.099520389999999</v>
      </c>
      <c r="F248" s="5">
        <f>[1]Results!I463</f>
        <v>23.449070979999998</v>
      </c>
      <c r="G248" s="5">
        <f>[1]Results!J463</f>
        <v>23.83509986</v>
      </c>
      <c r="H248" s="5">
        <f>[1]Results!K463</f>
        <v>24.25486772</v>
      </c>
      <c r="I248" s="5">
        <f>[1]Results!L463</f>
        <v>24.69006903</v>
      </c>
      <c r="J248" s="5">
        <f>[1]Results!M463</f>
        <v>25.14093197</v>
      </c>
      <c r="K248" s="5">
        <f>[1]Results!N463</f>
        <v>25.60456125</v>
      </c>
      <c r="L248" s="5">
        <f>[1]Results!O463</f>
        <v>26.077358820000001</v>
      </c>
      <c r="M248" s="5">
        <f>[1]Results!P463</f>
        <v>26.580280349999999</v>
      </c>
      <c r="N248" s="5">
        <f>[1]Results!Q463</f>
        <v>27.07641486</v>
      </c>
      <c r="O248" s="5">
        <f>[1]Results!R463</f>
        <v>27.569707569999998</v>
      </c>
      <c r="P248" s="5">
        <f>[1]Results!S463</f>
        <v>28.06069329</v>
      </c>
      <c r="Q248" s="5">
        <f>[1]Results!T463</f>
        <v>28.548929480000002</v>
      </c>
      <c r="R248" s="5">
        <f>[1]Results!U463</f>
        <v>29.03410418</v>
      </c>
      <c r="S248" s="5">
        <f>[1]Results!V463</f>
        <v>29.516360410000001</v>
      </c>
      <c r="T248" s="5">
        <f>[1]Results!W463</f>
        <v>29.996305159999999</v>
      </c>
      <c r="U248" s="5">
        <f>[1]Results!X463</f>
        <v>30.474911469999999</v>
      </c>
      <c r="V248" s="5">
        <f>[1]Results!Y463</f>
        <v>30.953394800000002</v>
      </c>
      <c r="W248" s="5">
        <f>[1]Results!Z463</f>
        <v>31.414812789999999</v>
      </c>
      <c r="X248" s="5">
        <f>[1]Results!AA463</f>
        <v>31.886575260000001</v>
      </c>
      <c r="Y248" s="5">
        <f>[1]Results!AB463</f>
        <v>32.36530295</v>
      </c>
      <c r="Z248" s="5">
        <f>[1]Results!AC463</f>
        <v>32.850765340000002</v>
      </c>
      <c r="AA248" s="5">
        <f>[1]Results!AD463</f>
        <v>33.3437263</v>
      </c>
      <c r="AB248" s="5">
        <f>[1]Results!AE463</f>
        <v>33.792209280000002</v>
      </c>
      <c r="AC248" s="5">
        <f>[1]Results!AF463</f>
        <v>34.247262720000002</v>
      </c>
      <c r="AD248" s="5">
        <f>[1]Results!AG463</f>
        <v>34.706016220000002</v>
      </c>
      <c r="AE248" s="5">
        <f>[1]Results!AH463</f>
        <v>35.168572560000001</v>
      </c>
      <c r="AF248" s="5">
        <f>[1]Results!AI463</f>
        <v>35.636201909999997</v>
      </c>
      <c r="AG248" s="5">
        <f>[1]Results!AJ463</f>
        <v>36.110421459999998</v>
      </c>
      <c r="AH248" s="5">
        <f>[1]Results!AK463</f>
        <v>36.592600439999998</v>
      </c>
      <c r="AI248" s="5">
        <f>[1]Results!AL463</f>
        <v>37.08380124</v>
      </c>
      <c r="AJ248" s="5">
        <f>[1]Results!AM463</f>
        <v>37.584730989999997</v>
      </c>
      <c r="AK248" s="5">
        <f>[1]Results!AN463</f>
        <v>38.095754620000001</v>
      </c>
      <c r="AL248" s="5">
        <f>[1]Results!AO463</f>
        <v>38.616943050000003</v>
      </c>
      <c r="AM248" s="5">
        <f>[1]Results!AP463</f>
        <v>39.135339940000001</v>
      </c>
      <c r="AN248" s="5">
        <f>[1]Results!AQ463</f>
        <v>39.656021699999997</v>
      </c>
      <c r="AO248" s="5">
        <f>[1]Results!AR463</f>
        <v>40.1806445</v>
      </c>
      <c r="AP248" s="5">
        <f>[1]Results!AS463</f>
        <v>40.709832609999999</v>
      </c>
      <c r="AQ248" s="5">
        <f>[1]Results!AT463</f>
        <v>41.24400172</v>
      </c>
      <c r="AR248" s="5">
        <f>[1]Results!AU463</f>
        <v>41.783580059999998</v>
      </c>
      <c r="AS248" s="5">
        <f>[1]Results!AV463</f>
        <v>42.32902979</v>
      </c>
      <c r="AT248" s="5">
        <f>[1]Results!AW463</f>
        <v>42.880812910000003</v>
      </c>
      <c r="AU248" s="5">
        <f>[1]Results!AX463</f>
        <v>43.439351639999998</v>
      </c>
      <c r="AV248" s="5">
        <f>[1]Results!AY463</f>
        <v>44.005000469999999</v>
      </c>
      <c r="AW248" s="5">
        <f>[1]Results!AZ463</f>
        <v>44.579194430000001</v>
      </c>
      <c r="AX248" s="5">
        <f>[1]Results!BA463</f>
        <v>45.16163177</v>
      </c>
      <c r="AY248" s="5">
        <f>[1]Results!BB463</f>
        <v>45.752252310000003</v>
      </c>
      <c r="AZ248" s="5">
        <f>[1]Results!BC463</f>
        <v>46.351036790000002</v>
      </c>
      <c r="BA248" s="5">
        <f>[1]Results!BD463</f>
        <v>46.957954639999997</v>
      </c>
      <c r="BB248" s="5">
        <f>[1]Results!BE463</f>
        <v>51.382038950000002</v>
      </c>
      <c r="BC248" s="5">
        <f>[1]Results!BF463</f>
        <v>52.22979488</v>
      </c>
      <c r="BD248" s="5">
        <f>[1]Results!BG463</f>
        <v>53.09019361</v>
      </c>
      <c r="BE248" s="5">
        <f>[1]Results!BH463</f>
        <v>53.963593869999997</v>
      </c>
      <c r="BF248" s="5">
        <f>[1]Results!BI463</f>
        <v>54.850373390000001</v>
      </c>
    </row>
    <row r="249" spans="1:58" x14ac:dyDescent="0.35">
      <c r="B249" t="s">
        <v>25</v>
      </c>
      <c r="C249" s="5">
        <f>[1]Results!F414</f>
        <v>64.301440170000006</v>
      </c>
      <c r="D249" s="5">
        <f>[1]Results!G414</f>
        <v>64.244024929999995</v>
      </c>
      <c r="E249" s="5">
        <f>[1]Results!H414</f>
        <v>63.982248079999998</v>
      </c>
      <c r="F249" s="5">
        <f>[1]Results!I414</f>
        <v>63.72514254</v>
      </c>
      <c r="G249" s="5">
        <f>[1]Results!J414</f>
        <v>63.53697923</v>
      </c>
      <c r="H249" s="5">
        <f>[1]Results!K414</f>
        <v>63.426275009999998</v>
      </c>
      <c r="I249" s="5">
        <f>[1]Results!L414</f>
        <v>63.365622969999997</v>
      </c>
      <c r="J249" s="5">
        <f>[1]Results!M414</f>
        <v>63.350087309999999</v>
      </c>
      <c r="K249" s="5">
        <f>[1]Results!N414</f>
        <v>63.371333589999999</v>
      </c>
      <c r="L249" s="5">
        <f>[1]Results!O414</f>
        <v>63.421355740000003</v>
      </c>
      <c r="M249" s="5">
        <f>[1]Results!P414</f>
        <v>63.522829950000002</v>
      </c>
      <c r="N249" s="5">
        <f>[1]Results!Q414</f>
        <v>63.626901910000001</v>
      </c>
      <c r="O249" s="5">
        <f>[1]Results!R414</f>
        <v>63.737479450000002</v>
      </c>
      <c r="P249" s="5">
        <f>[1]Results!S414</f>
        <v>63.855223940000002</v>
      </c>
      <c r="Q249" s="5">
        <f>[1]Results!T414</f>
        <v>63.979252729999999</v>
      </c>
      <c r="R249" s="5">
        <f>[1]Results!U414</f>
        <v>64.108204509999993</v>
      </c>
      <c r="S249" s="5">
        <f>[1]Results!V414</f>
        <v>64.240684529999996</v>
      </c>
      <c r="T249" s="5">
        <f>[1]Results!W414</f>
        <v>64.375384780000005</v>
      </c>
      <c r="U249" s="5">
        <f>[1]Results!X414</f>
        <v>64.511268920000006</v>
      </c>
      <c r="V249" s="5">
        <f>[1]Results!Y414</f>
        <v>64.647573420000001</v>
      </c>
      <c r="W249" s="5">
        <f>[1]Results!Z414</f>
        <v>64.764230429999998</v>
      </c>
      <c r="X249" s="5">
        <f>[1]Results!AA414</f>
        <v>64.890013049999993</v>
      </c>
      <c r="Y249" s="5">
        <f>[1]Results!AB414</f>
        <v>65.019803429999996</v>
      </c>
      <c r="Z249" s="5">
        <f>[1]Results!AC414</f>
        <v>65.151152490000001</v>
      </c>
      <c r="AA249" s="5">
        <f>[1]Results!AD414</f>
        <v>65.283161359999994</v>
      </c>
      <c r="AB249" s="5">
        <f>[1]Results!AE414</f>
        <v>65.361966609999996</v>
      </c>
      <c r="AC249" s="5">
        <f>[1]Results!AF414</f>
        <v>65.442220669999998</v>
      </c>
      <c r="AD249" s="5">
        <f>[1]Results!AG414</f>
        <v>65.522678790000001</v>
      </c>
      <c r="AE249" s="5">
        <f>[1]Results!AH414</f>
        <v>65.60263861</v>
      </c>
      <c r="AF249" s="5">
        <f>[1]Results!AI414</f>
        <v>65.682140590000003</v>
      </c>
      <c r="AG249" s="5">
        <f>[1]Results!AJ414</f>
        <v>65.761544090000001</v>
      </c>
      <c r="AH249" s="5">
        <f>[1]Results!AK414</f>
        <v>65.841314069999996</v>
      </c>
      <c r="AI249" s="5">
        <f>[1]Results!AL414</f>
        <v>65.921969439999998</v>
      </c>
      <c r="AJ249" s="5">
        <f>[1]Results!AM414</f>
        <v>66.004030689999993</v>
      </c>
      <c r="AK249" s="5">
        <f>[1]Results!AN414</f>
        <v>66.087991020000004</v>
      </c>
      <c r="AL249" s="5">
        <f>[1]Results!AO414</f>
        <v>66.17429842</v>
      </c>
      <c r="AM249" s="5">
        <f>[1]Results!AP414</f>
        <v>66.251785139999996</v>
      </c>
      <c r="AN249" s="5">
        <f>[1]Results!AQ414</f>
        <v>66.326376199999999</v>
      </c>
      <c r="AO249" s="5">
        <f>[1]Results!AR414</f>
        <v>66.400971200000001</v>
      </c>
      <c r="AP249" s="5">
        <f>[1]Results!AS414</f>
        <v>66.476971899999995</v>
      </c>
      <c r="AQ249" s="5">
        <f>[1]Results!AT414</f>
        <v>66.555108160000003</v>
      </c>
      <c r="AR249" s="5">
        <f>[1]Results!AU414</f>
        <v>66.63580288</v>
      </c>
      <c r="AS249" s="5">
        <f>[1]Results!AV414</f>
        <v>66.719333079999998</v>
      </c>
      <c r="AT249" s="5">
        <f>[1]Results!AW414</f>
        <v>66.805902720000006</v>
      </c>
      <c r="AU249" s="5">
        <f>[1]Results!AX414</f>
        <v>66.895677340000006</v>
      </c>
      <c r="AV249" s="5">
        <f>[1]Results!AY414</f>
        <v>66.988801039999998</v>
      </c>
      <c r="AW249" s="5">
        <f>[1]Results!AZ414</f>
        <v>67.086344080000003</v>
      </c>
      <c r="AX249" s="5">
        <f>[1]Results!BA414</f>
        <v>67.187976689999999</v>
      </c>
      <c r="AY249" s="5">
        <f>[1]Results!BB414</f>
        <v>67.293597660000003</v>
      </c>
      <c r="AZ249" s="5">
        <f>[1]Results!BC414</f>
        <v>67.403212069999995</v>
      </c>
      <c r="BA249" s="5">
        <f>[1]Results!BD414</f>
        <v>67.516865170000003</v>
      </c>
      <c r="BB249" s="5">
        <f>[1]Results!BE414</f>
        <v>66.181774820000001</v>
      </c>
      <c r="BC249" s="5">
        <f>[1]Results!BF414</f>
        <v>66.315964530000002</v>
      </c>
      <c r="BD249" s="5">
        <f>[1]Results!BG414</f>
        <v>66.452371409999998</v>
      </c>
      <c r="BE249" s="5">
        <f>[1]Results!BH414</f>
        <v>66.591310300000004</v>
      </c>
      <c r="BF249" s="5">
        <f>[1]Results!BI414</f>
        <v>66.732995119999998</v>
      </c>
    </row>
    <row r="250" spans="1:58" x14ac:dyDescent="0.35">
      <c r="B250" t="s">
        <v>47</v>
      </c>
      <c r="C250" s="5">
        <f>[1]Results!F415</f>
        <v>42.52087745</v>
      </c>
      <c r="D250" s="5">
        <f>[1]Results!G415</f>
        <v>42.741442670000005</v>
      </c>
      <c r="E250" s="5">
        <f>[1]Results!H415</f>
        <v>42.619858819999997</v>
      </c>
      <c r="F250" s="5">
        <f>[1]Results!I415</f>
        <v>42.408092909999993</v>
      </c>
      <c r="G250" s="5">
        <f>[1]Results!J415</f>
        <v>42.199546869999999</v>
      </c>
      <c r="H250" s="5">
        <f>[1]Results!K415</f>
        <v>42.0212073</v>
      </c>
      <c r="I250" s="5">
        <f>[1]Results!L415</f>
        <v>41.860143060000006</v>
      </c>
      <c r="J250" s="5">
        <f>[1]Results!M415</f>
        <v>41.719149189999996</v>
      </c>
      <c r="K250" s="5">
        <f>[1]Results!N415</f>
        <v>41.595166229999997</v>
      </c>
      <c r="L250" s="5">
        <f>[1]Results!O415</f>
        <v>41.484166009999996</v>
      </c>
      <c r="M250" s="5">
        <f>[1]Results!P415</f>
        <v>41.407398239999999</v>
      </c>
      <c r="N250" s="5">
        <f>[1]Results!Q415</f>
        <v>41.323406030000001</v>
      </c>
      <c r="O250" s="5">
        <f>[1]Results!R415</f>
        <v>41.238344770000005</v>
      </c>
      <c r="P250" s="5">
        <f>[1]Results!S415</f>
        <v>41.154541039999998</v>
      </c>
      <c r="Q250" s="5">
        <f>[1]Results!T415</f>
        <v>41.072918990000005</v>
      </c>
      <c r="R250" s="5">
        <f>[1]Results!U415</f>
        <v>40.993617499999999</v>
      </c>
      <c r="S250" s="5">
        <f>[1]Results!V415</f>
        <v>40.916489630000001</v>
      </c>
      <c r="T250" s="5">
        <f>[1]Results!W415</f>
        <v>40.841254429999999</v>
      </c>
      <c r="U250" s="5">
        <f>[1]Results!X415</f>
        <v>40.7676984</v>
      </c>
      <c r="V250" s="5">
        <f>[1]Results!Y415</f>
        <v>40.695687</v>
      </c>
      <c r="W250" s="5">
        <f>[1]Results!Z415</f>
        <v>40.608828350000003</v>
      </c>
      <c r="X250" s="5">
        <f>[1]Results!AA415</f>
        <v>40.532602840000003</v>
      </c>
      <c r="Y250" s="5">
        <f>[1]Results!AB415</f>
        <v>40.461972029999998</v>
      </c>
      <c r="Z250" s="5">
        <f>[1]Results!AC415</f>
        <v>40.394661939999999</v>
      </c>
      <c r="AA250" s="5">
        <f>[1]Results!AD415</f>
        <v>40.329599159999994</v>
      </c>
      <c r="AB250" s="5">
        <f>[1]Results!AE415</f>
        <v>40.221807990000002</v>
      </c>
      <c r="AC250" s="5">
        <f>[1]Results!AF415</f>
        <v>40.119932929999997</v>
      </c>
      <c r="AD250" s="5">
        <f>[1]Results!AG415</f>
        <v>40.021919750000002</v>
      </c>
      <c r="AE250" s="5">
        <f>[1]Results!AH415</f>
        <v>39.92675964</v>
      </c>
      <c r="AF250" s="5">
        <f>[1]Results!AI415</f>
        <v>39.8337243</v>
      </c>
      <c r="AG250" s="5">
        <f>[1]Results!AJ415</f>
        <v>39.742493159999995</v>
      </c>
      <c r="AH250" s="5">
        <f>[1]Results!AK415</f>
        <v>39.65293527</v>
      </c>
      <c r="AI250" s="5">
        <f>[1]Results!AL415</f>
        <v>39.565038139999999</v>
      </c>
      <c r="AJ250" s="5">
        <f>[1]Results!AM415</f>
        <v>39.478839479999998</v>
      </c>
      <c r="AK250" s="5">
        <f>[1]Results!AN415</f>
        <v>39.39439024</v>
      </c>
      <c r="AL250" s="5">
        <f>[1]Results!AO415</f>
        <v>39.311735380000002</v>
      </c>
      <c r="AM250" s="5">
        <f>[1]Results!AP415</f>
        <v>39.221398880000002</v>
      </c>
      <c r="AN250" s="5">
        <f>[1]Results!AQ415</f>
        <v>39.128761529999998</v>
      </c>
      <c r="AO250" s="5">
        <f>[1]Results!AR415</f>
        <v>39.036210529999998</v>
      </c>
      <c r="AP250" s="5">
        <f>[1]Results!AS415</f>
        <v>38.944781590000005</v>
      </c>
      <c r="AQ250" s="5">
        <f>[1]Results!AT415</f>
        <v>38.854841690000001</v>
      </c>
      <c r="AR250" s="5">
        <f>[1]Results!AU415</f>
        <v>38.766489990000004</v>
      </c>
      <c r="AS250" s="5">
        <f>[1]Results!AV415</f>
        <v>38.679731409999995</v>
      </c>
      <c r="AT250" s="5">
        <f>[1]Results!AW415</f>
        <v>38.594546350000002</v>
      </c>
      <c r="AU250" s="5">
        <f>[1]Results!AX415</f>
        <v>38.510914979999995</v>
      </c>
      <c r="AV250" s="5">
        <f>[1]Results!AY415</f>
        <v>38.428823000000001</v>
      </c>
      <c r="AW250" s="5">
        <f>[1]Results!AZ415</f>
        <v>38.349025329999996</v>
      </c>
      <c r="AX250" s="5">
        <f>[1]Results!BA415</f>
        <v>38.271083750000003</v>
      </c>
      <c r="AY250" s="5">
        <f>[1]Results!BB415</f>
        <v>38.194797810000004</v>
      </c>
      <c r="AZ250" s="5">
        <f>[1]Results!BC415</f>
        <v>38.120072719999996</v>
      </c>
      <c r="BA250" s="5">
        <f>[1]Results!BD415</f>
        <v>38.046864079999999</v>
      </c>
      <c r="BB250" s="5">
        <f>[1]Results!BE415</f>
        <v>36.670255640000001</v>
      </c>
      <c r="BC250" s="5">
        <f>[1]Results!BF415</f>
        <v>36.60359107</v>
      </c>
      <c r="BD250" s="5">
        <f>[1]Results!BG415</f>
        <v>36.537648270000005</v>
      </c>
      <c r="BE250" s="5">
        <f>[1]Results!BH415</f>
        <v>36.472608630000003</v>
      </c>
      <c r="BF250" s="5">
        <f>[1]Results!BI415</f>
        <v>36.408537789999997</v>
      </c>
    </row>
    <row r="251" spans="1:58" x14ac:dyDescent="0.35">
      <c r="B251" t="s">
        <v>48</v>
      </c>
      <c r="C251" s="5">
        <f>[1]Results!F423</f>
        <v>21.78056273</v>
      </c>
      <c r="D251" s="5">
        <f>[1]Results!G423</f>
        <v>21.502582269999998</v>
      </c>
      <c r="E251" s="5">
        <f>[1]Results!H423</f>
        <v>21.36238926</v>
      </c>
      <c r="F251" s="5">
        <f>[1]Results!I423</f>
        <v>21.31704963</v>
      </c>
      <c r="G251" s="5">
        <f>[1]Results!J423</f>
        <v>21.337432360000001</v>
      </c>
      <c r="H251" s="5">
        <f>[1]Results!K423</f>
        <v>21.405067710000001</v>
      </c>
      <c r="I251" s="5">
        <f>[1]Results!L423</f>
        <v>21.505479910000002</v>
      </c>
      <c r="J251" s="5">
        <f>[1]Results!M423</f>
        <v>21.63093812</v>
      </c>
      <c r="K251" s="5">
        <f>[1]Results!N423</f>
        <v>21.776167359999999</v>
      </c>
      <c r="L251" s="5">
        <f>[1]Results!O423</f>
        <v>21.93718973</v>
      </c>
      <c r="M251" s="5">
        <f>[1]Results!P423</f>
        <v>22.115431709999999</v>
      </c>
      <c r="N251" s="5">
        <f>[1]Results!Q423</f>
        <v>22.30349588</v>
      </c>
      <c r="O251" s="5">
        <f>[1]Results!R423</f>
        <v>22.499134680000001</v>
      </c>
      <c r="P251" s="5">
        <f>[1]Results!S423</f>
        <v>22.700682899999997</v>
      </c>
      <c r="Q251" s="5">
        <f>[1]Results!T423</f>
        <v>22.906333750000002</v>
      </c>
      <c r="R251" s="5">
        <f>[1]Results!U423</f>
        <v>23.114587010000001</v>
      </c>
      <c r="S251" s="5">
        <f>[1]Results!V423</f>
        <v>23.324194909999999</v>
      </c>
      <c r="T251" s="5">
        <f>[1]Results!W423</f>
        <v>23.534130350000002</v>
      </c>
      <c r="U251" s="5">
        <f>[1]Results!X423</f>
        <v>23.74357053</v>
      </c>
      <c r="V251" s="5">
        <f>[1]Results!Y423</f>
        <v>23.951886420000001</v>
      </c>
      <c r="W251" s="5">
        <f>[1]Results!Z423</f>
        <v>24.155402079999998</v>
      </c>
      <c r="X251" s="5">
        <f>[1]Results!AA423</f>
        <v>24.357410210000001</v>
      </c>
      <c r="Y251" s="5">
        <f>[1]Results!AB423</f>
        <v>24.557831399999998</v>
      </c>
      <c r="Z251" s="5">
        <f>[1]Results!AC423</f>
        <v>24.756490550000002</v>
      </c>
      <c r="AA251" s="5">
        <f>[1]Results!AD423</f>
        <v>24.9535622</v>
      </c>
      <c r="AB251" s="5">
        <f>[1]Results!AE423</f>
        <v>25.140158629999998</v>
      </c>
      <c r="AC251" s="5">
        <f>[1]Results!AF423</f>
        <v>25.322287739999997</v>
      </c>
      <c r="AD251" s="5">
        <f>[1]Results!AG423</f>
        <v>25.500759039999998</v>
      </c>
      <c r="AE251" s="5">
        <f>[1]Results!AH423</f>
        <v>25.675878969999999</v>
      </c>
      <c r="AF251" s="5">
        <f>[1]Results!AI423</f>
        <v>25.848416289999999</v>
      </c>
      <c r="AG251" s="5">
        <f>[1]Results!AJ423</f>
        <v>26.019050929999999</v>
      </c>
      <c r="AH251" s="5">
        <f>[1]Results!AK423</f>
        <v>26.188378800000002</v>
      </c>
      <c r="AI251" s="5">
        <f>[1]Results!AL423</f>
        <v>26.356931299999999</v>
      </c>
      <c r="AJ251" s="5">
        <f>[1]Results!AM423</f>
        <v>26.525191209999999</v>
      </c>
      <c r="AK251" s="5">
        <f>[1]Results!AN423</f>
        <v>26.69360077</v>
      </c>
      <c r="AL251" s="5">
        <f>[1]Results!AO423</f>
        <v>26.862563039999998</v>
      </c>
      <c r="AM251" s="5">
        <f>[1]Results!AP423</f>
        <v>27.03038626</v>
      </c>
      <c r="AN251" s="5">
        <f>[1]Results!AQ423</f>
        <v>27.197614680000001</v>
      </c>
      <c r="AO251" s="5">
        <f>[1]Results!AR423</f>
        <v>27.364760670000003</v>
      </c>
      <c r="AP251" s="5">
        <f>[1]Results!AS423</f>
        <v>27.532190309999997</v>
      </c>
      <c r="AQ251" s="5">
        <f>[1]Results!AT423</f>
        <v>27.700266460000002</v>
      </c>
      <c r="AR251" s="5">
        <f>[1]Results!AU423</f>
        <v>27.86931289</v>
      </c>
      <c r="AS251" s="5">
        <f>[1]Results!AV423</f>
        <v>28.039601670000003</v>
      </c>
      <c r="AT251" s="5">
        <f>[1]Results!AW423</f>
        <v>28.211356370000001</v>
      </c>
      <c r="AU251" s="5">
        <f>[1]Results!AX423</f>
        <v>28.38476236</v>
      </c>
      <c r="AV251" s="5">
        <f>[1]Results!AY423</f>
        <v>28.559978040000001</v>
      </c>
      <c r="AW251" s="5">
        <f>[1]Results!AZ423</f>
        <v>28.73731875</v>
      </c>
      <c r="AX251" s="5">
        <f>[1]Results!BA423</f>
        <v>28.916892949999998</v>
      </c>
      <c r="AY251" s="5">
        <f>[1]Results!BB423</f>
        <v>29.098799850000002</v>
      </c>
      <c r="AZ251" s="5">
        <f>[1]Results!BC423</f>
        <v>29.283139350000003</v>
      </c>
      <c r="BA251" s="5">
        <f>[1]Results!BD423</f>
        <v>29.470001100000001</v>
      </c>
      <c r="BB251" s="5">
        <f>[1]Results!BE423</f>
        <v>29.511519180000001</v>
      </c>
      <c r="BC251" s="5">
        <f>[1]Results!BF423</f>
        <v>29.712373460000002</v>
      </c>
      <c r="BD251" s="5">
        <f>[1]Results!BG423</f>
        <v>29.91472314</v>
      </c>
      <c r="BE251" s="5">
        <f>[1]Results!BH423</f>
        <v>30.11870167</v>
      </c>
      <c r="BF251" s="5">
        <f>[1]Results!BI423</f>
        <v>30.324457339999999</v>
      </c>
    </row>
    <row r="253" spans="1:58" x14ac:dyDescent="0.35">
      <c r="A253" s="12" t="s">
        <v>43</v>
      </c>
      <c r="C253" s="2">
        <v>42005</v>
      </c>
      <c r="D253" s="2">
        <v>42370</v>
      </c>
      <c r="E253" s="2">
        <v>42736</v>
      </c>
      <c r="F253" s="2">
        <v>43101</v>
      </c>
      <c r="G253" s="2">
        <v>43466</v>
      </c>
      <c r="H253" s="2">
        <v>43831</v>
      </c>
      <c r="I253" s="2">
        <v>44197</v>
      </c>
      <c r="J253" s="2">
        <v>44562</v>
      </c>
      <c r="K253" s="2">
        <v>44927</v>
      </c>
      <c r="L253" s="2">
        <v>45292</v>
      </c>
      <c r="M253" s="2">
        <v>45658</v>
      </c>
      <c r="N253" s="2">
        <v>46023</v>
      </c>
      <c r="O253" s="2">
        <v>46388</v>
      </c>
      <c r="P253" s="2">
        <v>46753</v>
      </c>
      <c r="Q253" s="2">
        <v>47119</v>
      </c>
      <c r="R253" s="2">
        <v>47484</v>
      </c>
      <c r="S253" s="2">
        <v>47849</v>
      </c>
      <c r="T253" s="2">
        <v>48214</v>
      </c>
      <c r="U253" s="2">
        <v>48580</v>
      </c>
      <c r="V253" s="2">
        <v>48945</v>
      </c>
      <c r="W253" s="2">
        <v>49310</v>
      </c>
      <c r="X253" s="2">
        <v>49675</v>
      </c>
      <c r="Y253" s="2">
        <v>50041</v>
      </c>
      <c r="Z253" s="2">
        <v>50406</v>
      </c>
      <c r="AA253" s="2">
        <v>50771</v>
      </c>
      <c r="AB253" s="2">
        <v>51136</v>
      </c>
      <c r="AC253" s="2">
        <v>51502</v>
      </c>
      <c r="AD253" s="2">
        <v>51867</v>
      </c>
      <c r="AE253" s="2">
        <v>52232</v>
      </c>
      <c r="AF253" s="2">
        <v>52597</v>
      </c>
      <c r="AG253" s="2">
        <v>52963</v>
      </c>
      <c r="AH253" s="2">
        <v>53328</v>
      </c>
      <c r="AI253" s="2">
        <v>53693</v>
      </c>
      <c r="AJ253" s="2">
        <v>54058</v>
      </c>
      <c r="AK253" s="2">
        <v>54424</v>
      </c>
      <c r="AL253" s="2">
        <v>54789</v>
      </c>
      <c r="AM253" s="2">
        <v>54790</v>
      </c>
      <c r="AN253" s="2">
        <v>54791</v>
      </c>
      <c r="AO253" s="2">
        <v>54792</v>
      </c>
      <c r="AP253" s="2">
        <v>54793</v>
      </c>
      <c r="AQ253" s="2">
        <v>54794</v>
      </c>
      <c r="AR253" s="2">
        <v>54795</v>
      </c>
      <c r="AS253" s="2">
        <v>54796</v>
      </c>
      <c r="AT253" s="2">
        <v>54797</v>
      </c>
      <c r="AU253" s="2">
        <v>54798</v>
      </c>
      <c r="AV253" s="2">
        <v>54799</v>
      </c>
      <c r="AW253" s="2">
        <v>54800</v>
      </c>
      <c r="AX253" s="2">
        <v>54801</v>
      </c>
      <c r="AY253" s="2">
        <v>54802</v>
      </c>
      <c r="AZ253" s="2">
        <v>54803</v>
      </c>
      <c r="BA253" s="2">
        <v>54804</v>
      </c>
      <c r="BB253" s="2">
        <v>54805</v>
      </c>
      <c r="BC253" s="2">
        <v>54806</v>
      </c>
      <c r="BD253" s="2">
        <v>54807</v>
      </c>
      <c r="BE253" s="2">
        <v>54808</v>
      </c>
      <c r="BF253" s="2">
        <v>54809</v>
      </c>
    </row>
    <row r="254" spans="1:58" x14ac:dyDescent="0.35">
      <c r="A254" t="s">
        <v>39</v>
      </c>
      <c r="B254" t="s">
        <v>26</v>
      </c>
      <c r="C254" s="9">
        <f t="shared" ref="C254:AL254" si="138">(C235/C136)/(C244/C125)-1</f>
        <v>-7.2393739965240789E-3</v>
      </c>
      <c r="D254" s="9">
        <f t="shared" si="138"/>
        <v>-1.217279717403541E-2</v>
      </c>
      <c r="E254" s="9">
        <f t="shared" si="138"/>
        <v>-1.5248063070230522E-2</v>
      </c>
      <c r="F254" s="9">
        <f t="shared" si="138"/>
        <v>-1.7319111214150196E-2</v>
      </c>
      <c r="G254" s="9">
        <f t="shared" si="138"/>
        <v>-1.8307754623017369E-2</v>
      </c>
      <c r="H254" s="9">
        <f t="shared" si="138"/>
        <v>-1.8230518227282944E-2</v>
      </c>
      <c r="I254" s="9">
        <f t="shared" si="138"/>
        <v>-1.7254882825863849E-2</v>
      </c>
      <c r="J254" s="9">
        <f t="shared" si="138"/>
        <v>-1.5646290243196748E-2</v>
      </c>
      <c r="K254" s="9">
        <f t="shared" si="138"/>
        <v>-1.3678306583773003E-2</v>
      </c>
      <c r="L254" s="9">
        <f t="shared" si="138"/>
        <v>-1.1598281826598056E-2</v>
      </c>
      <c r="M254" s="9">
        <f t="shared" si="138"/>
        <v>-9.6094619435974638E-3</v>
      </c>
      <c r="N254" s="9">
        <f t="shared" si="138"/>
        <v>-7.824397361920199E-3</v>
      </c>
      <c r="O254" s="9">
        <f t="shared" si="138"/>
        <v>-6.3589510855683873E-3</v>
      </c>
      <c r="P254" s="9">
        <f t="shared" si="138"/>
        <v>-5.2459188564998316E-3</v>
      </c>
      <c r="Q254" s="9">
        <f t="shared" si="138"/>
        <v>-4.481576346918037E-3</v>
      </c>
      <c r="R254" s="9">
        <f t="shared" si="138"/>
        <v>-4.0357170004218235E-3</v>
      </c>
      <c r="S254" s="9">
        <f t="shared" si="138"/>
        <v>-3.8449317388724591E-3</v>
      </c>
      <c r="T254" s="9">
        <f t="shared" si="138"/>
        <v>-3.8803471108806997E-3</v>
      </c>
      <c r="U254" s="9">
        <f t="shared" si="138"/>
        <v>-4.0881995119813608E-3</v>
      </c>
      <c r="V254" s="9">
        <f t="shared" si="138"/>
        <v>-4.4218375044846603E-3</v>
      </c>
      <c r="W254" s="9">
        <f t="shared" si="138"/>
        <v>-4.837749287718629E-3</v>
      </c>
      <c r="X254" s="9">
        <f t="shared" si="138"/>
        <v>-5.3145152928700812E-3</v>
      </c>
      <c r="Y254" s="9">
        <f t="shared" si="138"/>
        <v>-5.8165322253640461E-3</v>
      </c>
      <c r="Z254" s="9">
        <f t="shared" si="138"/>
        <v>-6.3234060766740319E-3</v>
      </c>
      <c r="AA254" s="9">
        <f t="shared" si="138"/>
        <v>-6.8200712576385047E-3</v>
      </c>
      <c r="AB254" s="9">
        <f t="shared" si="138"/>
        <v>-7.2848202603098544E-3</v>
      </c>
      <c r="AC254" s="9">
        <f t="shared" si="138"/>
        <v>-7.7464978950000374E-3</v>
      </c>
      <c r="AD254" s="9">
        <f t="shared" si="138"/>
        <v>-8.1734915633531191E-3</v>
      </c>
      <c r="AE254" s="9">
        <f t="shared" si="138"/>
        <v>-8.5603915805518849E-3</v>
      </c>
      <c r="AF254" s="9">
        <f t="shared" si="138"/>
        <v>-8.9039068499972007E-3</v>
      </c>
      <c r="AG254" s="9">
        <f t="shared" si="138"/>
        <v>-9.2026487813081648E-3</v>
      </c>
      <c r="AH254" s="9">
        <f t="shared" si="138"/>
        <v>-9.4627126272356366E-3</v>
      </c>
      <c r="AI254" s="9">
        <f t="shared" si="138"/>
        <v>-9.6792896866099154E-3</v>
      </c>
      <c r="AJ254" s="9">
        <f t="shared" si="138"/>
        <v>-9.8542732663002841E-3</v>
      </c>
      <c r="AK254" s="9">
        <f t="shared" si="138"/>
        <v>-9.9896910936535521E-3</v>
      </c>
      <c r="AL254" s="9">
        <f t="shared" si="138"/>
        <v>-1.0087861777392626E-2</v>
      </c>
      <c r="AM254" s="9">
        <f t="shared" ref="AM254:BC254" si="139">(AM235/AM136)/(AM244/AM125)-1</f>
        <v>-1.0204350008337526E-2</v>
      </c>
      <c r="AN254" s="9">
        <f t="shared" si="139"/>
        <v>-1.0292364415324773E-2</v>
      </c>
      <c r="AO254" s="9">
        <f t="shared" si="139"/>
        <v>-1.0352485003630174E-2</v>
      </c>
      <c r="AP254" s="9">
        <f t="shared" si="139"/>
        <v>-1.0383595063478746E-2</v>
      </c>
      <c r="AQ254" s="9">
        <f t="shared" si="139"/>
        <v>-1.0385848789373764E-2</v>
      </c>
      <c r="AR254" s="9">
        <f t="shared" si="139"/>
        <v>-1.037042333908722E-2</v>
      </c>
      <c r="AS254" s="9">
        <f t="shared" si="139"/>
        <v>-1.0331465103461612E-2</v>
      </c>
      <c r="AT254" s="9">
        <f t="shared" si="139"/>
        <v>-1.0272364422344249E-2</v>
      </c>
      <c r="AU254" s="9">
        <f t="shared" si="139"/>
        <v>-1.0196685657840709E-2</v>
      </c>
      <c r="AV254" s="9">
        <f t="shared" si="139"/>
        <v>-1.0108156554427872E-2</v>
      </c>
      <c r="AW254" s="9">
        <f t="shared" si="139"/>
        <v>-1.0043542573129338E-2</v>
      </c>
      <c r="AX254" s="9">
        <f t="shared" si="139"/>
        <v>-9.9752385591915793E-3</v>
      </c>
      <c r="AY254" s="9">
        <f t="shared" si="139"/>
        <v>-6.6690954427622851E-3</v>
      </c>
      <c r="AZ254" s="9">
        <f t="shared" si="139"/>
        <v>9.0872681370202102E-4</v>
      </c>
      <c r="BA254" s="9">
        <f t="shared" si="139"/>
        <v>2.2201225451756734E-3</v>
      </c>
      <c r="BB254" s="9">
        <f t="shared" si="139"/>
        <v>1.6773189553196399E-3</v>
      </c>
      <c r="BC254" s="9">
        <f t="shared" si="139"/>
        <v>1.7224712825913979E-3</v>
      </c>
      <c r="BD254" s="9">
        <f t="shared" ref="BD254:BF254" si="140">(BD235/BD136)/(BD244/BD125)-1</f>
        <v>1.7673669112274748E-3</v>
      </c>
      <c r="BE254" s="9">
        <f t="shared" si="140"/>
        <v>1.8128581843241953E-3</v>
      </c>
      <c r="BF254" s="9">
        <f t="shared" si="140"/>
        <v>1.8593316536263949E-3</v>
      </c>
    </row>
    <row r="255" spans="1:58" x14ac:dyDescent="0.35">
      <c r="B255" t="s">
        <v>7</v>
      </c>
      <c r="C255" s="9">
        <f t="shared" ref="C255:AL255" si="141">(C236/C137)/(C245/C126)-1</f>
        <v>4.3241236327813404E-3</v>
      </c>
      <c r="D255" s="9">
        <f t="shared" si="141"/>
        <v>1.889294647192008E-3</v>
      </c>
      <c r="E255" s="9">
        <f t="shared" si="141"/>
        <v>5.0246957538035986E-4</v>
      </c>
      <c r="F255" s="9">
        <f t="shared" si="141"/>
        <v>-1.6082359216729181E-4</v>
      </c>
      <c r="G255" s="9">
        <f t="shared" si="141"/>
        <v>-4.3086965226257767E-5</v>
      </c>
      <c r="H255" s="9">
        <f t="shared" si="141"/>
        <v>8.441501256326589E-4</v>
      </c>
      <c r="I255" s="9">
        <f t="shared" si="141"/>
        <v>2.4180599512109158E-3</v>
      </c>
      <c r="J255" s="9">
        <f t="shared" si="141"/>
        <v>4.4766515438889876E-3</v>
      </c>
      <c r="K255" s="9">
        <f t="shared" si="141"/>
        <v>6.8372345010387914E-3</v>
      </c>
      <c r="L255" s="9">
        <f t="shared" si="141"/>
        <v>9.3405164969491139E-3</v>
      </c>
      <c r="M255" s="9">
        <f t="shared" si="141"/>
        <v>1.1863377106825501E-2</v>
      </c>
      <c r="N255" s="9">
        <f t="shared" si="141"/>
        <v>1.4450890694839069E-2</v>
      </c>
      <c r="O255" s="9">
        <f t="shared" si="141"/>
        <v>1.6940989863906131E-2</v>
      </c>
      <c r="P255" s="9">
        <f t="shared" si="141"/>
        <v>1.9305565544989856E-2</v>
      </c>
      <c r="Q255" s="9">
        <f t="shared" si="141"/>
        <v>2.1543861390744379E-2</v>
      </c>
      <c r="R255" s="9">
        <f t="shared" si="141"/>
        <v>2.3667872240716425E-2</v>
      </c>
      <c r="S255" s="9">
        <f t="shared" si="141"/>
        <v>2.5818776333857096E-2</v>
      </c>
      <c r="T255" s="9">
        <f t="shared" si="141"/>
        <v>2.7900382670740465E-2</v>
      </c>
      <c r="U255" s="9">
        <f t="shared" si="141"/>
        <v>2.9919836053784232E-2</v>
      </c>
      <c r="V255" s="9">
        <f t="shared" si="141"/>
        <v>3.1889975246987889E-2</v>
      </c>
      <c r="W255" s="9">
        <f t="shared" si="141"/>
        <v>3.3823618326751514E-2</v>
      </c>
      <c r="X255" s="9">
        <f t="shared" si="141"/>
        <v>3.5722386419419605E-2</v>
      </c>
      <c r="Y255" s="9">
        <f t="shared" si="141"/>
        <v>3.7600956744698211E-2</v>
      </c>
      <c r="Z255" s="9">
        <f t="shared" si="141"/>
        <v>3.9468789609908184E-2</v>
      </c>
      <c r="AA255" s="9">
        <f t="shared" si="141"/>
        <v>4.1332958960103694E-2</v>
      </c>
      <c r="AB255" s="9">
        <f t="shared" si="141"/>
        <v>4.3202592569341336E-2</v>
      </c>
      <c r="AC255" s="9">
        <f t="shared" si="141"/>
        <v>4.5010326198699824E-2</v>
      </c>
      <c r="AD255" s="9">
        <f t="shared" si="141"/>
        <v>4.6820583864310095E-2</v>
      </c>
      <c r="AE255" s="9">
        <f t="shared" si="141"/>
        <v>4.8646646361965251E-2</v>
      </c>
      <c r="AF255" s="9">
        <f t="shared" si="141"/>
        <v>5.0494597209367775E-2</v>
      </c>
      <c r="AG255" s="9">
        <f t="shared" si="141"/>
        <v>5.2368816725160583E-2</v>
      </c>
      <c r="AH255" s="9">
        <f t="shared" si="141"/>
        <v>5.4241081671084324E-2</v>
      </c>
      <c r="AI255" s="9">
        <f t="shared" si="141"/>
        <v>5.6141979553694821E-2</v>
      </c>
      <c r="AJ255" s="9">
        <f t="shared" si="141"/>
        <v>5.8076479962868799E-2</v>
      </c>
      <c r="AK255" s="9">
        <f t="shared" si="141"/>
        <v>6.0046540244086843E-2</v>
      </c>
      <c r="AL255" s="9">
        <f t="shared" si="141"/>
        <v>6.2053002271700075E-2</v>
      </c>
      <c r="AM255" s="9">
        <f t="shared" ref="AM255:BC255" si="142">(AM236/AM137)/(AM245/AM126)-1</f>
        <v>6.3813045781436761E-2</v>
      </c>
      <c r="AN255" s="9">
        <f t="shared" si="142"/>
        <v>6.5575024870673015E-2</v>
      </c>
      <c r="AO255" s="9">
        <f t="shared" si="142"/>
        <v>6.7365032592077378E-2</v>
      </c>
      <c r="AP255" s="9">
        <f t="shared" si="142"/>
        <v>6.9188258491322152E-2</v>
      </c>
      <c r="AQ255" s="9">
        <f t="shared" si="142"/>
        <v>7.1045200155961608E-2</v>
      </c>
      <c r="AR255" s="9">
        <f t="shared" si="142"/>
        <v>7.2888212196958069E-2</v>
      </c>
      <c r="AS255" s="9">
        <f t="shared" si="142"/>
        <v>7.4754574914240202E-2</v>
      </c>
      <c r="AT255" s="9">
        <f t="shared" si="142"/>
        <v>7.6645695360541666E-2</v>
      </c>
      <c r="AU255" s="9">
        <f t="shared" si="142"/>
        <v>7.8559290929462788E-2</v>
      </c>
      <c r="AV255" s="9">
        <f t="shared" si="142"/>
        <v>8.0492536557507099E-2</v>
      </c>
      <c r="AW255" s="9">
        <f t="shared" si="142"/>
        <v>8.2285916441709572E-2</v>
      </c>
      <c r="AX255" s="9">
        <f t="shared" si="142"/>
        <v>8.4072868264502221E-2</v>
      </c>
      <c r="AY255" s="9">
        <f t="shared" si="142"/>
        <v>8.8315577891406871E-2</v>
      </c>
      <c r="AZ255" s="9">
        <f t="shared" si="142"/>
        <v>9.9705927139631223E-2</v>
      </c>
      <c r="BA255" s="9">
        <f t="shared" si="142"/>
        <v>0.10051276849110824</v>
      </c>
      <c r="BB255" s="9">
        <f t="shared" si="142"/>
        <v>1.5159107040098263E-2</v>
      </c>
      <c r="BC255" s="9">
        <f t="shared" si="142"/>
        <v>1.5598909604015443E-2</v>
      </c>
      <c r="BD255" s="9">
        <f t="shared" ref="BD255:BF255" si="143">(BD236/BD137)/(BD245/BD126)-1</f>
        <v>1.6031975680400157E-2</v>
      </c>
      <c r="BE255" s="9">
        <f t="shared" si="143"/>
        <v>1.6460824759982229E-2</v>
      </c>
      <c r="BF255" s="9">
        <f t="shared" si="143"/>
        <v>1.6887081515647218E-2</v>
      </c>
    </row>
    <row r="256" spans="1:58" x14ac:dyDescent="0.35">
      <c r="B256" t="s">
        <v>30</v>
      </c>
      <c r="C256" s="9">
        <f t="shared" ref="C256:AL256" si="144">(C237/C138)/(C246/C127)-1</f>
        <v>-7.471275610473227E-3</v>
      </c>
      <c r="D256" s="9">
        <f t="shared" si="144"/>
        <v>-1.5258771601759924E-2</v>
      </c>
      <c r="E256" s="9">
        <f t="shared" si="144"/>
        <v>-2.0339082709269207E-2</v>
      </c>
      <c r="F256" s="9">
        <f t="shared" si="144"/>
        <v>-2.4128708824264433E-2</v>
      </c>
      <c r="G256" s="9">
        <f t="shared" si="144"/>
        <v>-2.6485124306873442E-2</v>
      </c>
      <c r="H256" s="9">
        <f t="shared" si="144"/>
        <v>-2.7356472412112365E-2</v>
      </c>
      <c r="I256" s="9">
        <f t="shared" si="144"/>
        <v>-2.690342627623199E-2</v>
      </c>
      <c r="J256" s="9">
        <f t="shared" si="144"/>
        <v>-2.5413244637306098E-2</v>
      </c>
      <c r="K256" s="9">
        <f t="shared" si="144"/>
        <v>-2.3220269596374243E-2</v>
      </c>
      <c r="L256" s="9">
        <f t="shared" si="144"/>
        <v>-2.0651588160416789E-2</v>
      </c>
      <c r="M256" s="9">
        <f t="shared" si="144"/>
        <v>-1.7991478702388153E-2</v>
      </c>
      <c r="N256" s="9">
        <f t="shared" si="144"/>
        <v>-1.54640540118266E-2</v>
      </c>
      <c r="O256" s="9">
        <f t="shared" si="144"/>
        <v>-1.3236998282430634E-2</v>
      </c>
      <c r="P256" s="9">
        <f t="shared" si="144"/>
        <v>-1.1395629690460929E-2</v>
      </c>
      <c r="Q256" s="9">
        <f t="shared" si="144"/>
        <v>-9.9756661192784701E-3</v>
      </c>
      <c r="R256" s="9">
        <f t="shared" si="144"/>
        <v>-8.970485113282689E-3</v>
      </c>
      <c r="S256" s="9">
        <f t="shared" si="144"/>
        <v>-8.3404755887463988E-3</v>
      </c>
      <c r="T256" s="9">
        <f t="shared" si="144"/>
        <v>-8.0479119714188529E-3</v>
      </c>
      <c r="U256" s="9">
        <f t="shared" si="144"/>
        <v>-8.0269249139018894E-3</v>
      </c>
      <c r="V256" s="9">
        <f t="shared" si="144"/>
        <v>-8.2194528346483109E-3</v>
      </c>
      <c r="W256" s="9">
        <f t="shared" si="144"/>
        <v>-8.5728104413497208E-3</v>
      </c>
      <c r="X256" s="9">
        <f t="shared" si="144"/>
        <v>-9.0434713727053362E-3</v>
      </c>
      <c r="Y256" s="9">
        <f t="shared" si="144"/>
        <v>-9.591994318576158E-3</v>
      </c>
      <c r="Z256" s="9">
        <f t="shared" si="144"/>
        <v>-1.0187309279475087E-2</v>
      </c>
      <c r="AA256" s="9">
        <f t="shared" si="144"/>
        <v>-1.0805615471916497E-2</v>
      </c>
      <c r="AB256" s="9">
        <f t="shared" si="144"/>
        <v>-1.1427743460827644E-2</v>
      </c>
      <c r="AC256" s="9">
        <f t="shared" si="144"/>
        <v>-1.2044819070100576E-2</v>
      </c>
      <c r="AD256" s="9">
        <f t="shared" si="144"/>
        <v>-1.2640613396197486E-2</v>
      </c>
      <c r="AE256" s="9">
        <f t="shared" si="144"/>
        <v>-1.3207937316743856E-2</v>
      </c>
      <c r="AF256" s="9">
        <f t="shared" si="144"/>
        <v>-1.3741119990967499E-2</v>
      </c>
      <c r="AG256" s="9">
        <f t="shared" si="144"/>
        <v>-1.4236974118192358E-2</v>
      </c>
      <c r="AH256" s="9">
        <f t="shared" si="144"/>
        <v>-1.4696957369912167E-2</v>
      </c>
      <c r="AI256" s="9">
        <f t="shared" si="144"/>
        <v>-1.5118609393405147E-2</v>
      </c>
      <c r="AJ256" s="9">
        <f t="shared" si="144"/>
        <v>-1.5504688196467553E-2</v>
      </c>
      <c r="AK256" s="9">
        <f t="shared" si="144"/>
        <v>-1.5857294564693869E-2</v>
      </c>
      <c r="AL256" s="9">
        <f t="shared" si="144"/>
        <v>-1.6178768862401993E-2</v>
      </c>
      <c r="AM256" s="9">
        <f t="shared" ref="AM256:BC256" si="145">(AM237/AM138)/(AM246/AM127)-1</f>
        <v>-1.6495826938531022E-2</v>
      </c>
      <c r="AN256" s="9">
        <f t="shared" si="145"/>
        <v>-1.6783287460172658E-2</v>
      </c>
      <c r="AO256" s="9">
        <f t="shared" si="145"/>
        <v>-1.7051468718340179E-2</v>
      </c>
      <c r="AP256" s="9">
        <f t="shared" si="145"/>
        <v>-1.7299801444905949E-2</v>
      </c>
      <c r="AQ256" s="9">
        <f t="shared" si="145"/>
        <v>-1.7527703564981789E-2</v>
      </c>
      <c r="AR256" s="9">
        <f t="shared" si="145"/>
        <v>-1.7740658490209782E-2</v>
      </c>
      <c r="AS256" s="9">
        <f t="shared" si="145"/>
        <v>-1.793697308890696E-2</v>
      </c>
      <c r="AT256" s="9">
        <f t="shared" si="145"/>
        <v>-1.8121424835083388E-2</v>
      </c>
      <c r="AU256" s="9">
        <f t="shared" si="145"/>
        <v>-1.8297919654537309E-2</v>
      </c>
      <c r="AV256" s="9">
        <f t="shared" si="145"/>
        <v>-1.8470525823927275E-2</v>
      </c>
      <c r="AW256" s="9">
        <f t="shared" si="145"/>
        <v>-1.8659211697420353E-2</v>
      </c>
      <c r="AX256" s="9">
        <f t="shared" si="145"/>
        <v>-1.8852646886553415E-2</v>
      </c>
      <c r="AY256" s="9">
        <f t="shared" si="145"/>
        <v>-1.517318368488807E-2</v>
      </c>
      <c r="AZ256" s="9">
        <f t="shared" si="145"/>
        <v>-5.269287078658258E-3</v>
      </c>
      <c r="BA256" s="9">
        <f t="shared" si="145"/>
        <v>-4.5817412725178697E-3</v>
      </c>
      <c r="BB256" s="9">
        <f t="shared" si="145"/>
        <v>1.6425488298359436E-3</v>
      </c>
      <c r="BC256" s="9">
        <f t="shared" si="145"/>
        <v>1.6519665940082362E-3</v>
      </c>
      <c r="BD256" s="9">
        <f t="shared" ref="BD256:BF256" si="146">(BD237/BD138)/(BD246/BD127)-1</f>
        <v>1.6577395388683858E-3</v>
      </c>
      <c r="BE256" s="9">
        <f t="shared" si="146"/>
        <v>1.6609277976322723E-3</v>
      </c>
      <c r="BF256" s="9">
        <f t="shared" si="146"/>
        <v>1.6621310827849012E-3</v>
      </c>
    </row>
    <row r="257" spans="1:58" x14ac:dyDescent="0.35">
      <c r="B257" t="s">
        <v>28</v>
      </c>
      <c r="C257" s="9">
        <f t="shared" ref="C257:AL257" si="147">(C238/C139)/(C247/C128)-1</f>
        <v>5.7168764178161524E-3</v>
      </c>
      <c r="D257" s="9">
        <f t="shared" si="147"/>
        <v>3.2702896105523127E-3</v>
      </c>
      <c r="E257" s="9">
        <f t="shared" si="147"/>
        <v>2.4152227465992215E-3</v>
      </c>
      <c r="F257" s="9">
        <f t="shared" si="147"/>
        <v>1.9062392389277427E-3</v>
      </c>
      <c r="G257" s="9">
        <f t="shared" si="147"/>
        <v>1.596644025452898E-3</v>
      </c>
      <c r="H257" s="9">
        <f t="shared" si="147"/>
        <v>1.4763948204945532E-3</v>
      </c>
      <c r="I257" s="9">
        <f t="shared" si="147"/>
        <v>1.5366464505737198E-3</v>
      </c>
      <c r="J257" s="9">
        <f t="shared" si="147"/>
        <v>1.7360850004852768E-3</v>
      </c>
      <c r="K257" s="9">
        <f t="shared" si="147"/>
        <v>2.037538362201774E-3</v>
      </c>
      <c r="L257" s="9">
        <f t="shared" si="147"/>
        <v>2.4044195585661843E-3</v>
      </c>
      <c r="M257" s="9">
        <f t="shared" si="147"/>
        <v>2.806802739905967E-3</v>
      </c>
      <c r="N257" s="9">
        <f t="shared" si="147"/>
        <v>3.2472772386904492E-3</v>
      </c>
      <c r="O257" s="9">
        <f t="shared" si="147"/>
        <v>3.6741653139507058E-3</v>
      </c>
      <c r="P257" s="9">
        <f t="shared" si="147"/>
        <v>4.0846069790594353E-3</v>
      </c>
      <c r="Q257" s="9">
        <f t="shared" si="147"/>
        <v>4.4754227891039555E-3</v>
      </c>
      <c r="R257" s="9">
        <f t="shared" si="147"/>
        <v>4.8457681264661989E-3</v>
      </c>
      <c r="S257" s="9">
        <f t="shared" si="147"/>
        <v>5.2225871614222097E-3</v>
      </c>
      <c r="T257" s="9">
        <f t="shared" si="147"/>
        <v>5.5735539846597515E-3</v>
      </c>
      <c r="U257" s="9">
        <f t="shared" si="147"/>
        <v>5.90735227534811E-3</v>
      </c>
      <c r="V257" s="9">
        <f t="shared" si="147"/>
        <v>6.2270305527269976E-3</v>
      </c>
      <c r="W257" s="9">
        <f t="shared" si="147"/>
        <v>6.533248088989696E-3</v>
      </c>
      <c r="X257" s="9">
        <f t="shared" si="147"/>
        <v>6.8301469655100977E-3</v>
      </c>
      <c r="Y257" s="9">
        <f t="shared" si="147"/>
        <v>7.1174722315336947E-3</v>
      </c>
      <c r="Z257" s="9">
        <f t="shared" si="147"/>
        <v>7.3971187127679361E-3</v>
      </c>
      <c r="AA257" s="9">
        <f t="shared" si="147"/>
        <v>7.6703357362843949E-3</v>
      </c>
      <c r="AB257" s="9">
        <f t="shared" si="147"/>
        <v>7.9340605940361186E-3</v>
      </c>
      <c r="AC257" s="9">
        <f t="shared" si="147"/>
        <v>8.1881089083108982E-3</v>
      </c>
      <c r="AD257" s="9">
        <f t="shared" si="147"/>
        <v>8.4408608214936454E-3</v>
      </c>
      <c r="AE257" s="9">
        <f t="shared" si="147"/>
        <v>8.6921854280155308E-3</v>
      </c>
      <c r="AF257" s="9">
        <f t="shared" si="147"/>
        <v>8.9429097707880434E-3</v>
      </c>
      <c r="AG257" s="9">
        <f t="shared" si="147"/>
        <v>9.1939550416293425E-3</v>
      </c>
      <c r="AH257" s="9">
        <f t="shared" si="147"/>
        <v>9.4409891588660422E-3</v>
      </c>
      <c r="AI257" s="9">
        <f t="shared" si="147"/>
        <v>9.6909952780270814E-3</v>
      </c>
      <c r="AJ257" s="9">
        <f t="shared" si="147"/>
        <v>9.9434376056286577E-3</v>
      </c>
      <c r="AK257" s="9">
        <f t="shared" si="147"/>
        <v>1.0198686864223871E-2</v>
      </c>
      <c r="AL257" s="9">
        <f t="shared" si="147"/>
        <v>1.0457156303987913E-2</v>
      </c>
      <c r="AM257" s="9">
        <f t="shared" ref="AM257:BC257" si="148">(AM238/AM139)/(AM247/AM128)-1</f>
        <v>1.0674699553473443E-2</v>
      </c>
      <c r="AN257" s="9">
        <f t="shared" si="148"/>
        <v>1.0905980778418867E-2</v>
      </c>
      <c r="AO257" s="9">
        <f t="shared" si="148"/>
        <v>1.1141425532768201E-2</v>
      </c>
      <c r="AP257" s="9">
        <f t="shared" si="148"/>
        <v>1.1380441601854363E-2</v>
      </c>
      <c r="AQ257" s="9">
        <f t="shared" si="148"/>
        <v>1.1623496168042813E-2</v>
      </c>
      <c r="AR257" s="9">
        <f t="shared" si="148"/>
        <v>1.1864138245792022E-2</v>
      </c>
      <c r="AS257" s="9">
        <f t="shared" si="148"/>
        <v>1.2110124578325943E-2</v>
      </c>
      <c r="AT257" s="9">
        <f t="shared" si="148"/>
        <v>1.2359767112894993E-2</v>
      </c>
      <c r="AU257" s="9">
        <f t="shared" si="148"/>
        <v>1.2612443417174157E-2</v>
      </c>
      <c r="AV257" s="9">
        <f t="shared" si="148"/>
        <v>1.2867601114630034E-2</v>
      </c>
      <c r="AW257" s="9">
        <f t="shared" si="148"/>
        <v>1.3103024639943284E-2</v>
      </c>
      <c r="AX257" s="9">
        <f t="shared" si="148"/>
        <v>1.3343049205130075E-2</v>
      </c>
      <c r="AY257" s="9">
        <f t="shared" si="148"/>
        <v>1.6295333308269377E-2</v>
      </c>
      <c r="AZ257" s="9">
        <f t="shared" si="148"/>
        <v>2.3299528467077169E-2</v>
      </c>
      <c r="BA257" s="9">
        <f t="shared" si="148"/>
        <v>2.4460261427391883E-2</v>
      </c>
      <c r="BB257" s="9">
        <f t="shared" si="148"/>
        <v>1.3127601447533443E-3</v>
      </c>
      <c r="BC257" s="9">
        <f t="shared" si="148"/>
        <v>1.3568681449920295E-3</v>
      </c>
      <c r="BD257" s="9">
        <f t="shared" ref="BD257:BF257" si="149">(BD238/BD139)/(BD247/BD128)-1</f>
        <v>1.4005014999880494E-3</v>
      </c>
      <c r="BE257" s="9">
        <f t="shared" si="149"/>
        <v>1.4438554644697899E-3</v>
      </c>
      <c r="BF257" s="9">
        <f t="shared" si="149"/>
        <v>1.4870524614551961E-3</v>
      </c>
    </row>
    <row r="258" spans="1:58" x14ac:dyDescent="0.35">
      <c r="B258" t="s">
        <v>10</v>
      </c>
      <c r="C258" s="9">
        <f t="shared" ref="C258:AL258" si="150">(C239/C140)/(C248/C129)-1</f>
        <v>-2.036602785789654E-3</v>
      </c>
      <c r="D258" s="9">
        <f t="shared" si="150"/>
        <v>-8.1345555446467044E-3</v>
      </c>
      <c r="E258" s="9">
        <f t="shared" si="150"/>
        <v>-1.3658803263347119E-2</v>
      </c>
      <c r="F258" s="9">
        <f t="shared" si="150"/>
        <v>-1.7835248111261137E-2</v>
      </c>
      <c r="G258" s="9">
        <f t="shared" si="150"/>
        <v>-2.0143899939418675E-2</v>
      </c>
      <c r="H258" s="9">
        <f t="shared" si="150"/>
        <v>-2.051608178417097E-2</v>
      </c>
      <c r="I258" s="9">
        <f t="shared" si="150"/>
        <v>-1.9187435653604479E-2</v>
      </c>
      <c r="J258" s="9">
        <f t="shared" si="150"/>
        <v>-1.6613492719033118E-2</v>
      </c>
      <c r="K258" s="9">
        <f t="shared" si="150"/>
        <v>-1.3259467261271918E-2</v>
      </c>
      <c r="L258" s="9">
        <f t="shared" si="150"/>
        <v>-9.5463141681466634E-3</v>
      </c>
      <c r="M258" s="9">
        <f t="shared" si="150"/>
        <v>-5.8164558592439519E-3</v>
      </c>
      <c r="N258" s="9">
        <f t="shared" si="150"/>
        <v>-2.2013020430774466E-3</v>
      </c>
      <c r="O258" s="9">
        <f t="shared" si="150"/>
        <v>1.037576384823824E-3</v>
      </c>
      <c r="P258" s="9">
        <f t="shared" si="150"/>
        <v>3.8242166033273239E-3</v>
      </c>
      <c r="Q258" s="9">
        <f t="shared" si="150"/>
        <v>6.1505896293005957E-3</v>
      </c>
      <c r="R258" s="9">
        <f t="shared" si="150"/>
        <v>8.0506922525589442E-3</v>
      </c>
      <c r="S258" s="9">
        <f t="shared" si="150"/>
        <v>9.6799124123727598E-3</v>
      </c>
      <c r="T258" s="9">
        <f t="shared" si="150"/>
        <v>1.1005983611236392E-2</v>
      </c>
      <c r="U258" s="9">
        <f t="shared" si="150"/>
        <v>1.2089666374530017E-2</v>
      </c>
      <c r="V258" s="9">
        <f t="shared" si="150"/>
        <v>1.2993168155760904E-2</v>
      </c>
      <c r="W258" s="9">
        <f t="shared" si="150"/>
        <v>1.3772329437292008E-2</v>
      </c>
      <c r="X258" s="9">
        <f t="shared" si="150"/>
        <v>1.4459738568278313E-2</v>
      </c>
      <c r="Y258" s="9">
        <f t="shared" si="150"/>
        <v>1.5103718918321407E-2</v>
      </c>
      <c r="Z258" s="9">
        <f t="shared" si="150"/>
        <v>1.5731620626538989E-2</v>
      </c>
      <c r="AA258" s="9">
        <f t="shared" si="150"/>
        <v>1.6364015793627562E-2</v>
      </c>
      <c r="AB258" s="9">
        <f t="shared" si="150"/>
        <v>1.7020494246265727E-2</v>
      </c>
      <c r="AC258" s="9">
        <f t="shared" si="150"/>
        <v>1.7641373653018322E-2</v>
      </c>
      <c r="AD258" s="9">
        <f t="shared" si="150"/>
        <v>1.8298204968310694E-2</v>
      </c>
      <c r="AE258" s="9">
        <f t="shared" si="150"/>
        <v>1.9001084937404489E-2</v>
      </c>
      <c r="AF258" s="9">
        <f t="shared" si="150"/>
        <v>1.9754249222869502E-2</v>
      </c>
      <c r="AG258" s="9">
        <f t="shared" si="150"/>
        <v>2.0559678334638232E-2</v>
      </c>
      <c r="AH258" s="9">
        <f t="shared" si="150"/>
        <v>2.1393791388568228E-2</v>
      </c>
      <c r="AI258" s="9">
        <f t="shared" si="150"/>
        <v>2.2278616464080025E-2</v>
      </c>
      <c r="AJ258" s="9">
        <f t="shared" si="150"/>
        <v>2.3214616558711265E-2</v>
      </c>
      <c r="AK258" s="9">
        <f t="shared" si="150"/>
        <v>2.4199965226482378E-2</v>
      </c>
      <c r="AL258" s="9">
        <f t="shared" si="150"/>
        <v>2.5232180696716622E-2</v>
      </c>
      <c r="AM258" s="9">
        <f t="shared" ref="AM258:BC258" si="151">(AM239/AM140)/(AM248/AM129)-1</f>
        <v>2.6096742158488562E-2</v>
      </c>
      <c r="AN258" s="9">
        <f t="shared" si="151"/>
        <v>2.698539892925611E-2</v>
      </c>
      <c r="AO258" s="9">
        <f t="shared" si="151"/>
        <v>2.7915347412020841E-2</v>
      </c>
      <c r="AP258" s="9">
        <f t="shared" si="151"/>
        <v>2.8888007543495187E-2</v>
      </c>
      <c r="AQ258" s="9">
        <f t="shared" si="151"/>
        <v>2.9901795591226188E-2</v>
      </c>
      <c r="AR258" s="9">
        <f t="shared" si="151"/>
        <v>3.0919362368759806E-2</v>
      </c>
      <c r="AS258" s="9">
        <f t="shared" si="151"/>
        <v>3.1967983010727563E-2</v>
      </c>
      <c r="AT258" s="9">
        <f t="shared" si="151"/>
        <v>3.3045802487889686E-2</v>
      </c>
      <c r="AU258" s="9">
        <f t="shared" si="151"/>
        <v>3.4148051442923988E-2</v>
      </c>
      <c r="AV258" s="9">
        <f t="shared" si="151"/>
        <v>3.5269360494976532E-2</v>
      </c>
      <c r="AW258" s="9">
        <f t="shared" si="151"/>
        <v>3.6288918626652622E-2</v>
      </c>
      <c r="AX258" s="9">
        <f t="shared" si="151"/>
        <v>3.7307166279089587E-2</v>
      </c>
      <c r="AY258" s="9">
        <f t="shared" si="151"/>
        <v>3.7486209820327021E-2</v>
      </c>
      <c r="AZ258" s="9">
        <f t="shared" si="151"/>
        <v>3.8787717792861276E-2</v>
      </c>
      <c r="BA258" s="9">
        <f t="shared" si="151"/>
        <v>3.8345885653630063E-2</v>
      </c>
      <c r="BB258" s="9">
        <f t="shared" si="151"/>
        <v>1.3385524583131581E-3</v>
      </c>
      <c r="BC258" s="9">
        <f t="shared" si="151"/>
        <v>1.407900504426296E-3</v>
      </c>
      <c r="BD258" s="9">
        <f t="shared" ref="BD258:BF258" si="152">(BD239/BD140)/(BD248/BD129)-1</f>
        <v>1.4798966020035387E-3</v>
      </c>
      <c r="BE258" s="9">
        <f t="shared" si="152"/>
        <v>1.55543731404717E-3</v>
      </c>
      <c r="BF258" s="9">
        <f t="shared" si="152"/>
        <v>1.6347815718924519E-3</v>
      </c>
    </row>
    <row r="259" spans="1:58" x14ac:dyDescent="0.35">
      <c r="B259" t="s">
        <v>25</v>
      </c>
      <c r="C259" s="9">
        <f t="shared" ref="C259:AL259" si="153">(C240/C59)/(C249/C58)-1</f>
        <v>4.1997804282658535E-3</v>
      </c>
      <c r="D259" s="9">
        <f t="shared" si="153"/>
        <v>1.0186299701161028E-2</v>
      </c>
      <c r="E259" s="9">
        <f t="shared" si="153"/>
        <v>1.4079131403072154E-2</v>
      </c>
      <c r="F259" s="9">
        <f t="shared" si="153"/>
        <v>1.6628492306673293E-2</v>
      </c>
      <c r="G259" s="9">
        <f t="shared" si="153"/>
        <v>1.8508167658437324E-2</v>
      </c>
      <c r="H259" s="9">
        <f t="shared" si="153"/>
        <v>2.013790498514445E-2</v>
      </c>
      <c r="I259" s="9">
        <f t="shared" si="153"/>
        <v>2.1673076443190276E-2</v>
      </c>
      <c r="J259" s="9">
        <f t="shared" si="153"/>
        <v>2.3026633103522487E-2</v>
      </c>
      <c r="K259" s="9">
        <f t="shared" si="153"/>
        <v>2.4046445801854555E-2</v>
      </c>
      <c r="L259" s="9">
        <f t="shared" si="153"/>
        <v>2.4610745763822717E-2</v>
      </c>
      <c r="M259" s="9">
        <f t="shared" si="153"/>
        <v>2.4635489694148305E-2</v>
      </c>
      <c r="N259" s="9">
        <f t="shared" si="153"/>
        <v>2.4124826590300463E-2</v>
      </c>
      <c r="O259" s="9">
        <f t="shared" si="153"/>
        <v>2.3132086186817613E-2</v>
      </c>
      <c r="P259" s="9">
        <f t="shared" si="153"/>
        <v>2.175656361382905E-2</v>
      </c>
      <c r="Q259" s="9">
        <f t="shared" si="153"/>
        <v>2.0110377479775954E-2</v>
      </c>
      <c r="R259" s="9">
        <f t="shared" si="153"/>
        <v>1.830712787822919E-2</v>
      </c>
      <c r="S259" s="9">
        <f t="shared" si="153"/>
        <v>1.6431218999700015E-2</v>
      </c>
      <c r="T259" s="9">
        <f t="shared" si="153"/>
        <v>1.4586217072977137E-2</v>
      </c>
      <c r="U259" s="9">
        <f t="shared" si="153"/>
        <v>1.2843134149718605E-2</v>
      </c>
      <c r="V259" s="9">
        <f t="shared" si="153"/>
        <v>1.1241475036460669E-2</v>
      </c>
      <c r="W259" s="9">
        <f t="shared" si="153"/>
        <v>9.808572493995138E-3</v>
      </c>
      <c r="X259" s="9">
        <f t="shared" si="153"/>
        <v>8.5281056514019404E-3</v>
      </c>
      <c r="Y259" s="9">
        <f t="shared" si="153"/>
        <v>7.4030231367792076E-3</v>
      </c>
      <c r="Z259" s="9">
        <f t="shared" si="153"/>
        <v>6.4199330167291624E-3</v>
      </c>
      <c r="AA259" s="9">
        <f t="shared" si="153"/>
        <v>5.5628481053644485E-3</v>
      </c>
      <c r="AB259" s="9">
        <f t="shared" si="153"/>
        <v>4.8401889246285634E-3</v>
      </c>
      <c r="AC259" s="9">
        <f t="shared" si="153"/>
        <v>4.1969044931655652E-3</v>
      </c>
      <c r="AD259" s="9">
        <f t="shared" si="153"/>
        <v>3.6213480943350085E-3</v>
      </c>
      <c r="AE259" s="9">
        <f t="shared" si="153"/>
        <v>3.0939326770456077E-3</v>
      </c>
      <c r="AF259" s="9">
        <f t="shared" si="153"/>
        <v>2.6027340678469457E-3</v>
      </c>
      <c r="AG259" s="9">
        <f t="shared" si="153"/>
        <v>2.1389399407252263E-3</v>
      </c>
      <c r="AH259" s="9">
        <f t="shared" si="153"/>
        <v>1.7004784632304037E-3</v>
      </c>
      <c r="AI259" s="9">
        <f t="shared" si="153"/>
        <v>1.2783706159038566E-3</v>
      </c>
      <c r="AJ259" s="9">
        <f t="shared" si="153"/>
        <v>8.6632874217418276E-4</v>
      </c>
      <c r="AK259" s="9">
        <f t="shared" si="153"/>
        <v>4.6086367623843216E-4</v>
      </c>
      <c r="AL259" s="9">
        <f t="shared" si="153"/>
        <v>5.9807388760990676E-5</v>
      </c>
      <c r="AM259" s="9">
        <f t="shared" ref="AM259:BC259" si="154">(AM240/AM59)/(AM249/AM58)-1</f>
        <v>-2.9649052593883063E-4</v>
      </c>
      <c r="AN259" s="9">
        <f t="shared" si="154"/>
        <v>-6.5053860241703898E-4</v>
      </c>
      <c r="AO259" s="9">
        <f t="shared" si="154"/>
        <v>-1.0194678607127194E-3</v>
      </c>
      <c r="AP259" s="9">
        <f t="shared" si="154"/>
        <v>-1.4020749550657241E-3</v>
      </c>
      <c r="AQ259" s="9">
        <f t="shared" si="154"/>
        <v>-1.7915704267367216E-3</v>
      </c>
      <c r="AR259" s="9">
        <f t="shared" si="154"/>
        <v>-2.1753807395638036E-3</v>
      </c>
      <c r="AS259" s="9">
        <f t="shared" si="154"/>
        <v>-2.5518825865336048E-3</v>
      </c>
      <c r="AT259" s="9">
        <f t="shared" si="154"/>
        <v>-2.9181880455282361E-3</v>
      </c>
      <c r="AU259" s="9">
        <f t="shared" si="154"/>
        <v>-3.2698043842861457E-3</v>
      </c>
      <c r="AV259" s="9">
        <f t="shared" si="154"/>
        <v>-3.6023133299988297E-3</v>
      </c>
      <c r="AW259" s="9">
        <f t="shared" si="154"/>
        <v>-3.8960857259884296E-3</v>
      </c>
      <c r="AX259" s="9">
        <f t="shared" si="154"/>
        <v>-4.1622260629375907E-3</v>
      </c>
      <c r="AY259" s="9">
        <f t="shared" si="154"/>
        <v>2.552139632452155E-3</v>
      </c>
      <c r="AZ259" s="9">
        <f t="shared" si="154"/>
        <v>1.2859566041311776E-2</v>
      </c>
      <c r="BA259" s="9">
        <f t="shared" si="154"/>
        <v>2.437480243302792E-2</v>
      </c>
      <c r="BB259" s="9">
        <f t="shared" si="154"/>
        <v>-2.7084014241802401E-2</v>
      </c>
      <c r="BC259" s="9">
        <f t="shared" si="154"/>
        <v>-2.7558168482025747E-2</v>
      </c>
      <c r="BD259" s="9">
        <f t="shared" ref="BD259:BF259" si="155">(BD240/BD59)/(BD249/BD58)-1</f>
        <v>-2.8016455654708561E-2</v>
      </c>
      <c r="BE259" s="9">
        <f t="shared" si="155"/>
        <v>-2.846402495120226E-2</v>
      </c>
      <c r="BF259" s="9">
        <f t="shared" si="155"/>
        <v>-2.8902146350103797E-2</v>
      </c>
    </row>
    <row r="260" spans="1:58" x14ac:dyDescent="0.35">
      <c r="B260" t="s">
        <v>47</v>
      </c>
      <c r="C260" s="9">
        <f t="shared" ref="C260:AL260" si="156">(C241/C59)/(C250/C58)-1</f>
        <v>4.1997804282660756E-3</v>
      </c>
      <c r="D260" s="9">
        <f t="shared" si="156"/>
        <v>1.0580646122172022E-2</v>
      </c>
      <c r="E260" s="9">
        <f t="shared" si="156"/>
        <v>1.4422848566897795E-2</v>
      </c>
      <c r="F260" s="9">
        <f t="shared" si="156"/>
        <v>1.6765712391484167E-2</v>
      </c>
      <c r="G260" s="9">
        <f t="shared" si="156"/>
        <v>1.8460126705162283E-2</v>
      </c>
      <c r="H260" s="9">
        <f t="shared" si="156"/>
        <v>2.0014836685871229E-2</v>
      </c>
      <c r="I260" s="9">
        <f t="shared" si="156"/>
        <v>2.1589703424903961E-2</v>
      </c>
      <c r="J260" s="9">
        <f t="shared" si="156"/>
        <v>2.3039929827796124E-2</v>
      </c>
      <c r="K260" s="9">
        <f t="shared" si="156"/>
        <v>2.4137931106381405E-2</v>
      </c>
      <c r="L260" s="9">
        <f t="shared" si="156"/>
        <v>2.4703312880670403E-2</v>
      </c>
      <c r="M260" s="9">
        <f t="shared" si="156"/>
        <v>2.4609211053408409E-2</v>
      </c>
      <c r="N260" s="9">
        <f t="shared" si="156"/>
        <v>2.3812049386445766E-2</v>
      </c>
      <c r="O260" s="9">
        <f t="shared" si="156"/>
        <v>2.237799946275576E-2</v>
      </c>
      <c r="P260" s="9">
        <f t="shared" si="156"/>
        <v>2.0422450709167483E-2</v>
      </c>
      <c r="Q260" s="9">
        <f t="shared" si="156"/>
        <v>1.8077449854519978E-2</v>
      </c>
      <c r="R260" s="9">
        <f t="shared" si="156"/>
        <v>1.5478909197741864E-2</v>
      </c>
      <c r="S260" s="9">
        <f t="shared" si="156"/>
        <v>1.2704366232592301E-2</v>
      </c>
      <c r="T260" s="9">
        <f t="shared" si="156"/>
        <v>9.8976401988670748E-3</v>
      </c>
      <c r="U260" s="9">
        <f t="shared" si="156"/>
        <v>7.1546643914384145E-3</v>
      </c>
      <c r="V260" s="9">
        <f t="shared" si="156"/>
        <v>4.5319118190900731E-3</v>
      </c>
      <c r="W260" s="9">
        <f t="shared" si="156"/>
        <v>2.0679781659842522E-3</v>
      </c>
      <c r="X260" s="9">
        <f t="shared" si="156"/>
        <v>-2.4466586463722795E-4</v>
      </c>
      <c r="Y260" s="9">
        <f t="shared" si="156"/>
        <v>-2.3972657757823645E-3</v>
      </c>
      <c r="Z260" s="9">
        <f t="shared" si="156"/>
        <v>-4.4008673642365048E-3</v>
      </c>
      <c r="AA260" s="9">
        <f t="shared" si="156"/>
        <v>-6.270339739674613E-3</v>
      </c>
      <c r="AB260" s="9">
        <f t="shared" si="156"/>
        <v>-8.0001090002974617E-3</v>
      </c>
      <c r="AC260" s="9">
        <f t="shared" si="156"/>
        <v>-9.6288990719402001E-3</v>
      </c>
      <c r="AD260" s="9">
        <f t="shared" si="156"/>
        <v>-1.1177640119461874E-2</v>
      </c>
      <c r="AE260" s="9">
        <f t="shared" si="156"/>
        <v>-1.2671926865735816E-2</v>
      </c>
      <c r="AF260" s="9">
        <f t="shared" si="156"/>
        <v>-1.4127851477919728E-2</v>
      </c>
      <c r="AG260" s="9">
        <f t="shared" si="156"/>
        <v>-1.5557357163081487E-2</v>
      </c>
      <c r="AH260" s="9">
        <f t="shared" si="156"/>
        <v>-1.6956973606020886E-2</v>
      </c>
      <c r="AI260" s="9">
        <f t="shared" si="156"/>
        <v>-1.8342942074187962E-2</v>
      </c>
      <c r="AJ260" s="9">
        <f t="shared" si="156"/>
        <v>-1.9725718511540924E-2</v>
      </c>
      <c r="AK260" s="9">
        <f t="shared" si="156"/>
        <v>-2.1111901866625926E-2</v>
      </c>
      <c r="AL260" s="9">
        <f t="shared" si="156"/>
        <v>-2.2506239718111054E-2</v>
      </c>
      <c r="AM260" s="9">
        <f t="shared" ref="AM260:BC260" si="157">(AM241/AM59)/(AM250/AM58)-1</f>
        <v>-2.3801291101106958E-2</v>
      </c>
      <c r="AN260" s="9">
        <f t="shared" si="157"/>
        <v>-2.508779506899006E-2</v>
      </c>
      <c r="AO260" s="9">
        <f t="shared" si="157"/>
        <v>-2.6400433018140101E-2</v>
      </c>
      <c r="AP260" s="9">
        <f t="shared" si="157"/>
        <v>-2.774575778057764E-2</v>
      </c>
      <c r="AQ260" s="9">
        <f t="shared" si="157"/>
        <v>-2.9120185422334743E-2</v>
      </c>
      <c r="AR260" s="9">
        <f t="shared" si="157"/>
        <v>-3.050116028748262E-2</v>
      </c>
      <c r="AS260" s="9">
        <f t="shared" si="157"/>
        <v>-3.1895439245596235E-2</v>
      </c>
      <c r="AT260" s="9">
        <f t="shared" si="157"/>
        <v>-3.3303521578555206E-2</v>
      </c>
      <c r="AU260" s="9">
        <f t="shared" si="157"/>
        <v>-3.4722703307975999E-2</v>
      </c>
      <c r="AV260" s="9">
        <f t="shared" si="157"/>
        <v>-3.614969063939788E-2</v>
      </c>
      <c r="AW260" s="9">
        <f t="shared" si="157"/>
        <v>-3.7526215124339846E-2</v>
      </c>
      <c r="AX260" s="9">
        <f t="shared" si="157"/>
        <v>-3.8890089465777433E-2</v>
      </c>
      <c r="AY260" s="9">
        <f t="shared" si="157"/>
        <v>-3.1287830767228186E-2</v>
      </c>
      <c r="AZ260" s="9">
        <f t="shared" si="157"/>
        <v>-1.981240524067529E-2</v>
      </c>
      <c r="BA260" s="9">
        <f t="shared" si="157"/>
        <v>-7.0469891943977236E-3</v>
      </c>
      <c r="BB260" s="9">
        <f t="shared" si="157"/>
        <v>-5.0104351290258475E-2</v>
      </c>
      <c r="BC260" s="9">
        <f t="shared" si="157"/>
        <v>-5.1237477600364012E-2</v>
      </c>
      <c r="BD260" s="9">
        <f t="shared" ref="BD260:BF260" si="158">(BD241/BD59)/(BD250/BD58)-1</f>
        <v>-5.2356795709070703E-2</v>
      </c>
      <c r="BE260" s="9">
        <f t="shared" si="158"/>
        <v>-5.3472512495467694E-2</v>
      </c>
      <c r="BF260" s="9">
        <f t="shared" si="158"/>
        <v>-5.4587788113607316E-2</v>
      </c>
    </row>
    <row r="261" spans="1:58" x14ac:dyDescent="0.35">
      <c r="B261" t="s">
        <v>48</v>
      </c>
      <c r="C261" s="9">
        <f t="shared" ref="C261:AL261" si="159">(C242/C59)/(C251/C58)-1</f>
        <v>4.1997804282658535E-3</v>
      </c>
      <c r="D261" s="9">
        <f t="shared" si="159"/>
        <v>9.4024424443690524E-3</v>
      </c>
      <c r="E261" s="9">
        <f t="shared" si="159"/>
        <v>1.339338521532274E-2</v>
      </c>
      <c r="F261" s="9">
        <f t="shared" si="159"/>
        <v>1.6355506963636968E-2</v>
      </c>
      <c r="G261" s="9">
        <f t="shared" si="159"/>
        <v>1.8603179392989055E-2</v>
      </c>
      <c r="H261" s="9">
        <f t="shared" si="159"/>
        <v>2.037950564653368E-2</v>
      </c>
      <c r="I261" s="9">
        <f t="shared" si="159"/>
        <v>2.1835360962643602E-2</v>
      </c>
      <c r="J261" s="9">
        <f t="shared" si="159"/>
        <v>2.3000987982603194E-2</v>
      </c>
      <c r="K261" s="9">
        <f t="shared" si="159"/>
        <v>2.3871697583470741E-2</v>
      </c>
      <c r="L261" s="9">
        <f t="shared" si="159"/>
        <v>2.4435697378426324E-2</v>
      </c>
      <c r="M261" s="9">
        <f t="shared" si="159"/>
        <v>2.4684691995808583E-2</v>
      </c>
      <c r="N261" s="9">
        <f t="shared" si="159"/>
        <v>2.470433302558539E-2</v>
      </c>
      <c r="O261" s="9">
        <f t="shared" si="159"/>
        <v>2.4514240578030977E-2</v>
      </c>
      <c r="P261" s="9">
        <f t="shared" si="159"/>
        <v>2.4175204234165859E-2</v>
      </c>
      <c r="Q261" s="9">
        <f t="shared" si="159"/>
        <v>2.3755581569389728E-2</v>
      </c>
      <c r="R261" s="9">
        <f t="shared" si="159"/>
        <v>2.3322961158922961E-2</v>
      </c>
      <c r="S261" s="9">
        <f t="shared" si="159"/>
        <v>2.2969053339620071E-2</v>
      </c>
      <c r="T261" s="9">
        <f t="shared" si="159"/>
        <v>2.2722798207794659E-2</v>
      </c>
      <c r="U261" s="9">
        <f t="shared" si="159"/>
        <v>2.2610233375239375E-2</v>
      </c>
      <c r="V261" s="9">
        <f t="shared" si="159"/>
        <v>2.2641423639385705E-2</v>
      </c>
      <c r="W261" s="9">
        <f t="shared" si="159"/>
        <v>2.282166436272659E-2</v>
      </c>
      <c r="X261" s="9">
        <f t="shared" si="159"/>
        <v>2.3126672209244692E-2</v>
      </c>
      <c r="Y261" s="9">
        <f t="shared" si="159"/>
        <v>2.3550174300378979E-2</v>
      </c>
      <c r="Z261" s="9">
        <f t="shared" si="159"/>
        <v>2.4076012840584804E-2</v>
      </c>
      <c r="AA261" s="9">
        <f t="shared" si="159"/>
        <v>2.4687481243931497E-2</v>
      </c>
      <c r="AB261" s="9">
        <f t="shared" si="159"/>
        <v>2.5383416006977244E-2</v>
      </c>
      <c r="AC261" s="9">
        <f t="shared" si="159"/>
        <v>2.6102125594463788E-2</v>
      </c>
      <c r="AD261" s="9">
        <f t="shared" si="159"/>
        <v>2.6847477079151583E-2</v>
      </c>
      <c r="AE261" s="9">
        <f t="shared" si="159"/>
        <v>2.7610315746856795E-2</v>
      </c>
      <c r="AF261" s="9">
        <f t="shared" si="159"/>
        <v>2.8385417406379787E-2</v>
      </c>
      <c r="AG261" s="9">
        <f t="shared" si="159"/>
        <v>2.9168940304904245E-2</v>
      </c>
      <c r="AH261" s="9">
        <f t="shared" si="159"/>
        <v>2.995051810314675E-2</v>
      </c>
      <c r="AI261" s="9">
        <f t="shared" si="159"/>
        <v>3.073240591706039E-2</v>
      </c>
      <c r="AJ261" s="9">
        <f t="shared" si="159"/>
        <v>3.1514557897976303E-2</v>
      </c>
      <c r="AK261" s="9">
        <f t="shared" si="159"/>
        <v>3.2297930213664561E-2</v>
      </c>
      <c r="AL261" s="9">
        <f t="shared" si="159"/>
        <v>3.3083851710853596E-2</v>
      </c>
      <c r="AM261" s="9">
        <f t="shared" ref="AM261:BC261" si="160">(AM242/AM59)/(AM251/AM58)-1</f>
        <v>3.3809243298433156E-2</v>
      </c>
      <c r="AN261" s="9">
        <f t="shared" si="160"/>
        <v>3.450694014888267E-2</v>
      </c>
      <c r="AO261" s="9">
        <f t="shared" si="160"/>
        <v>3.5186830863694674E-2</v>
      </c>
      <c r="AP261" s="9">
        <f t="shared" si="160"/>
        <v>3.5861541666428298E-2</v>
      </c>
      <c r="AQ261" s="9">
        <f t="shared" si="160"/>
        <v>3.6541960435731324E-2</v>
      </c>
      <c r="AR261" s="9">
        <f t="shared" si="160"/>
        <v>3.7226058888226499E-2</v>
      </c>
      <c r="AS261" s="9">
        <f t="shared" si="160"/>
        <v>3.7926612919378488E-2</v>
      </c>
      <c r="AT261" s="9">
        <f t="shared" si="160"/>
        <v>3.8650467783005071E-2</v>
      </c>
      <c r="AU261" s="9">
        <f t="shared" si="160"/>
        <v>3.9403792842362284E-2</v>
      </c>
      <c r="AV261" s="9">
        <f t="shared" si="160"/>
        <v>4.0191747015053014E-2</v>
      </c>
      <c r="AW261" s="9">
        <f t="shared" si="160"/>
        <v>4.0982237661386645E-2</v>
      </c>
      <c r="AX261" s="9">
        <f t="shared" si="160"/>
        <v>4.1799591518513868E-2</v>
      </c>
      <c r="AY261" s="9">
        <f t="shared" si="160"/>
        <v>4.6970150797967403E-2</v>
      </c>
      <c r="AZ261" s="9">
        <f t="shared" si="160"/>
        <v>5.5391136700096766E-2</v>
      </c>
      <c r="BA261" s="9">
        <f t="shared" si="160"/>
        <v>6.4941500102916994E-2</v>
      </c>
      <c r="BB261" s="9">
        <f t="shared" si="160"/>
        <v>1.5204652272835517E-3</v>
      </c>
      <c r="BC261" s="9">
        <f t="shared" si="160"/>
        <v>1.613104185054004E-3</v>
      </c>
      <c r="BD261" s="9">
        <f t="shared" ref="BD261:BF261" si="161">(BD242/BD59)/(BD251/BD58)-1</f>
        <v>1.7126773717413002E-3</v>
      </c>
      <c r="BE261" s="9">
        <f t="shared" si="161"/>
        <v>1.8203076413527697E-3</v>
      </c>
      <c r="BF261" s="9">
        <f t="shared" si="161"/>
        <v>1.9368770365537635E-3</v>
      </c>
    </row>
    <row r="263" spans="1:58" x14ac:dyDescent="0.35">
      <c r="A263" s="12" t="s">
        <v>21</v>
      </c>
      <c r="B263" t="s">
        <v>26</v>
      </c>
      <c r="C263" s="6">
        <f>[1]Results!F1600</f>
        <v>468592.45610000001</v>
      </c>
      <c r="D263" s="6">
        <f>[1]Results!G1600</f>
        <v>472040.03730000003</v>
      </c>
      <c r="E263" s="6">
        <f>[1]Results!H1600</f>
        <v>477125.61290000001</v>
      </c>
      <c r="F263" s="6">
        <f>[1]Results!I1600</f>
        <v>482991.2243</v>
      </c>
      <c r="G263" s="6">
        <f>[1]Results!J1600</f>
        <v>489124.39559999999</v>
      </c>
      <c r="H263" s="6">
        <f>[1]Results!K1600</f>
        <v>495246.02970000001</v>
      </c>
      <c r="I263" s="6">
        <f>[1]Results!L1600</f>
        <v>501026.67099999997</v>
      </c>
      <c r="J263" s="6">
        <f>[1]Results!M1600</f>
        <v>506541.44219999999</v>
      </c>
      <c r="K263" s="6">
        <f>[1]Results!N1600</f>
        <v>511894.58610000001</v>
      </c>
      <c r="L263" s="6">
        <f>[1]Results!O1600</f>
        <v>517207.62479999999</v>
      </c>
      <c r="M263" s="6">
        <f>[1]Results!P1600</f>
        <v>522953.2268</v>
      </c>
      <c r="N263" s="6">
        <f>[1]Results!Q1600</f>
        <v>528721.35129999998</v>
      </c>
      <c r="O263" s="6">
        <f>[1]Results!R1600</f>
        <v>534661.52579999994</v>
      </c>
      <c r="P263" s="6">
        <f>[1]Results!S1600</f>
        <v>540851.26729999995</v>
      </c>
      <c r="Q263" s="6">
        <f>[1]Results!T1600</f>
        <v>547331.83750000002</v>
      </c>
      <c r="R263" s="6">
        <f>[1]Results!U1600</f>
        <v>554119.91749999998</v>
      </c>
      <c r="S263" s="6">
        <f>[1]Results!V1600</f>
        <v>561186.16359999997</v>
      </c>
      <c r="T263" s="6">
        <f>[1]Results!W1600</f>
        <v>568531.34779999999</v>
      </c>
      <c r="U263" s="6">
        <f>[1]Results!X1600</f>
        <v>576143.92050000001</v>
      </c>
      <c r="V263" s="6">
        <f>[1]Results!Y1600</f>
        <v>584007.5736</v>
      </c>
      <c r="W263" s="6">
        <f>[1]Results!Z1600</f>
        <v>591852.3358</v>
      </c>
      <c r="X263" s="6">
        <f>[1]Results!AA1600</f>
        <v>600002.19649999996</v>
      </c>
      <c r="Y263" s="6">
        <f>[1]Results!AB1600</f>
        <v>608401.8872</v>
      </c>
      <c r="Z263" s="6">
        <f>[1]Results!AC1600</f>
        <v>617025.05570000003</v>
      </c>
      <c r="AA263" s="6">
        <f>[1]Results!AD1600</f>
        <v>625853.75890000002</v>
      </c>
      <c r="AB263" s="6">
        <f>[1]Results!AE1600</f>
        <v>634151.84990000003</v>
      </c>
      <c r="AC263" s="6">
        <f>[1]Results!AF1600</f>
        <v>642545.79440000001</v>
      </c>
      <c r="AD263" s="6">
        <f>[1]Results!AG1600</f>
        <v>651018.17000000004</v>
      </c>
      <c r="AE263" s="6">
        <f>[1]Results!AH1600</f>
        <v>659576.98060000001</v>
      </c>
      <c r="AF263" s="6">
        <f>[1]Results!AI1600</f>
        <v>668230.50930000003</v>
      </c>
      <c r="AG263" s="6">
        <f>[1]Results!AJ1600</f>
        <v>676982.60789999994</v>
      </c>
      <c r="AH263" s="6">
        <f>[1]Results!AK1600</f>
        <v>685838.6973</v>
      </c>
      <c r="AI263" s="6">
        <f>[1]Results!AL1600</f>
        <v>694790.50600000005</v>
      </c>
      <c r="AJ263" s="6">
        <f>[1]Results!AM1600</f>
        <v>703828.89890000003</v>
      </c>
      <c r="AK263" s="6">
        <f>[1]Results!AN1600</f>
        <v>712944.87800000003</v>
      </c>
      <c r="AL263" s="6">
        <f>[1]Results!AO1600</f>
        <v>722130.74190000002</v>
      </c>
      <c r="AM263" s="6">
        <f>[1]Results!AP1600</f>
        <v>731273.79229999997</v>
      </c>
      <c r="AN263" s="6">
        <f>[1]Results!AQ1600</f>
        <v>740405.48860000004</v>
      </c>
      <c r="AO263" s="6">
        <f>[1]Results!AR1600</f>
        <v>749543.32400000002</v>
      </c>
      <c r="AP263" s="6">
        <f>[1]Results!AS1600</f>
        <v>758699.21429999999</v>
      </c>
      <c r="AQ263" s="6">
        <f>[1]Results!AT1600</f>
        <v>767881.72629999998</v>
      </c>
      <c r="AR263" s="6">
        <f>[1]Results!AU1600</f>
        <v>777107.22499999998</v>
      </c>
      <c r="AS263" s="6">
        <f>[1]Results!AV1600</f>
        <v>786375.65529999998</v>
      </c>
      <c r="AT263" s="6">
        <f>[1]Results!AW1600</f>
        <v>795686.19709999999</v>
      </c>
      <c r="AU263" s="6">
        <f>[1]Results!AX1600</f>
        <v>805036.66350000002</v>
      </c>
      <c r="AV263" s="6">
        <f>[1]Results!AY1600</f>
        <v>814424.21030000004</v>
      </c>
      <c r="AW263" s="6">
        <f>[1]Results!AZ1600</f>
        <v>823898.02229999995</v>
      </c>
      <c r="AX263" s="6">
        <f>[1]Results!BA1600</f>
        <v>833440.95360000001</v>
      </c>
      <c r="AY263" s="6">
        <f>[1]Results!BB1600</f>
        <v>835325.42290000001</v>
      </c>
      <c r="AZ263" s="6">
        <f>[1]Results!BC1600</f>
        <v>835595.34510000004</v>
      </c>
      <c r="BA263" s="6">
        <f>[1]Results!BD1600</f>
        <v>835220.90170000005</v>
      </c>
      <c r="BB263" s="6">
        <f>[1]Results!BE1600</f>
        <v>1177882.68</v>
      </c>
      <c r="BC263" s="6">
        <f>[1]Results!BF1600</f>
        <v>1199509.7779999999</v>
      </c>
      <c r="BD263" s="6">
        <f>[1]Results!BG1600</f>
        <v>1221370.1200000001</v>
      </c>
      <c r="BE263" s="6">
        <f>[1]Results!BH1600</f>
        <v>1243459.7209999999</v>
      </c>
      <c r="BF263" s="6">
        <f>[1]Results!BI1600</f>
        <v>1265775.415</v>
      </c>
    </row>
    <row r="264" spans="1:58" x14ac:dyDescent="0.35">
      <c r="A264" t="s">
        <v>39</v>
      </c>
      <c r="B264" t="s">
        <v>7</v>
      </c>
      <c r="C264" s="6">
        <f>[1]Results!F1601</f>
        <v>4397.5037810000003</v>
      </c>
      <c r="D264" s="6">
        <f>[1]Results!G1601</f>
        <v>4426.1354039999997</v>
      </c>
      <c r="E264" s="6">
        <f>[1]Results!H1601</f>
        <v>4470.0862930000003</v>
      </c>
      <c r="F264" s="6">
        <f>[1]Results!I1601</f>
        <v>4518.8271139999997</v>
      </c>
      <c r="G264" s="6">
        <f>[1]Results!J1601</f>
        <v>4564.5413520000002</v>
      </c>
      <c r="H264" s="6">
        <f>[1]Results!K1601</f>
        <v>4601.9180969999998</v>
      </c>
      <c r="I264" s="6">
        <f>[1]Results!L1601</f>
        <v>4625.3900119999998</v>
      </c>
      <c r="J264" s="6">
        <f>[1]Results!M1601</f>
        <v>4634.9942010000004</v>
      </c>
      <c r="K264" s="6">
        <f>[1]Results!N1601</f>
        <v>4632.369686</v>
      </c>
      <c r="L264" s="6">
        <f>[1]Results!O1601</f>
        <v>4620.1241040000004</v>
      </c>
      <c r="M264" s="6">
        <f>[1]Results!P1601</f>
        <v>4605.3905080000004</v>
      </c>
      <c r="N264" s="6">
        <f>[1]Results!Q1601</f>
        <v>4585.2459230000004</v>
      </c>
      <c r="O264" s="6">
        <f>[1]Results!R1601</f>
        <v>4562.4197969999996</v>
      </c>
      <c r="P264" s="6">
        <f>[1]Results!S1601</f>
        <v>4539.2374449999998</v>
      </c>
      <c r="Q264" s="6">
        <f>[1]Results!T1601</f>
        <v>4517.5320949999996</v>
      </c>
      <c r="R264" s="6">
        <f>[1]Results!U1601</f>
        <v>4498.5269859999999</v>
      </c>
      <c r="S264" s="6">
        <f>[1]Results!V1601</f>
        <v>4482.6611569999995</v>
      </c>
      <c r="T264" s="6">
        <f>[1]Results!W1601</f>
        <v>4470.2465400000001</v>
      </c>
      <c r="U264" s="6">
        <f>[1]Results!X1601</f>
        <v>4461.161889</v>
      </c>
      <c r="V264" s="6">
        <f>[1]Results!Y1601</f>
        <v>4455.0503799999997</v>
      </c>
      <c r="W264" s="6">
        <f>[1]Results!Z1601</f>
        <v>4448.8807909999996</v>
      </c>
      <c r="X264" s="6">
        <f>[1]Results!AA1601</f>
        <v>4445.4592549999998</v>
      </c>
      <c r="Y264" s="6">
        <f>[1]Results!AB1601</f>
        <v>4444.2895930000004</v>
      </c>
      <c r="Z264" s="6">
        <f>[1]Results!AC1601</f>
        <v>4444.7419280000004</v>
      </c>
      <c r="AA264" s="6">
        <f>[1]Results!AD1601</f>
        <v>4446.1877690000001</v>
      </c>
      <c r="AB264" s="6">
        <f>[1]Results!AE1601</f>
        <v>4441.3041830000002</v>
      </c>
      <c r="AC264" s="6">
        <f>[1]Results!AF1601</f>
        <v>4435.4840990000002</v>
      </c>
      <c r="AD264" s="6">
        <f>[1]Results!AG1601</f>
        <v>4429.5402020000001</v>
      </c>
      <c r="AE264" s="6">
        <f>[1]Results!AH1601</f>
        <v>4423.9596199999996</v>
      </c>
      <c r="AF264" s="6">
        <f>[1]Results!AI1601</f>
        <v>4418.9260569999997</v>
      </c>
      <c r="AG264" s="6">
        <f>[1]Results!AJ1601</f>
        <v>4414.458611</v>
      </c>
      <c r="AH264" s="6">
        <f>[1]Results!AK1601</f>
        <v>4410.5250480000004</v>
      </c>
      <c r="AI264" s="6">
        <f>[1]Results!AL1601</f>
        <v>4406.9973460000001</v>
      </c>
      <c r="AJ264" s="6">
        <f>[1]Results!AM1601</f>
        <v>4403.7614389999999</v>
      </c>
      <c r="AK264" s="6">
        <f>[1]Results!AN1601</f>
        <v>4400.7269409999999</v>
      </c>
      <c r="AL264" s="6">
        <f>[1]Results!AO1601</f>
        <v>4397.840518</v>
      </c>
      <c r="AM264" s="6">
        <f>[1]Results!AP1601</f>
        <v>4394.0425809999997</v>
      </c>
      <c r="AN264" s="6">
        <f>[1]Results!AQ1601</f>
        <v>4389.6588220000003</v>
      </c>
      <c r="AO264" s="6">
        <f>[1]Results!AR1601</f>
        <v>4385.1835380000002</v>
      </c>
      <c r="AP264" s="6">
        <f>[1]Results!AS1601</f>
        <v>4381.0085209999997</v>
      </c>
      <c r="AQ264" s="6">
        <f>[1]Results!AT1601</f>
        <v>4377.3794170000001</v>
      </c>
      <c r="AR264" s="6">
        <f>[1]Results!AU1601</f>
        <v>4374.4636170000003</v>
      </c>
      <c r="AS264" s="6">
        <f>[1]Results!AV1601</f>
        <v>4372.263978</v>
      </c>
      <c r="AT264" s="6">
        <f>[1]Results!AW1601</f>
        <v>4370.7295100000001</v>
      </c>
      <c r="AU264" s="6">
        <f>[1]Results!AX1601</f>
        <v>4369.7639669999999</v>
      </c>
      <c r="AV264" s="6">
        <f>[1]Results!AY1601</f>
        <v>4369.2526159999998</v>
      </c>
      <c r="AW264" s="6">
        <f>[1]Results!AZ1601</f>
        <v>4369.3557350000001</v>
      </c>
      <c r="AX264" s="6">
        <f>[1]Results!BA1601</f>
        <v>4369.9148889999997</v>
      </c>
      <c r="AY264" s="6">
        <f>[1]Results!BB1601</f>
        <v>4367.3368339999997</v>
      </c>
      <c r="AZ264" s="6">
        <f>[1]Results!BC1601</f>
        <v>4359.8669280000004</v>
      </c>
      <c r="BA264" s="6">
        <f>[1]Results!BD1601</f>
        <v>4359.1043970000001</v>
      </c>
      <c r="BB264" s="6">
        <f>[1]Results!BE1601</f>
        <v>10315.183279999999</v>
      </c>
      <c r="BC264" s="6">
        <f>[1]Results!BF1601</f>
        <v>10501.124680000001</v>
      </c>
      <c r="BD264" s="6">
        <f>[1]Results!BG1601</f>
        <v>10690.10708</v>
      </c>
      <c r="BE264" s="6">
        <f>[1]Results!BH1601</f>
        <v>10882.175730000001</v>
      </c>
      <c r="BF264" s="6">
        <f>[1]Results!BI1601</f>
        <v>11077.383040000001</v>
      </c>
    </row>
    <row r="265" spans="1:58" x14ac:dyDescent="0.35">
      <c r="B265" t="s">
        <v>30</v>
      </c>
      <c r="C265" s="6">
        <f>[1]Results!F1604</f>
        <v>232516.64799999999</v>
      </c>
      <c r="D265" s="6">
        <f>[1]Results!G1604</f>
        <v>234265.64379999999</v>
      </c>
      <c r="E265" s="6">
        <f>[1]Results!H1604</f>
        <v>236925.6335</v>
      </c>
      <c r="F265" s="6">
        <f>[1]Results!I1604</f>
        <v>239998.56940000001</v>
      </c>
      <c r="G265" s="6">
        <f>[1]Results!J1604</f>
        <v>243183.59280000001</v>
      </c>
      <c r="H265" s="6">
        <f>[1]Results!K1604</f>
        <v>246310.96859999999</v>
      </c>
      <c r="I265" s="6">
        <f>[1]Results!L1604</f>
        <v>249209.63269999999</v>
      </c>
      <c r="J265" s="6">
        <f>[1]Results!M1604</f>
        <v>251899.2218</v>
      </c>
      <c r="K265" s="6">
        <f>[1]Results!N1604</f>
        <v>254430.06270000001</v>
      </c>
      <c r="L265" s="6">
        <f>[1]Results!O1604</f>
        <v>256869.0435</v>
      </c>
      <c r="M265" s="6">
        <f>[1]Results!P1604</f>
        <v>259442.54019999999</v>
      </c>
      <c r="N265" s="6">
        <f>[1]Results!Q1604</f>
        <v>261995.87349999999</v>
      </c>
      <c r="O265" s="6">
        <f>[1]Results!R1604</f>
        <v>264605.28289999999</v>
      </c>
      <c r="P265" s="6">
        <f>[1]Results!S1604</f>
        <v>267320.92830000003</v>
      </c>
      <c r="Q265" s="6">
        <f>[1]Results!T1604</f>
        <v>270175.7524</v>
      </c>
      <c r="R265" s="6">
        <f>[1]Results!U1604</f>
        <v>273189.44699999999</v>
      </c>
      <c r="S265" s="6">
        <f>[1]Results!V1604</f>
        <v>276356.10950000002</v>
      </c>
      <c r="T265" s="6">
        <f>[1]Results!W1604</f>
        <v>279684.23540000001</v>
      </c>
      <c r="U265" s="6">
        <f>[1]Results!X1604</f>
        <v>283174.25089999998</v>
      </c>
      <c r="V265" s="6">
        <f>[1]Results!Y1604</f>
        <v>286822.40779999999</v>
      </c>
      <c r="W265" s="6">
        <f>[1]Results!Z1604</f>
        <v>290512.98320000002</v>
      </c>
      <c r="X265" s="6">
        <f>[1]Results!AA1604</f>
        <v>294380.53080000001</v>
      </c>
      <c r="Y265" s="6">
        <f>[1]Results!AB1604</f>
        <v>298407.0036</v>
      </c>
      <c r="Z265" s="6">
        <f>[1]Results!AC1604</f>
        <v>302580.94520000002</v>
      </c>
      <c r="AA265" s="6">
        <f>[1]Results!AD1604</f>
        <v>306893.11040000001</v>
      </c>
      <c r="AB265" s="6">
        <f>[1]Results!AE1604</f>
        <v>311022.70510000002</v>
      </c>
      <c r="AC265" s="6">
        <f>[1]Results!AF1604</f>
        <v>315218.3922</v>
      </c>
      <c r="AD265" s="6">
        <f>[1]Results!AG1604</f>
        <v>319478.1078</v>
      </c>
      <c r="AE265" s="6">
        <f>[1]Results!AH1604</f>
        <v>323804.11249999999</v>
      </c>
      <c r="AF265" s="6">
        <f>[1]Results!AI1604</f>
        <v>328197.42989999999</v>
      </c>
      <c r="AG265" s="6">
        <f>[1]Results!AJ1604</f>
        <v>332656.57650000002</v>
      </c>
      <c r="AH265" s="6">
        <f>[1]Results!AK1604</f>
        <v>337181.02850000001</v>
      </c>
      <c r="AI265" s="6">
        <f>[1]Results!AL1604</f>
        <v>341763.29259999999</v>
      </c>
      <c r="AJ265" s="6">
        <f>[1]Results!AM1604</f>
        <v>346395.41930000001</v>
      </c>
      <c r="AK265" s="6">
        <f>[1]Results!AN1604</f>
        <v>351069.56510000001</v>
      </c>
      <c r="AL265" s="6">
        <f>[1]Results!AO1604</f>
        <v>355778.62829999998</v>
      </c>
      <c r="AM265" s="6">
        <f>[1]Results!AP1604</f>
        <v>360476.41</v>
      </c>
      <c r="AN265" s="6">
        <f>[1]Results!AQ1604</f>
        <v>365166.83750000002</v>
      </c>
      <c r="AO265" s="6">
        <f>[1]Results!AR1604</f>
        <v>369853.48220000003</v>
      </c>
      <c r="AP265" s="6">
        <f>[1]Results!AS1604</f>
        <v>374539.08</v>
      </c>
      <c r="AQ265" s="6">
        <f>[1]Results!AT1604</f>
        <v>379225.38030000002</v>
      </c>
      <c r="AR265" s="6">
        <f>[1]Results!AU1604</f>
        <v>383918.61570000002</v>
      </c>
      <c r="AS265" s="6">
        <f>[1]Results!AV1604</f>
        <v>388616.99609999999</v>
      </c>
      <c r="AT265" s="6">
        <f>[1]Results!AW1604</f>
        <v>393318.5379</v>
      </c>
      <c r="AU265" s="6">
        <f>[1]Results!AX1604</f>
        <v>398020.75670000003</v>
      </c>
      <c r="AV265" s="6">
        <f>[1]Results!AY1604</f>
        <v>402720.9559</v>
      </c>
      <c r="AW265" s="6">
        <f>[1]Results!AZ1604</f>
        <v>407442.1789</v>
      </c>
      <c r="AX265" s="6">
        <f>[1]Results!BA1604</f>
        <v>412176.12949999998</v>
      </c>
      <c r="AY265" s="6">
        <f>[1]Results!BB1604</f>
        <v>413583.78129999997</v>
      </c>
      <c r="AZ265" s="6">
        <f>[1]Results!BC1604</f>
        <v>413702.87880000001</v>
      </c>
      <c r="BA265" s="6">
        <f>[1]Results!BD1604</f>
        <v>413275.75280000002</v>
      </c>
      <c r="BB265" s="6">
        <f>[1]Results!BE1604</f>
        <v>617742.98450000002</v>
      </c>
      <c r="BC265" s="6">
        <f>[1]Results!BF1604</f>
        <v>629611.85600000003</v>
      </c>
      <c r="BD265" s="6">
        <f>[1]Results!BG1604</f>
        <v>641570.32310000004</v>
      </c>
      <c r="BE265" s="6">
        <f>[1]Results!BH1604</f>
        <v>653612.58900000004</v>
      </c>
      <c r="BF265" s="6">
        <f>[1]Results!BI1604</f>
        <v>665733.37950000004</v>
      </c>
    </row>
    <row r="266" spans="1:58" x14ac:dyDescent="0.35">
      <c r="B266" t="s">
        <v>28</v>
      </c>
      <c r="C266" s="6">
        <f>[1]Results!F1616</f>
        <v>7856.4728260000002</v>
      </c>
      <c r="D266" s="6">
        <f>[1]Results!G1616</f>
        <v>7889.2037270000001</v>
      </c>
      <c r="E266" s="6">
        <f>[1]Results!H1616</f>
        <v>7967.7305930000002</v>
      </c>
      <c r="F266" s="6">
        <f>[1]Results!I1616</f>
        <v>8063.5025569999998</v>
      </c>
      <c r="G266" s="6">
        <f>[1]Results!J1616</f>
        <v>8164.969634</v>
      </c>
      <c r="H266" s="6">
        <f>[1]Results!K1616</f>
        <v>8267.0198839999994</v>
      </c>
      <c r="I266" s="6">
        <f>[1]Results!L1616</f>
        <v>8362.9254349999992</v>
      </c>
      <c r="J266" s="6">
        <f>[1]Results!M1616</f>
        <v>8454.5104240000001</v>
      </c>
      <c r="K266" s="6">
        <f>[1]Results!N1616</f>
        <v>8543.0040850000005</v>
      </c>
      <c r="L266" s="6">
        <f>[1]Results!O1616</f>
        <v>8629.5524069999992</v>
      </c>
      <c r="M266" s="6">
        <f>[1]Results!P1616</f>
        <v>8722.6084040000005</v>
      </c>
      <c r="N266" s="6">
        <f>[1]Results!Q1616</f>
        <v>8810.7954269999991</v>
      </c>
      <c r="O266" s="6">
        <f>[1]Results!R1616</f>
        <v>8897.6215630000006</v>
      </c>
      <c r="P266" s="6">
        <f>[1]Results!S1616</f>
        <v>8984.4837150000003</v>
      </c>
      <c r="Q266" s="6">
        <f>[1]Results!T1616</f>
        <v>9072.0122709999996</v>
      </c>
      <c r="R266" s="6">
        <f>[1]Results!U1616</f>
        <v>9160.5004430000008</v>
      </c>
      <c r="S266" s="6">
        <f>[1]Results!V1616</f>
        <v>9249.206983</v>
      </c>
      <c r="T266" s="6">
        <f>[1]Results!W1616</f>
        <v>9338.7096689999998</v>
      </c>
      <c r="U266" s="6">
        <f>[1]Results!X1616</f>
        <v>9429.2410810000001</v>
      </c>
      <c r="V266" s="6">
        <f>[1]Results!Y1616</f>
        <v>9520.9258030000001</v>
      </c>
      <c r="W266" s="6">
        <f>[1]Results!Z1616</f>
        <v>9608.6913719999993</v>
      </c>
      <c r="X266" s="6">
        <f>[1]Results!AA1616</f>
        <v>9700.5402770000001</v>
      </c>
      <c r="Y266" s="6">
        <f>[1]Results!AB1616</f>
        <v>9794.9914499999995</v>
      </c>
      <c r="Z266" s="6">
        <f>[1]Results!AC1616</f>
        <v>9891.6226970000007</v>
      </c>
      <c r="AA266" s="6">
        <f>[1]Results!AD1616</f>
        <v>9990.320995</v>
      </c>
      <c r="AB266" s="6">
        <f>[1]Results!AE1616</f>
        <v>10076.521779999999</v>
      </c>
      <c r="AC266" s="6">
        <f>[1]Results!AF1616</f>
        <v>10165.79463</v>
      </c>
      <c r="AD266" s="6">
        <f>[1]Results!AG1616</f>
        <v>10257.006649999999</v>
      </c>
      <c r="AE266" s="6">
        <f>[1]Results!AH1616</f>
        <v>10350.02103</v>
      </c>
      <c r="AF266" s="6">
        <f>[1]Results!AI1616</f>
        <v>10444.91221</v>
      </c>
      <c r="AG266" s="6">
        <f>[1]Results!AJ1616</f>
        <v>10541.75001</v>
      </c>
      <c r="AH266" s="6">
        <f>[1]Results!AK1616</f>
        <v>10640.73321</v>
      </c>
      <c r="AI266" s="6">
        <f>[1]Results!AL1616</f>
        <v>10741.695830000001</v>
      </c>
      <c r="AJ266" s="6">
        <f>[1]Results!AM1616</f>
        <v>10844.499379999999</v>
      </c>
      <c r="AK266" s="6">
        <f>[1]Results!AN1616</f>
        <v>10949.012290000001</v>
      </c>
      <c r="AL266" s="6">
        <f>[1]Results!AO1616</f>
        <v>11055.113579999999</v>
      </c>
      <c r="AM266" s="6">
        <f>[1]Results!AP1616</f>
        <v>11161.08259</v>
      </c>
      <c r="AN266" s="6">
        <f>[1]Results!AQ1616</f>
        <v>11267.604729999999</v>
      </c>
      <c r="AO266" s="6">
        <f>[1]Results!AR1616</f>
        <v>11374.972739999999</v>
      </c>
      <c r="AP266" s="6">
        <f>[1]Results!AS1616</f>
        <v>11483.338830000001</v>
      </c>
      <c r="AQ266" s="6">
        <f>[1]Results!AT1616</f>
        <v>11592.79074</v>
      </c>
      <c r="AR266" s="6">
        <f>[1]Results!AU1616</f>
        <v>11703.65518</v>
      </c>
      <c r="AS266" s="6">
        <f>[1]Results!AV1616</f>
        <v>11815.806</v>
      </c>
      <c r="AT266" s="6">
        <f>[1]Results!AW1616</f>
        <v>11929.178749999999</v>
      </c>
      <c r="AU266" s="6">
        <f>[1]Results!AX1616</f>
        <v>12043.71809</v>
      </c>
      <c r="AV266" s="6">
        <f>[1]Results!AY1616</f>
        <v>12159.369979999999</v>
      </c>
      <c r="AW266" s="6">
        <f>[1]Results!AZ1616</f>
        <v>12277.32488</v>
      </c>
      <c r="AX266" s="6">
        <f>[1]Results!BA1616</f>
        <v>12396.930850000001</v>
      </c>
      <c r="AY266" s="6">
        <f>[1]Results!BB1616</f>
        <v>12419.35759</v>
      </c>
      <c r="AZ266" s="6">
        <f>[1]Results!BC1616</f>
        <v>12381.99941</v>
      </c>
      <c r="BA266" s="6">
        <f>[1]Results!BD1616</f>
        <v>12334.34881</v>
      </c>
      <c r="BB266" s="6">
        <f>[1]Results!BE1616</f>
        <v>18304.411169999999</v>
      </c>
      <c r="BC266" s="6">
        <f>[1]Results!BF1616</f>
        <v>18627.571029999999</v>
      </c>
      <c r="BD266" s="6">
        <f>[1]Results!BG1616</f>
        <v>18956.537619999999</v>
      </c>
      <c r="BE266" s="6">
        <f>[1]Results!BH1616</f>
        <v>19291.396369999999</v>
      </c>
      <c r="BF266" s="6">
        <f>[1]Results!BI1616</f>
        <v>19632.235570000001</v>
      </c>
    </row>
    <row r="267" spans="1:58" x14ac:dyDescent="0.35">
      <c r="B267" t="s">
        <v>10</v>
      </c>
      <c r="C267" s="6">
        <f>[1]Results!F1621</f>
        <v>218015.20629999999</v>
      </c>
      <c r="D267" s="6">
        <f>[1]Results!G1621</f>
        <v>219655.29250000001</v>
      </c>
      <c r="E267" s="6">
        <f>[1]Results!H1621</f>
        <v>221952.92610000001</v>
      </c>
      <c r="F267" s="6">
        <f>[1]Results!I1621</f>
        <v>224589.08420000001</v>
      </c>
      <c r="G267" s="6">
        <f>[1]Results!J1621</f>
        <v>227370.0423</v>
      </c>
      <c r="H267" s="6">
        <f>[1]Results!K1621</f>
        <v>230196.1421</v>
      </c>
      <c r="I267" s="6">
        <f>[1]Results!L1621</f>
        <v>232924.0753</v>
      </c>
      <c r="J267" s="6">
        <f>[1]Results!M1621</f>
        <v>235608.29500000001</v>
      </c>
      <c r="K267" s="6">
        <f>[1]Results!N1621</f>
        <v>238300.94289999999</v>
      </c>
      <c r="L267" s="6">
        <f>[1]Results!O1621</f>
        <v>241054.11970000001</v>
      </c>
      <c r="M267" s="6">
        <f>[1]Results!P1621</f>
        <v>244095.98050000001</v>
      </c>
      <c r="N267" s="6">
        <f>[1]Results!Q1621</f>
        <v>247191.2518</v>
      </c>
      <c r="O267" s="6">
        <f>[1]Results!R1621</f>
        <v>250407.59090000001</v>
      </c>
      <c r="P267" s="6">
        <f>[1]Results!S1621</f>
        <v>253768.73509999999</v>
      </c>
      <c r="Q267" s="6">
        <f>[1]Results!T1621</f>
        <v>257280.60329999999</v>
      </c>
      <c r="R267" s="6">
        <f>[1]Results!U1621</f>
        <v>260938.68950000001</v>
      </c>
      <c r="S267" s="6">
        <f>[1]Results!V1621</f>
        <v>264720.07390000002</v>
      </c>
      <c r="T267" s="6">
        <f>[1]Results!W1621</f>
        <v>268615.91680000001</v>
      </c>
      <c r="U267" s="6">
        <f>[1]Results!X1621</f>
        <v>272613.86009999999</v>
      </c>
      <c r="V267" s="6">
        <f>[1]Results!Y1621</f>
        <v>276701.27020000003</v>
      </c>
      <c r="W267" s="6">
        <f>[1]Results!Z1621</f>
        <v>280734.2599</v>
      </c>
      <c r="X267" s="6">
        <f>[1]Results!AA1621</f>
        <v>284887.90740000003</v>
      </c>
      <c r="Y267" s="6">
        <f>[1]Results!AB1621</f>
        <v>289126.64909999998</v>
      </c>
      <c r="Z267" s="6">
        <f>[1]Results!AC1621</f>
        <v>293436.5784</v>
      </c>
      <c r="AA267" s="6">
        <f>[1]Results!AD1621</f>
        <v>297809.61749999999</v>
      </c>
      <c r="AB267" s="6">
        <f>[1]Results!AE1621</f>
        <v>301859.35619999998</v>
      </c>
      <c r="AC267" s="6">
        <f>[1]Results!AF1621</f>
        <v>305936.7781</v>
      </c>
      <c r="AD267" s="6">
        <f>[1]Results!AG1621</f>
        <v>310025.9326</v>
      </c>
      <c r="AE267" s="6">
        <f>[1]Results!AH1621</f>
        <v>314131.9571</v>
      </c>
      <c r="AF267" s="6">
        <f>[1]Results!AI1621</f>
        <v>318261.68070000003</v>
      </c>
      <c r="AG267" s="6">
        <f>[1]Results!AJ1621</f>
        <v>322420.18800000002</v>
      </c>
      <c r="AH267" s="6">
        <f>[1]Results!AK1621</f>
        <v>326613.06579999998</v>
      </c>
      <c r="AI267" s="6">
        <f>[1]Results!AL1621</f>
        <v>330839.73580000002</v>
      </c>
      <c r="AJ267" s="6">
        <f>[1]Results!AM1621</f>
        <v>335099.20770000003</v>
      </c>
      <c r="AK267" s="6">
        <f>[1]Results!AN1621</f>
        <v>339390.53</v>
      </c>
      <c r="AL267" s="6">
        <f>[1]Results!AO1621</f>
        <v>343713.29090000002</v>
      </c>
      <c r="AM267" s="6">
        <f>[1]Results!AP1621</f>
        <v>348005.04749999999</v>
      </c>
      <c r="AN267" s="6">
        <f>[1]Results!AQ1621</f>
        <v>352292.08380000002</v>
      </c>
      <c r="AO267" s="6">
        <f>[1]Results!AR1621</f>
        <v>356587.28200000001</v>
      </c>
      <c r="AP267" s="6">
        <f>[1]Results!AS1621</f>
        <v>360899.17249999999</v>
      </c>
      <c r="AQ267" s="6">
        <f>[1]Results!AT1621</f>
        <v>365234.21429999999</v>
      </c>
      <c r="AR267" s="6">
        <f>[1]Results!AU1621</f>
        <v>369601.99190000002</v>
      </c>
      <c r="AS267" s="6">
        <f>[1]Results!AV1621</f>
        <v>374004.39399999997</v>
      </c>
      <c r="AT267" s="6">
        <f>[1]Results!AW1621</f>
        <v>378442.72960000002</v>
      </c>
      <c r="AU267" s="6">
        <f>[1]Results!AX1621</f>
        <v>382917.48310000001</v>
      </c>
      <c r="AV267" s="6">
        <f>[1]Results!AY1621</f>
        <v>387428.71519999998</v>
      </c>
      <c r="AW267" s="6">
        <f>[1]Results!AZ1621</f>
        <v>392000.92810000002</v>
      </c>
      <c r="AX267" s="6">
        <f>[1]Results!BA1621</f>
        <v>396626.19880000001</v>
      </c>
      <c r="AY267" s="6">
        <f>[1]Results!BB1621</f>
        <v>397032.5392</v>
      </c>
      <c r="AZ267" s="6">
        <f>[1]Results!BC1621</f>
        <v>397209.78600000002</v>
      </c>
      <c r="BA267" s="6">
        <f>[1]Results!BD1621</f>
        <v>397293.41190000001</v>
      </c>
      <c r="BB267" s="6">
        <f>[1]Results!BE1621</f>
        <v>520690.10560000001</v>
      </c>
      <c r="BC267" s="6">
        <f>[1]Results!BF1621</f>
        <v>529771.0233</v>
      </c>
      <c r="BD267" s="6">
        <f>[1]Results!BG1621</f>
        <v>538983.70779999997</v>
      </c>
      <c r="BE267" s="6">
        <f>[1]Results!BH1621</f>
        <v>548329.81590000005</v>
      </c>
      <c r="BF267" s="6">
        <f>[1]Results!BI1621</f>
        <v>557811.28489999997</v>
      </c>
    </row>
    <row r="268" spans="1:58" x14ac:dyDescent="0.35">
      <c r="B268" t="s">
        <v>31</v>
      </c>
      <c r="C268" s="6">
        <f>[1]Results!F1624</f>
        <v>2212.3053629999999</v>
      </c>
      <c r="D268" s="6">
        <f>[1]Results!G1624</f>
        <v>2210.0225740000001</v>
      </c>
      <c r="E268" s="6">
        <f>[1]Results!H1624</f>
        <v>2212.0737570000001</v>
      </c>
      <c r="F268" s="6">
        <f>[1]Results!I1624</f>
        <v>2216.8942980000002</v>
      </c>
      <c r="G268" s="6">
        <f>[1]Results!J1624</f>
        <v>2224.6477399999999</v>
      </c>
      <c r="H268" s="6">
        <f>[1]Results!K1624</f>
        <v>2235.449271</v>
      </c>
      <c r="I268" s="6">
        <f>[1]Results!L1624</f>
        <v>2248.2333490000001</v>
      </c>
      <c r="J268" s="6">
        <f>[1]Results!M1624</f>
        <v>2262.955751</v>
      </c>
      <c r="K268" s="6">
        <f>[1]Results!N1624</f>
        <v>2279.4250860000002</v>
      </c>
      <c r="L268" s="6">
        <f>[1]Results!O1624</f>
        <v>2297.393337</v>
      </c>
      <c r="M268" s="6">
        <f>[1]Results!P1624</f>
        <v>2318.0826670000001</v>
      </c>
      <c r="N268" s="6">
        <f>[1]Results!Q1624</f>
        <v>2339.1806919999999</v>
      </c>
      <c r="O268" s="6">
        <f>[1]Results!R1624</f>
        <v>2360.7592490000002</v>
      </c>
      <c r="P268" s="6">
        <f>[1]Results!S1624</f>
        <v>2382.8556239999998</v>
      </c>
      <c r="Q268" s="6">
        <f>[1]Results!T1624</f>
        <v>2405.4272559999999</v>
      </c>
      <c r="R268" s="6">
        <f>[1]Results!U1624</f>
        <v>2428.4038599999999</v>
      </c>
      <c r="S268" s="6">
        <f>[1]Results!V1624</f>
        <v>2451.5671499999999</v>
      </c>
      <c r="T268" s="6">
        <f>[1]Results!W1624</f>
        <v>2474.9379650000001</v>
      </c>
      <c r="U268" s="6">
        <f>[1]Results!X1624</f>
        <v>2498.515304</v>
      </c>
      <c r="V268" s="6">
        <f>[1]Results!Y1624</f>
        <v>2522.294676</v>
      </c>
      <c r="W268" s="6">
        <f>[1]Results!Z1624</f>
        <v>2545.2457949999998</v>
      </c>
      <c r="X268" s="6">
        <f>[1]Results!AA1624</f>
        <v>2568.7686739999999</v>
      </c>
      <c r="Y268" s="6">
        <f>[1]Results!AB1624</f>
        <v>2592.766419</v>
      </c>
      <c r="Z268" s="6">
        <f>[1]Results!AC1624</f>
        <v>2617.1656160000002</v>
      </c>
      <c r="AA268" s="6">
        <f>[1]Results!AD1624</f>
        <v>2641.9534819999999</v>
      </c>
      <c r="AB268" s="6">
        <f>[1]Results!AE1624</f>
        <v>2664.2274950000001</v>
      </c>
      <c r="AC268" s="6">
        <f>[1]Results!AF1624</f>
        <v>2686.5997029999999</v>
      </c>
      <c r="AD268" s="6">
        <f>[1]Results!AG1624</f>
        <v>2709.1763329999999</v>
      </c>
      <c r="AE268" s="6">
        <f>[1]Results!AH1624</f>
        <v>2731.9715529999999</v>
      </c>
      <c r="AF268" s="6">
        <f>[1]Results!AI1624</f>
        <v>2755.027427</v>
      </c>
      <c r="AG268" s="6">
        <f>[1]Results!AJ1624</f>
        <v>2778.3992020000001</v>
      </c>
      <c r="AH268" s="6">
        <f>[1]Results!AK1624</f>
        <v>2802.1711949999999</v>
      </c>
      <c r="AI268" s="6">
        <f>[1]Results!AL1624</f>
        <v>2826.3732730000002</v>
      </c>
      <c r="AJ268" s="6">
        <f>[1]Results!AM1624</f>
        <v>2851.0335909999999</v>
      </c>
      <c r="AK268" s="6">
        <f>[1]Results!AN1624</f>
        <v>2876.1752230000002</v>
      </c>
      <c r="AL268" s="6">
        <f>[1]Results!AO1624</f>
        <v>2901.8149490000001</v>
      </c>
      <c r="AM268" s="6">
        <f>[1]Results!AP1624</f>
        <v>2927.5511700000002</v>
      </c>
      <c r="AN268" s="6">
        <f>[1]Results!AQ1624</f>
        <v>2953.4829639999998</v>
      </c>
      <c r="AO268" s="6">
        <f>[1]Results!AR1624</f>
        <v>2979.698954</v>
      </c>
      <c r="AP268" s="6">
        <f>[1]Results!AS1624</f>
        <v>3006.2542250000001</v>
      </c>
      <c r="AQ268" s="6">
        <f>[1]Results!AT1624</f>
        <v>3033.1837810000002</v>
      </c>
      <c r="AR268" s="6">
        <f>[1]Results!AU1624</f>
        <v>3060.5530950000002</v>
      </c>
      <c r="AS268" s="6">
        <f>[1]Results!AV1624</f>
        <v>3088.3599629999999</v>
      </c>
      <c r="AT268" s="6">
        <f>[1]Results!AW1624</f>
        <v>3116.6089579999998</v>
      </c>
      <c r="AU268" s="6">
        <f>[1]Results!AX1624</f>
        <v>3145.3068410000001</v>
      </c>
      <c r="AV268" s="6">
        <f>[1]Results!AY1624</f>
        <v>3174.4598510000001</v>
      </c>
      <c r="AW268" s="6">
        <f>[1]Results!AZ1624</f>
        <v>3204.2690389999998</v>
      </c>
      <c r="AX268" s="6">
        <f>[1]Results!BA1624</f>
        <v>3234.6536059999999</v>
      </c>
      <c r="AY268" s="6">
        <f>[1]Results!BB1624</f>
        <v>3274.1069130000001</v>
      </c>
      <c r="AZ268" s="6">
        <f>[1]Results!BC1624</f>
        <v>3293.1924180000001</v>
      </c>
      <c r="BA268" s="6">
        <f>[1]Results!BD1624</f>
        <v>3306.6946939999998</v>
      </c>
      <c r="BB268" s="6">
        <f>[1]Results!BE1624</f>
        <v>4426.5473080000002</v>
      </c>
      <c r="BC268" s="6">
        <f>[1]Results!BF1624</f>
        <v>4495.1861529999996</v>
      </c>
      <c r="BD268" s="6">
        <f>[1]Results!BG1624</f>
        <v>4564.88544</v>
      </c>
      <c r="BE268" s="6">
        <f>[1]Results!BH1624</f>
        <v>4635.66716</v>
      </c>
      <c r="BF268" s="6">
        <f>[1]Results!BI1624</f>
        <v>4707.5559839999996</v>
      </c>
    </row>
    <row r="269" spans="1:58" x14ac:dyDescent="0.35">
      <c r="B269" t="s">
        <v>33</v>
      </c>
      <c r="C269" s="6">
        <f>[1]Results!F1629</f>
        <v>3594.3198520000001</v>
      </c>
      <c r="D269" s="6">
        <f>[1]Results!G1629</f>
        <v>3593.7393350000002</v>
      </c>
      <c r="E269" s="6">
        <f>[1]Results!H1629</f>
        <v>3597.1626310000001</v>
      </c>
      <c r="F269" s="6">
        <f>[1]Results!I1629</f>
        <v>3604.3467310000001</v>
      </c>
      <c r="G269" s="6">
        <f>[1]Results!J1629</f>
        <v>3616.601838</v>
      </c>
      <c r="H269" s="6">
        <f>[1]Results!K1629</f>
        <v>3634.53172</v>
      </c>
      <c r="I269" s="6">
        <f>[1]Results!L1629</f>
        <v>3656.4141559999998</v>
      </c>
      <c r="J269" s="6">
        <f>[1]Results!M1629</f>
        <v>3681.465056</v>
      </c>
      <c r="K269" s="6">
        <f>[1]Results!N1629</f>
        <v>3708.7816400000002</v>
      </c>
      <c r="L269" s="6">
        <f>[1]Results!O1629</f>
        <v>3737.391744</v>
      </c>
      <c r="M269" s="6">
        <f>[1]Results!P1629</f>
        <v>3768.6245349999999</v>
      </c>
      <c r="N269" s="6">
        <f>[1]Results!Q1629</f>
        <v>3799.0039320000001</v>
      </c>
      <c r="O269" s="6">
        <f>[1]Results!R1629</f>
        <v>3827.851369</v>
      </c>
      <c r="P269" s="6">
        <f>[1]Results!S1629</f>
        <v>3855.0270650000002</v>
      </c>
      <c r="Q269" s="6">
        <f>[1]Results!T1629</f>
        <v>3880.5101100000002</v>
      </c>
      <c r="R269" s="6">
        <f>[1]Results!U1629</f>
        <v>3904.3496679999998</v>
      </c>
      <c r="S269" s="6">
        <f>[1]Results!V1629</f>
        <v>3926.5449130000002</v>
      </c>
      <c r="T269" s="6">
        <f>[1]Results!W1629</f>
        <v>3947.3014710000002</v>
      </c>
      <c r="U269" s="6">
        <f>[1]Results!X1629</f>
        <v>3966.891173</v>
      </c>
      <c r="V269" s="6">
        <f>[1]Results!Y1629</f>
        <v>3985.6246900000001</v>
      </c>
      <c r="W269" s="6">
        <f>[1]Results!Z1629</f>
        <v>4002.2747159999999</v>
      </c>
      <c r="X269" s="6">
        <f>[1]Results!AA1629</f>
        <v>4018.9901180000002</v>
      </c>
      <c r="Y269" s="6">
        <f>[1]Results!AB1629</f>
        <v>4036.1869820000002</v>
      </c>
      <c r="Z269" s="6">
        <f>[1]Results!AC1629</f>
        <v>4054.0019130000001</v>
      </c>
      <c r="AA269" s="6">
        <f>[1]Results!AD1629</f>
        <v>4072.5688230000001</v>
      </c>
      <c r="AB269" s="6">
        <f>[1]Results!AE1629</f>
        <v>4087.7351199999998</v>
      </c>
      <c r="AC269" s="6">
        <f>[1]Results!AF1629</f>
        <v>4102.7456099999999</v>
      </c>
      <c r="AD269" s="6">
        <f>[1]Results!AG1629</f>
        <v>4118.4064049999997</v>
      </c>
      <c r="AE269" s="6">
        <f>[1]Results!AH1629</f>
        <v>4134.9588549999999</v>
      </c>
      <c r="AF269" s="6">
        <f>[1]Results!AI1629</f>
        <v>4152.5329970000003</v>
      </c>
      <c r="AG269" s="6">
        <f>[1]Results!AJ1629</f>
        <v>4171.2355479999997</v>
      </c>
      <c r="AH269" s="6">
        <f>[1]Results!AK1629</f>
        <v>4191.1735710000003</v>
      </c>
      <c r="AI269" s="6">
        <f>[1]Results!AL1629</f>
        <v>4212.4111800000001</v>
      </c>
      <c r="AJ269" s="6">
        <f>[1]Results!AM1629</f>
        <v>4234.9774980000002</v>
      </c>
      <c r="AK269" s="6">
        <f>[1]Results!AN1629</f>
        <v>4258.8683659999997</v>
      </c>
      <c r="AL269" s="6">
        <f>[1]Results!AO1629</f>
        <v>4284.0536670000001</v>
      </c>
      <c r="AM269" s="6">
        <f>[1]Results!AP1629</f>
        <v>4309.658574</v>
      </c>
      <c r="AN269" s="6">
        <f>[1]Results!AQ1629</f>
        <v>4335.820745</v>
      </c>
      <c r="AO269" s="6">
        <f>[1]Results!AR1629</f>
        <v>4362.704592</v>
      </c>
      <c r="AP269" s="6">
        <f>[1]Results!AS1629</f>
        <v>4390.360181</v>
      </c>
      <c r="AQ269" s="6">
        <f>[1]Results!AT1629</f>
        <v>4418.7777910000004</v>
      </c>
      <c r="AR269" s="6">
        <f>[1]Results!AU1629</f>
        <v>4447.9454459999997</v>
      </c>
      <c r="AS269" s="6">
        <f>[1]Results!AV1629</f>
        <v>4477.8352409999998</v>
      </c>
      <c r="AT269" s="6">
        <f>[1]Results!AW1629</f>
        <v>4508.4123790000003</v>
      </c>
      <c r="AU269" s="6">
        <f>[1]Results!AX1629</f>
        <v>4539.6347759999999</v>
      </c>
      <c r="AV269" s="6">
        <f>[1]Results!AY1629</f>
        <v>4571.4568380000001</v>
      </c>
      <c r="AW269" s="6">
        <f>[1]Results!AZ1629</f>
        <v>4603.9655839999996</v>
      </c>
      <c r="AX269" s="6">
        <f>[1]Results!BA1629</f>
        <v>4637.1259950000003</v>
      </c>
      <c r="AY269" s="6">
        <f>[1]Results!BB1629</f>
        <v>4648.3010370000002</v>
      </c>
      <c r="AZ269" s="6">
        <f>[1]Results!BC1629</f>
        <v>4647.6215579999998</v>
      </c>
      <c r="BA269" s="6">
        <f>[1]Results!BD1629</f>
        <v>4651.5890900000004</v>
      </c>
      <c r="BB269" s="6">
        <f>[1]Results!BE1629</f>
        <v>6403.448018</v>
      </c>
      <c r="BC269" s="6">
        <f>[1]Results!BF1629</f>
        <v>6503.0164150000001</v>
      </c>
      <c r="BD269" s="6">
        <f>[1]Results!BG1629</f>
        <v>6604.5586430000003</v>
      </c>
      <c r="BE269" s="6">
        <f>[1]Results!BH1629</f>
        <v>6708.0768269999999</v>
      </c>
      <c r="BF269" s="6">
        <f>[1]Results!BI1629</f>
        <v>6813.5759399999997</v>
      </c>
    </row>
    <row r="271" spans="1:58" x14ac:dyDescent="0.35">
      <c r="A271" s="12" t="s">
        <v>21</v>
      </c>
      <c r="B271" t="s">
        <v>26</v>
      </c>
      <c r="C271" s="6">
        <f>[1]Results!F1639</f>
        <v>473311.03779999999</v>
      </c>
      <c r="D271" s="6">
        <f>[1]Results!G1639</f>
        <v>479464.25799999997</v>
      </c>
      <c r="E271" s="6">
        <f>[1]Results!H1639</f>
        <v>486088.91710000002</v>
      </c>
      <c r="F271" s="6">
        <f>[1]Results!I1639</f>
        <v>493051.21179999999</v>
      </c>
      <c r="G271" s="6">
        <f>[1]Results!J1639</f>
        <v>500275.1422</v>
      </c>
      <c r="H271" s="6">
        <f>[1]Results!K1639</f>
        <v>507725.73080000002</v>
      </c>
      <c r="I271" s="6">
        <f>[1]Results!L1639</f>
        <v>515181.38660000003</v>
      </c>
      <c r="J271" s="6">
        <f>[1]Results!M1639</f>
        <v>522720.09950000001</v>
      </c>
      <c r="K271" s="6">
        <f>[1]Results!N1639</f>
        <v>530388.79949999996</v>
      </c>
      <c r="L271" s="6">
        <f>[1]Results!O1639</f>
        <v>538222.60329999996</v>
      </c>
      <c r="M271" s="6">
        <f>[1]Results!P1639</f>
        <v>546616.65520000004</v>
      </c>
      <c r="N271" s="6">
        <f>[1]Results!Q1639</f>
        <v>555093.73880000005</v>
      </c>
      <c r="O271" s="6">
        <f>[1]Results!R1639</f>
        <v>563729.71070000005</v>
      </c>
      <c r="P271" s="6">
        <f>[1]Results!S1639</f>
        <v>572555.13410000002</v>
      </c>
      <c r="Q271" s="6">
        <f>[1]Results!T1639</f>
        <v>581587.0466</v>
      </c>
      <c r="R271" s="6">
        <f>[1]Results!U1639</f>
        <v>590835.80779999995</v>
      </c>
      <c r="S271" s="6">
        <f>[1]Results!V1639</f>
        <v>600307.58120000002</v>
      </c>
      <c r="T271" s="6">
        <f>[1]Results!W1639</f>
        <v>610004.8504</v>
      </c>
      <c r="U271" s="6">
        <f>[1]Results!X1639</f>
        <v>619926.63619999995</v>
      </c>
      <c r="V271" s="6">
        <f>[1]Results!Y1639</f>
        <v>630068.97180000006</v>
      </c>
      <c r="W271" s="6">
        <f>[1]Results!Z1639</f>
        <v>640154.38930000004</v>
      </c>
      <c r="X271" s="6">
        <f>[1]Results!AA1639</f>
        <v>650537.33039999998</v>
      </c>
      <c r="Y271" s="6">
        <f>[1]Results!AB1639</f>
        <v>661166.11540000001</v>
      </c>
      <c r="Z271" s="6">
        <f>[1]Results!AC1639</f>
        <v>672016.83319999999</v>
      </c>
      <c r="AA271" s="6">
        <f>[1]Results!AD1639</f>
        <v>683072.17909999995</v>
      </c>
      <c r="AB271" s="6">
        <f>[1]Results!AE1639</f>
        <v>693533.21609999996</v>
      </c>
      <c r="AC271" s="6">
        <f>[1]Results!AF1639</f>
        <v>704057.3689</v>
      </c>
      <c r="AD271" s="6">
        <f>[1]Results!AG1639</f>
        <v>714628.14619999996</v>
      </c>
      <c r="AE271" s="6">
        <f>[1]Results!AH1639</f>
        <v>725253.66610000003</v>
      </c>
      <c r="AF271" s="6">
        <f>[1]Results!AI1639</f>
        <v>735942.23219999997</v>
      </c>
      <c r="AG271" s="6">
        <f>[1]Results!AJ1639</f>
        <v>746697.4362</v>
      </c>
      <c r="AH271" s="6">
        <f>[1]Results!AK1639</f>
        <v>757516.86219999997</v>
      </c>
      <c r="AI271" s="6">
        <f>[1]Results!AL1639</f>
        <v>768393.5048</v>
      </c>
      <c r="AJ271" s="6">
        <f>[1]Results!AM1639</f>
        <v>779318.09459999995</v>
      </c>
      <c r="AK271" s="6">
        <f>[1]Results!AN1639</f>
        <v>790281.23600000003</v>
      </c>
      <c r="AL271" s="6">
        <f>[1]Results!AO1639</f>
        <v>801274.90720000002</v>
      </c>
      <c r="AM271" s="6">
        <f>[1]Results!AP1639</f>
        <v>812103.8909</v>
      </c>
      <c r="AN271" s="6">
        <f>[1]Results!AQ1639</f>
        <v>822824.31420000002</v>
      </c>
      <c r="AO271" s="6">
        <f>[1]Results!AR1639</f>
        <v>833466.20779999997</v>
      </c>
      <c r="AP271" s="6">
        <f>[1]Results!AS1639</f>
        <v>844051.48540000001</v>
      </c>
      <c r="AQ271" s="6">
        <f>[1]Results!AT1639</f>
        <v>854597.64679999999</v>
      </c>
      <c r="AR271" s="6">
        <f>[1]Results!AU1639</f>
        <v>865118.38439999998</v>
      </c>
      <c r="AS271" s="6">
        <f>[1]Results!AV1639</f>
        <v>875623.51500000001</v>
      </c>
      <c r="AT271" s="6">
        <f>[1]Results!AW1639</f>
        <v>886119.31270000001</v>
      </c>
      <c r="AU271" s="6">
        <f>[1]Results!AX1639</f>
        <v>896609.33900000004</v>
      </c>
      <c r="AV271" s="6">
        <f>[1]Results!AY1639</f>
        <v>907095.51769999997</v>
      </c>
      <c r="AW271" s="6">
        <f>[1]Results!AZ1639</f>
        <v>917596.10230000003</v>
      </c>
      <c r="AX271" s="6">
        <f>[1]Results!BA1639</f>
        <v>928107.34310000006</v>
      </c>
      <c r="AY271" s="6">
        <f>[1]Results!BB1639</f>
        <v>938628.77370000002</v>
      </c>
      <c r="AZ271" s="6">
        <f>[1]Results!BC1639</f>
        <v>949161.85800000001</v>
      </c>
      <c r="BA271" s="6">
        <f>[1]Results!BD1639</f>
        <v>959709.64749999996</v>
      </c>
      <c r="BB271" s="6">
        <f>[1]Results!BE1639</f>
        <v>1178106.1470000001</v>
      </c>
      <c r="BC271" s="6">
        <f>[1]Results!BF1639</f>
        <v>1199473.1200000001</v>
      </c>
      <c r="BD271" s="6">
        <f>[1]Results!BG1639</f>
        <v>1221043.7919999999</v>
      </c>
      <c r="BE271" s="6">
        <f>[1]Results!BH1639</f>
        <v>1242814.6680000001</v>
      </c>
      <c r="BF271" s="6">
        <f>[1]Results!BI1639</f>
        <v>1264783.2679999999</v>
      </c>
    </row>
    <row r="272" spans="1:58" x14ac:dyDescent="0.35">
      <c r="A272" t="s">
        <v>38</v>
      </c>
      <c r="B272" t="s">
        <v>7</v>
      </c>
      <c r="C272" s="6">
        <f>[1]Results!F1640</f>
        <v>4445.6453659999997</v>
      </c>
      <c r="D272" s="6">
        <f>[1]Results!G1640</f>
        <v>4480.6024500000003</v>
      </c>
      <c r="E272" s="6">
        <f>[1]Results!H1640</f>
        <v>4504.8392869999998</v>
      </c>
      <c r="F272" s="6">
        <f>[1]Results!I1640</f>
        <v>4522.99352</v>
      </c>
      <c r="G272" s="6">
        <f>[1]Results!J1640</f>
        <v>4537.630408</v>
      </c>
      <c r="H272" s="6">
        <f>[1]Results!K1640</f>
        <v>4549.8974459999999</v>
      </c>
      <c r="I272" s="6">
        <f>[1]Results!L1640</f>
        <v>4557.6853870000004</v>
      </c>
      <c r="J272" s="6">
        <f>[1]Results!M1640</f>
        <v>4561.8984920000003</v>
      </c>
      <c r="K272" s="6">
        <f>[1]Results!N1640</f>
        <v>4563.3504549999998</v>
      </c>
      <c r="L272" s="6">
        <f>[1]Results!O1640</f>
        <v>4562.7614409999996</v>
      </c>
      <c r="M272" s="6">
        <f>[1]Results!P1640</f>
        <v>4564.8558370000001</v>
      </c>
      <c r="N272" s="6">
        <f>[1]Results!Q1640</f>
        <v>4564.6751780000004</v>
      </c>
      <c r="O272" s="6">
        <f>[1]Results!R1640</f>
        <v>4562.6741670000001</v>
      </c>
      <c r="P272" s="6">
        <f>[1]Results!S1640</f>
        <v>4559.4752239999998</v>
      </c>
      <c r="Q272" s="6">
        <f>[1]Results!T1640</f>
        <v>4555.7444269999996</v>
      </c>
      <c r="R272" s="6">
        <f>[1]Results!U1640</f>
        <v>4552.0406059999996</v>
      </c>
      <c r="S272" s="6">
        <f>[1]Results!V1640</f>
        <v>4548.7796689999996</v>
      </c>
      <c r="T272" s="6">
        <f>[1]Results!W1640</f>
        <v>4546.2326370000001</v>
      </c>
      <c r="U272" s="6">
        <f>[1]Results!X1640</f>
        <v>4544.5417299999999</v>
      </c>
      <c r="V272" s="6">
        <f>[1]Results!Y1640</f>
        <v>4543.7446470000004</v>
      </c>
      <c r="W272" s="6">
        <f>[1]Results!Z1640</f>
        <v>4541.1978740000004</v>
      </c>
      <c r="X272" s="6">
        <f>[1]Results!AA1640</f>
        <v>4540.2329010000003</v>
      </c>
      <c r="Y272" s="6">
        <f>[1]Results!AB1640</f>
        <v>4540.7516850000002</v>
      </c>
      <c r="Z272" s="6">
        <f>[1]Results!AC1640</f>
        <v>4542.4724480000004</v>
      </c>
      <c r="AA272" s="6">
        <f>[1]Results!AD1640</f>
        <v>4545.0530669999998</v>
      </c>
      <c r="AB272" s="6">
        <f>[1]Results!AE1640</f>
        <v>4541.2103719999996</v>
      </c>
      <c r="AC272" s="6">
        <f>[1]Results!AF1640</f>
        <v>4536.5793970000004</v>
      </c>
      <c r="AD272" s="6">
        <f>[1]Results!AG1640</f>
        <v>4532.0811640000002</v>
      </c>
      <c r="AE272" s="6">
        <f>[1]Results!AH1640</f>
        <v>4528.2307739999997</v>
      </c>
      <c r="AF272" s="6">
        <f>[1]Results!AI1640</f>
        <v>4525.2080379999998</v>
      </c>
      <c r="AG272" s="6">
        <f>[1]Results!AJ1640</f>
        <v>4522.9994200000001</v>
      </c>
      <c r="AH272" s="6">
        <f>[1]Results!AK1640</f>
        <v>4521.4747020000004</v>
      </c>
      <c r="AI272" s="6">
        <f>[1]Results!AL1640</f>
        <v>4520.448101</v>
      </c>
      <c r="AJ272" s="6">
        <f>[1]Results!AM1640</f>
        <v>4519.7269969999998</v>
      </c>
      <c r="AK272" s="6">
        <f>[1]Results!AN1640</f>
        <v>4519.1464100000003</v>
      </c>
      <c r="AL272" s="6">
        <f>[1]Results!AO1640</f>
        <v>4518.588898</v>
      </c>
      <c r="AM272" s="6">
        <f>[1]Results!AP1640</f>
        <v>4516.5533089999999</v>
      </c>
      <c r="AN272" s="6">
        <f>[1]Results!AQ1640</f>
        <v>4513.4641570000003</v>
      </c>
      <c r="AO272" s="6">
        <f>[1]Results!AR1640</f>
        <v>4509.8082530000001</v>
      </c>
      <c r="AP272" s="6">
        <f>[1]Results!AS1640</f>
        <v>4506.0117140000002</v>
      </c>
      <c r="AQ272" s="6">
        <f>[1]Results!AT1640</f>
        <v>4502.3894749999999</v>
      </c>
      <c r="AR272" s="6">
        <f>[1]Results!AU1640</f>
        <v>4499.1442420000003</v>
      </c>
      <c r="AS272" s="6">
        <f>[1]Results!AV1640</f>
        <v>4496.3808019999997</v>
      </c>
      <c r="AT272" s="6">
        <f>[1]Results!AW1640</f>
        <v>4494.1272120000003</v>
      </c>
      <c r="AU272" s="6">
        <f>[1]Results!AX1640</f>
        <v>4492.3584110000002</v>
      </c>
      <c r="AV272" s="6">
        <f>[1]Results!AY1640</f>
        <v>4491.0187720000004</v>
      </c>
      <c r="AW272" s="6">
        <f>[1]Results!AZ1640</f>
        <v>4490.1536880000003</v>
      </c>
      <c r="AX272" s="6">
        <f>[1]Results!BA1640</f>
        <v>4489.6655099999998</v>
      </c>
      <c r="AY272" s="6">
        <f>[1]Results!BB1640</f>
        <v>4489.4659549999997</v>
      </c>
      <c r="AZ272" s="6">
        <f>[1]Results!BC1640</f>
        <v>4489.4895969999998</v>
      </c>
      <c r="BA272" s="6">
        <f>[1]Results!BD1640</f>
        <v>4489.6973470000003</v>
      </c>
      <c r="BB272" s="6">
        <f>[1]Results!BE1640</f>
        <v>10203.664870000001</v>
      </c>
      <c r="BC272" s="6">
        <f>[1]Results!BF1640</f>
        <v>10378.79773</v>
      </c>
      <c r="BD272" s="6">
        <f>[1]Results!BG1640</f>
        <v>10556.48702</v>
      </c>
      <c r="BE272" s="6">
        <f>[1]Results!BH1640</f>
        <v>10736.797769999999</v>
      </c>
      <c r="BF272" s="6">
        <f>[1]Results!BI1640</f>
        <v>10919.79932</v>
      </c>
    </row>
    <row r="273" spans="1:58" x14ac:dyDescent="0.35">
      <c r="B273" t="s">
        <v>30</v>
      </c>
      <c r="C273" s="6">
        <f>[1]Results!F1643</f>
        <v>235143.51329999999</v>
      </c>
      <c r="D273" s="6">
        <f>[1]Results!G1643</f>
        <v>238310.2586</v>
      </c>
      <c r="E273" s="6">
        <f>[1]Results!H1643</f>
        <v>241748.98199999999</v>
      </c>
      <c r="F273" s="6">
        <f>[1]Results!I1643</f>
        <v>245348.7403</v>
      </c>
      <c r="G273" s="6">
        <f>[1]Results!J1643</f>
        <v>249047.2598</v>
      </c>
      <c r="H273" s="6">
        <f>[1]Results!K1643</f>
        <v>252820.7782</v>
      </c>
      <c r="I273" s="6">
        <f>[1]Results!L1643</f>
        <v>256573.61429999999</v>
      </c>
      <c r="J273" s="6">
        <f>[1]Results!M1643</f>
        <v>260342.6551</v>
      </c>
      <c r="K273" s="6">
        <f>[1]Results!N1643</f>
        <v>264157.61489999999</v>
      </c>
      <c r="L273" s="6">
        <f>[1]Results!O1643</f>
        <v>268043.64399999997</v>
      </c>
      <c r="M273" s="6">
        <f>[1]Results!P1643</f>
        <v>272185.5073</v>
      </c>
      <c r="N273" s="6">
        <f>[1]Results!Q1643</f>
        <v>276388.39970000001</v>
      </c>
      <c r="O273" s="6">
        <f>[1]Results!R1643</f>
        <v>280684.1249</v>
      </c>
      <c r="P273" s="6">
        <f>[1]Results!S1643</f>
        <v>285090.82549999998</v>
      </c>
      <c r="Q273" s="6">
        <f>[1]Results!T1643</f>
        <v>289621.06219999999</v>
      </c>
      <c r="R273" s="6">
        <f>[1]Results!U1643</f>
        <v>294283.8702</v>
      </c>
      <c r="S273" s="6">
        <f>[1]Results!V1643</f>
        <v>299085.58130000002</v>
      </c>
      <c r="T273" s="6">
        <f>[1]Results!W1643</f>
        <v>304029.99410000001</v>
      </c>
      <c r="U273" s="6">
        <f>[1]Results!X1643</f>
        <v>309118.45649999997</v>
      </c>
      <c r="V273" s="6">
        <f>[1]Results!Y1643</f>
        <v>314350.08399999997</v>
      </c>
      <c r="W273" s="6">
        <f>[1]Results!Z1643</f>
        <v>319601.72200000001</v>
      </c>
      <c r="X273" s="6">
        <f>[1]Results!AA1643</f>
        <v>325022.33020000003</v>
      </c>
      <c r="Y273" s="6">
        <f>[1]Results!AB1643</f>
        <v>330593.8775</v>
      </c>
      <c r="Z273" s="6">
        <f>[1]Results!AC1643</f>
        <v>336304.84230000002</v>
      </c>
      <c r="AA273" s="6">
        <f>[1]Results!AD1643</f>
        <v>342145.17379999999</v>
      </c>
      <c r="AB273" s="6">
        <f>[1]Results!AE1643</f>
        <v>347757.23700000002</v>
      </c>
      <c r="AC273" s="6">
        <f>[1]Results!AF1643</f>
        <v>353406.57789999997</v>
      </c>
      <c r="AD273" s="6">
        <f>[1]Results!AG1643</f>
        <v>359090.17009999999</v>
      </c>
      <c r="AE273" s="6">
        <f>[1]Results!AH1643</f>
        <v>364809.39360000001</v>
      </c>
      <c r="AF273" s="6">
        <f>[1]Results!AI1643</f>
        <v>370564.32280000002</v>
      </c>
      <c r="AG273" s="6">
        <f>[1]Results!AJ1643</f>
        <v>376352.40539999999</v>
      </c>
      <c r="AH273" s="6">
        <f>[1]Results!AK1643</f>
        <v>382168.12070000003</v>
      </c>
      <c r="AI273" s="6">
        <f>[1]Results!AL1643</f>
        <v>388003.6814</v>
      </c>
      <c r="AJ273" s="6">
        <f>[1]Results!AM1643</f>
        <v>393850.18770000001</v>
      </c>
      <c r="AK273" s="6">
        <f>[1]Results!AN1643</f>
        <v>399698.76160000003</v>
      </c>
      <c r="AL273" s="6">
        <f>[1]Results!AO1643</f>
        <v>405541.41159999999</v>
      </c>
      <c r="AM273" s="6">
        <f>[1]Results!AP1643</f>
        <v>411287.32089999999</v>
      </c>
      <c r="AN273" s="6">
        <f>[1]Results!AQ1643</f>
        <v>416952.11780000001</v>
      </c>
      <c r="AO273" s="6">
        <f>[1]Results!AR1643</f>
        <v>422545.07260000001</v>
      </c>
      <c r="AP273" s="6">
        <f>[1]Results!AS1643</f>
        <v>428073.44540000003</v>
      </c>
      <c r="AQ273" s="6">
        <f>[1]Results!AT1643</f>
        <v>433543.27750000003</v>
      </c>
      <c r="AR273" s="6">
        <f>[1]Results!AU1643</f>
        <v>438959.35810000001</v>
      </c>
      <c r="AS273" s="6">
        <f>[1]Results!AV1643</f>
        <v>444325.0393</v>
      </c>
      <c r="AT273" s="6">
        <f>[1]Results!AW1643</f>
        <v>449642.283</v>
      </c>
      <c r="AU273" s="6">
        <f>[1]Results!AX1643</f>
        <v>454911.98440000002</v>
      </c>
      <c r="AV273" s="6">
        <f>[1]Results!AY1643</f>
        <v>460134.46010000003</v>
      </c>
      <c r="AW273" s="6">
        <f>[1]Results!AZ1643</f>
        <v>465317.47979999997</v>
      </c>
      <c r="AX273" s="6">
        <f>[1]Results!BA1643</f>
        <v>470459.82429999998</v>
      </c>
      <c r="AY273" s="6">
        <f>[1]Results!BB1643</f>
        <v>475561.63290000003</v>
      </c>
      <c r="AZ273" s="6">
        <f>[1]Results!BC1643</f>
        <v>480624.16440000001</v>
      </c>
      <c r="BA273" s="6">
        <f>[1]Results!BD1643</f>
        <v>485649.7329</v>
      </c>
      <c r="BB273" s="6">
        <f>[1]Results!BE1643</f>
        <v>617696.26529999997</v>
      </c>
      <c r="BC273" s="6">
        <f>[1]Results!BF1643</f>
        <v>629357.23699999996</v>
      </c>
      <c r="BD273" s="6">
        <f>[1]Results!BG1643</f>
        <v>641083.97759999998</v>
      </c>
      <c r="BE273" s="6">
        <f>[1]Results!BH1643</f>
        <v>652870.74470000004</v>
      </c>
      <c r="BF273" s="6">
        <f>[1]Results!BI1643</f>
        <v>664712.53189999994</v>
      </c>
    </row>
    <row r="274" spans="1:58" x14ac:dyDescent="0.35">
      <c r="B274" t="s">
        <v>28</v>
      </c>
      <c r="C274" s="6">
        <f>[1]Results!F1655</f>
        <v>8025.6192430000001</v>
      </c>
      <c r="D274" s="6">
        <f>[1]Results!G1655</f>
        <v>8130.1198949999998</v>
      </c>
      <c r="E274" s="6">
        <f>[1]Results!H1655</f>
        <v>8241.4749260000008</v>
      </c>
      <c r="F274" s="6">
        <f>[1]Results!I1655</f>
        <v>8357.0849730000009</v>
      </c>
      <c r="G274" s="6">
        <f>[1]Results!J1655</f>
        <v>8475.7426049999995</v>
      </c>
      <c r="H274" s="6">
        <f>[1]Results!K1655</f>
        <v>8596.6921450000009</v>
      </c>
      <c r="I274" s="6">
        <f>[1]Results!L1655</f>
        <v>8714.8918840000006</v>
      </c>
      <c r="J274" s="6">
        <f>[1]Results!M1655</f>
        <v>8832.3469019999993</v>
      </c>
      <c r="K274" s="6">
        <f>[1]Results!N1655</f>
        <v>8949.7744180000009</v>
      </c>
      <c r="L274" s="6">
        <f>[1]Results!O1655</f>
        <v>9067.5171119999995</v>
      </c>
      <c r="M274" s="6">
        <f>[1]Results!P1655</f>
        <v>9193.6283640000001</v>
      </c>
      <c r="N274" s="6">
        <f>[1]Results!Q1655</f>
        <v>9316.3216150000007</v>
      </c>
      <c r="O274" s="6">
        <f>[1]Results!R1655</f>
        <v>9438.2044029999997</v>
      </c>
      <c r="P274" s="6">
        <f>[1]Results!S1655</f>
        <v>9560.2448569999997</v>
      </c>
      <c r="Q274" s="6">
        <f>[1]Results!T1655</f>
        <v>9682.9253430000008</v>
      </c>
      <c r="R274" s="6">
        <f>[1]Results!U1655</f>
        <v>9806.5642090000001</v>
      </c>
      <c r="S274" s="6">
        <f>[1]Results!V1655</f>
        <v>9931.4187320000001</v>
      </c>
      <c r="T274" s="6">
        <f>[1]Results!W1655</f>
        <v>10057.70845</v>
      </c>
      <c r="U274" s="6">
        <f>[1]Results!X1655</f>
        <v>10185.618259999999</v>
      </c>
      <c r="V274" s="6">
        <f>[1]Results!Y1655</f>
        <v>10315.300080000001</v>
      </c>
      <c r="W274" s="6">
        <f>[1]Results!Z1655</f>
        <v>10441.20448</v>
      </c>
      <c r="X274" s="6">
        <f>[1]Results!AA1655</f>
        <v>10572.04009</v>
      </c>
      <c r="Y274" s="6">
        <f>[1]Results!AB1655</f>
        <v>10706.156010000001</v>
      </c>
      <c r="Z274" s="6">
        <f>[1]Results!AC1655</f>
        <v>10843.028910000001</v>
      </c>
      <c r="AA274" s="6">
        <f>[1]Results!AD1655</f>
        <v>10982.465190000001</v>
      </c>
      <c r="AB274" s="6">
        <f>[1]Results!AE1655</f>
        <v>11108.147370000001</v>
      </c>
      <c r="AC274" s="6">
        <f>[1]Results!AF1655</f>
        <v>11236.88672</v>
      </c>
      <c r="AD274" s="6">
        <f>[1]Results!AG1655</f>
        <v>11367.59021</v>
      </c>
      <c r="AE274" s="6">
        <f>[1]Results!AH1655</f>
        <v>11500.13334</v>
      </c>
      <c r="AF274" s="6">
        <f>[1]Results!AI1655</f>
        <v>11634.60858</v>
      </c>
      <c r="AG274" s="6">
        <f>[1]Results!AJ1655</f>
        <v>11771.107749999999</v>
      </c>
      <c r="AH274" s="6">
        <f>[1]Results!AK1655</f>
        <v>11909.655280000001</v>
      </c>
      <c r="AI274" s="6">
        <f>[1]Results!AL1655</f>
        <v>12050.2117</v>
      </c>
      <c r="AJ274" s="6">
        <f>[1]Results!AM1655</f>
        <v>12192.69901</v>
      </c>
      <c r="AK274" s="6">
        <f>[1]Results!AN1655</f>
        <v>12337.026089999999</v>
      </c>
      <c r="AL274" s="6">
        <f>[1]Results!AO1655</f>
        <v>12483.107019999999</v>
      </c>
      <c r="AM274" s="6">
        <f>[1]Results!AP1655</f>
        <v>12627.0172</v>
      </c>
      <c r="AN274" s="6">
        <f>[1]Results!AQ1655</f>
        <v>12770.63147</v>
      </c>
      <c r="AO274" s="6">
        <f>[1]Results!AR1655</f>
        <v>12914.711219999999</v>
      </c>
      <c r="AP274" s="6">
        <f>[1]Results!AS1655</f>
        <v>13059.647629999999</v>
      </c>
      <c r="AQ274" s="6">
        <f>[1]Results!AT1655</f>
        <v>13205.68669</v>
      </c>
      <c r="AR274" s="6">
        <f>[1]Results!AU1655</f>
        <v>13352.99581</v>
      </c>
      <c r="AS274" s="6">
        <f>[1]Results!AV1655</f>
        <v>13501.682409999999</v>
      </c>
      <c r="AT274" s="6">
        <f>[1]Results!AW1655</f>
        <v>13651.80458</v>
      </c>
      <c r="AU274" s="6">
        <f>[1]Results!AX1655</f>
        <v>13803.38327</v>
      </c>
      <c r="AV274" s="6">
        <f>[1]Results!AY1655</f>
        <v>13956.41554</v>
      </c>
      <c r="AW274" s="6">
        <f>[1]Results!AZ1655</f>
        <v>14111.229139999999</v>
      </c>
      <c r="AX274" s="6">
        <f>[1]Results!BA1655</f>
        <v>14267.63631</v>
      </c>
      <c r="AY274" s="6">
        <f>[1]Results!BB1655</f>
        <v>14425.55233</v>
      </c>
      <c r="AZ274" s="6">
        <f>[1]Results!BC1655</f>
        <v>14584.932769999999</v>
      </c>
      <c r="BA274" s="6">
        <f>[1]Results!BD1655</f>
        <v>14745.7536</v>
      </c>
      <c r="BB274" s="6">
        <f>[1]Results!BE1655</f>
        <v>18375.041580000001</v>
      </c>
      <c r="BC274" s="6">
        <f>[1]Results!BF1655</f>
        <v>18700.720560000002</v>
      </c>
      <c r="BD274" s="6">
        <f>[1]Results!BG1655</f>
        <v>19032.156940000001</v>
      </c>
      <c r="BE274" s="6">
        <f>[1]Results!BH1655</f>
        <v>19369.446889999999</v>
      </c>
      <c r="BF274" s="6">
        <f>[1]Results!BI1655</f>
        <v>19712.689709999999</v>
      </c>
    </row>
    <row r="275" spans="1:58" x14ac:dyDescent="0.35">
      <c r="B275" t="s">
        <v>10</v>
      </c>
      <c r="C275" s="6">
        <f>[1]Results!F1660</f>
        <v>219795.36679999999</v>
      </c>
      <c r="D275" s="6">
        <f>[1]Results!G1660</f>
        <v>222589.0558</v>
      </c>
      <c r="E275" s="6">
        <f>[1]Results!H1660</f>
        <v>225596.27549999999</v>
      </c>
      <c r="F275" s="6">
        <f>[1]Results!I1660</f>
        <v>228784.16740000001</v>
      </c>
      <c r="G275" s="6">
        <f>[1]Results!J1660</f>
        <v>232133.20129999999</v>
      </c>
      <c r="H275" s="6">
        <f>[1]Results!K1660</f>
        <v>235630.15789999999</v>
      </c>
      <c r="I275" s="6">
        <f>[1]Results!L1660</f>
        <v>239158.46369999999</v>
      </c>
      <c r="J275" s="6">
        <f>[1]Results!M1660</f>
        <v>242756.35519999999</v>
      </c>
      <c r="K275" s="6">
        <f>[1]Results!N1660</f>
        <v>246439.74460000001</v>
      </c>
      <c r="L275" s="6">
        <f>[1]Results!O1660</f>
        <v>250217.93210000001</v>
      </c>
      <c r="M275" s="6">
        <f>[1]Results!P1660</f>
        <v>254285.04060000001</v>
      </c>
      <c r="N275" s="6">
        <f>[1]Results!Q1660</f>
        <v>258380.60649999999</v>
      </c>
      <c r="O275" s="6">
        <f>[1]Results!R1660</f>
        <v>262545.84259999997</v>
      </c>
      <c r="P275" s="6">
        <f>[1]Results!S1660</f>
        <v>266791.38170000003</v>
      </c>
      <c r="Q275" s="6">
        <f>[1]Results!T1660</f>
        <v>271120.40659999999</v>
      </c>
      <c r="R275" s="6">
        <f>[1]Results!U1660</f>
        <v>275533.25770000002</v>
      </c>
      <c r="S275" s="6">
        <f>[1]Results!V1660</f>
        <v>280028.97859999997</v>
      </c>
      <c r="T275" s="6">
        <f>[1]Results!W1660</f>
        <v>284605.61869999999</v>
      </c>
      <c r="U275" s="6">
        <f>[1]Results!X1660</f>
        <v>289260.34950000001</v>
      </c>
      <c r="V275" s="6">
        <f>[1]Results!Y1660</f>
        <v>293989.70240000001</v>
      </c>
      <c r="W275" s="6">
        <f>[1]Results!Z1660</f>
        <v>298650.11479999998</v>
      </c>
      <c r="X275" s="6">
        <f>[1]Results!AA1660</f>
        <v>303431.34830000001</v>
      </c>
      <c r="Y275" s="6">
        <f>[1]Results!AB1660</f>
        <v>308301.34519999998</v>
      </c>
      <c r="Z275" s="6">
        <f>[1]Results!AC1660</f>
        <v>313248.59029999998</v>
      </c>
      <c r="AA275" s="6">
        <f>[1]Results!AD1660</f>
        <v>318266.35340000002</v>
      </c>
      <c r="AB275" s="6">
        <f>[1]Results!AE1660</f>
        <v>322944.66680000001</v>
      </c>
      <c r="AC275" s="6">
        <f>[1]Results!AF1660</f>
        <v>327646.74949999998</v>
      </c>
      <c r="AD275" s="6">
        <f>[1]Results!AG1660</f>
        <v>332358.45899999997</v>
      </c>
      <c r="AE275" s="6">
        <f>[1]Results!AH1660</f>
        <v>337085.94099999999</v>
      </c>
      <c r="AF275" s="6">
        <f>[1]Results!AI1660</f>
        <v>341837.00880000001</v>
      </c>
      <c r="AG275" s="6">
        <f>[1]Results!AJ1660</f>
        <v>346617.57870000001</v>
      </c>
      <c r="AH275" s="6">
        <f>[1]Results!AK1660</f>
        <v>351430.72389999998</v>
      </c>
      <c r="AI275" s="6">
        <f>[1]Results!AL1660</f>
        <v>356277.3431</v>
      </c>
      <c r="AJ275" s="6">
        <f>[1]Results!AM1660</f>
        <v>361157.26610000001</v>
      </c>
      <c r="AK275" s="6">
        <f>[1]Results!AN1660</f>
        <v>366070.19620000001</v>
      </c>
      <c r="AL275" s="6">
        <f>[1]Results!AO1660</f>
        <v>371016.3027</v>
      </c>
      <c r="AM275" s="6">
        <f>[1]Results!AP1660</f>
        <v>375898.4351</v>
      </c>
      <c r="AN275" s="6">
        <f>[1]Results!AQ1660</f>
        <v>380754.36820000003</v>
      </c>
      <c r="AO275" s="6">
        <f>[1]Results!AR1660</f>
        <v>385603.24249999999</v>
      </c>
      <c r="AP275" s="6">
        <f>[1]Results!AS1660</f>
        <v>390458.68979999999</v>
      </c>
      <c r="AQ275" s="6">
        <f>[1]Results!AT1660</f>
        <v>395331.49739999999</v>
      </c>
      <c r="AR275" s="6">
        <f>[1]Results!AU1660</f>
        <v>400230.12959999999</v>
      </c>
      <c r="AS275" s="6">
        <f>[1]Results!AV1660</f>
        <v>405160.7879</v>
      </c>
      <c r="AT275" s="6">
        <f>[1]Results!AW1660</f>
        <v>410127.658</v>
      </c>
      <c r="AU275" s="6">
        <f>[1]Results!AX1660</f>
        <v>415133.37910000002</v>
      </c>
      <c r="AV275" s="6">
        <f>[1]Results!AY1660</f>
        <v>420179.59480000002</v>
      </c>
      <c r="AW275" s="6">
        <f>[1]Results!AZ1660</f>
        <v>425276.2452</v>
      </c>
      <c r="AX275" s="6">
        <f>[1]Results!BA1660</f>
        <v>430421.12190000003</v>
      </c>
      <c r="AY275" s="6">
        <f>[1]Results!BB1660</f>
        <v>435613.83049999998</v>
      </c>
      <c r="AZ275" s="6">
        <f>[1]Results!BC1660</f>
        <v>440854.71509999997</v>
      </c>
      <c r="BA275" s="6">
        <f>[1]Results!BD1660</f>
        <v>446144.60029999999</v>
      </c>
      <c r="BB275" s="6">
        <f>[1]Results!BE1660</f>
        <v>521119.83889999997</v>
      </c>
      <c r="BC275" s="6">
        <f>[1]Results!BF1660</f>
        <v>530169.70979999995</v>
      </c>
      <c r="BD275" s="6">
        <f>[1]Results!BG1660</f>
        <v>539346.7709</v>
      </c>
      <c r="BE275" s="6">
        <f>[1]Results!BH1660</f>
        <v>548653.06019999995</v>
      </c>
      <c r="BF275" s="6">
        <f>[1]Results!BI1660</f>
        <v>558090.89249999996</v>
      </c>
    </row>
    <row r="276" spans="1:58" x14ac:dyDescent="0.35">
      <c r="B276" t="s">
        <v>31</v>
      </c>
      <c r="C276" s="6">
        <f>[1]Results!F1663</f>
        <v>2252.4178689999999</v>
      </c>
      <c r="D276" s="6">
        <f>[1]Results!G1663</f>
        <v>2272.6609210000001</v>
      </c>
      <c r="E276" s="6">
        <f>[1]Results!H1663</f>
        <v>2289.5133030000002</v>
      </c>
      <c r="F276" s="6">
        <f>[1]Results!I1663</f>
        <v>2306.4608509999998</v>
      </c>
      <c r="G276" s="6">
        <f>[1]Results!J1663</f>
        <v>2325.2738450000002</v>
      </c>
      <c r="H276" s="6">
        <f>[1]Results!K1663</f>
        <v>2346.4804490000001</v>
      </c>
      <c r="I276" s="6">
        <f>[1]Results!L1663</f>
        <v>2369.090772</v>
      </c>
      <c r="J276" s="6">
        <f>[1]Results!M1663</f>
        <v>2393.109684</v>
      </c>
      <c r="K276" s="6">
        <f>[1]Results!N1663</f>
        <v>2418.3995140000002</v>
      </c>
      <c r="L276" s="6">
        <f>[1]Results!O1663</f>
        <v>2444.7640729999998</v>
      </c>
      <c r="M276" s="6">
        <f>[1]Results!P1663</f>
        <v>2473.5952299999999</v>
      </c>
      <c r="N276" s="6">
        <f>[1]Results!Q1663</f>
        <v>2502.6183390000001</v>
      </c>
      <c r="O276" s="6">
        <f>[1]Results!R1663</f>
        <v>2531.902705</v>
      </c>
      <c r="P276" s="6">
        <f>[1]Results!S1663</f>
        <v>2561.515504</v>
      </c>
      <c r="Q276" s="6">
        <f>[1]Results!T1663</f>
        <v>2591.4595530000001</v>
      </c>
      <c r="R276" s="6">
        <f>[1]Results!U1663</f>
        <v>2621.7147169999998</v>
      </c>
      <c r="S276" s="6">
        <f>[1]Results!V1663</f>
        <v>2652.2617190000001</v>
      </c>
      <c r="T276" s="6">
        <f>[1]Results!W1663</f>
        <v>2683.0904879999998</v>
      </c>
      <c r="U276" s="6">
        <f>[1]Results!X1663</f>
        <v>2714.201372</v>
      </c>
      <c r="V276" s="6">
        <f>[1]Results!Y1663</f>
        <v>2745.6037369999999</v>
      </c>
      <c r="W276" s="6">
        <f>[1]Results!Z1663</f>
        <v>2776.1618530000001</v>
      </c>
      <c r="X276" s="6">
        <f>[1]Results!AA1663</f>
        <v>2807.4461470000001</v>
      </c>
      <c r="Y276" s="6">
        <f>[1]Results!AB1663</f>
        <v>2839.3353539999998</v>
      </c>
      <c r="Z276" s="6">
        <f>[1]Results!AC1663</f>
        <v>2871.7376559999998</v>
      </c>
      <c r="AA276" s="6">
        <f>[1]Results!AD1663</f>
        <v>2904.6265779999999</v>
      </c>
      <c r="AB276" s="6">
        <f>[1]Results!AE1663</f>
        <v>2934.7055639999999</v>
      </c>
      <c r="AC276" s="6">
        <f>[1]Results!AF1663</f>
        <v>2964.8687909999999</v>
      </c>
      <c r="AD276" s="6">
        <f>[1]Results!AG1663</f>
        <v>2995.2290889999999</v>
      </c>
      <c r="AE276" s="6">
        <f>[1]Results!AH1663</f>
        <v>3025.7896780000001</v>
      </c>
      <c r="AF276" s="6">
        <f>[1]Results!AI1663</f>
        <v>3056.5825610000002</v>
      </c>
      <c r="AG276" s="6">
        <f>[1]Results!AJ1663</f>
        <v>3087.655456</v>
      </c>
      <c r="AH276" s="6">
        <f>[1]Results!AK1663</f>
        <v>3119.0563299999999</v>
      </c>
      <c r="AI276" s="6">
        <f>[1]Results!AL1663</f>
        <v>3150.8260839999998</v>
      </c>
      <c r="AJ276" s="6">
        <f>[1]Results!AM1663</f>
        <v>3182.9964989999999</v>
      </c>
      <c r="AK276" s="6">
        <f>[1]Results!AN1663</f>
        <v>3215.590706</v>
      </c>
      <c r="AL276" s="6">
        <f>[1]Results!AO1663</f>
        <v>3248.624628</v>
      </c>
      <c r="AM276" s="6">
        <f>[1]Results!AP1663</f>
        <v>3281.3245750000001</v>
      </c>
      <c r="AN276" s="6">
        <f>[1]Results!AQ1663</f>
        <v>3313.9660669999998</v>
      </c>
      <c r="AO276" s="6">
        <f>[1]Results!AR1663</f>
        <v>3346.7185239999999</v>
      </c>
      <c r="AP276" s="6">
        <f>[1]Results!AS1663</f>
        <v>3379.6699039999999</v>
      </c>
      <c r="AQ276" s="6">
        <f>[1]Results!AT1663</f>
        <v>3412.8723789999999</v>
      </c>
      <c r="AR276" s="6">
        <f>[1]Results!AU1663</f>
        <v>3446.3635549999999</v>
      </c>
      <c r="AS276" s="6">
        <f>[1]Results!AV1663</f>
        <v>3480.1741529999999</v>
      </c>
      <c r="AT276" s="6">
        <f>[1]Results!AW1663</f>
        <v>3514.3303770000002</v>
      </c>
      <c r="AU276" s="6">
        <f>[1]Results!AX1663</f>
        <v>3548.8546689999998</v>
      </c>
      <c r="AV276" s="6">
        <f>[1]Results!AY1663</f>
        <v>3583.7661870000002</v>
      </c>
      <c r="AW276" s="6">
        <f>[1]Results!AZ1663</f>
        <v>3619.151124</v>
      </c>
      <c r="AX276" s="6">
        <f>[1]Results!BA1663</f>
        <v>3654.9994750000001</v>
      </c>
      <c r="AY276" s="6">
        <f>[1]Results!BB1663</f>
        <v>3691.3094460000002</v>
      </c>
      <c r="AZ276" s="6">
        <f>[1]Results!BC1663</f>
        <v>3728.0856279999998</v>
      </c>
      <c r="BA276" s="6">
        <f>[1]Results!BD1663</f>
        <v>3765.3354020000002</v>
      </c>
      <c r="BB276" s="6">
        <f>[1]Results!BE1663</f>
        <v>4416.6468480000003</v>
      </c>
      <c r="BC276" s="6">
        <f>[1]Results!BF1663</f>
        <v>4483.9938819999998</v>
      </c>
      <c r="BD276" s="6">
        <f>[1]Results!BG1663</f>
        <v>4552.3246609999997</v>
      </c>
      <c r="BE276" s="6">
        <f>[1]Results!BH1663</f>
        <v>4621.6617919999999</v>
      </c>
      <c r="BF276" s="6">
        <f>[1]Results!BI1663</f>
        <v>4692.0295589999996</v>
      </c>
    </row>
    <row r="277" spans="1:58" x14ac:dyDescent="0.35">
      <c r="B277" t="s">
        <v>33</v>
      </c>
      <c r="C277" s="6">
        <f>[1]Results!F1668</f>
        <v>3648.4752109999999</v>
      </c>
      <c r="D277" s="6">
        <f>[1]Results!G1668</f>
        <v>3681.5603030000002</v>
      </c>
      <c r="E277" s="6">
        <f>[1]Results!H1668</f>
        <v>3707.832073</v>
      </c>
      <c r="F277" s="6">
        <f>[1]Results!I1668</f>
        <v>3731.7647160000001</v>
      </c>
      <c r="G277" s="6">
        <f>[1]Results!J1668</f>
        <v>3756.0342409999998</v>
      </c>
      <c r="H277" s="6">
        <f>[1]Results!K1668</f>
        <v>3781.7247160000002</v>
      </c>
      <c r="I277" s="6">
        <f>[1]Results!L1668</f>
        <v>3807.6405460000001</v>
      </c>
      <c r="J277" s="6">
        <f>[1]Results!M1668</f>
        <v>3833.734109</v>
      </c>
      <c r="K277" s="6">
        <f>[1]Results!N1668</f>
        <v>3859.9155500000002</v>
      </c>
      <c r="L277" s="6">
        <f>[1]Results!O1668</f>
        <v>3885.984567</v>
      </c>
      <c r="M277" s="6">
        <f>[1]Results!P1668</f>
        <v>3914.0279030000002</v>
      </c>
      <c r="N277" s="6">
        <f>[1]Results!Q1668</f>
        <v>3941.1174299999998</v>
      </c>
      <c r="O277" s="6">
        <f>[1]Results!R1668</f>
        <v>3966.9618329999998</v>
      </c>
      <c r="P277" s="6">
        <f>[1]Results!S1668</f>
        <v>3991.6912900000002</v>
      </c>
      <c r="Q277" s="6">
        <f>[1]Results!T1668</f>
        <v>4015.4484630000002</v>
      </c>
      <c r="R277" s="6">
        <f>[1]Results!U1668</f>
        <v>4038.3603079999998</v>
      </c>
      <c r="S277" s="6">
        <f>[1]Results!V1668</f>
        <v>4060.5612799999999</v>
      </c>
      <c r="T277" s="6">
        <f>[1]Results!W1668</f>
        <v>4082.2059960000001</v>
      </c>
      <c r="U277" s="6">
        <f>[1]Results!X1668</f>
        <v>4103.4688910000004</v>
      </c>
      <c r="V277" s="6">
        <f>[1]Results!Y1668</f>
        <v>4124.5370009999997</v>
      </c>
      <c r="W277" s="6">
        <f>[1]Results!Z1668</f>
        <v>4143.9882580000003</v>
      </c>
      <c r="X277" s="6">
        <f>[1]Results!AA1668</f>
        <v>4163.9328219999998</v>
      </c>
      <c r="Y277" s="6">
        <f>[1]Results!AB1668</f>
        <v>4184.6496390000002</v>
      </c>
      <c r="Z277" s="6">
        <f>[1]Results!AC1668</f>
        <v>4206.1615449999999</v>
      </c>
      <c r="AA277" s="6">
        <f>[1]Results!AD1668</f>
        <v>4228.5070210000003</v>
      </c>
      <c r="AB277" s="6">
        <f>[1]Results!AE1668</f>
        <v>4247.2488860000003</v>
      </c>
      <c r="AC277" s="6">
        <f>[1]Results!AF1668</f>
        <v>4265.7066800000002</v>
      </c>
      <c r="AD277" s="6">
        <f>[1]Results!AG1668</f>
        <v>4284.6166819999999</v>
      </c>
      <c r="AE277" s="6">
        <f>[1]Results!AH1668</f>
        <v>4304.1776479999999</v>
      </c>
      <c r="AF277" s="6">
        <f>[1]Results!AI1668</f>
        <v>4324.501397</v>
      </c>
      <c r="AG277" s="6">
        <f>[1]Results!AJ1668</f>
        <v>4345.6894460000003</v>
      </c>
      <c r="AH277" s="6">
        <f>[1]Results!AK1668</f>
        <v>4367.8313330000001</v>
      </c>
      <c r="AI277" s="6">
        <f>[1]Results!AL1668</f>
        <v>4390.9943759999996</v>
      </c>
      <c r="AJ277" s="6">
        <f>[1]Results!AM1668</f>
        <v>4415.2182560000001</v>
      </c>
      <c r="AK277" s="6">
        <f>[1]Results!AN1668</f>
        <v>4440.5149579999998</v>
      </c>
      <c r="AL277" s="6">
        <f>[1]Results!AO1668</f>
        <v>4466.8722719999996</v>
      </c>
      <c r="AM277" s="6">
        <f>[1]Results!AP1668</f>
        <v>4493.2397760000003</v>
      </c>
      <c r="AN277" s="6">
        <f>[1]Results!AQ1668</f>
        <v>4519.766482</v>
      </c>
      <c r="AO277" s="6">
        <f>[1]Results!AR1668</f>
        <v>4546.6547129999999</v>
      </c>
      <c r="AP277" s="6">
        <f>[1]Results!AS1668</f>
        <v>4574.0209610000002</v>
      </c>
      <c r="AQ277" s="6">
        <f>[1]Results!AT1668</f>
        <v>4601.9233549999999</v>
      </c>
      <c r="AR277" s="6">
        <f>[1]Results!AU1668</f>
        <v>4630.3931430000002</v>
      </c>
      <c r="AS277" s="6">
        <f>[1]Results!AV1668</f>
        <v>4659.4504539999998</v>
      </c>
      <c r="AT277" s="6">
        <f>[1]Results!AW1668</f>
        <v>4689.1095009999999</v>
      </c>
      <c r="AU277" s="6">
        <f>[1]Results!AX1668</f>
        <v>4719.3791650000003</v>
      </c>
      <c r="AV277" s="6">
        <f>[1]Results!AY1668</f>
        <v>4750.262326</v>
      </c>
      <c r="AW277" s="6">
        <f>[1]Results!AZ1668</f>
        <v>4781.8433359999999</v>
      </c>
      <c r="AX277" s="6">
        <f>[1]Results!BA1668</f>
        <v>4814.0956489999999</v>
      </c>
      <c r="AY277" s="6">
        <f>[1]Results!BB1668</f>
        <v>4846.9825650000002</v>
      </c>
      <c r="AZ277" s="6">
        <f>[1]Results!BC1668</f>
        <v>4880.4704730000003</v>
      </c>
      <c r="BA277" s="6">
        <f>[1]Results!BD1668</f>
        <v>4914.5279909999999</v>
      </c>
      <c r="BB277" s="6">
        <f>[1]Results!BE1668</f>
        <v>6294.689676</v>
      </c>
      <c r="BC277" s="6">
        <f>[1]Results!BF1668</f>
        <v>6382.6613719999996</v>
      </c>
      <c r="BD277" s="6">
        <f>[1]Results!BG1668</f>
        <v>6472.0753290000002</v>
      </c>
      <c r="BE277" s="6">
        <f>[1]Results!BH1668</f>
        <v>6562.95615</v>
      </c>
      <c r="BF277" s="6">
        <f>[1]Results!BI1668</f>
        <v>6655.3246710000003</v>
      </c>
    </row>
    <row r="279" spans="1:58" x14ac:dyDescent="0.35">
      <c r="A279" s="12" t="s">
        <v>21</v>
      </c>
      <c r="B279" t="s">
        <v>26</v>
      </c>
      <c r="C279" s="4">
        <f>C263/C271-1</f>
        <v>-9.9693041639857816E-3</v>
      </c>
      <c r="D279" s="4">
        <f t="shared" ref="D279:AK279" si="162">D263/D271-1</f>
        <v>-1.5484409058912463E-2</v>
      </c>
      <c r="E279" s="4">
        <f t="shared" si="162"/>
        <v>-1.8439639096227478E-2</v>
      </c>
      <c r="F279" s="4">
        <f t="shared" si="162"/>
        <v>-2.040353468207412E-2</v>
      </c>
      <c r="G279" s="4">
        <f t="shared" si="162"/>
        <v>-2.2289227785661558E-2</v>
      </c>
      <c r="H279" s="4">
        <f t="shared" si="162"/>
        <v>-2.4579611280161617E-2</v>
      </c>
      <c r="I279" s="4">
        <f t="shared" si="162"/>
        <v>-2.7475207699982684E-2</v>
      </c>
      <c r="J279" s="4">
        <f t="shared" si="162"/>
        <v>-3.0950899564557544E-2</v>
      </c>
      <c r="K279" s="4">
        <f t="shared" si="162"/>
        <v>-3.4869162805539089E-2</v>
      </c>
      <c r="L279" s="4">
        <f t="shared" si="162"/>
        <v>-3.904514297829742E-2</v>
      </c>
      <c r="M279" s="4">
        <f t="shared" si="162"/>
        <v>-4.3290719693387159E-2</v>
      </c>
      <c r="N279" s="4">
        <f t="shared" si="162"/>
        <v>-4.750979097154262E-2</v>
      </c>
      <c r="O279" s="4">
        <f t="shared" si="162"/>
        <v>-5.1564046294287458E-2</v>
      </c>
      <c r="P279" s="4">
        <f t="shared" si="162"/>
        <v>-5.5372600666371508E-2</v>
      </c>
      <c r="Q279" s="4">
        <f t="shared" si="162"/>
        <v>-5.8899539286953573E-2</v>
      </c>
      <c r="R279" s="4">
        <f t="shared" si="162"/>
        <v>-6.2142290320407301E-2</v>
      </c>
      <c r="S279" s="4">
        <f t="shared" si="162"/>
        <v>-6.5168954757821473E-2</v>
      </c>
      <c r="T279" s="4">
        <f t="shared" si="162"/>
        <v>-6.79888079132559E-2</v>
      </c>
      <c r="U279" s="4">
        <f t="shared" si="162"/>
        <v>-7.0625640427998682E-2</v>
      </c>
      <c r="V279" s="4">
        <f t="shared" si="162"/>
        <v>-7.3105326974617468E-2</v>
      </c>
      <c r="W279" s="4">
        <f t="shared" si="162"/>
        <v>-7.5453756636454039E-2</v>
      </c>
      <c r="X279" s="4">
        <f t="shared" si="162"/>
        <v>-7.7682142958540368E-2</v>
      </c>
      <c r="Y279" s="4">
        <f t="shared" si="162"/>
        <v>-7.9804797873039957E-2</v>
      </c>
      <c r="Z279" s="4">
        <f t="shared" si="162"/>
        <v>-8.1830952415493652E-2</v>
      </c>
      <c r="AA279" s="4">
        <f t="shared" si="162"/>
        <v>-8.3766287005554219E-2</v>
      </c>
      <c r="AB279" s="4">
        <f t="shared" si="162"/>
        <v>-8.5621517212865261E-2</v>
      </c>
      <c r="AC279" s="4">
        <f t="shared" si="162"/>
        <v>-8.7367276044712061E-2</v>
      </c>
      <c r="AD279" s="4">
        <f t="shared" si="162"/>
        <v>-8.9011294248964035E-2</v>
      </c>
      <c r="AE279" s="4">
        <f t="shared" si="162"/>
        <v>-9.0556847307193489E-2</v>
      </c>
      <c r="AF279" s="4">
        <f t="shared" si="162"/>
        <v>-9.2006845017692296E-2</v>
      </c>
      <c r="AG279" s="4">
        <f t="shared" si="162"/>
        <v>-9.336422615133666E-2</v>
      </c>
      <c r="AH279" s="4">
        <f t="shared" si="162"/>
        <v>-9.4622533803182196E-2</v>
      </c>
      <c r="AI279" s="4">
        <f>AI263/AI271-1</f>
        <v>-9.5788158463361306E-2</v>
      </c>
      <c r="AJ279" s="4">
        <f t="shared" si="162"/>
        <v>-9.6865703777539225E-2</v>
      </c>
      <c r="AK279" s="4">
        <f t="shared" si="162"/>
        <v>-9.7859286640079146E-2</v>
      </c>
      <c r="AL279" s="4">
        <f>AL263/AL271-1</f>
        <v>-9.8772798934343098E-2</v>
      </c>
      <c r="AM279" s="4">
        <f t="shared" ref="AM279:BC279" si="163">AM263/AM271-1</f>
        <v>-9.9531721871719436E-2</v>
      </c>
      <c r="AN279" s="4">
        <f t="shared" si="163"/>
        <v>-0.10016576342925965</v>
      </c>
      <c r="AO279" s="4">
        <f t="shared" si="163"/>
        <v>-0.10069140537985466</v>
      </c>
      <c r="AP279" s="4">
        <f t="shared" si="163"/>
        <v>-0.10112211467710552</v>
      </c>
      <c r="AQ279" s="4">
        <f t="shared" si="163"/>
        <v>-0.10146987980215438</v>
      </c>
      <c r="AR279" s="4">
        <f t="shared" si="163"/>
        <v>-0.10173308183831953</v>
      </c>
      <c r="AS279" s="4">
        <f t="shared" si="163"/>
        <v>-0.10192492340729342</v>
      </c>
      <c r="AT279" s="4">
        <f t="shared" si="163"/>
        <v>-0.1020552360205883</v>
      </c>
      <c r="AU279" s="4">
        <f t="shared" si="163"/>
        <v>-0.10213219014886932</v>
      </c>
      <c r="AV279" s="4">
        <f t="shared" si="163"/>
        <v>-0.10216267812123481</v>
      </c>
      <c r="AW279" s="4">
        <f t="shared" si="163"/>
        <v>-0.10211255231483785</v>
      </c>
      <c r="AX279" s="4">
        <f t="shared" si="163"/>
        <v>-0.10199939716434303</v>
      </c>
      <c r="AY279" s="4">
        <f t="shared" si="163"/>
        <v>-0.1100577285658807</v>
      </c>
      <c r="AZ279" s="4">
        <f t="shared" si="163"/>
        <v>-0.11964925891491096</v>
      </c>
      <c r="BA279" s="4">
        <f t="shared" si="163"/>
        <v>-0.12971500924710666</v>
      </c>
      <c r="BB279" s="4">
        <f t="shared" si="163"/>
        <v>-1.8968324761670097E-4</v>
      </c>
      <c r="BC279" s="4">
        <f t="shared" si="163"/>
        <v>3.056175197979627E-5</v>
      </c>
      <c r="BD279" s="4">
        <f t="shared" ref="BD279:BF279" si="164">BD263/BD271-1</f>
        <v>2.6725331404020558E-4</v>
      </c>
      <c r="BE279" s="4">
        <f t="shared" si="164"/>
        <v>5.1902589871888338E-4</v>
      </c>
      <c r="BF279" s="4">
        <f t="shared" si="164"/>
        <v>7.8444032673608E-4</v>
      </c>
    </row>
    <row r="280" spans="1:58" x14ac:dyDescent="0.35">
      <c r="A280" t="s">
        <v>88</v>
      </c>
      <c r="B280" t="s">
        <v>7</v>
      </c>
      <c r="C280" s="4">
        <f>(C264-C272)/C$271</f>
        <v>-1.0171236492553944E-4</v>
      </c>
      <c r="D280" s="4">
        <f t="shared" ref="D280:AL280" si="165">(D264-D272)/D$271</f>
        <v>-1.1359980455519308E-4</v>
      </c>
      <c r="E280" s="4">
        <f t="shared" si="165"/>
        <v>-7.1495137571404402E-5</v>
      </c>
      <c r="F280" s="4">
        <f t="shared" si="165"/>
        <v>-8.450249994903834E-6</v>
      </c>
      <c r="G280" s="4">
        <f t="shared" si="165"/>
        <v>5.3792286943654983E-5</v>
      </c>
      <c r="H280" s="4">
        <f t="shared" si="165"/>
        <v>1.024581734670671E-4</v>
      </c>
      <c r="I280" s="4">
        <f t="shared" si="165"/>
        <v>1.3141900457006803E-4</v>
      </c>
      <c r="J280" s="4">
        <f t="shared" si="165"/>
        <v>1.3983718833448104E-4</v>
      </c>
      <c r="K280" s="4">
        <f t="shared" si="165"/>
        <v>1.301295032343537E-4</v>
      </c>
      <c r="L280" s="4">
        <f t="shared" si="165"/>
        <v>1.0657795240908418E-4</v>
      </c>
      <c r="M280" s="4">
        <f t="shared" si="165"/>
        <v>7.415557249196739E-5</v>
      </c>
      <c r="N280" s="4">
        <f t="shared" si="165"/>
        <v>3.7058146331230041E-5</v>
      </c>
      <c r="O280" s="4">
        <f t="shared" si="165"/>
        <v>-4.5122688262199987E-7</v>
      </c>
      <c r="P280" s="4">
        <f t="shared" si="165"/>
        <v>-3.5346428308274328E-5</v>
      </c>
      <c r="Q280" s="4">
        <f t="shared" si="165"/>
        <v>-6.5703547256411782E-5</v>
      </c>
      <c r="R280" s="4">
        <f t="shared" si="165"/>
        <v>-9.0572743380702941E-5</v>
      </c>
      <c r="S280" s="4">
        <f t="shared" si="165"/>
        <v>-1.1014105780211994E-4</v>
      </c>
      <c r="T280" s="4">
        <f t="shared" si="165"/>
        <v>-1.2456638164462695E-4</v>
      </c>
      <c r="U280" s="4">
        <f t="shared" si="165"/>
        <v>-1.3449952967192725E-4</v>
      </c>
      <c r="V280" s="4">
        <f t="shared" si="165"/>
        <v>-1.4076913952232293E-4</v>
      </c>
      <c r="W280" s="4">
        <f t="shared" si="165"/>
        <v>-1.4421065377829913E-4</v>
      </c>
      <c r="X280" s="4">
        <f t="shared" si="165"/>
        <v>-1.4568517680872592E-4</v>
      </c>
      <c r="Y280" s="4">
        <f t="shared" si="165"/>
        <v>-1.4589690813426062E-4</v>
      </c>
      <c r="Z280" s="4">
        <f t="shared" si="165"/>
        <v>-1.4542867852673913E-4</v>
      </c>
      <c r="AA280" s="4">
        <f t="shared" si="165"/>
        <v>-1.4473623875336619E-4</v>
      </c>
      <c r="AB280" s="4">
        <f t="shared" si="165"/>
        <v>-1.4405393524164525E-4</v>
      </c>
      <c r="AC280" s="4">
        <f t="shared" si="165"/>
        <v>-1.4358957446599659E-4</v>
      </c>
      <c r="AD280" s="4">
        <f t="shared" si="165"/>
        <v>-1.4348855771390557E-4</v>
      </c>
      <c r="AE280" s="4">
        <f t="shared" si="165"/>
        <v>-1.4377197782495984E-4</v>
      </c>
      <c r="AF280" s="4">
        <f t="shared" si="165"/>
        <v>-1.4441620055188903E-4</v>
      </c>
      <c r="AG280" s="4">
        <f t="shared" si="165"/>
        <v>-1.4536116469392543E-4</v>
      </c>
      <c r="AH280" s="4">
        <f t="shared" si="165"/>
        <v>-1.4646492974133561E-4</v>
      </c>
      <c r="AI280" s="4">
        <f t="shared" si="165"/>
        <v>-1.4764668661473027E-4</v>
      </c>
      <c r="AJ280" s="4">
        <f t="shared" si="165"/>
        <v>-1.4880388227033459E-4</v>
      </c>
      <c r="AK280" s="4">
        <f t="shared" si="165"/>
        <v>-1.4984471806439345E-4</v>
      </c>
      <c r="AL280" s="4">
        <f t="shared" si="165"/>
        <v>-1.506953218115202E-4</v>
      </c>
      <c r="AM280" s="4">
        <f t="shared" ref="AM280:BC280" si="166">(AM264-AM272)/AM$271</f>
        <v>-1.5085597960161207E-4</v>
      </c>
      <c r="AN280" s="4">
        <f t="shared" si="166"/>
        <v>-1.5046387529319804E-4</v>
      </c>
      <c r="AO280" s="4">
        <f t="shared" si="166"/>
        <v>-1.4952581620430265E-4</v>
      </c>
      <c r="AP280" s="4">
        <f t="shared" si="166"/>
        <v>-1.4809901429266588E-4</v>
      </c>
      <c r="AQ280" s="4">
        <f t="shared" si="166"/>
        <v>-1.4627943157589308E-4</v>
      </c>
      <c r="AR280" s="4">
        <f t="shared" si="166"/>
        <v>-1.4411972655796907E-4</v>
      </c>
      <c r="AS280" s="4">
        <f t="shared" si="166"/>
        <v>-1.4174679171333096E-4</v>
      </c>
      <c r="AT280" s="4">
        <f t="shared" si="166"/>
        <v>-1.3925630581733761E-4</v>
      </c>
      <c r="AU280" s="4">
        <f t="shared" si="166"/>
        <v>-1.3673117005086235E-4</v>
      </c>
      <c r="AV280" s="4">
        <f t="shared" si="166"/>
        <v>-1.3423741339693381E-4</v>
      </c>
      <c r="AW280" s="4">
        <f t="shared" si="166"/>
        <v>-1.316461051842027E-4</v>
      </c>
      <c r="AX280" s="4">
        <f t="shared" si="166"/>
        <v>-1.2902669275303587E-4</v>
      </c>
      <c r="AY280" s="4">
        <f t="shared" si="166"/>
        <v>-1.3011440137145663E-4</v>
      </c>
      <c r="AZ280" s="4">
        <f t="shared" si="166"/>
        <v>-1.3656540020806377E-4</v>
      </c>
      <c r="BA280" s="4">
        <f t="shared" si="166"/>
        <v>-1.3607547901616797E-4</v>
      </c>
      <c r="BB280" s="4">
        <f t="shared" si="166"/>
        <v>9.4659051125381113E-5</v>
      </c>
      <c r="BC280" s="4">
        <f t="shared" si="166"/>
        <v>1.0198390273222677E-4</v>
      </c>
      <c r="BD280" s="4">
        <f t="shared" ref="BD280:BF280" si="167">(BD264-BD272)/BD$271</f>
        <v>1.0943101375679349E-4</v>
      </c>
      <c r="BE280" s="4">
        <f t="shared" si="167"/>
        <v>1.1697477004672881E-4</v>
      </c>
      <c r="BF280" s="4">
        <f t="shared" si="167"/>
        <v>1.2459345722464171E-4</v>
      </c>
    </row>
    <row r="281" spans="1:58" x14ac:dyDescent="0.35">
      <c r="B281" t="s">
        <v>30</v>
      </c>
      <c r="C281" s="4">
        <f t="shared" ref="C281:AL281" si="168">(C265-C273)/C$271</f>
        <v>-5.5499768444233922E-3</v>
      </c>
      <c r="D281" s="4">
        <f t="shared" si="168"/>
        <v>-8.4356961598585113E-3</v>
      </c>
      <c r="E281" s="4">
        <f t="shared" si="168"/>
        <v>-9.9227699507654383E-3</v>
      </c>
      <c r="F281" s="4">
        <f t="shared" si="168"/>
        <v>-1.0851146436630658E-2</v>
      </c>
      <c r="G281" s="4">
        <f t="shared" si="168"/>
        <v>-1.1720884180281358E-2</v>
      </c>
      <c r="H281" s="4">
        <f t="shared" si="168"/>
        <v>-1.2821508159026726E-2</v>
      </c>
      <c r="I281" s="4">
        <f t="shared" si="168"/>
        <v>-1.4293958965791562E-2</v>
      </c>
      <c r="J281" s="4">
        <f t="shared" si="168"/>
        <v>-1.6152876669706107E-2</v>
      </c>
      <c r="K281" s="4">
        <f t="shared" si="168"/>
        <v>-1.8340417839083679E-2</v>
      </c>
      <c r="L281" s="4">
        <f t="shared" si="168"/>
        <v>-2.0762042380764449E-2</v>
      </c>
      <c r="M281" s="4">
        <f t="shared" si="168"/>
        <v>-2.3312438394943381E-2</v>
      </c>
      <c r="N281" s="4">
        <f t="shared" si="168"/>
        <v>-2.5928100416181491E-2</v>
      </c>
      <c r="O281" s="4">
        <f t="shared" si="168"/>
        <v>-2.8522254007216374E-2</v>
      </c>
      <c r="P281" s="4">
        <f t="shared" si="168"/>
        <v>-3.1036132839735105E-2</v>
      </c>
      <c r="Q281" s="4">
        <f t="shared" si="168"/>
        <v>-3.3434908692823673E-2</v>
      </c>
      <c r="R281" s="4">
        <f t="shared" si="168"/>
        <v>-3.5702682406040895E-2</v>
      </c>
      <c r="S281" s="4">
        <f t="shared" si="168"/>
        <v>-3.7863043066296689E-2</v>
      </c>
      <c r="T281" s="4">
        <f t="shared" si="168"/>
        <v>-3.9910762486619081E-2</v>
      </c>
      <c r="U281" s="4">
        <f t="shared" si="168"/>
        <v>-4.1850445012383532E-2</v>
      </c>
      <c r="V281" s="4">
        <f t="shared" si="168"/>
        <v>-4.3689940993853565E-2</v>
      </c>
      <c r="W281" s="4">
        <f t="shared" si="168"/>
        <v>-4.5440192688217175E-2</v>
      </c>
      <c r="X281" s="4">
        <f t="shared" si="168"/>
        <v>-4.7102292163862608E-2</v>
      </c>
      <c r="Y281" s="4">
        <f t="shared" si="168"/>
        <v>-4.8681977418832505E-2</v>
      </c>
      <c r="Z281" s="4">
        <f t="shared" si="168"/>
        <v>-5.018311362739835E-2</v>
      </c>
      <c r="AA281" s="4">
        <f t="shared" si="168"/>
        <v>-5.1608108891870383E-2</v>
      </c>
      <c r="AB281" s="4">
        <f t="shared" si="168"/>
        <v>-5.2967227880695023E-2</v>
      </c>
      <c r="AC281" s="4">
        <f t="shared" si="168"/>
        <v>-5.4240161934053968E-2</v>
      </c>
      <c r="AD281" s="4">
        <f t="shared" si="168"/>
        <v>-5.5430313668213584E-2</v>
      </c>
      <c r="AE281" s="4">
        <f t="shared" si="168"/>
        <v>-5.65392262275667E-2</v>
      </c>
      <c r="AF281" s="4">
        <f t="shared" si="168"/>
        <v>-5.7568231644146754E-2</v>
      </c>
      <c r="AG281" s="4">
        <f t="shared" si="168"/>
        <v>-5.8518787907417172E-2</v>
      </c>
      <c r="AH281" s="4">
        <f t="shared" si="168"/>
        <v>-5.9387578606959777E-2</v>
      </c>
      <c r="AI281" s="4">
        <f t="shared" si="168"/>
        <v>-6.0178005814918514E-2</v>
      </c>
      <c r="AJ281" s="4">
        <f t="shared" si="168"/>
        <v>-6.0892681343883176E-2</v>
      </c>
      <c r="AK281" s="4">
        <f t="shared" si="168"/>
        <v>-6.1534039130343235E-2</v>
      </c>
      <c r="AL281" s="4">
        <f t="shared" si="168"/>
        <v>-6.2104507270660241E-2</v>
      </c>
      <c r="AM281" s="4">
        <f t="shared" ref="AM281:BC281" si="169">(AM265-AM273)/AM$271</f>
        <v>-6.2567008321668935E-2</v>
      </c>
      <c r="AN281" s="4">
        <f t="shared" si="169"/>
        <v>-6.2936011255754876E-2</v>
      </c>
      <c r="AO281" s="4">
        <f t="shared" si="169"/>
        <v>-6.3219828118867116E-2</v>
      </c>
      <c r="AP281" s="4">
        <f t="shared" si="169"/>
        <v>-6.3425473831883392E-2</v>
      </c>
      <c r="AQ281" s="4">
        <f t="shared" si="169"/>
        <v>-6.3559614753668905E-2</v>
      </c>
      <c r="AR281" s="4">
        <f t="shared" si="169"/>
        <v>-6.3622208697106025E-2</v>
      </c>
      <c r="AS281" s="4">
        <f t="shared" si="169"/>
        <v>-6.3620999488575886E-2</v>
      </c>
      <c r="AT281" s="4">
        <f t="shared" si="169"/>
        <v>-6.3562258820860029E-2</v>
      </c>
      <c r="AU281" s="4">
        <f t="shared" si="169"/>
        <v>-6.3451522558811965E-2</v>
      </c>
      <c r="AV281" s="4">
        <f t="shared" si="169"/>
        <v>-6.3293780070235298E-2</v>
      </c>
      <c r="AW281" s="4">
        <f t="shared" si="169"/>
        <v>-6.3072740560833535E-2</v>
      </c>
      <c r="AX281" s="4">
        <f t="shared" si="169"/>
        <v>-6.2798441617027648E-2</v>
      </c>
      <c r="AY281" s="4">
        <f t="shared" si="169"/>
        <v>-6.6030206335661631E-2</v>
      </c>
      <c r="AZ281" s="4">
        <f t="shared" si="169"/>
        <v>-7.050566248101385E-2</v>
      </c>
      <c r="BA281" s="4">
        <f t="shared" si="169"/>
        <v>-7.5412371115087695E-2</v>
      </c>
      <c r="BB281" s="4">
        <f t="shared" si="169"/>
        <v>3.9656188976705569E-5</v>
      </c>
      <c r="BC281" s="4">
        <f t="shared" si="169"/>
        <v>2.122757031854655E-4</v>
      </c>
      <c r="BD281" s="4">
        <f t="shared" ref="BD281:BF281" si="170">(BD265-BD273)/BD$271</f>
        <v>3.9830307740515013E-4</v>
      </c>
      <c r="BE281" s="4">
        <f t="shared" si="170"/>
        <v>5.9690661777737962E-4</v>
      </c>
      <c r="BF281" s="4">
        <f t="shared" si="170"/>
        <v>8.0713243591082643E-4</v>
      </c>
    </row>
    <row r="282" spans="1:58" x14ac:dyDescent="0.35">
      <c r="B282" t="s">
        <v>28</v>
      </c>
      <c r="C282" s="4">
        <f t="shared" ref="C282:AL282" si="171">(C266-C274)/C$271</f>
        <v>-3.5736841842144744E-4</v>
      </c>
      <c r="D282" s="4">
        <f t="shared" si="171"/>
        <v>-5.024695042023336E-4</v>
      </c>
      <c r="E282" s="4">
        <f t="shared" si="171"/>
        <v>-5.6315691094780676E-4</v>
      </c>
      <c r="F282" s="4">
        <f t="shared" si="171"/>
        <v>-5.9544000496055793E-4</v>
      </c>
      <c r="G282" s="4">
        <f t="shared" si="171"/>
        <v>-6.2120410307286186E-4</v>
      </c>
      <c r="H282" s="4">
        <f t="shared" si="171"/>
        <v>-6.4931170709144905E-4</v>
      </c>
      <c r="I282" s="4">
        <f t="shared" si="171"/>
        <v>-6.8318937398504482E-4</v>
      </c>
      <c r="J282" s="4">
        <f t="shared" si="171"/>
        <v>-7.228275292291477E-4</v>
      </c>
      <c r="K282" s="4">
        <f t="shared" si="171"/>
        <v>-7.6692858782739142E-4</v>
      </c>
      <c r="L282" s="4">
        <f t="shared" si="171"/>
        <v>-8.1372410284278446E-4</v>
      </c>
      <c r="M282" s="4">
        <f t="shared" si="171"/>
        <v>-8.6170071021282634E-4</v>
      </c>
      <c r="N282" s="4">
        <f t="shared" si="171"/>
        <v>-9.1070417960909921E-4</v>
      </c>
      <c r="O282" s="4">
        <f t="shared" si="171"/>
        <v>-9.5893977155956745E-4</v>
      </c>
      <c r="P282" s="4">
        <f t="shared" si="171"/>
        <v>-1.005599474546742E-3</v>
      </c>
      <c r="Q282" s="4">
        <f t="shared" si="171"/>
        <v>-1.0504241378336112E-3</v>
      </c>
      <c r="R282" s="4">
        <f t="shared" si="171"/>
        <v>-1.0934742909466553E-3</v>
      </c>
      <c r="S282" s="4">
        <f t="shared" si="171"/>
        <v>-1.1364370039043579E-3</v>
      </c>
      <c r="T282" s="4">
        <f t="shared" si="171"/>
        <v>-1.1786771540071024E-3</v>
      </c>
      <c r="U282" s="4">
        <f t="shared" si="171"/>
        <v>-1.2201075656893983E-3</v>
      </c>
      <c r="V282" s="4">
        <f t="shared" si="171"/>
        <v>-1.2607735225091444E-3</v>
      </c>
      <c r="W282" s="4">
        <f t="shared" si="171"/>
        <v>-1.3004880102600602E-3</v>
      </c>
      <c r="X282" s="4">
        <f t="shared" si="171"/>
        <v>-1.33966149561953E-3</v>
      </c>
      <c r="Y282" s="4">
        <f t="shared" si="171"/>
        <v>-1.3781174485155733E-3</v>
      </c>
      <c r="Z282" s="4">
        <f t="shared" si="171"/>
        <v>-1.4157475914250658E-3</v>
      </c>
      <c r="AA282" s="4">
        <f t="shared" si="171"/>
        <v>-1.4524734359804069E-3</v>
      </c>
      <c r="AB282" s="4">
        <f t="shared" si="171"/>
        <v>-1.4874926911233222E-3</v>
      </c>
      <c r="AC282" s="4">
        <f t="shared" si="171"/>
        <v>-1.5213136561207294E-3</v>
      </c>
      <c r="AD282" s="4">
        <f t="shared" si="171"/>
        <v>-1.5540719546318941E-3</v>
      </c>
      <c r="AE282" s="4">
        <f t="shared" si="171"/>
        <v>-1.5858069579774033E-3</v>
      </c>
      <c r="AF282" s="4">
        <f t="shared" si="171"/>
        <v>-1.6165621674456199E-3</v>
      </c>
      <c r="AG282" s="4">
        <f t="shared" si="171"/>
        <v>-1.6463934123790412E-3</v>
      </c>
      <c r="AH282" s="4">
        <f t="shared" si="171"/>
        <v>-1.675107358422048E-3</v>
      </c>
      <c r="AI282" s="4">
        <f t="shared" si="171"/>
        <v>-1.7029241681846127E-3</v>
      </c>
      <c r="AJ282" s="4">
        <f t="shared" si="171"/>
        <v>-1.7299734721185839E-3</v>
      </c>
      <c r="AK282" s="4">
        <f t="shared" si="171"/>
        <v>-1.7563542404542157E-3</v>
      </c>
      <c r="AL282" s="4">
        <f t="shared" si="171"/>
        <v>-1.782151702453812E-3</v>
      </c>
      <c r="AM282" s="4">
        <f t="shared" ref="AM282:BC282" si="172">(AM266-AM274)/AM$271</f>
        <v>-1.8051072361879757E-3</v>
      </c>
      <c r="AN282" s="4">
        <f t="shared" si="172"/>
        <v>-1.8266678731550798E-3</v>
      </c>
      <c r="AO282" s="4">
        <f t="shared" si="172"/>
        <v>-1.847391610590022E-3</v>
      </c>
      <c r="AP282" s="4">
        <f t="shared" si="172"/>
        <v>-1.8675505312960603E-3</v>
      </c>
      <c r="AQ282" s="4">
        <f t="shared" si="172"/>
        <v>-1.8873161610489003E-3</v>
      </c>
      <c r="AR282" s="4">
        <f t="shared" si="172"/>
        <v>-1.9064912499159239E-3</v>
      </c>
      <c r="AS282" s="4">
        <f t="shared" si="172"/>
        <v>-1.9253439190700572E-3</v>
      </c>
      <c r="AT282" s="4">
        <f t="shared" si="172"/>
        <v>-1.9440111566366505E-3</v>
      </c>
      <c r="AU282" s="4">
        <f t="shared" si="172"/>
        <v>-1.9625773494201804E-3</v>
      </c>
      <c r="AV282" s="4">
        <f t="shared" si="172"/>
        <v>-1.9810984895576676E-3</v>
      </c>
      <c r="AW282" s="4">
        <f t="shared" si="172"/>
        <v>-1.9985963926865292E-3</v>
      </c>
      <c r="AX282" s="4">
        <f t="shared" si="172"/>
        <v>-2.0156132519667368E-3</v>
      </c>
      <c r="AY282" s="4">
        <f t="shared" si="172"/>
        <v>-2.1373676113632663E-3</v>
      </c>
      <c r="AZ282" s="4">
        <f t="shared" si="172"/>
        <v>-2.3209248680112881E-3</v>
      </c>
      <c r="BA282" s="4">
        <f t="shared" si="172"/>
        <v>-2.5126399388415033E-3</v>
      </c>
      <c r="BB282" s="4">
        <f t="shared" si="172"/>
        <v>-5.9952501037244454E-5</v>
      </c>
      <c r="BC282" s="4">
        <f t="shared" si="172"/>
        <v>-6.0984718023528869E-5</v>
      </c>
      <c r="BD282" s="4">
        <f t="shared" ref="BD282:BF282" si="173">(BD266-BD274)/BD$271</f>
        <v>-6.1930063848194579E-5</v>
      </c>
      <c r="BE282" s="4">
        <f t="shared" si="173"/>
        <v>-6.2801415214710579E-5</v>
      </c>
      <c r="BF282" s="4">
        <f t="shared" si="173"/>
        <v>-6.36110091234999E-5</v>
      </c>
    </row>
    <row r="283" spans="1:58" x14ac:dyDescent="0.35">
      <c r="B283" t="s">
        <v>10</v>
      </c>
      <c r="C283" s="4">
        <f t="shared" ref="C283:AL283" si="174">(C267-C275)/C$271</f>
        <v>-3.7610796238227895E-3</v>
      </c>
      <c r="D283" s="4">
        <f t="shared" si="174"/>
        <v>-6.1188362866455657E-3</v>
      </c>
      <c r="E283" s="4">
        <f t="shared" si="174"/>
        <v>-7.4952323985005686E-3</v>
      </c>
      <c r="F283" s="4">
        <f t="shared" si="174"/>
        <v>-8.5084127157599929E-3</v>
      </c>
      <c r="G283" s="4">
        <f t="shared" si="174"/>
        <v>-9.5210786989207812E-3</v>
      </c>
      <c r="H283" s="4">
        <f t="shared" si="174"/>
        <v>-1.070265986212254E-2</v>
      </c>
      <c r="I283" s="4">
        <f t="shared" si="174"/>
        <v>-1.2101346364907657E-2</v>
      </c>
      <c r="J283" s="4">
        <f t="shared" si="174"/>
        <v>-1.3674737602088281E-2</v>
      </c>
      <c r="K283" s="4">
        <f t="shared" si="174"/>
        <v>-1.5344972796696495E-2</v>
      </c>
      <c r="L283" s="4">
        <f t="shared" si="174"/>
        <v>-1.7026063832722715E-2</v>
      </c>
      <c r="M283" s="4">
        <f t="shared" si="174"/>
        <v>-1.8640229863233777E-2</v>
      </c>
      <c r="N283" s="4">
        <f t="shared" si="174"/>
        <v>-2.0157594867110388E-2</v>
      </c>
      <c r="O283" s="4">
        <f t="shared" si="174"/>
        <v>-2.1532041809411703E-2</v>
      </c>
      <c r="P283" s="4">
        <f t="shared" si="174"/>
        <v>-2.2744790544006469E-2</v>
      </c>
      <c r="Q283" s="4">
        <f t="shared" si="174"/>
        <v>-2.3796615452335971E-2</v>
      </c>
      <c r="R283" s="4">
        <f t="shared" si="174"/>
        <v>-2.4701563458625585E-2</v>
      </c>
      <c r="S283" s="4">
        <f t="shared" si="174"/>
        <v>-2.5501768059296926E-2</v>
      </c>
      <c r="T283" s="4">
        <f t="shared" si="174"/>
        <v>-2.6212417638179466E-2</v>
      </c>
      <c r="U283" s="4">
        <f t="shared" si="174"/>
        <v>-2.6852353855996519E-2</v>
      </c>
      <c r="V283" s="4">
        <f t="shared" si="174"/>
        <v>-2.7438951882696058E-2</v>
      </c>
      <c r="W283" s="4">
        <f t="shared" si="174"/>
        <v>-2.7986771940423177E-2</v>
      </c>
      <c r="X283" s="4">
        <f t="shared" si="174"/>
        <v>-2.8504806770424787E-2</v>
      </c>
      <c r="Y283" s="4">
        <f t="shared" si="174"/>
        <v>-2.9001329096243037E-2</v>
      </c>
      <c r="Z283" s="4">
        <f t="shared" si="174"/>
        <v>-2.9481422073401691E-2</v>
      </c>
      <c r="AA283" s="4">
        <f t="shared" si="174"/>
        <v>-2.9948132168043134E-2</v>
      </c>
      <c r="AB283" s="4">
        <f t="shared" si="174"/>
        <v>-3.0402740792388742E-2</v>
      </c>
      <c r="AC283" s="4">
        <f t="shared" si="174"/>
        <v>-3.0835514773347301E-2</v>
      </c>
      <c r="AD283" s="4">
        <f t="shared" si="174"/>
        <v>-3.1250555297537723E-2</v>
      </c>
      <c r="AE283" s="4">
        <f t="shared" si="174"/>
        <v>-3.1649593753084224E-2</v>
      </c>
      <c r="AF283" s="4">
        <f t="shared" si="174"/>
        <v>-3.203421011663473E-2</v>
      </c>
      <c r="AG283" s="4">
        <f t="shared" si="174"/>
        <v>-3.2405884267049781E-2</v>
      </c>
      <c r="AH283" s="4">
        <f t="shared" si="174"/>
        <v>-3.2761855660775552E-2</v>
      </c>
      <c r="AI283" s="4">
        <f t="shared" si="174"/>
        <v>-3.3104922336142026E-2</v>
      </c>
      <c r="AJ283" s="4">
        <f t="shared" si="174"/>
        <v>-3.3436999064386901E-2</v>
      </c>
      <c r="AK283" s="4">
        <f t="shared" si="174"/>
        <v>-3.375971108087903E-2</v>
      </c>
      <c r="AL283" s="4">
        <f t="shared" si="174"/>
        <v>-3.407446252798365E-2</v>
      </c>
      <c r="AM283" s="4">
        <f t="shared" ref="AM283:BC283" si="175">(AM267-AM275)/AM$271</f>
        <v>-3.4347068044567122E-2</v>
      </c>
      <c r="AN283" s="4">
        <f t="shared" si="175"/>
        <v>-3.4590961774960155E-2</v>
      </c>
      <c r="AO283" s="4">
        <f t="shared" si="175"/>
        <v>-3.4813601593506605E-2</v>
      </c>
      <c r="AP283" s="4">
        <f t="shared" si="175"/>
        <v>-3.5020988424647591E-2</v>
      </c>
      <c r="AQ283" s="4">
        <f t="shared" si="175"/>
        <v>-3.5218073923673716E-2</v>
      </c>
      <c r="AR283" s="4">
        <f t="shared" si="175"/>
        <v>-3.5403406345643672E-2</v>
      </c>
      <c r="AS283" s="4">
        <f t="shared" si="175"/>
        <v>-3.5581952021925795E-2</v>
      </c>
      <c r="AT283" s="4">
        <f t="shared" si="175"/>
        <v>-3.5756955012588763E-2</v>
      </c>
      <c r="AU283" s="4">
        <f t="shared" si="175"/>
        <v>-3.5930805757534059E-2</v>
      </c>
      <c r="AV283" s="4">
        <f t="shared" si="175"/>
        <v>-3.6105216000892656E-2</v>
      </c>
      <c r="AW283" s="4">
        <f t="shared" si="175"/>
        <v>-3.626357720634793E-2</v>
      </c>
      <c r="AX283" s="4">
        <f t="shared" si="175"/>
        <v>-3.641273108250663E-2</v>
      </c>
      <c r="AY283" s="4">
        <f t="shared" si="175"/>
        <v>-4.1103887267290556E-2</v>
      </c>
      <c r="AZ283" s="4">
        <f t="shared" si="175"/>
        <v>-4.598259899735662E-2</v>
      </c>
      <c r="BA283" s="4">
        <f t="shared" si="175"/>
        <v>-5.09020499348476E-2</v>
      </c>
      <c r="BB283" s="4">
        <f t="shared" si="175"/>
        <v>-3.6476619793068907E-4</v>
      </c>
      <c r="BC283" s="4">
        <f t="shared" si="175"/>
        <v>-3.3238468903742707E-4</v>
      </c>
      <c r="BD283" s="4">
        <f t="shared" ref="BD283:BF283" si="176">(BD267-BD275)/BD$271</f>
        <v>-2.9733831200710003E-4</v>
      </c>
      <c r="BE283" s="4">
        <f t="shared" si="176"/>
        <v>-2.6009050932757728E-4</v>
      </c>
      <c r="BF283" s="4">
        <f t="shared" si="176"/>
        <v>-2.21071551999681E-4</v>
      </c>
    </row>
    <row r="284" spans="1:58" x14ac:dyDescent="0.35">
      <c r="B284" t="s">
        <v>31</v>
      </c>
      <c r="C284" s="4">
        <f t="shared" ref="C284:AL284" si="177">(C268-C276)/C$271</f>
        <v>-8.4748722925303261E-5</v>
      </c>
      <c r="D284" s="4">
        <f t="shared" si="177"/>
        <v>-1.3064237000957028E-4</v>
      </c>
      <c r="E284" s="4">
        <f t="shared" si="177"/>
        <v>-1.5931148247938539E-4</v>
      </c>
      <c r="F284" s="4">
        <f t="shared" si="177"/>
        <v>-1.8165770787382469E-4</v>
      </c>
      <c r="G284" s="4">
        <f t="shared" si="177"/>
        <v>-2.0114152495662472E-4</v>
      </c>
      <c r="H284" s="4">
        <f t="shared" si="177"/>
        <v>-2.186833781795015E-4</v>
      </c>
      <c r="I284" s="4">
        <f t="shared" si="177"/>
        <v>-2.3459198283077085E-4</v>
      </c>
      <c r="J284" s="4">
        <f t="shared" si="177"/>
        <v>-2.489935495583522E-4</v>
      </c>
      <c r="K284" s="4">
        <f t="shared" si="177"/>
        <v>-2.6202368551336651E-4</v>
      </c>
      <c r="L284" s="4">
        <f t="shared" si="177"/>
        <v>-2.7381000927204996E-4</v>
      </c>
      <c r="M284" s="4">
        <f t="shared" si="177"/>
        <v>-2.8450022793963297E-4</v>
      </c>
      <c r="N284" s="4">
        <f t="shared" si="177"/>
        <v>-2.9443251756598661E-4</v>
      </c>
      <c r="O284" s="4">
        <f t="shared" si="177"/>
        <v>-3.0359133597462131E-4</v>
      </c>
      <c r="P284" s="4">
        <f t="shared" si="177"/>
        <v>-3.1203960869346809E-4</v>
      </c>
      <c r="Q284" s="4">
        <f t="shared" si="177"/>
        <v>-3.1987008322753829E-4</v>
      </c>
      <c r="R284" s="4">
        <f t="shared" si="177"/>
        <v>-3.2718202662733058E-4</v>
      </c>
      <c r="S284" s="4">
        <f t="shared" si="177"/>
        <v>-3.3431956431204275E-4</v>
      </c>
      <c r="T284" s="4">
        <f t="shared" si="177"/>
        <v>-3.4123093097293794E-4</v>
      </c>
      <c r="U284" s="4">
        <f t="shared" si="177"/>
        <v>-3.47921923991044E-4</v>
      </c>
      <c r="V284" s="4">
        <f t="shared" si="177"/>
        <v>-3.5442002541728702E-4</v>
      </c>
      <c r="W284" s="4">
        <f t="shared" si="177"/>
        <v>-3.607193231190741E-4</v>
      </c>
      <c r="X284" s="4">
        <f t="shared" si="177"/>
        <v>-3.6689281590226818E-4</v>
      </c>
      <c r="Y284" s="4">
        <f t="shared" si="177"/>
        <v>-3.7293038656530006E-4</v>
      </c>
      <c r="Z284" s="4">
        <f t="shared" si="177"/>
        <v>-3.7881795131199634E-4</v>
      </c>
      <c r="AA284" s="4">
        <f t="shared" si="177"/>
        <v>-3.8454661752743607E-4</v>
      </c>
      <c r="AB284" s="4">
        <f t="shared" si="177"/>
        <v>-3.9000016541529251E-4</v>
      </c>
      <c r="AC284" s="4">
        <f t="shared" si="177"/>
        <v>-3.952363831299146E-4</v>
      </c>
      <c r="AD284" s="4">
        <f t="shared" si="177"/>
        <v>-4.0028196135440721E-4</v>
      </c>
      <c r="AE284" s="4">
        <f t="shared" si="177"/>
        <v>-4.0512463257164392E-4</v>
      </c>
      <c r="AF284" s="4">
        <f t="shared" si="177"/>
        <v>-4.0975381056545948E-4</v>
      </c>
      <c r="AG284" s="4">
        <f t="shared" si="177"/>
        <v>-4.1416541561174828E-4</v>
      </c>
      <c r="AH284" s="4">
        <f t="shared" si="177"/>
        <v>-4.1832089925984489E-4</v>
      </c>
      <c r="AI284" s="4">
        <f t="shared" si="177"/>
        <v>-4.2224824777045624E-4</v>
      </c>
      <c r="AJ284" s="4">
        <f t="shared" si="177"/>
        <v>-4.2596586721162471E-4</v>
      </c>
      <c r="AK284" s="4">
        <f t="shared" si="177"/>
        <v>-4.294869567167602E-4</v>
      </c>
      <c r="AL284" s="4">
        <f t="shared" si="177"/>
        <v>-4.3282233835563688E-4</v>
      </c>
      <c r="AM284" s="4">
        <f t="shared" ref="AM284:BC284" si="178">(AM268-AM276)/AM$271</f>
        <v>-4.3562579734464352E-4</v>
      </c>
      <c r="AN284" s="4">
        <f t="shared" si="178"/>
        <v>-4.38104582933337E-4</v>
      </c>
      <c r="AO284" s="4">
        <f t="shared" si="178"/>
        <v>-4.4035326995293201E-4</v>
      </c>
      <c r="AP284" s="4">
        <f t="shared" si="178"/>
        <v>-4.4240865096403006E-4</v>
      </c>
      <c r="AQ284" s="4">
        <f t="shared" si="178"/>
        <v>-4.4428930903534023E-4</v>
      </c>
      <c r="AR284" s="4">
        <f t="shared" si="178"/>
        <v>-4.4596261847744374E-4</v>
      </c>
      <c r="AS284" s="4">
        <f t="shared" si="178"/>
        <v>-4.4746878457232851E-4</v>
      </c>
      <c r="AT284" s="4">
        <f t="shared" si="178"/>
        <v>-4.4883506464625598E-4</v>
      </c>
      <c r="AU284" s="4">
        <f t="shared" si="178"/>
        <v>-4.5008211541726952E-4</v>
      </c>
      <c r="AV284" s="4">
        <f t="shared" si="178"/>
        <v>-4.5122738235750862E-4</v>
      </c>
      <c r="AW284" s="4">
        <f t="shared" si="178"/>
        <v>-4.5214019976771666E-4</v>
      </c>
      <c r="AX284" s="4">
        <f t="shared" si="178"/>
        <v>-4.5290652220893971E-4</v>
      </c>
      <c r="AY284" s="4">
        <f t="shared" si="178"/>
        <v>-4.4448086899725108E-4</v>
      </c>
      <c r="AZ284" s="4">
        <f t="shared" si="178"/>
        <v>-4.5818656358186669E-4</v>
      </c>
      <c r="BA284" s="4">
        <f t="shared" si="178"/>
        <v>-4.778952771754859E-4</v>
      </c>
      <c r="BB284" s="4">
        <f t="shared" si="178"/>
        <v>8.4037079555275743E-6</v>
      </c>
      <c r="BC284" s="4">
        <f t="shared" si="178"/>
        <v>9.3309894264240709E-6</v>
      </c>
      <c r="BD284" s="4">
        <f t="shared" ref="BD284:BF284" si="179">(BD268-BD276)/BD$271</f>
        <v>1.0286919340891557E-5</v>
      </c>
      <c r="BE284" s="4">
        <f t="shared" si="179"/>
        <v>1.1269072019030989E-5</v>
      </c>
      <c r="BF284" s="4">
        <f t="shared" si="179"/>
        <v>1.227595699028493E-5</v>
      </c>
    </row>
    <row r="285" spans="1:58" x14ac:dyDescent="0.35">
      <c r="B285" t="s">
        <v>33</v>
      </c>
      <c r="C285" s="4">
        <f t="shared" ref="C285:AL285" si="180">(C269-C277)/C$271</f>
        <v>-1.1441811974578012E-4</v>
      </c>
      <c r="D285" s="4">
        <f t="shared" si="180"/>
        <v>-1.8316478555946916E-4</v>
      </c>
      <c r="E285" s="4">
        <f t="shared" si="180"/>
        <v>-2.2767324682128592E-4</v>
      </c>
      <c r="F285" s="4">
        <f t="shared" si="180"/>
        <v>-2.5842748572674749E-4</v>
      </c>
      <c r="G285" s="4">
        <f t="shared" si="180"/>
        <v>-2.7871143544497262E-4</v>
      </c>
      <c r="H285" s="4">
        <f t="shared" si="180"/>
        <v>-2.899065126521656E-4</v>
      </c>
      <c r="I285" s="4">
        <f t="shared" si="180"/>
        <v>-2.9354008885692969E-4</v>
      </c>
      <c r="J285" s="4">
        <f t="shared" si="180"/>
        <v>-2.9130131622191426E-4</v>
      </c>
      <c r="K285" s="4">
        <f t="shared" si="180"/>
        <v>-2.8494928652806142E-4</v>
      </c>
      <c r="L285" s="4">
        <f t="shared" si="180"/>
        <v>-2.7608060696249833E-4</v>
      </c>
      <c r="M285" s="4">
        <f t="shared" si="180"/>
        <v>-2.6600610613812894E-4</v>
      </c>
      <c r="N285" s="4">
        <f t="shared" si="180"/>
        <v>-2.5601711578880393E-4</v>
      </c>
      <c r="O285" s="4">
        <f t="shared" si="180"/>
        <v>-2.4676801906939094E-4</v>
      </c>
      <c r="P285" s="4">
        <f t="shared" si="180"/>
        <v>-2.3869181649173858E-4</v>
      </c>
      <c r="Q285" s="4">
        <f t="shared" si="180"/>
        <v>-2.3201746632573643E-4</v>
      </c>
      <c r="R285" s="4">
        <f t="shared" si="180"/>
        <v>-2.2681536601343405E-4</v>
      </c>
      <c r="S285" s="4">
        <f t="shared" si="180"/>
        <v>-2.2324616779302424E-4</v>
      </c>
      <c r="T285" s="4">
        <f t="shared" si="180"/>
        <v>-2.2115320052215756E-4</v>
      </c>
      <c r="U285" s="4">
        <f t="shared" si="180"/>
        <v>-2.203127112543329E-4</v>
      </c>
      <c r="V285" s="4">
        <f t="shared" si="180"/>
        <v>-2.2047159472581343E-4</v>
      </c>
      <c r="W285" s="4">
        <f t="shared" si="180"/>
        <v>-2.2137400659700578E-4</v>
      </c>
      <c r="X285" s="4">
        <f t="shared" si="180"/>
        <v>-2.2280459126131587E-4</v>
      </c>
      <c r="Y285" s="4">
        <f t="shared" si="180"/>
        <v>-2.2454668129836232E-4</v>
      </c>
      <c r="Z285" s="4">
        <f t="shared" si="180"/>
        <v>-2.2642235206437962E-4</v>
      </c>
      <c r="AA285" s="4">
        <f t="shared" si="180"/>
        <v>-2.2828948795054256E-4</v>
      </c>
      <c r="AB285" s="4">
        <f t="shared" si="180"/>
        <v>-2.3000162399864108E-4</v>
      </c>
      <c r="AC285" s="4">
        <f t="shared" si="180"/>
        <v>-2.3145993096358925E-4</v>
      </c>
      <c r="AD285" s="4">
        <f t="shared" si="180"/>
        <v>-2.3258288647573581E-4</v>
      </c>
      <c r="AE285" s="4">
        <f t="shared" si="180"/>
        <v>-2.3332359546689646E-4</v>
      </c>
      <c r="AF285" s="4">
        <f t="shared" si="180"/>
        <v>-2.3367105796595397E-4</v>
      </c>
      <c r="AG285" s="4">
        <f t="shared" si="180"/>
        <v>-2.3363398552405618E-4</v>
      </c>
      <c r="AH285" s="4">
        <f t="shared" si="180"/>
        <v>-2.3320637574580954E-4</v>
      </c>
      <c r="AI285" s="4">
        <f t="shared" si="180"/>
        <v>-2.3241112123466193E-4</v>
      </c>
      <c r="AJ285" s="4">
        <f t="shared" si="180"/>
        <v>-2.3128008864276654E-4</v>
      </c>
      <c r="AK285" s="4">
        <f t="shared" si="180"/>
        <v>-2.2985056929783923E-4</v>
      </c>
      <c r="AL285" s="4">
        <f t="shared" si="180"/>
        <v>-2.2815965326912146E-4</v>
      </c>
      <c r="AM285" s="4">
        <f t="shared" ref="AM285:BC285" si="181">(AM269-AM277)/AM$271</f>
        <v>-2.2605630148693124E-4</v>
      </c>
      <c r="AN285" s="4">
        <f t="shared" si="181"/>
        <v>-2.2355408539287427E-4</v>
      </c>
      <c r="AO285" s="4">
        <f t="shared" si="181"/>
        <v>-2.2070495393634586E-4</v>
      </c>
      <c r="AP285" s="4">
        <f t="shared" si="181"/>
        <v>-2.1759428562934458E-4</v>
      </c>
      <c r="AQ285" s="4">
        <f t="shared" si="181"/>
        <v>-2.1430618804741539E-4</v>
      </c>
      <c r="AR285" s="4">
        <f t="shared" si="181"/>
        <v>-2.1089333008052593E-4</v>
      </c>
      <c r="AS285" s="4">
        <f t="shared" si="181"/>
        <v>-2.0741244369162475E-4</v>
      </c>
      <c r="AT285" s="4">
        <f t="shared" si="181"/>
        <v>-2.0391962956931451E-4</v>
      </c>
      <c r="AU285" s="4">
        <f t="shared" si="181"/>
        <v>-2.0047124336276895E-4</v>
      </c>
      <c r="AV285" s="4">
        <f t="shared" si="181"/>
        <v>-1.9711869864970006E-4</v>
      </c>
      <c r="AW285" s="4">
        <f t="shared" si="181"/>
        <v>-1.938519045080302E-4</v>
      </c>
      <c r="AX285" s="4">
        <f t="shared" si="181"/>
        <v>-1.9067800218980891E-4</v>
      </c>
      <c r="AY285" s="4">
        <f t="shared" si="181"/>
        <v>-2.1167210463494878E-4</v>
      </c>
      <c r="AZ285" s="4">
        <f t="shared" si="181"/>
        <v>-2.4532055627545082E-4</v>
      </c>
      <c r="BA285" s="4">
        <f t="shared" si="181"/>
        <v>-2.7397755319532674E-4</v>
      </c>
      <c r="BB285" s="4">
        <f t="shared" si="181"/>
        <v>9.2316250345479334E-5</v>
      </c>
      <c r="BC285" s="4">
        <f t="shared" si="181"/>
        <v>1.0033992508310688E-4</v>
      </c>
      <c r="BD285" s="4">
        <f t="shared" ref="BD285:BF285" si="182">(BD269-BD277)/BD$271</f>
        <v>1.085000512414055E-4</v>
      </c>
      <c r="BE285" s="4">
        <f t="shared" si="182"/>
        <v>1.1676775366156194E-4</v>
      </c>
      <c r="BF285" s="4">
        <f t="shared" si="182"/>
        <v>1.2512125437130579E-4</v>
      </c>
    </row>
    <row r="287" spans="1:58" x14ac:dyDescent="0.35">
      <c r="A287" s="12" t="s">
        <v>21</v>
      </c>
      <c r="C287" s="7" t="s">
        <v>15</v>
      </c>
      <c r="D287" s="7" t="s">
        <v>16</v>
      </c>
      <c r="E287" s="7" t="s">
        <v>17</v>
      </c>
    </row>
    <row r="288" spans="1:58" x14ac:dyDescent="0.35">
      <c r="A288" t="s">
        <v>88</v>
      </c>
      <c r="B288" t="s">
        <v>26</v>
      </c>
      <c r="C288" s="4">
        <f>R279</f>
        <v>-6.2142290320407301E-2</v>
      </c>
      <c r="D288" s="4">
        <f>AB279</f>
        <v>-8.5621517212865261E-2</v>
      </c>
      <c r="E288" s="4">
        <f>AL279</f>
        <v>-9.8772798934343098E-2</v>
      </c>
    </row>
    <row r="289" spans="1:58" x14ac:dyDescent="0.35">
      <c r="B289" t="s">
        <v>7</v>
      </c>
      <c r="C289" s="4">
        <f t="shared" ref="C289:C294" si="183">R280</f>
        <v>-9.0572743380702941E-5</v>
      </c>
      <c r="D289" s="4">
        <f t="shared" ref="D289:D294" si="184">AB280</f>
        <v>-1.4405393524164525E-4</v>
      </c>
      <c r="E289" s="4">
        <f t="shared" ref="E289:E294" si="185">AL280</f>
        <v>-1.506953218115202E-4</v>
      </c>
    </row>
    <row r="290" spans="1:58" x14ac:dyDescent="0.35">
      <c r="B290" t="s">
        <v>30</v>
      </c>
      <c r="C290" s="4">
        <f t="shared" si="183"/>
        <v>-3.5702682406040895E-2</v>
      </c>
      <c r="D290" s="4">
        <f t="shared" si="184"/>
        <v>-5.2967227880695023E-2</v>
      </c>
      <c r="E290" s="4">
        <f t="shared" si="185"/>
        <v>-6.2104507270660241E-2</v>
      </c>
    </row>
    <row r="291" spans="1:58" x14ac:dyDescent="0.35">
      <c r="B291" t="s">
        <v>28</v>
      </c>
      <c r="C291" s="4">
        <f t="shared" si="183"/>
        <v>-1.0934742909466553E-3</v>
      </c>
      <c r="D291" s="4">
        <f t="shared" si="184"/>
        <v>-1.4874926911233222E-3</v>
      </c>
      <c r="E291" s="4">
        <f t="shared" si="185"/>
        <v>-1.782151702453812E-3</v>
      </c>
    </row>
    <row r="292" spans="1:58" x14ac:dyDescent="0.35">
      <c r="B292" t="s">
        <v>10</v>
      </c>
      <c r="C292" s="4">
        <f t="shared" si="183"/>
        <v>-2.4701563458625585E-2</v>
      </c>
      <c r="D292" s="4">
        <f t="shared" si="184"/>
        <v>-3.0402740792388742E-2</v>
      </c>
      <c r="E292" s="4">
        <f t="shared" si="185"/>
        <v>-3.407446252798365E-2</v>
      </c>
    </row>
    <row r="293" spans="1:58" x14ac:dyDescent="0.35">
      <c r="B293" t="s">
        <v>31</v>
      </c>
      <c r="C293" s="4">
        <f t="shared" si="183"/>
        <v>-3.2718202662733058E-4</v>
      </c>
      <c r="D293" s="4">
        <f t="shared" si="184"/>
        <v>-3.9000016541529251E-4</v>
      </c>
      <c r="E293" s="4">
        <f t="shared" si="185"/>
        <v>-4.3282233835563688E-4</v>
      </c>
    </row>
    <row r="294" spans="1:58" x14ac:dyDescent="0.35">
      <c r="B294" t="s">
        <v>33</v>
      </c>
      <c r="C294" s="4">
        <f t="shared" si="183"/>
        <v>-2.2681536601343405E-4</v>
      </c>
      <c r="D294" s="4">
        <f t="shared" si="184"/>
        <v>-2.3000162399864108E-4</v>
      </c>
      <c r="E294" s="4">
        <f t="shared" si="185"/>
        <v>-2.2815965326912146E-4</v>
      </c>
    </row>
    <row r="295" spans="1:58" x14ac:dyDescent="0.35">
      <c r="C295" s="4"/>
      <c r="D295" s="4"/>
      <c r="E295" s="4"/>
    </row>
    <row r="296" spans="1:58" x14ac:dyDescent="0.35">
      <c r="A296" s="12" t="s">
        <v>89</v>
      </c>
      <c r="C296" s="2">
        <v>42005</v>
      </c>
      <c r="D296" s="2">
        <v>42370</v>
      </c>
      <c r="E296" s="2">
        <v>42736</v>
      </c>
      <c r="F296" s="2">
        <v>43101</v>
      </c>
      <c r="G296" s="2">
        <v>43466</v>
      </c>
      <c r="H296" s="2">
        <v>43831</v>
      </c>
      <c r="I296" s="2">
        <v>44197</v>
      </c>
      <c r="J296" s="2">
        <v>44562</v>
      </c>
      <c r="K296" s="2">
        <v>44927</v>
      </c>
      <c r="L296" s="2">
        <v>45292</v>
      </c>
      <c r="M296" s="2">
        <v>45658</v>
      </c>
      <c r="N296" s="2">
        <v>46023</v>
      </c>
      <c r="O296" s="2">
        <v>46388</v>
      </c>
      <c r="P296" s="2">
        <v>46753</v>
      </c>
      <c r="Q296" s="2">
        <v>47119</v>
      </c>
      <c r="R296" s="2">
        <v>47484</v>
      </c>
      <c r="S296" s="2">
        <v>47849</v>
      </c>
      <c r="T296" s="2">
        <v>48214</v>
      </c>
      <c r="U296" s="2">
        <v>48580</v>
      </c>
      <c r="V296" s="2">
        <v>48945</v>
      </c>
      <c r="W296" s="2">
        <v>49310</v>
      </c>
      <c r="X296" s="2">
        <v>49675</v>
      </c>
      <c r="Y296" s="2">
        <v>50041</v>
      </c>
      <c r="Z296" s="2">
        <v>50406</v>
      </c>
      <c r="AA296" s="2">
        <v>50771</v>
      </c>
      <c r="AB296" s="2">
        <v>51136</v>
      </c>
      <c r="AC296" s="2">
        <v>51502</v>
      </c>
      <c r="AD296" s="2">
        <v>51867</v>
      </c>
      <c r="AE296" s="2">
        <v>52232</v>
      </c>
      <c r="AF296" s="2">
        <v>52597</v>
      </c>
      <c r="AG296" s="2">
        <v>52963</v>
      </c>
      <c r="AH296" s="2">
        <v>53328</v>
      </c>
      <c r="AI296" s="2">
        <v>53693</v>
      </c>
      <c r="AJ296" s="2">
        <v>54058</v>
      </c>
      <c r="AK296" s="2">
        <v>54424</v>
      </c>
      <c r="AL296" s="2">
        <v>54789</v>
      </c>
      <c r="AM296" s="2">
        <v>54790</v>
      </c>
      <c r="AN296" s="2">
        <v>54791</v>
      </c>
      <c r="AO296" s="2">
        <v>54792</v>
      </c>
      <c r="AP296" s="2">
        <v>54793</v>
      </c>
      <c r="AQ296" s="2">
        <v>54794</v>
      </c>
      <c r="AR296" s="2">
        <v>54795</v>
      </c>
      <c r="AS296" s="2">
        <v>54796</v>
      </c>
      <c r="AT296" s="2">
        <v>54797</v>
      </c>
      <c r="AU296" s="2">
        <v>54798</v>
      </c>
      <c r="AV296" s="2">
        <v>54799</v>
      </c>
      <c r="AW296" s="2">
        <v>54800</v>
      </c>
      <c r="AX296" s="2">
        <v>54801</v>
      </c>
      <c r="AY296" s="2">
        <v>54802</v>
      </c>
      <c r="AZ296" s="2">
        <v>54803</v>
      </c>
      <c r="BA296" s="2">
        <v>54804</v>
      </c>
      <c r="BB296" s="2">
        <v>54805</v>
      </c>
      <c r="BC296" s="2">
        <v>54806</v>
      </c>
      <c r="BD296" s="2">
        <v>54807</v>
      </c>
      <c r="BE296" s="2">
        <v>54808</v>
      </c>
      <c r="BF296" s="2">
        <v>54809</v>
      </c>
    </row>
    <row r="297" spans="1:58" x14ac:dyDescent="0.35">
      <c r="A297" t="s">
        <v>39</v>
      </c>
      <c r="B297" t="s">
        <v>56</v>
      </c>
      <c r="C297" s="6">
        <f>[1]Results!F3</f>
        <v>32317.940999999999</v>
      </c>
      <c r="D297" s="6">
        <f>[1]Results!G3</f>
        <v>31905.20335</v>
      </c>
      <c r="E297" s="6">
        <f>[1]Results!H3</f>
        <v>31663.351549999999</v>
      </c>
      <c r="F297" s="6">
        <f>[1]Results!I3</f>
        <v>31542.86908</v>
      </c>
      <c r="G297" s="6">
        <f>[1]Results!J3</f>
        <v>31510.152150000002</v>
      </c>
      <c r="H297" s="6">
        <f>[1]Results!K3</f>
        <v>31545.604169999999</v>
      </c>
      <c r="I297" s="6">
        <f>[1]Results!L3</f>
        <v>31634.046709999999</v>
      </c>
      <c r="J297" s="6">
        <f>[1]Results!M3</f>
        <v>31769.000759999999</v>
      </c>
      <c r="K297" s="6">
        <f>[1]Results!N3</f>
        <v>31946.26728</v>
      </c>
      <c r="L297" s="6">
        <f>[1]Results!O3</f>
        <v>32162.200939999999</v>
      </c>
      <c r="M297" s="6">
        <f>[1]Results!P3</f>
        <v>32419.88521</v>
      </c>
      <c r="N297" s="6">
        <f>[1]Results!Q3</f>
        <v>32707.966329999999</v>
      </c>
      <c r="O297" s="6">
        <f>[1]Results!R3</f>
        <v>33021.996570000003</v>
      </c>
      <c r="P297" s="6">
        <f>[1]Results!S3</f>
        <v>33357.791989999998</v>
      </c>
      <c r="Q297" s="6">
        <f>[1]Results!T3</f>
        <v>33710.488239999999</v>
      </c>
      <c r="R297" s="6">
        <f>[1]Results!U3</f>
        <v>34075.498390000001</v>
      </c>
      <c r="S297" s="6">
        <f>[1]Results!V3</f>
        <v>34448.433559999998</v>
      </c>
      <c r="T297" s="6">
        <f>[1]Results!W3</f>
        <v>34825.572090000001</v>
      </c>
      <c r="U297" s="6">
        <f>[1]Results!X3</f>
        <v>35203.886059999997</v>
      </c>
      <c r="V297" s="6">
        <f>[1]Results!Y3</f>
        <v>35580.936329999997</v>
      </c>
      <c r="W297" s="6">
        <f>[1]Results!Z3</f>
        <v>35949.959170000002</v>
      </c>
      <c r="X297" s="6">
        <f>[1]Results!AA3</f>
        <v>36315.172330000001</v>
      </c>
      <c r="Y297" s="6">
        <f>[1]Results!AB3</f>
        <v>36675.858500000002</v>
      </c>
      <c r="Z297" s="6">
        <f>[1]Results!AC3</f>
        <v>37031.362880000001</v>
      </c>
      <c r="AA297" s="6">
        <f>[1]Results!AD3</f>
        <v>37381.756309999997</v>
      </c>
      <c r="AB297" s="6">
        <f>[1]Results!AE3</f>
        <v>37713.340470000003</v>
      </c>
      <c r="AC297" s="6">
        <f>[1]Results!AF3</f>
        <v>38035.570200000002</v>
      </c>
      <c r="AD297" s="6">
        <f>[1]Results!AG3</f>
        <v>38349.820630000002</v>
      </c>
      <c r="AE297" s="6">
        <f>[1]Results!AH3</f>
        <v>38656.641609999999</v>
      </c>
      <c r="AF297" s="6">
        <f>[1]Results!AI3</f>
        <v>38957.358560000001</v>
      </c>
      <c r="AG297" s="6">
        <f>[1]Results!AJ3</f>
        <v>39253.17974</v>
      </c>
      <c r="AH297" s="6">
        <f>[1]Results!AK3</f>
        <v>39545.244680000003</v>
      </c>
      <c r="AI297" s="6">
        <f>[1]Results!AL3</f>
        <v>39834.565560000003</v>
      </c>
      <c r="AJ297" s="6">
        <f>[1]Results!AM3</f>
        <v>40122.053740000003</v>
      </c>
      <c r="AK297" s="6">
        <f>[1]Results!AN3</f>
        <v>40408.564709999999</v>
      </c>
      <c r="AL297" s="6">
        <f>[1]Results!AO3</f>
        <v>40694.886910000001</v>
      </c>
      <c r="AM297" s="6">
        <f>[1]Results!AP3</f>
        <v>40978.960760000002</v>
      </c>
      <c r="AN297" s="6">
        <f>[1]Results!AQ3</f>
        <v>41261.867039999997</v>
      </c>
      <c r="AO297" s="6">
        <f>[1]Results!AR3</f>
        <v>41544.347070000003</v>
      </c>
      <c r="AP297" s="6">
        <f>[1]Results!AS3</f>
        <v>41826.967510000002</v>
      </c>
      <c r="AQ297" s="6">
        <f>[1]Results!AT3</f>
        <v>42110.274550000002</v>
      </c>
      <c r="AR297" s="6">
        <f>[1]Results!AU3</f>
        <v>42394.818120000004</v>
      </c>
      <c r="AS297" s="6">
        <f>[1]Results!AV3</f>
        <v>42681.020270000001</v>
      </c>
      <c r="AT297" s="6">
        <f>[1]Results!AW3</f>
        <v>42969.186020000001</v>
      </c>
      <c r="AU297" s="6">
        <f>[1]Results!AX3</f>
        <v>43259.571889999999</v>
      </c>
      <c r="AV297" s="6">
        <f>[1]Results!AY3</f>
        <v>43552.38538</v>
      </c>
      <c r="AW297" s="6">
        <f>[1]Results!AZ3</f>
        <v>43848.275289999998</v>
      </c>
      <c r="AX297" s="6">
        <f>[1]Results!BA3</f>
        <v>44147.376510000002</v>
      </c>
      <c r="AY297" s="6">
        <f>[1]Results!BB3</f>
        <v>44147.71456</v>
      </c>
      <c r="AZ297" s="6">
        <f>[1]Results!BC3</f>
        <v>44148.555540000001</v>
      </c>
      <c r="BA297" s="6">
        <f>[1]Results!BD3</f>
        <v>44148.678919999998</v>
      </c>
      <c r="BB297" s="6">
        <f>[1]Results!BE3</f>
        <v>46008.79161</v>
      </c>
      <c r="BC297" s="6">
        <f>[1]Results!BF3</f>
        <v>46338.604979999996</v>
      </c>
      <c r="BD297" s="6">
        <f>[1]Results!BG3</f>
        <v>46669.607629999999</v>
      </c>
      <c r="BE297" s="6">
        <f>[1]Results!BH3</f>
        <v>47001.910230000001</v>
      </c>
      <c r="BF297" s="6">
        <f>[1]Results!BI3</f>
        <v>47335.641969999997</v>
      </c>
    </row>
    <row r="298" spans="1:58" x14ac:dyDescent="0.35">
      <c r="B298" t="s">
        <v>53</v>
      </c>
      <c r="C298" s="6">
        <f>[1]Results!F4</f>
        <v>32271.24</v>
      </c>
      <c r="D298" s="6">
        <f>[1]Results!G4</f>
        <v>31841.098460000001</v>
      </c>
      <c r="E298" s="6">
        <f>[1]Results!H4</f>
        <v>31581.329119999999</v>
      </c>
      <c r="F298" s="6">
        <f>[1]Results!I4</f>
        <v>31442.745340000001</v>
      </c>
      <c r="G298" s="6">
        <f>[1]Results!J4</f>
        <v>31391.941989999999</v>
      </c>
      <c r="H298" s="6">
        <f>[1]Results!K4</f>
        <v>31409.41416</v>
      </c>
      <c r="I298" s="6">
        <f>[1]Results!L4</f>
        <v>31480.056919999999</v>
      </c>
      <c r="J298" s="6">
        <f>[1]Results!M4</f>
        <v>31597.406660000001</v>
      </c>
      <c r="K298" s="6">
        <f>[1]Results!N4</f>
        <v>31757.275119999998</v>
      </c>
      <c r="L298" s="6">
        <f>[1]Results!O4</f>
        <v>31956.035879999999</v>
      </c>
      <c r="M298" s="6">
        <f>[1]Results!P4</f>
        <v>32196.740030000001</v>
      </c>
      <c r="N298" s="6">
        <f>[1]Results!Q4</f>
        <v>32468.14084</v>
      </c>
      <c r="O298" s="6">
        <f>[1]Results!R4</f>
        <v>32765.845539999998</v>
      </c>
      <c r="P298" s="6">
        <f>[1]Results!S4</f>
        <v>33085.728300000002</v>
      </c>
      <c r="Q298" s="6">
        <f>[1]Results!T4</f>
        <v>33422.993499999997</v>
      </c>
      <c r="R298" s="6">
        <f>[1]Results!U4</f>
        <v>33773.124109999997</v>
      </c>
      <c r="S298" s="6">
        <f>[1]Results!V4</f>
        <v>34131.802750000003</v>
      </c>
      <c r="T298" s="6">
        <f>[1]Results!W4</f>
        <v>34495.376649999998</v>
      </c>
      <c r="U298" s="6">
        <f>[1]Results!X4</f>
        <v>34860.883099999999</v>
      </c>
      <c r="V298" s="6">
        <f>[1]Results!Y4</f>
        <v>35225.945140000003</v>
      </c>
      <c r="W298" s="6">
        <f>[1]Results!Z4</f>
        <v>35583.898119999998</v>
      </c>
      <c r="X298" s="6">
        <f>[1]Results!AA4</f>
        <v>35938.972349999996</v>
      </c>
      <c r="Y298" s="6">
        <f>[1]Results!AB4</f>
        <v>36290.504269999998</v>
      </c>
      <c r="Z298" s="6">
        <f>[1]Results!AC4</f>
        <v>36637.895729999997</v>
      </c>
      <c r="AA298" s="6">
        <f>[1]Results!AD4</f>
        <v>36981.272709999997</v>
      </c>
      <c r="AB298" s="6">
        <f>[1]Results!AE4</f>
        <v>37307.090219999998</v>
      </c>
      <c r="AC298" s="6">
        <f>[1]Results!AF4</f>
        <v>37624.801240000001</v>
      </c>
      <c r="AD298" s="6">
        <f>[1]Results!AG4</f>
        <v>37935.837789999998</v>
      </c>
      <c r="AE298" s="6">
        <f>[1]Results!AH4</f>
        <v>38240.818059999998</v>
      </c>
      <c r="AF298" s="6">
        <f>[1]Results!AI4</f>
        <v>38541.138500000001</v>
      </c>
      <c r="AG298" s="6">
        <f>[1]Results!AJ4</f>
        <v>38838.087639999998</v>
      </c>
      <c r="AH298" s="6">
        <f>[1]Results!AK4</f>
        <v>39132.895320000003</v>
      </c>
      <c r="AI298" s="6">
        <f>[1]Results!AL4</f>
        <v>39426.675340000002</v>
      </c>
      <c r="AJ298" s="6">
        <f>[1]Results!AM4</f>
        <v>39720.453170000001</v>
      </c>
      <c r="AK298" s="6">
        <f>[1]Results!AN4</f>
        <v>40015.212030000002</v>
      </c>
      <c r="AL298" s="6">
        <f>[1]Results!AO4</f>
        <v>40311.883130000002</v>
      </c>
      <c r="AM298" s="6">
        <f>[1]Results!AP4</f>
        <v>40608.567130000003</v>
      </c>
      <c r="AN298" s="6">
        <f>[1]Results!AQ4</f>
        <v>40906.513460000002</v>
      </c>
      <c r="AO298" s="6">
        <f>[1]Results!AR4</f>
        <v>41206.650199999996</v>
      </c>
      <c r="AP298" s="6">
        <f>[1]Results!AS4</f>
        <v>41509.75058</v>
      </c>
      <c r="AQ298" s="6">
        <f>[1]Results!AT4</f>
        <v>41816.589209999998</v>
      </c>
      <c r="AR298" s="6">
        <f>[1]Results!AU4</f>
        <v>42127.968249999998</v>
      </c>
      <c r="AS298" s="6">
        <f>[1]Results!AV4</f>
        <v>42444.587330000002</v>
      </c>
      <c r="AT298" s="6">
        <f>[1]Results!AW4</f>
        <v>42767.056550000001</v>
      </c>
      <c r="AU298" s="6">
        <f>[1]Results!AX4</f>
        <v>43095.967830000001</v>
      </c>
      <c r="AV298" s="6">
        <f>[1]Results!AY4</f>
        <v>43431.89716</v>
      </c>
      <c r="AW298" s="6">
        <f>[1]Results!AZ4</f>
        <v>43775.903010000002</v>
      </c>
      <c r="AX298" s="6">
        <f>[1]Results!BA4</f>
        <v>44128.564879999998</v>
      </c>
      <c r="AY298" s="6">
        <f>[1]Results!BB4</f>
        <v>44253.82086</v>
      </c>
      <c r="AZ298" s="6">
        <f>[1]Results!BC4</f>
        <v>44378.695189999999</v>
      </c>
      <c r="BA298" s="6">
        <f>[1]Results!BD4</f>
        <v>44500.779540000003</v>
      </c>
      <c r="BB298" s="6">
        <f>[1]Results!BE4</f>
        <v>45733.742980000003</v>
      </c>
      <c r="BC298" s="6">
        <f>[1]Results!BF4</f>
        <v>46096.605170000003</v>
      </c>
      <c r="BD298" s="6">
        <f>[1]Results!BG4</f>
        <v>46464.389629999998</v>
      </c>
      <c r="BE298" s="6">
        <f>[1]Results!BH4</f>
        <v>46837.523480000003</v>
      </c>
      <c r="BF298" s="6">
        <f>[1]Results!BI4</f>
        <v>47216.482490000002</v>
      </c>
    </row>
    <row r="299" spans="1:58" x14ac:dyDescent="0.35">
      <c r="B299" t="s">
        <v>54</v>
      </c>
      <c r="C299" s="6">
        <f>[1]Results!F20</f>
        <v>1.9359999999999999</v>
      </c>
      <c r="D299" s="6">
        <f>[1]Results!G20</f>
        <v>1.9898469599999999</v>
      </c>
      <c r="E299" s="6">
        <f>[1]Results!H20</f>
        <v>2.0518294350000001</v>
      </c>
      <c r="F299" s="6">
        <f>[1]Results!I20</f>
        <v>2.1184205989999998</v>
      </c>
      <c r="G299" s="6">
        <f>[1]Results!J20</f>
        <v>2.1873183009999999</v>
      </c>
      <c r="H299" s="6">
        <f>[1]Results!K20</f>
        <v>2.2573136489999999</v>
      </c>
      <c r="I299" s="6">
        <f>[1]Results!L20</f>
        <v>2.3275154300000001</v>
      </c>
      <c r="J299" s="6">
        <f>[1]Results!M20</f>
        <v>2.397715351</v>
      </c>
      <c r="K299" s="6">
        <f>[1]Results!N20</f>
        <v>2.467867027</v>
      </c>
      <c r="L299" s="6">
        <f>[1]Results!O20</f>
        <v>2.5379467959999999</v>
      </c>
      <c r="M299" s="6">
        <f>[1]Results!P20</f>
        <v>2.6084697480000001</v>
      </c>
      <c r="N299" s="6">
        <f>[1]Results!Q20</f>
        <v>2.6787375519999999</v>
      </c>
      <c r="O299" s="6">
        <f>[1]Results!R20</f>
        <v>2.7485978050000002</v>
      </c>
      <c r="P299" s="6">
        <f>[1]Results!S20</f>
        <v>2.8179013319999999</v>
      </c>
      <c r="Q299" s="6">
        <f>[1]Results!T20</f>
        <v>2.8864250419999999</v>
      </c>
      <c r="R299" s="6">
        <f>[1]Results!U20</f>
        <v>2.9539518349999998</v>
      </c>
      <c r="S299" s="6">
        <f>[1]Results!V20</f>
        <v>3.0202654230000001</v>
      </c>
      <c r="T299" s="6">
        <f>[1]Results!W20</f>
        <v>3.0851906429999998</v>
      </c>
      <c r="U299" s="6">
        <f>[1]Results!X20</f>
        <v>3.1485973739999999</v>
      </c>
      <c r="V299" s="6">
        <f>[1]Results!Y20</f>
        <v>3.2103934650000001</v>
      </c>
      <c r="W299" s="6">
        <f>[1]Results!Z20</f>
        <v>3.2701167710000001</v>
      </c>
      <c r="X299" s="6">
        <f>[1]Results!AA20</f>
        <v>3.328205756</v>
      </c>
      <c r="Y299" s="6">
        <f>[1]Results!AB20</f>
        <v>3.384687998</v>
      </c>
      <c r="Z299" s="6">
        <f>[1]Results!AC20</f>
        <v>3.4395905089999999</v>
      </c>
      <c r="AA299" s="6">
        <f>[1]Results!AD20</f>
        <v>3.4929955349999999</v>
      </c>
      <c r="AB299" s="6">
        <f>[1]Results!AE20</f>
        <v>3.5438324950000002</v>
      </c>
      <c r="AC299" s="6">
        <f>[1]Results!AF20</f>
        <v>3.5929412479999998</v>
      </c>
      <c r="AD299" s="6">
        <f>[1]Results!AG20</f>
        <v>3.6404971119999998</v>
      </c>
      <c r="AE299" s="6">
        <f>[1]Results!AH20</f>
        <v>3.6866054419999998</v>
      </c>
      <c r="AF299" s="6">
        <f>[1]Results!AI20</f>
        <v>3.7314344309999998</v>
      </c>
      <c r="AG299" s="6">
        <f>[1]Results!AJ20</f>
        <v>3.7751418220000001</v>
      </c>
      <c r="AH299" s="6">
        <f>[1]Results!AK20</f>
        <v>3.8178789960000001</v>
      </c>
      <c r="AI299" s="6">
        <f>[1]Results!AL20</f>
        <v>3.8597861619999998</v>
      </c>
      <c r="AJ299" s="6">
        <f>[1]Results!AM20</f>
        <v>3.9009946260000001</v>
      </c>
      <c r="AK299" s="6">
        <f>[1]Results!AN20</f>
        <v>3.9416306460000001</v>
      </c>
      <c r="AL299" s="6">
        <f>[1]Results!AO20</f>
        <v>3.981814645</v>
      </c>
      <c r="AM299" s="6">
        <f>[1]Results!AP20</f>
        <v>4.0214278090000004</v>
      </c>
      <c r="AN299" s="6">
        <f>[1]Results!AQ20</f>
        <v>4.0606108680000004</v>
      </c>
      <c r="AO299" s="6">
        <f>[1]Results!AR20</f>
        <v>4.0994769230000001</v>
      </c>
      <c r="AP299" s="6">
        <f>[1]Results!AS20</f>
        <v>4.1381250679999999</v>
      </c>
      <c r="AQ299" s="6">
        <f>[1]Results!AT20</f>
        <v>4.1766533739999998</v>
      </c>
      <c r="AR299" s="6">
        <f>[1]Results!AU20</f>
        <v>4.2151611610000002</v>
      </c>
      <c r="AS299" s="6">
        <f>[1]Results!AV20</f>
        <v>4.2537381730000003</v>
      </c>
      <c r="AT299" s="6">
        <f>[1]Results!AW20</f>
        <v>4.2924655969999996</v>
      </c>
      <c r="AU299" s="6">
        <f>[1]Results!AX20</f>
        <v>4.3314220060000004</v>
      </c>
      <c r="AV299" s="6">
        <f>[1]Results!AY20</f>
        <v>4.3706835960000001</v>
      </c>
      <c r="AW299" s="6">
        <f>[1]Results!AZ20</f>
        <v>4.410366099</v>
      </c>
      <c r="AX299" s="6">
        <f>[1]Results!BA20</f>
        <v>4.4505446959999997</v>
      </c>
      <c r="AY299" s="6">
        <f>[1]Results!BB20</f>
        <v>4.4714131740000003</v>
      </c>
      <c r="AZ299" s="6">
        <f>[1]Results!BC20</f>
        <v>4.4917642100000004</v>
      </c>
      <c r="BA299" s="6">
        <f>[1]Results!BD20</f>
        <v>4.5114253250000003</v>
      </c>
      <c r="BB299" s="6">
        <f>[1]Results!BE20</f>
        <v>4.6286853649999999</v>
      </c>
      <c r="BC299" s="6">
        <f>[1]Results!BF20</f>
        <v>4.6688759529999997</v>
      </c>
      <c r="BD299" s="6">
        <f>[1]Results!BG20</f>
        <v>4.7093404809999999</v>
      </c>
      <c r="BE299" s="6">
        <f>[1]Results!BH20</f>
        <v>4.7501298930000004</v>
      </c>
      <c r="BF299" s="6">
        <f>[1]Results!BI20</f>
        <v>4.7912988260000002</v>
      </c>
    </row>
    <row r="300" spans="1:58" x14ac:dyDescent="0.35">
      <c r="B300" t="s">
        <v>55</v>
      </c>
      <c r="C300" s="6">
        <f>[1]Results!F12</f>
        <v>44.765000000000001</v>
      </c>
      <c r="D300" s="6">
        <f>[1]Results!G12</f>
        <v>62.115037030000003</v>
      </c>
      <c r="E300" s="6">
        <f>[1]Results!H12</f>
        <v>79.97060304</v>
      </c>
      <c r="F300" s="6">
        <f>[1]Results!I12</f>
        <v>98.005322680000006</v>
      </c>
      <c r="G300" s="6">
        <f>[1]Results!J12</f>
        <v>116.0228491</v>
      </c>
      <c r="H300" s="6">
        <f>[1]Results!K12</f>
        <v>133.9326945</v>
      </c>
      <c r="I300" s="6">
        <f>[1]Results!L12</f>
        <v>151.6622788</v>
      </c>
      <c r="J300" s="6">
        <f>[1]Results!M12</f>
        <v>169.1963816</v>
      </c>
      <c r="K300" s="6">
        <f>[1]Results!N12</f>
        <v>186.52429309999999</v>
      </c>
      <c r="L300" s="6">
        <f>[1]Results!O12</f>
        <v>203.62711540000001</v>
      </c>
      <c r="M300" s="6">
        <f>[1]Results!P12</f>
        <v>220.53670650000001</v>
      </c>
      <c r="N300" s="6">
        <f>[1]Results!Q12</f>
        <v>237.14675149999999</v>
      </c>
      <c r="O300" s="6">
        <f>[1]Results!R12</f>
        <v>253.4024258</v>
      </c>
      <c r="P300" s="6">
        <f>[1]Results!S12</f>
        <v>269.24578029999998</v>
      </c>
      <c r="Q300" s="6">
        <f>[1]Results!T12</f>
        <v>284.60830529999998</v>
      </c>
      <c r="R300" s="6">
        <f>[1]Results!U12</f>
        <v>299.42031300000002</v>
      </c>
      <c r="S300" s="6">
        <f>[1]Results!V12</f>
        <v>313.61052999999998</v>
      </c>
      <c r="T300" s="6">
        <f>[1]Results!W12</f>
        <v>327.11023540000002</v>
      </c>
      <c r="U300" s="6">
        <f>[1]Results!X12</f>
        <v>339.8543416</v>
      </c>
      <c r="V300" s="6">
        <f>[1]Results!Y12</f>
        <v>351.78077309999998</v>
      </c>
      <c r="W300" s="6">
        <f>[1]Results!Z12</f>
        <v>362.79089299999998</v>
      </c>
      <c r="X300" s="6">
        <f>[1]Results!AA12</f>
        <v>372.87173369999999</v>
      </c>
      <c r="Y300" s="6">
        <f>[1]Results!AB12</f>
        <v>381.96949599999999</v>
      </c>
      <c r="Z300" s="6">
        <f>[1]Results!AC12</f>
        <v>390.02751160000003</v>
      </c>
      <c r="AA300" s="6">
        <f>[1]Results!AD12</f>
        <v>396.9905531</v>
      </c>
      <c r="AB300" s="6">
        <f>[1]Results!AE12</f>
        <v>402.70636100000002</v>
      </c>
      <c r="AC300" s="6">
        <f>[1]Results!AF12</f>
        <v>407.17596550000002</v>
      </c>
      <c r="AD300" s="6">
        <f>[1]Results!AG12</f>
        <v>410.34228200000001</v>
      </c>
      <c r="AE300" s="6">
        <f>[1]Results!AH12</f>
        <v>412.13687499999997</v>
      </c>
      <c r="AF300" s="6">
        <f>[1]Results!AI12</f>
        <v>412.48856110000003</v>
      </c>
      <c r="AG300" s="6">
        <f>[1]Results!AJ12</f>
        <v>411.31689319999998</v>
      </c>
      <c r="AH300" s="6">
        <f>[1]Results!AK12</f>
        <v>408.53141299999999</v>
      </c>
      <c r="AI300" s="6">
        <f>[1]Results!AL12</f>
        <v>404.03036550000002</v>
      </c>
      <c r="AJ300" s="6">
        <f>[1]Results!AM12</f>
        <v>397.6995081</v>
      </c>
      <c r="AK300" s="6">
        <f>[1]Results!AN12</f>
        <v>389.41097200000002</v>
      </c>
      <c r="AL300" s="6">
        <f>[1]Results!AO12</f>
        <v>379.02188949999999</v>
      </c>
      <c r="AM300" s="6">
        <f>[1]Results!AP12</f>
        <v>366.3721276</v>
      </c>
      <c r="AN300" s="6">
        <f>[1]Results!AQ12</f>
        <v>351.2928872</v>
      </c>
      <c r="AO300" s="6">
        <f>[1]Results!AR12</f>
        <v>333.5973108</v>
      </c>
      <c r="AP300" s="6">
        <f>[1]Results!AS12</f>
        <v>313.0787206</v>
      </c>
      <c r="AQ300" s="6">
        <f>[1]Results!AT12</f>
        <v>289.50860790000002</v>
      </c>
      <c r="AR300" s="6">
        <f>[1]Results!AU12</f>
        <v>262.6346221</v>
      </c>
      <c r="AS300" s="6">
        <f>[1]Results!AV12</f>
        <v>232.1791139</v>
      </c>
      <c r="AT300" s="6">
        <f>[1]Results!AW12</f>
        <v>197.83691139999999</v>
      </c>
      <c r="AU300" s="6">
        <f>[1]Results!AX12</f>
        <v>159.2725404</v>
      </c>
      <c r="AV300" s="6">
        <f>[1]Results!AY12</f>
        <v>116.11743920000001</v>
      </c>
      <c r="AW300" s="6">
        <f>[1]Results!AZ12</f>
        <v>67.961805850000005</v>
      </c>
      <c r="AX300" s="6">
        <f>[1]Results!BA12</f>
        <v>14.36097764</v>
      </c>
      <c r="AY300" s="6">
        <f>[1]Results!BB12</f>
        <v>-37.048208080000002</v>
      </c>
      <c r="AZ300" s="6">
        <f>[1]Results!BC12</f>
        <v>-86.243476900000005</v>
      </c>
      <c r="BA300" s="6">
        <f>[1]Results!BD12</f>
        <v>-133.4427556</v>
      </c>
      <c r="BB300" s="6">
        <f>[1]Results!BE12</f>
        <v>270.4199448</v>
      </c>
      <c r="BC300" s="6">
        <f>[1]Results!BF12</f>
        <v>237.33092400000001</v>
      </c>
      <c r="BD300" s="6">
        <f>[1]Results!BG12</f>
        <v>200.5086518</v>
      </c>
      <c r="BE300" s="6">
        <f>[1]Results!BH12</f>
        <v>159.6366142</v>
      </c>
      <c r="BF300" s="6">
        <f>[1]Results!BI12</f>
        <v>114.3681741</v>
      </c>
    </row>
    <row r="302" spans="1:58" x14ac:dyDescent="0.35">
      <c r="A302" s="12" t="s">
        <v>89</v>
      </c>
      <c r="C302" s="2">
        <v>42005</v>
      </c>
      <c r="D302" s="2">
        <v>42370</v>
      </c>
      <c r="E302" s="2">
        <v>42736</v>
      </c>
      <c r="F302" s="2">
        <v>43101</v>
      </c>
      <c r="G302" s="2">
        <v>43466</v>
      </c>
      <c r="H302" s="2">
        <v>43831</v>
      </c>
      <c r="I302" s="2">
        <v>44197</v>
      </c>
      <c r="J302" s="2">
        <v>44562</v>
      </c>
      <c r="K302" s="2">
        <v>44927</v>
      </c>
      <c r="L302" s="2">
        <v>45292</v>
      </c>
      <c r="M302" s="2">
        <v>45658</v>
      </c>
      <c r="N302" s="2">
        <v>46023</v>
      </c>
      <c r="O302" s="2">
        <v>46388</v>
      </c>
      <c r="P302" s="2">
        <v>46753</v>
      </c>
      <c r="Q302" s="2">
        <v>47119</v>
      </c>
      <c r="R302" s="2">
        <v>47484</v>
      </c>
      <c r="S302" s="2">
        <v>47849</v>
      </c>
      <c r="T302" s="2">
        <v>48214</v>
      </c>
      <c r="U302" s="2">
        <v>48580</v>
      </c>
      <c r="V302" s="2">
        <v>48945</v>
      </c>
      <c r="W302" s="2">
        <v>49310</v>
      </c>
      <c r="X302" s="2">
        <v>49675</v>
      </c>
      <c r="Y302" s="2">
        <v>50041</v>
      </c>
      <c r="Z302" s="2">
        <v>50406</v>
      </c>
      <c r="AA302" s="2">
        <v>50771</v>
      </c>
      <c r="AB302" s="2">
        <v>51136</v>
      </c>
      <c r="AC302" s="2">
        <v>51502</v>
      </c>
      <c r="AD302" s="2">
        <v>51867</v>
      </c>
      <c r="AE302" s="2">
        <v>52232</v>
      </c>
      <c r="AF302" s="2">
        <v>52597</v>
      </c>
      <c r="AG302" s="2">
        <v>52963</v>
      </c>
      <c r="AH302" s="2">
        <v>53328</v>
      </c>
      <c r="AI302" s="2">
        <v>53693</v>
      </c>
      <c r="AJ302" s="2">
        <v>54058</v>
      </c>
      <c r="AK302" s="2">
        <v>54424</v>
      </c>
      <c r="AL302" s="2">
        <v>54789</v>
      </c>
      <c r="AM302" s="2">
        <v>54790</v>
      </c>
      <c r="AN302" s="2">
        <v>54791</v>
      </c>
      <c r="AO302" s="2">
        <v>54792</v>
      </c>
      <c r="AP302" s="2">
        <v>54793</v>
      </c>
      <c r="AQ302" s="2">
        <v>54794</v>
      </c>
      <c r="AR302" s="2">
        <v>54795</v>
      </c>
      <c r="AS302" s="2">
        <v>54796</v>
      </c>
      <c r="AT302" s="2">
        <v>54797</v>
      </c>
      <c r="AU302" s="2">
        <v>54798</v>
      </c>
      <c r="AV302" s="2">
        <v>54799</v>
      </c>
      <c r="AW302" s="2">
        <v>54800</v>
      </c>
      <c r="AX302" s="2">
        <v>54801</v>
      </c>
      <c r="AY302" s="2">
        <v>54802</v>
      </c>
      <c r="AZ302" s="2">
        <v>54803</v>
      </c>
      <c r="BA302" s="2">
        <v>54804</v>
      </c>
      <c r="BB302" s="2">
        <v>54805</v>
      </c>
      <c r="BC302" s="2">
        <v>54806</v>
      </c>
      <c r="BD302" s="2">
        <v>54807</v>
      </c>
      <c r="BE302" s="2">
        <v>54808</v>
      </c>
      <c r="BF302" s="2">
        <v>54809</v>
      </c>
    </row>
    <row r="303" spans="1:58" x14ac:dyDescent="0.35">
      <c r="A303" t="s">
        <v>38</v>
      </c>
      <c r="B303" t="s">
        <v>56</v>
      </c>
      <c r="C303" s="6">
        <f>[1]Results!F28</f>
        <v>32317.940999999999</v>
      </c>
      <c r="D303" s="6">
        <f>[1]Results!G28</f>
        <v>31939.359629999999</v>
      </c>
      <c r="E303" s="6">
        <f>[1]Results!H28</f>
        <v>31768.200509999999</v>
      </c>
      <c r="F303" s="6">
        <f>[1]Results!I28</f>
        <v>31740.481919999998</v>
      </c>
      <c r="G303" s="6">
        <f>[1]Results!J28</f>
        <v>31812.69094</v>
      </c>
      <c r="H303" s="6">
        <f>[1]Results!K28</f>
        <v>31957.171289999998</v>
      </c>
      <c r="I303" s="6">
        <f>[1]Results!L28</f>
        <v>32152.135419999999</v>
      </c>
      <c r="J303" s="6">
        <f>[1]Results!M28</f>
        <v>32385.901969999999</v>
      </c>
      <c r="K303" s="6">
        <f>[1]Results!N28</f>
        <v>32650.440739999998</v>
      </c>
      <c r="L303" s="6">
        <f>[1]Results!O28</f>
        <v>32939.650479999997</v>
      </c>
      <c r="M303" s="6">
        <f>[1]Results!P28</f>
        <v>33255.642970000001</v>
      </c>
      <c r="N303" s="6">
        <f>[1]Results!Q28</f>
        <v>33587.061269999998</v>
      </c>
      <c r="O303" s="6">
        <f>[1]Results!R28</f>
        <v>33930.388370000001</v>
      </c>
      <c r="P303" s="6">
        <f>[1]Results!S28</f>
        <v>34282.97481</v>
      </c>
      <c r="Q303" s="6">
        <f>[1]Results!T28</f>
        <v>34641.952579999997</v>
      </c>
      <c r="R303" s="6">
        <f>[1]Results!U28</f>
        <v>35004.922149999999</v>
      </c>
      <c r="S303" s="6">
        <f>[1]Results!V28</f>
        <v>35369.872689999997</v>
      </c>
      <c r="T303" s="6">
        <f>[1]Results!W28</f>
        <v>35735.136160000002</v>
      </c>
      <c r="U303" s="6">
        <f>[1]Results!X28</f>
        <v>36099.364370000003</v>
      </c>
      <c r="V303" s="6">
        <f>[1]Results!Y28</f>
        <v>36461.514450000002</v>
      </c>
      <c r="W303" s="6">
        <f>[1]Results!Z28</f>
        <v>36815.854939999997</v>
      </c>
      <c r="X303" s="6">
        <f>[1]Results!AA28</f>
        <v>37167.397089999999</v>
      </c>
      <c r="Y303" s="6">
        <f>[1]Results!AB28</f>
        <v>37515.966039999999</v>
      </c>
      <c r="Z303" s="6">
        <f>[1]Results!AC28</f>
        <v>37861.253879999997</v>
      </c>
      <c r="AA303" s="6">
        <f>[1]Results!AD28</f>
        <v>38203.499340000002</v>
      </c>
      <c r="AB303" s="6">
        <f>[1]Results!AE28</f>
        <v>38528.930480000003</v>
      </c>
      <c r="AC303" s="6">
        <f>[1]Results!AF28</f>
        <v>38846.803090000001</v>
      </c>
      <c r="AD303" s="6">
        <f>[1]Results!AG28</f>
        <v>39158.337789999998</v>
      </c>
      <c r="AE303" s="6">
        <f>[1]Results!AH28</f>
        <v>39463.992590000002</v>
      </c>
      <c r="AF303" s="6">
        <f>[1]Results!AI28</f>
        <v>39764.946750000003</v>
      </c>
      <c r="AG303" s="6">
        <f>[1]Results!AJ28</f>
        <v>40062.247580000003</v>
      </c>
      <c r="AH303" s="6">
        <f>[1]Results!AK28</f>
        <v>40356.817029999998</v>
      </c>
      <c r="AI303" s="6">
        <f>[1]Results!AL28</f>
        <v>40649.48083</v>
      </c>
      <c r="AJ303" s="6">
        <f>[1]Results!AM28</f>
        <v>40940.992010000002</v>
      </c>
      <c r="AK303" s="6">
        <f>[1]Results!AN28</f>
        <v>41232.04221</v>
      </c>
      <c r="AL303" s="6">
        <f>[1]Results!AO28</f>
        <v>41523.262739999998</v>
      </c>
      <c r="AM303" s="6">
        <f>[1]Results!AP28</f>
        <v>41812.025739999997</v>
      </c>
      <c r="AN303" s="6">
        <f>[1]Results!AQ28</f>
        <v>42099.176780000002</v>
      </c>
      <c r="AO303" s="6">
        <f>[1]Results!AR28</f>
        <v>42385.508670000003</v>
      </c>
      <c r="AP303" s="6">
        <f>[1]Results!AS28</f>
        <v>42671.585299999999</v>
      </c>
      <c r="AQ303" s="6">
        <f>[1]Results!AT28</f>
        <v>42957.96344</v>
      </c>
      <c r="AR303" s="6">
        <f>[1]Results!AU28</f>
        <v>43245.136530000003</v>
      </c>
      <c r="AS303" s="6">
        <f>[1]Results!AV28</f>
        <v>43533.514569999999</v>
      </c>
      <c r="AT303" s="6">
        <f>[1]Results!AW28</f>
        <v>43823.428720000004</v>
      </c>
      <c r="AU303" s="6">
        <f>[1]Results!AX28</f>
        <v>44115.146910000003</v>
      </c>
      <c r="AV303" s="6">
        <f>[1]Results!AY28</f>
        <v>44408.890789999998</v>
      </c>
      <c r="AW303" s="6">
        <f>[1]Results!AZ28</f>
        <v>44705.12227</v>
      </c>
      <c r="AX303" s="6">
        <f>[1]Results!BA28</f>
        <v>45003.97524</v>
      </c>
      <c r="AY303" s="6">
        <f>[1]Results!BB28</f>
        <v>45305.563450000001</v>
      </c>
      <c r="AZ303" s="6">
        <f>[1]Results!BC28</f>
        <v>45609.995139999999</v>
      </c>
      <c r="BA303" s="6">
        <f>[1]Results!BD28</f>
        <v>45917.355439999999</v>
      </c>
      <c r="BB303" s="6">
        <f>[1]Results!BE28</f>
        <v>45939.1077</v>
      </c>
      <c r="BC303" s="6">
        <f>[1]Results!BF28</f>
        <v>46264.987730000001</v>
      </c>
      <c r="BD303" s="6">
        <f>[1]Results!BG28</f>
        <v>46592.00649</v>
      </c>
      <c r="BE303" s="6">
        <f>[1]Results!BH28</f>
        <v>46920.289089999998</v>
      </c>
      <c r="BF303" s="6">
        <f>[1]Results!BI28</f>
        <v>47249.974520000003</v>
      </c>
    </row>
    <row r="304" spans="1:58" x14ac:dyDescent="0.35">
      <c r="B304" t="s">
        <v>53</v>
      </c>
      <c r="C304" s="6">
        <f>[1]Results!F29</f>
        <v>32271.24</v>
      </c>
      <c r="D304" s="6">
        <f>[1]Results!G29</f>
        <v>31874.837589999999</v>
      </c>
      <c r="E304" s="6">
        <f>[1]Results!H29</f>
        <v>31684.91403</v>
      </c>
      <c r="F304" s="6">
        <f>[1]Results!I29</f>
        <v>31637.954160000001</v>
      </c>
      <c r="G304" s="6">
        <f>[1]Results!J29</f>
        <v>31690.75186</v>
      </c>
      <c r="H304" s="6">
        <f>[1]Results!K29</f>
        <v>31815.834490000001</v>
      </c>
      <c r="I304" s="6">
        <f>[1]Results!L29</f>
        <v>31991.562399999999</v>
      </c>
      <c r="J304" s="6">
        <f>[1]Results!M29</f>
        <v>32206.323950000002</v>
      </c>
      <c r="K304" s="6">
        <f>[1]Results!N29</f>
        <v>32452.13493</v>
      </c>
      <c r="L304" s="6">
        <f>[1]Results!O29</f>
        <v>32722.93</v>
      </c>
      <c r="M304" s="6">
        <f>[1]Results!P29</f>
        <v>33020.785960000001</v>
      </c>
      <c r="N304" s="6">
        <f>[1]Results!Q29</f>
        <v>33334.43922</v>
      </c>
      <c r="O304" s="6">
        <f>[1]Results!R29</f>
        <v>33660.400399999999</v>
      </c>
      <c r="P304" s="6">
        <f>[1]Results!S29</f>
        <v>33996.042200000004</v>
      </c>
      <c r="Q304" s="6">
        <f>[1]Results!T29</f>
        <v>34338.52306</v>
      </c>
      <c r="R304" s="6">
        <f>[1]Results!U29</f>
        <v>34685.467470000003</v>
      </c>
      <c r="S304" s="6">
        <f>[1]Results!V29</f>
        <v>35034.886550000003</v>
      </c>
      <c r="T304" s="6">
        <f>[1]Results!W29</f>
        <v>35385.132259999998</v>
      </c>
      <c r="U304" s="6">
        <f>[1]Results!X29</f>
        <v>35734.874530000001</v>
      </c>
      <c r="V304" s="6">
        <f>[1]Results!Y29</f>
        <v>36083.086810000001</v>
      </c>
      <c r="W304" s="6">
        <f>[1]Results!Z29</f>
        <v>36424.09706</v>
      </c>
      <c r="X304" s="6">
        <f>[1]Results!AA29</f>
        <v>36762.881809999999</v>
      </c>
      <c r="Y304" s="6">
        <f>[1]Results!AB29</f>
        <v>37099.27693</v>
      </c>
      <c r="Z304" s="6">
        <f>[1]Results!AC29</f>
        <v>37432.98803</v>
      </c>
      <c r="AA304" s="6">
        <f>[1]Results!AD29</f>
        <v>37764.264289999999</v>
      </c>
      <c r="AB304" s="6">
        <f>[1]Results!AE29</f>
        <v>38079.465409999997</v>
      </c>
      <c r="AC304" s="6">
        <f>[1]Results!AF29</f>
        <v>38387.787259999997</v>
      </c>
      <c r="AD304" s="6">
        <f>[1]Results!AG29</f>
        <v>38690.457179999998</v>
      </c>
      <c r="AE304" s="6">
        <f>[1]Results!AH29</f>
        <v>38987.948239999998</v>
      </c>
      <c r="AF304" s="6">
        <f>[1]Results!AI29</f>
        <v>39281.451269999998</v>
      </c>
      <c r="AG304" s="6">
        <f>[1]Results!AJ29</f>
        <v>39572.028870000002</v>
      </c>
      <c r="AH304" s="6">
        <f>[1]Results!AK29</f>
        <v>39860.622490000002</v>
      </c>
      <c r="AI304" s="6">
        <f>[1]Results!AL29</f>
        <v>40148.0818</v>
      </c>
      <c r="AJ304" s="6">
        <f>[1]Results!AM29</f>
        <v>40435.188540000003</v>
      </c>
      <c r="AK304" s="6">
        <f>[1]Results!AN29</f>
        <v>40722.668310000001</v>
      </c>
      <c r="AL304" s="6">
        <f>[1]Results!AO29</f>
        <v>41011.192000000003</v>
      </c>
      <c r="AM304" s="6">
        <f>[1]Results!AP29</f>
        <v>41298.197959999998</v>
      </c>
      <c r="AN304" s="6">
        <f>[1]Results!AQ29</f>
        <v>41584.580889999997</v>
      </c>
      <c r="AO304" s="6">
        <f>[1]Results!AR29</f>
        <v>41871.18909</v>
      </c>
      <c r="AP304" s="6">
        <f>[1]Results!AS29</f>
        <v>42158.649899999997</v>
      </c>
      <c r="AQ304" s="6">
        <f>[1]Results!AT29</f>
        <v>42447.590770000003</v>
      </c>
      <c r="AR304" s="6">
        <f>[1]Results!AU29</f>
        <v>42738.583850000003</v>
      </c>
      <c r="AS304" s="6">
        <f>[1]Results!AV29</f>
        <v>43032.126669999998</v>
      </c>
      <c r="AT304" s="6">
        <f>[1]Results!AW29</f>
        <v>43328.647380000002</v>
      </c>
      <c r="AU304" s="6">
        <f>[1]Results!AX29</f>
        <v>43628.520980000001</v>
      </c>
      <c r="AV304" s="6">
        <f>[1]Results!AY29</f>
        <v>43932.087119999997</v>
      </c>
      <c r="AW304" s="6">
        <f>[1]Results!AZ29</f>
        <v>44239.936869999998</v>
      </c>
      <c r="AX304" s="6">
        <f>[1]Results!BA29</f>
        <v>44552.346989999998</v>
      </c>
      <c r="AY304" s="6">
        <f>[1]Results!BB29</f>
        <v>44869.587979999997</v>
      </c>
      <c r="AZ304" s="6">
        <f>[1]Results!BC29</f>
        <v>45191.939939999997</v>
      </c>
      <c r="BA304" s="6">
        <f>[1]Results!BD29</f>
        <v>45519.676229999997</v>
      </c>
      <c r="BB304" s="6">
        <f>[1]Results!BE29</f>
        <v>45601.084470000002</v>
      </c>
      <c r="BC304" s="6">
        <f>[1]Results!BF29</f>
        <v>45952.474289999998</v>
      </c>
      <c r="BD304" s="6">
        <f>[1]Results!BG29</f>
        <v>46307.97365</v>
      </c>
      <c r="BE304" s="6">
        <f>[1]Results!BH29</f>
        <v>46667.953820000002</v>
      </c>
      <c r="BF304" s="6">
        <f>[1]Results!BI29</f>
        <v>47032.82314</v>
      </c>
    </row>
    <row r="305" spans="1:58" x14ac:dyDescent="0.35">
      <c r="B305" t="s">
        <v>54</v>
      </c>
      <c r="C305" s="6">
        <f>[1]Results!F45</f>
        <v>1.9359999999999999</v>
      </c>
      <c r="D305" s="6">
        <f>[1]Results!G45</f>
        <v>1.9926814180000001</v>
      </c>
      <c r="E305" s="6">
        <f>[1]Results!H45</f>
        <v>2.0605751329999999</v>
      </c>
      <c r="F305" s="6">
        <f>[1]Results!I45</f>
        <v>2.1349943269999998</v>
      </c>
      <c r="G305" s="6">
        <f>[1]Results!J45</f>
        <v>2.2128360389999999</v>
      </c>
      <c r="H305" s="6">
        <f>[1]Results!K45</f>
        <v>2.2922305540000001</v>
      </c>
      <c r="I305" s="6">
        <f>[1]Results!L45</f>
        <v>2.3717354410000002</v>
      </c>
      <c r="J305" s="6">
        <f>[1]Results!M45</f>
        <v>2.4506994039999999</v>
      </c>
      <c r="K305" s="6">
        <f>[1]Results!N45</f>
        <v>2.5287406859999999</v>
      </c>
      <c r="L305" s="6">
        <f>[1]Results!O45</f>
        <v>2.6056103940000002</v>
      </c>
      <c r="M305" s="6">
        <f>[1]Results!P45</f>
        <v>2.6817195680000001</v>
      </c>
      <c r="N305" s="6">
        <f>[1]Results!Q45</f>
        <v>2.7563463929999998</v>
      </c>
      <c r="O305" s="6">
        <f>[1]Results!R45</f>
        <v>2.8293936519999998</v>
      </c>
      <c r="P305" s="6">
        <f>[1]Results!S45</f>
        <v>2.9008198109999999</v>
      </c>
      <c r="Q305" s="6">
        <f>[1]Results!T45</f>
        <v>2.9705507569999998</v>
      </c>
      <c r="R305" s="6">
        <f>[1]Results!U45</f>
        <v>3.0385375849999998</v>
      </c>
      <c r="S305" s="6">
        <f>[1]Results!V45</f>
        <v>3.1047513960000002</v>
      </c>
      <c r="T305" s="6">
        <f>[1]Results!W45</f>
        <v>3.1691807289999998</v>
      </c>
      <c r="U305" s="6">
        <f>[1]Results!X45</f>
        <v>3.231830778</v>
      </c>
      <c r="V305" s="6">
        <f>[1]Results!Y45</f>
        <v>3.2927232150000001</v>
      </c>
      <c r="W305" s="6">
        <f>[1]Results!Z45</f>
        <v>3.351481374</v>
      </c>
      <c r="X305" s="6">
        <f>[1]Results!AA45</f>
        <v>3.4086096459999999</v>
      </c>
      <c r="Y305" s="6">
        <f>[1]Results!AB45</f>
        <v>3.4641815600000001</v>
      </c>
      <c r="Z305" s="6">
        <f>[1]Results!AC45</f>
        <v>3.5182540320000002</v>
      </c>
      <c r="AA305" s="6">
        <f>[1]Results!AD45</f>
        <v>3.5709241650000001</v>
      </c>
      <c r="AB305" s="6">
        <f>[1]Results!AE45</f>
        <v>3.6211177509999999</v>
      </c>
      <c r="AC305" s="6">
        <f>[1]Results!AF45</f>
        <v>3.669657033</v>
      </c>
      <c r="AD305" s="6">
        <f>[1]Results!AG45</f>
        <v>3.7167035369999999</v>
      </c>
      <c r="AE305" s="6">
        <f>[1]Results!AH45</f>
        <v>3.7623533560000002</v>
      </c>
      <c r="AF305" s="6">
        <f>[1]Results!AI45</f>
        <v>3.8067599649999999</v>
      </c>
      <c r="AG305" s="6">
        <f>[1]Results!AJ45</f>
        <v>3.8500642639999998</v>
      </c>
      <c r="AH305" s="6">
        <f>[1]Results!AK45</f>
        <v>3.8923951130000001</v>
      </c>
      <c r="AI305" s="6">
        <f>[1]Results!AL45</f>
        <v>3.9338717609999998</v>
      </c>
      <c r="AJ305" s="6">
        <f>[1]Results!AM45</f>
        <v>3.9746058569999998</v>
      </c>
      <c r="AK305" s="6">
        <f>[1]Results!AN45</f>
        <v>4.0147024629999999</v>
      </c>
      <c r="AL305" s="6">
        <f>[1]Results!AO45</f>
        <v>4.054260223</v>
      </c>
      <c r="AM305" s="6">
        <f>[1]Results!AP45</f>
        <v>4.0931044329999997</v>
      </c>
      <c r="AN305" s="6">
        <f>[1]Results!AQ45</f>
        <v>4.1313449320000002</v>
      </c>
      <c r="AO305" s="6">
        <f>[1]Results!AR45</f>
        <v>4.1690866460000002</v>
      </c>
      <c r="AP305" s="6">
        <f>[1]Results!AS45</f>
        <v>4.2064149229999996</v>
      </c>
      <c r="AQ305" s="6">
        <f>[1]Results!AT45</f>
        <v>4.2434138920000004</v>
      </c>
      <c r="AR305" s="6">
        <f>[1]Results!AU45</f>
        <v>4.2801618770000003</v>
      </c>
      <c r="AS305" s="6">
        <f>[1]Results!AV45</f>
        <v>4.3167297800000002</v>
      </c>
      <c r="AT305" s="6">
        <f>[1]Results!AW45</f>
        <v>4.3531814950000003</v>
      </c>
      <c r="AU305" s="6">
        <f>[1]Results!AX45</f>
        <v>4.3895752569999997</v>
      </c>
      <c r="AV305" s="6">
        <f>[1]Results!AY45</f>
        <v>4.4259651419999999</v>
      </c>
      <c r="AW305" s="6">
        <f>[1]Results!AZ45</f>
        <v>4.4624251900000003</v>
      </c>
      <c r="AX305" s="6">
        <f>[1]Results!BA45</f>
        <v>4.4990022740000004</v>
      </c>
      <c r="AY305" s="6">
        <f>[1]Results!BB45</f>
        <v>4.5357416170000002</v>
      </c>
      <c r="AZ305" s="6">
        <f>[1]Results!BC45</f>
        <v>4.5726881930000003</v>
      </c>
      <c r="BA305" s="6">
        <f>[1]Results!BD45</f>
        <v>4.6098854310000004</v>
      </c>
      <c r="BB305" s="6">
        <f>[1]Results!BE45</f>
        <v>4.6165073259999998</v>
      </c>
      <c r="BC305" s="6">
        <f>[1]Results!BF45</f>
        <v>4.6556279380000003</v>
      </c>
      <c r="BD305" s="6">
        <f>[1]Results!BG45</f>
        <v>4.6949460810000003</v>
      </c>
      <c r="BE305" s="6">
        <f>[1]Results!BH45</f>
        <v>4.7345074699999996</v>
      </c>
      <c r="BF305" s="6">
        <f>[1]Results!BI45</f>
        <v>4.7743605000000002</v>
      </c>
    </row>
    <row r="306" spans="1:58" x14ac:dyDescent="0.35">
      <c r="B306" t="s">
        <v>55</v>
      </c>
      <c r="C306" s="6">
        <f>[1]Results!F37</f>
        <v>44.765000000000001</v>
      </c>
      <c r="D306" s="6">
        <f>[1]Results!G37</f>
        <v>62.529356249999999</v>
      </c>
      <c r="E306" s="6">
        <f>[1]Results!H37</f>
        <v>81.225907860000007</v>
      </c>
      <c r="F306" s="6">
        <f>[1]Results!I37</f>
        <v>100.39276460000001</v>
      </c>
      <c r="G306" s="6">
        <f>[1]Results!J37</f>
        <v>119.7262479</v>
      </c>
      <c r="H306" s="6">
        <f>[1]Results!K37</f>
        <v>139.044566</v>
      </c>
      <c r="I306" s="6">
        <f>[1]Results!L37</f>
        <v>158.20128869999999</v>
      </c>
      <c r="J306" s="6">
        <f>[1]Results!M37</f>
        <v>177.1273248</v>
      </c>
      <c r="K306" s="6">
        <f>[1]Results!N37</f>
        <v>195.77706620000001</v>
      </c>
      <c r="L306" s="6">
        <f>[1]Results!O37</f>
        <v>214.1148657</v>
      </c>
      <c r="M306" s="6">
        <f>[1]Results!P37</f>
        <v>232.17528770000001</v>
      </c>
      <c r="N306" s="6">
        <f>[1]Results!Q37</f>
        <v>249.86570140000001</v>
      </c>
      <c r="O306" s="6">
        <f>[1]Results!R37</f>
        <v>267.15857440000002</v>
      </c>
      <c r="P306" s="6">
        <f>[1]Results!S37</f>
        <v>284.03178389999999</v>
      </c>
      <c r="Q306" s="6">
        <f>[1]Results!T37</f>
        <v>300.4589603</v>
      </c>
      <c r="R306" s="6">
        <f>[1]Results!U37</f>
        <v>316.41612579999997</v>
      </c>
      <c r="S306" s="6">
        <f>[1]Results!V37</f>
        <v>331.8813677</v>
      </c>
      <c r="T306" s="6">
        <f>[1]Results!W37</f>
        <v>346.83469250000002</v>
      </c>
      <c r="U306" s="6">
        <f>[1]Results!X37</f>
        <v>361.25797610000001</v>
      </c>
      <c r="V306" s="6">
        <f>[1]Results!Y37</f>
        <v>375.13488949999999</v>
      </c>
      <c r="W306" s="6">
        <f>[1]Results!Z37</f>
        <v>388.40635830000002</v>
      </c>
      <c r="X306" s="6">
        <f>[1]Results!AA37</f>
        <v>401.10662669999999</v>
      </c>
      <c r="Y306" s="6">
        <f>[1]Results!AB37</f>
        <v>413.2248831</v>
      </c>
      <c r="Z306" s="6">
        <f>[1]Results!AC37</f>
        <v>424.7475551</v>
      </c>
      <c r="AA306" s="6">
        <f>[1]Results!AD37</f>
        <v>435.66407770000001</v>
      </c>
      <c r="AB306" s="6">
        <f>[1]Results!AE37</f>
        <v>445.84390560000003</v>
      </c>
      <c r="AC306" s="6">
        <f>[1]Results!AF37</f>
        <v>455.34611530000001</v>
      </c>
      <c r="AD306" s="6">
        <f>[1]Results!AG37</f>
        <v>464.1638567</v>
      </c>
      <c r="AE306" s="6">
        <f>[1]Results!AH37</f>
        <v>472.2819404</v>
      </c>
      <c r="AF306" s="6">
        <f>[1]Results!AI37</f>
        <v>479.68866559999998</v>
      </c>
      <c r="AG306" s="6">
        <f>[1]Results!AJ37</f>
        <v>486.36858539999997</v>
      </c>
      <c r="AH306" s="6">
        <f>[1]Results!AK37</f>
        <v>492.30208379999999</v>
      </c>
      <c r="AI306" s="6">
        <f>[1]Results!AL37</f>
        <v>497.46509959999997</v>
      </c>
      <c r="AJ306" s="6">
        <f>[1]Results!AM37</f>
        <v>501.82879459999998</v>
      </c>
      <c r="AK306" s="6">
        <f>[1]Results!AN37</f>
        <v>505.3591346</v>
      </c>
      <c r="AL306" s="6">
        <f>[1]Results!AO37</f>
        <v>508.01641030000002</v>
      </c>
      <c r="AM306" s="6">
        <f>[1]Results!AP37</f>
        <v>509.73459989999998</v>
      </c>
      <c r="AN306" s="6">
        <f>[1]Results!AQ37</f>
        <v>510.46446780000002</v>
      </c>
      <c r="AO306" s="6">
        <f>[1]Results!AR37</f>
        <v>510.15041969999999</v>
      </c>
      <c r="AP306" s="6">
        <f>[1]Results!AS37</f>
        <v>508.72890180000002</v>
      </c>
      <c r="AQ306" s="6">
        <f>[1]Results!AT37</f>
        <v>506.12917879999998</v>
      </c>
      <c r="AR306" s="6">
        <f>[1]Results!AU37</f>
        <v>502.27244020000001</v>
      </c>
      <c r="AS306" s="6">
        <f>[1]Results!AV37</f>
        <v>497.0710851</v>
      </c>
      <c r="AT306" s="6">
        <f>[1]Results!AW37</f>
        <v>490.42807549999998</v>
      </c>
      <c r="AU306" s="6">
        <f>[1]Results!AX37</f>
        <v>482.23626059999998</v>
      </c>
      <c r="AV306" s="6">
        <f>[1]Results!AY37</f>
        <v>472.37761169999999</v>
      </c>
      <c r="AW306" s="6">
        <f>[1]Results!AZ37</f>
        <v>460.72287949999998</v>
      </c>
      <c r="AX306" s="6">
        <f>[1]Results!BA37</f>
        <v>447.12915040000001</v>
      </c>
      <c r="AY306" s="6">
        <f>[1]Results!BB37</f>
        <v>431.4396198</v>
      </c>
      <c r="AZ306" s="6">
        <f>[1]Results!BC37</f>
        <v>413.48240440000001</v>
      </c>
      <c r="BA306" s="6">
        <f>[1]Results!BD37</f>
        <v>393.06920730000002</v>
      </c>
      <c r="BB306" s="6">
        <f>[1]Results!BE37</f>
        <v>333.40671650000002</v>
      </c>
      <c r="BC306" s="6">
        <f>[1]Results!BF37</f>
        <v>307.85780840000001</v>
      </c>
      <c r="BD306" s="6">
        <f>[1]Results!BG37</f>
        <v>279.3378955</v>
      </c>
      <c r="BE306" s="6">
        <f>[1]Results!BH37</f>
        <v>247.6007549</v>
      </c>
      <c r="BF306" s="6">
        <f>[1]Results!BI37</f>
        <v>212.3770069</v>
      </c>
    </row>
    <row r="308" spans="1:58" x14ac:dyDescent="0.35">
      <c r="A308" s="12" t="s">
        <v>90</v>
      </c>
      <c r="B308" s="5" t="str">
        <f>[1]Hybrid!A18</f>
        <v>auto_ca_cfut_2</v>
      </c>
      <c r="C308" s="5">
        <f>[1]Hybrid!B18</f>
        <v>7095.7005250000002</v>
      </c>
      <c r="D308" s="5">
        <f>[1]Hybrid!C18</f>
        <v>7134.4809809999997</v>
      </c>
      <c r="E308" s="5">
        <f>[1]Hybrid!D18</f>
        <v>7213.1529689999998</v>
      </c>
      <c r="F308" s="5">
        <f>[1]Hybrid!E18</f>
        <v>7319.7106309999999</v>
      </c>
      <c r="G308" s="5">
        <f>[1]Hybrid!F18</f>
        <v>7446.2839990000002</v>
      </c>
      <c r="H308" s="5">
        <f>[1]Hybrid!G18</f>
        <v>7588.6828539999997</v>
      </c>
      <c r="I308" s="5">
        <f>[1]Hybrid!H18</f>
        <v>7743.6949729999997</v>
      </c>
      <c r="J308" s="5">
        <f>[1]Hybrid!I18</f>
        <v>7910.3840890000001</v>
      </c>
      <c r="K308" s="5">
        <f>[1]Hybrid!J18</f>
        <v>8088.2644689999997</v>
      </c>
      <c r="L308" s="5">
        <f>[1]Hybrid!K18</f>
        <v>8276.8532589999995</v>
      </c>
      <c r="M308" s="5">
        <f>[1]Hybrid!L18</f>
        <v>8477.5974310000001</v>
      </c>
      <c r="N308" s="5">
        <f>[1]Hybrid!M18</f>
        <v>8687.4329629999993</v>
      </c>
      <c r="O308" s="5">
        <f>[1]Hybrid!N18</f>
        <v>8905.3176530000001</v>
      </c>
      <c r="P308" s="5">
        <f>[1]Hybrid!O18</f>
        <v>9130.1689819999992</v>
      </c>
      <c r="Q308" s="5">
        <f>[1]Hybrid!P18</f>
        <v>9360.6275320000004</v>
      </c>
      <c r="R308" s="5">
        <f>[1]Hybrid!Q18</f>
        <v>9595.3635219999996</v>
      </c>
      <c r="S308" s="5">
        <f>[1]Hybrid!R18</f>
        <v>9833.0615820000003</v>
      </c>
      <c r="T308" s="5">
        <f>[1]Hybrid!S18</f>
        <v>10072.583570000001</v>
      </c>
      <c r="U308" s="5">
        <f>[1]Hybrid!T18</f>
        <v>10312.985060000001</v>
      </c>
      <c r="V308" s="5">
        <f>[1]Hybrid!U18</f>
        <v>10553.49496</v>
      </c>
      <c r="W308" s="5">
        <f>[1]Hybrid!V18</f>
        <v>10791.857400000001</v>
      </c>
      <c r="X308" s="5">
        <f>[1]Hybrid!W18</f>
        <v>11029.512549999999</v>
      </c>
      <c r="Y308" s="5">
        <f>[1]Hybrid!X18</f>
        <v>11266.230530000001</v>
      </c>
      <c r="Z308" s="5">
        <f>[1]Hybrid!Y18</f>
        <v>11501.831179999999</v>
      </c>
      <c r="AA308" s="5">
        <f>[1]Hybrid!Z18</f>
        <v>11736.39018</v>
      </c>
      <c r="AB308" s="5">
        <f>[1]Hybrid!AA18</f>
        <v>11965.115449999999</v>
      </c>
      <c r="AC308" s="5">
        <f>[1]Hybrid!AB18</f>
        <v>12191.34971</v>
      </c>
      <c r="AD308" s="5">
        <f>[1]Hybrid!AC18</f>
        <v>12415.57627</v>
      </c>
      <c r="AE308" s="5">
        <f>[1]Hybrid!AD18</f>
        <v>12638.04457</v>
      </c>
      <c r="AF308" s="5">
        <f>[1]Hybrid!AE18</f>
        <v>12859.301030000001</v>
      </c>
      <c r="AG308" s="5">
        <f>[1]Hybrid!AF18</f>
        <v>13079.87298</v>
      </c>
      <c r="AH308" s="5">
        <f>[1]Hybrid!AG18</f>
        <v>13300.286529999999</v>
      </c>
      <c r="AI308" s="5">
        <f>[1]Hybrid!AH18</f>
        <v>13521.043949999999</v>
      </c>
      <c r="AJ308" s="5">
        <f>[1]Hybrid!AI18</f>
        <v>13742.63264</v>
      </c>
      <c r="AK308" s="5">
        <f>[1]Hybrid!AJ18</f>
        <v>13965.53902</v>
      </c>
      <c r="AL308" s="5">
        <f>[1]Hybrid!AK18</f>
        <v>14190.24208</v>
      </c>
      <c r="AM308" s="5">
        <f>[1]Hybrid!AL18</f>
        <v>14416.128779999999</v>
      </c>
      <c r="AN308" s="5">
        <f>[1]Hybrid!AM18</f>
        <v>14643.78794</v>
      </c>
      <c r="AO308" s="5">
        <f>[1]Hybrid!AN18</f>
        <v>14873.68794</v>
      </c>
      <c r="AP308" s="5">
        <f>[1]Hybrid!AO18</f>
        <v>15106.246220000001</v>
      </c>
      <c r="AQ308" s="5">
        <f>[1]Hybrid!AP18</f>
        <v>15341.887559999999</v>
      </c>
      <c r="AR308" s="5">
        <f>[1]Hybrid!AQ18</f>
        <v>15581.053110000001</v>
      </c>
      <c r="AS308" s="5">
        <f>[1]Hybrid!AR18</f>
        <v>15824.147929999999</v>
      </c>
      <c r="AT308" s="5">
        <f>[1]Hybrid!AS18</f>
        <v>16071.54789</v>
      </c>
      <c r="AU308" s="5">
        <f>[1]Hybrid!AT18</f>
        <v>16323.626780000001</v>
      </c>
      <c r="AV308" s="5">
        <f>[1]Hybrid!AU18</f>
        <v>16580.756789999999</v>
      </c>
      <c r="AW308" s="5">
        <f>[1]Hybrid!AV18</f>
        <v>16843.512139999999</v>
      </c>
      <c r="AX308" s="5">
        <f>[1]Hybrid!AW18</f>
        <v>17112.270369999998</v>
      </c>
      <c r="AY308" s="5">
        <f>[1]Hybrid!AX18</f>
        <v>17250.558850000001</v>
      </c>
      <c r="AZ308" s="5">
        <f>[1]Hybrid!AY18</f>
        <v>17384.32763</v>
      </c>
      <c r="BA308" s="5">
        <f>[1]Hybrid!AZ18</f>
        <v>17512.07358</v>
      </c>
      <c r="BB308" s="5">
        <f>[1]Hybrid!BA18</f>
        <v>18081.43362</v>
      </c>
      <c r="BC308" s="5">
        <f>[1]Hybrid!BB18</f>
        <v>18357.057929999999</v>
      </c>
      <c r="BD308" s="5">
        <f>[1]Hybrid!BC18</f>
        <v>18637.218840000001</v>
      </c>
      <c r="BE308" s="5">
        <f>[1]Hybrid!BD18</f>
        <v>18922.18578</v>
      </c>
      <c r="BF308" s="5">
        <f>[1]Hybrid!BE18</f>
        <v>19212.253079999999</v>
      </c>
    </row>
    <row r="309" spans="1:58" x14ac:dyDescent="0.35">
      <c r="A309" t="s">
        <v>39</v>
      </c>
      <c r="B309" s="5" t="str">
        <f>[1]Hybrid!A20</f>
        <v>auto_cb_cfut_2</v>
      </c>
      <c r="C309" s="5">
        <f>[1]Hybrid!B20</f>
        <v>8251.256421</v>
      </c>
      <c r="D309" s="5">
        <f>[1]Hybrid!C20</f>
        <v>8176.0923400000001</v>
      </c>
      <c r="E309" s="5">
        <f>[1]Hybrid!D20</f>
        <v>8147.1622889999999</v>
      </c>
      <c r="F309" s="5">
        <f>[1]Hybrid!E20</f>
        <v>8152.0406929999999</v>
      </c>
      <c r="G309" s="5">
        <f>[1]Hybrid!F20</f>
        <v>8182.3527519999998</v>
      </c>
      <c r="H309" s="5">
        <f>[1]Hybrid!G20</f>
        <v>8233.3208059999997</v>
      </c>
      <c r="I309" s="5">
        <f>[1]Hybrid!H20</f>
        <v>8301.1745530000007</v>
      </c>
      <c r="J309" s="5">
        <f>[1]Hybrid!I20</f>
        <v>8384.3793330000008</v>
      </c>
      <c r="K309" s="5">
        <f>[1]Hybrid!J20</f>
        <v>8481.8917039999997</v>
      </c>
      <c r="L309" s="5">
        <f>[1]Hybrid!K20</f>
        <v>8592.7232999999997</v>
      </c>
      <c r="M309" s="5">
        <f>[1]Hybrid!L20</f>
        <v>8717.7464849999997</v>
      </c>
      <c r="N309" s="5">
        <f>[1]Hybrid!M20</f>
        <v>8853.6309550000005</v>
      </c>
      <c r="O309" s="5">
        <f>[1]Hybrid!N20</f>
        <v>8998.9879550000005</v>
      </c>
      <c r="P309" s="5">
        <f>[1]Hybrid!O20</f>
        <v>9152.4431089999998</v>
      </c>
      <c r="Q309" s="5">
        <f>[1]Hybrid!P20</f>
        <v>9312.399958</v>
      </c>
      <c r="R309" s="5">
        <f>[1]Hybrid!Q20</f>
        <v>9477.3253480000003</v>
      </c>
      <c r="S309" s="5">
        <f>[1]Hybrid!R20</f>
        <v>9645.7329669999999</v>
      </c>
      <c r="T309" s="5">
        <f>[1]Hybrid!S20</f>
        <v>9816.3306059999995</v>
      </c>
      <c r="U309" s="5">
        <f>[1]Hybrid!T20</f>
        <v>9988.0328489999993</v>
      </c>
      <c r="V309" s="5">
        <f>[1]Hybrid!U20</f>
        <v>10159.93714</v>
      </c>
      <c r="W309" s="5">
        <f>[1]Hybrid!V20</f>
        <v>10329.81741</v>
      </c>
      <c r="X309" s="5">
        <f>[1]Hybrid!W20</f>
        <v>10498.82423</v>
      </c>
      <c r="Y309" s="5">
        <f>[1]Hybrid!X20</f>
        <v>10666.607309999999</v>
      </c>
      <c r="Z309" s="5">
        <f>[1]Hybrid!Y20</f>
        <v>10832.861919999999</v>
      </c>
      <c r="AA309" s="5">
        <f>[1]Hybrid!Z20</f>
        <v>10997.52267</v>
      </c>
      <c r="AB309" s="5">
        <f>[1]Hybrid!AA20</f>
        <v>11156.207560000001</v>
      </c>
      <c r="AC309" s="5">
        <f>[1]Hybrid!AB20</f>
        <v>11311.80055</v>
      </c>
      <c r="AD309" s="5">
        <f>[1]Hybrid!AC20</f>
        <v>11464.656590000001</v>
      </c>
      <c r="AE309" s="5">
        <f>[1]Hybrid!AD20</f>
        <v>11614.903469999999</v>
      </c>
      <c r="AF309" s="5">
        <f>[1]Hybrid!AE20</f>
        <v>11762.93008</v>
      </c>
      <c r="AG309" s="5">
        <f>[1]Hybrid!AF20</f>
        <v>11909.10404</v>
      </c>
      <c r="AH309" s="5">
        <f>[1]Hybrid!AG20</f>
        <v>12053.785879999999</v>
      </c>
      <c r="AI309" s="5">
        <f>[1]Hybrid!AH20</f>
        <v>12197.30863</v>
      </c>
      <c r="AJ309" s="5">
        <f>[1]Hybrid!AI20</f>
        <v>12339.984930000001</v>
      </c>
      <c r="AK309" s="5">
        <f>[1]Hybrid!AJ20</f>
        <v>12482.11969</v>
      </c>
      <c r="AL309" s="5">
        <f>[1]Hybrid!AK20</f>
        <v>12624.00506</v>
      </c>
      <c r="AM309" s="5">
        <f>[1]Hybrid!AL20</f>
        <v>12765.00841</v>
      </c>
      <c r="AN309" s="5">
        <f>[1]Hybrid!AM20</f>
        <v>12905.52259</v>
      </c>
      <c r="AO309" s="5">
        <f>[1]Hybrid!AN20</f>
        <v>13045.836160000001</v>
      </c>
      <c r="AP309" s="5">
        <f>[1]Hybrid!AO20</f>
        <v>13186.18852</v>
      </c>
      <c r="AQ309" s="5">
        <f>[1]Hybrid!AP20</f>
        <v>13326.81997</v>
      </c>
      <c r="AR309" s="5">
        <f>[1]Hybrid!AQ20</f>
        <v>13467.979590000001</v>
      </c>
      <c r="AS309" s="5">
        <f>[1]Hybrid!AR20</f>
        <v>13609.88186</v>
      </c>
      <c r="AT309" s="5">
        <f>[1]Hybrid!AS20</f>
        <v>13752.71082</v>
      </c>
      <c r="AU309" s="5">
        <f>[1]Hybrid!AT20</f>
        <v>13896.64294</v>
      </c>
      <c r="AV309" s="5">
        <f>[1]Hybrid!AU20</f>
        <v>14041.84751</v>
      </c>
      <c r="AW309" s="5">
        <f>[1]Hybrid!AV20</f>
        <v>14188.65177</v>
      </c>
      <c r="AX309" s="5">
        <f>[1]Hybrid!AW20</f>
        <v>14337.22112</v>
      </c>
      <c r="AY309" s="5">
        <f>[1]Hybrid!AX20</f>
        <v>14383.82789</v>
      </c>
      <c r="AZ309" s="5">
        <f>[1]Hybrid!AY20</f>
        <v>14429.8963</v>
      </c>
      <c r="BA309" s="5">
        <f>[1]Hybrid!AZ20</f>
        <v>14474.919309999999</v>
      </c>
      <c r="BB309" s="5">
        <f>[1]Hybrid!BA20</f>
        <v>14944.95203</v>
      </c>
      <c r="BC309" s="5">
        <f>[1]Hybrid!BB20</f>
        <v>15091.13233</v>
      </c>
      <c r="BD309" s="5">
        <f>[1]Hybrid!BC20</f>
        <v>15237.753839999999</v>
      </c>
      <c r="BE309" s="5">
        <f>[1]Hybrid!BD20</f>
        <v>15384.92359</v>
      </c>
      <c r="BF309" s="5">
        <f>[1]Hybrid!BE20</f>
        <v>15532.76332</v>
      </c>
    </row>
    <row r="310" spans="1:58" x14ac:dyDescent="0.35">
      <c r="B310" s="5" t="str">
        <f>[1]Hybrid!A22</f>
        <v>auto_cc_cfut_2</v>
      </c>
      <c r="C310" s="5">
        <f>[1]Hybrid!B22</f>
        <v>6777.6024520000001</v>
      </c>
      <c r="D310" s="5">
        <f>[1]Hybrid!C22</f>
        <v>6642.3224019999998</v>
      </c>
      <c r="E310" s="5">
        <f>[1]Hybrid!D22</f>
        <v>6544.9672579999997</v>
      </c>
      <c r="F310" s="5">
        <f>[1]Hybrid!E22</f>
        <v>6476.2852430000003</v>
      </c>
      <c r="G310" s="5">
        <f>[1]Hybrid!F22</f>
        <v>6429.8881510000001</v>
      </c>
      <c r="H310" s="5">
        <f>[1]Hybrid!G22</f>
        <v>6401.9260510000004</v>
      </c>
      <c r="I310" s="5">
        <f>[1]Hybrid!H22</f>
        <v>6389.2970079999996</v>
      </c>
      <c r="J310" s="5">
        <f>[1]Hybrid!I22</f>
        <v>6390.4847959999997</v>
      </c>
      <c r="K310" s="5">
        <f>[1]Hybrid!J22</f>
        <v>6404.3565479999997</v>
      </c>
      <c r="L310" s="5">
        <f>[1]Hybrid!K22</f>
        <v>6429.8562910000001</v>
      </c>
      <c r="M310" s="5">
        <f>[1]Hybrid!L22</f>
        <v>6467.2247559999996</v>
      </c>
      <c r="N310" s="5">
        <f>[1]Hybrid!M22</f>
        <v>6513.8827330000004</v>
      </c>
      <c r="O310" s="5">
        <f>[1]Hybrid!N22</f>
        <v>6568.598105</v>
      </c>
      <c r="P310" s="5">
        <f>[1]Hybrid!O22</f>
        <v>6630.1864400000004</v>
      </c>
      <c r="Q310" s="5">
        <f>[1]Hybrid!P22</f>
        <v>6697.3410569999996</v>
      </c>
      <c r="R310" s="5">
        <f>[1]Hybrid!Q22</f>
        <v>6768.8243300000004</v>
      </c>
      <c r="S310" s="5">
        <f>[1]Hybrid!R22</f>
        <v>6843.4548290000002</v>
      </c>
      <c r="T310" s="5">
        <f>[1]Hybrid!S22</f>
        <v>6920.2030590000004</v>
      </c>
      <c r="U310" s="5">
        <f>[1]Hybrid!T22</f>
        <v>6998.1979840000004</v>
      </c>
      <c r="V310" s="5">
        <f>[1]Hybrid!U22</f>
        <v>7076.707488</v>
      </c>
      <c r="W310" s="5">
        <f>[1]Hybrid!V22</f>
        <v>7154.1508210000002</v>
      </c>
      <c r="X310" s="5">
        <f>[1]Hybrid!W22</f>
        <v>7231.1746579999999</v>
      </c>
      <c r="Y310" s="5">
        <f>[1]Hybrid!X22</f>
        <v>7307.4544489999998</v>
      </c>
      <c r="Z310" s="5">
        <f>[1]Hybrid!Y22</f>
        <v>7382.6977589999997</v>
      </c>
      <c r="AA310" s="5">
        <f>[1]Hybrid!Z22</f>
        <v>7456.7753750000002</v>
      </c>
      <c r="AB310" s="5">
        <f>[1]Hybrid!AA22</f>
        <v>7526.7978270000003</v>
      </c>
      <c r="AC310" s="5">
        <f>[1]Hybrid!AB22</f>
        <v>7594.5600809999996</v>
      </c>
      <c r="AD310" s="5">
        <f>[1]Hybrid!AC22</f>
        <v>7660.2442890000002</v>
      </c>
      <c r="AE310" s="5">
        <f>[1]Hybrid!AD22</f>
        <v>7723.8764579999997</v>
      </c>
      <c r="AF310" s="5">
        <f>[1]Hybrid!AE22</f>
        <v>7785.6498099999999</v>
      </c>
      <c r="AG310" s="5">
        <f>[1]Hybrid!AF22</f>
        <v>7845.7429240000001</v>
      </c>
      <c r="AH310" s="5">
        <f>[1]Hybrid!AG22</f>
        <v>7904.3278749999999</v>
      </c>
      <c r="AI310" s="5">
        <f>[1]Hybrid!AH22</f>
        <v>7961.5570909999997</v>
      </c>
      <c r="AJ310" s="5">
        <f>[1]Hybrid!AI22</f>
        <v>8017.5675220000003</v>
      </c>
      <c r="AK310" s="5">
        <f>[1]Hybrid!AJ22</f>
        <v>8072.4890830000004</v>
      </c>
      <c r="AL310" s="5">
        <f>[1]Hybrid!AK22</f>
        <v>8126.4419799999996</v>
      </c>
      <c r="AM310" s="5">
        <f>[1]Hybrid!AL22</f>
        <v>8178.983185</v>
      </c>
      <c r="AN310" s="5">
        <f>[1]Hybrid!AM22</f>
        <v>8230.3032700000003</v>
      </c>
      <c r="AO310" s="5">
        <f>[1]Hybrid!AN22</f>
        <v>8280.5297339999997</v>
      </c>
      <c r="AP310" s="5">
        <f>[1]Hybrid!AO22</f>
        <v>8329.7585400000007</v>
      </c>
      <c r="AQ310" s="5">
        <f>[1]Hybrid!AP22</f>
        <v>8378.0852279999999</v>
      </c>
      <c r="AR310" s="5">
        <f>[1]Hybrid!AQ22</f>
        <v>8425.6099900000008</v>
      </c>
      <c r="AS310" s="5">
        <f>[1]Hybrid!AR22</f>
        <v>8472.4117920000008</v>
      </c>
      <c r="AT310" s="5">
        <f>[1]Hybrid!AS22</f>
        <v>8518.5500819999997</v>
      </c>
      <c r="AU310" s="5">
        <f>[1]Hybrid!AT22</f>
        <v>8564.0788659999998</v>
      </c>
      <c r="AV310" s="5">
        <f>[1]Hybrid!AU22</f>
        <v>8609.0469940000003</v>
      </c>
      <c r="AW310" s="5">
        <f>[1]Hybrid!AV22</f>
        <v>8653.594975</v>
      </c>
      <c r="AX310" s="5">
        <f>[1]Hybrid!AW22</f>
        <v>8697.7697210000006</v>
      </c>
      <c r="AY310" s="5">
        <f>[1]Hybrid!AX22</f>
        <v>8738.5269509999998</v>
      </c>
      <c r="AZ310" s="5">
        <f>[1]Hybrid!AY22</f>
        <v>8776.1539489999996</v>
      </c>
      <c r="BA310" s="5">
        <f>[1]Hybrid!AZ22</f>
        <v>8810.8579630000004</v>
      </c>
      <c r="BB310" s="5">
        <f>[1]Hybrid!BA22</f>
        <v>8944.8946360000009</v>
      </c>
      <c r="BC310" s="5">
        <f>[1]Hybrid!BB22</f>
        <v>8984.7352420000007</v>
      </c>
      <c r="BD310" s="5">
        <f>[1]Hybrid!BC22</f>
        <v>9023.4650409999995</v>
      </c>
      <c r="BE310" s="5">
        <f>[1]Hybrid!BD22</f>
        <v>9061.1200069999995</v>
      </c>
      <c r="BF310" s="5">
        <f>[1]Hybrid!BE22</f>
        <v>9097.7437040000004</v>
      </c>
    </row>
    <row r="311" spans="1:58" x14ac:dyDescent="0.35">
      <c r="B311" s="5" t="str">
        <f>[1]Hybrid!A24</f>
        <v>auto_cd_cfut_2</v>
      </c>
      <c r="C311" s="5">
        <f>[1]Hybrid!B24</f>
        <v>4159.6639080000004</v>
      </c>
      <c r="D311" s="5">
        <f>[1]Hybrid!C24</f>
        <v>4052.5626510000002</v>
      </c>
      <c r="E311" s="5">
        <f>[1]Hybrid!D24</f>
        <v>3967.5371270000001</v>
      </c>
      <c r="F311" s="5">
        <f>[1]Hybrid!E24</f>
        <v>3898.9083519999999</v>
      </c>
      <c r="G311" s="5">
        <f>[1]Hybrid!F24</f>
        <v>3842.6677949999998</v>
      </c>
      <c r="H311" s="5">
        <f>[1]Hybrid!G24</f>
        <v>3796.2726889999999</v>
      </c>
      <c r="I311" s="5">
        <f>[1]Hybrid!H24</f>
        <v>3757.66309</v>
      </c>
      <c r="J311" s="5">
        <f>[1]Hybrid!I24</f>
        <v>3725.6971800000001</v>
      </c>
      <c r="K311" s="5">
        <f>[1]Hybrid!J24</f>
        <v>3699.5006239999998</v>
      </c>
      <c r="L311" s="5">
        <f>[1]Hybrid!K24</f>
        <v>3678.2884479999998</v>
      </c>
      <c r="M311" s="5">
        <f>[1]Hybrid!L24</f>
        <v>3661.971274</v>
      </c>
      <c r="N311" s="5">
        <f>[1]Hybrid!M24</f>
        <v>3649.0712100000001</v>
      </c>
      <c r="O311" s="5">
        <f>[1]Hybrid!N24</f>
        <v>3638.825229</v>
      </c>
      <c r="P311" s="5">
        <f>[1]Hybrid!O24</f>
        <v>3630.5484040000001</v>
      </c>
      <c r="Q311" s="5">
        <f>[1]Hybrid!P24</f>
        <v>3623.5278499999999</v>
      </c>
      <c r="R311" s="5">
        <f>[1]Hybrid!Q24</f>
        <v>3617.115573</v>
      </c>
      <c r="S311" s="5">
        <f>[1]Hybrid!R24</f>
        <v>3610.7194829999999</v>
      </c>
      <c r="T311" s="5">
        <f>[1]Hybrid!S24</f>
        <v>3603.8439189999999</v>
      </c>
      <c r="U311" s="5">
        <f>[1]Hybrid!T24</f>
        <v>3596.0896819999998</v>
      </c>
      <c r="V311" s="5">
        <f>[1]Hybrid!U24</f>
        <v>3587.1385829999999</v>
      </c>
      <c r="W311" s="5">
        <f>[1]Hybrid!V24</f>
        <v>3576.327585</v>
      </c>
      <c r="X311" s="5">
        <f>[1]Hybrid!W24</f>
        <v>3563.9679390000001</v>
      </c>
      <c r="Y311" s="5">
        <f>[1]Hybrid!X24</f>
        <v>3549.9622319999999</v>
      </c>
      <c r="Z311" s="5">
        <f>[1]Hybrid!Y24</f>
        <v>3534.2191560000001</v>
      </c>
      <c r="AA311" s="5">
        <f>[1]Hybrid!Z24</f>
        <v>3516.7190959999998</v>
      </c>
      <c r="AB311" s="5">
        <f>[1]Hybrid!AA24</f>
        <v>3496.3703580000001</v>
      </c>
      <c r="AC311" s="5">
        <f>[1]Hybrid!AB24</f>
        <v>3473.945369</v>
      </c>
      <c r="AD311" s="5">
        <f>[1]Hybrid!AC24</f>
        <v>3449.5935760000002</v>
      </c>
      <c r="AE311" s="5">
        <f>[1]Hybrid!AD24</f>
        <v>3423.3775759999999</v>
      </c>
      <c r="AF311" s="5">
        <f>[1]Hybrid!AE24</f>
        <v>3395.4183509999998</v>
      </c>
      <c r="AG311" s="5">
        <f>[1]Hybrid!AF24</f>
        <v>3365.8240380000002</v>
      </c>
      <c r="AH311" s="5">
        <f>[1]Hybrid!AG24</f>
        <v>3334.6925679999999</v>
      </c>
      <c r="AI311" s="5">
        <f>[1]Hybrid!AH24</f>
        <v>3302.1076280000002</v>
      </c>
      <c r="AJ311" s="5">
        <f>[1]Hybrid!AI24</f>
        <v>3268.140652</v>
      </c>
      <c r="AK311" s="5">
        <f>[1]Hybrid!AJ24</f>
        <v>3232.8555249999999</v>
      </c>
      <c r="AL311" s="5">
        <f>[1]Hybrid!AK24</f>
        <v>3196.309107</v>
      </c>
      <c r="AM311" s="5">
        <f>[1]Hybrid!AL24</f>
        <v>3158.3851289999998</v>
      </c>
      <c r="AN311" s="5">
        <f>[1]Hybrid!AM24</f>
        <v>3119.1738959999998</v>
      </c>
      <c r="AO311" s="5">
        <f>[1]Hybrid!AN24</f>
        <v>3078.7461619999999</v>
      </c>
      <c r="AP311" s="5">
        <f>[1]Hybrid!AO24</f>
        <v>3037.1603850000001</v>
      </c>
      <c r="AQ311" s="5">
        <f>[1]Hybrid!AP24</f>
        <v>2994.47343</v>
      </c>
      <c r="AR311" s="5">
        <f>[1]Hybrid!AQ24</f>
        <v>2950.7427109999999</v>
      </c>
      <c r="AS311" s="5">
        <f>[1]Hybrid!AR24</f>
        <v>2906.0192889999998</v>
      </c>
      <c r="AT311" s="5">
        <f>[1]Hybrid!AS24</f>
        <v>2860.3476719999999</v>
      </c>
      <c r="AU311" s="5">
        <f>[1]Hybrid!AT24</f>
        <v>2813.7704709999998</v>
      </c>
      <c r="AV311" s="5">
        <f>[1]Hybrid!AU24</f>
        <v>2766.3287690000002</v>
      </c>
      <c r="AW311" s="5">
        <f>[1]Hybrid!AV24</f>
        <v>2718.086667</v>
      </c>
      <c r="AX311" s="5">
        <f>[1]Hybrid!AW24</f>
        <v>2669.086898</v>
      </c>
      <c r="AY311" s="5">
        <f>[1]Hybrid!AX24</f>
        <v>2623.9070149999998</v>
      </c>
      <c r="AZ311" s="5">
        <f>[1]Hybrid!AY24</f>
        <v>2582.2479899999998</v>
      </c>
      <c r="BA311" s="5">
        <f>[1]Hybrid!AZ24</f>
        <v>2543.8302709999998</v>
      </c>
      <c r="BB311" s="5">
        <f>[1]Hybrid!BA24</f>
        <v>2593.1708560000002</v>
      </c>
      <c r="BC311" s="5">
        <f>[1]Hybrid!BB24</f>
        <v>2544.777732</v>
      </c>
      <c r="BD311" s="5">
        <f>[1]Hybrid!BC24</f>
        <v>2495.8074900000001</v>
      </c>
      <c r="BE311" s="5">
        <f>[1]Hybrid!BD24</f>
        <v>2446.3127749999999</v>
      </c>
      <c r="BF311" s="5">
        <f>[1]Hybrid!BE24</f>
        <v>2396.3466669999998</v>
      </c>
    </row>
    <row r="312" spans="1:58" x14ac:dyDescent="0.35">
      <c r="B312" s="5" t="str">
        <f>[1]Hybrid!A26</f>
        <v>auto_ce_cfut_2</v>
      </c>
      <c r="C312" s="5">
        <f>[1]Hybrid!B26</f>
        <v>2503.7292430000002</v>
      </c>
      <c r="D312" s="5">
        <f>[1]Hybrid!C26</f>
        <v>2441.7274950000001</v>
      </c>
      <c r="E312" s="5">
        <f>[1]Hybrid!D26</f>
        <v>2392.2188719999999</v>
      </c>
      <c r="F312" s="5">
        <f>[1]Hybrid!E26</f>
        <v>2351.550056</v>
      </c>
      <c r="G312" s="5">
        <f>[1]Hybrid!F26</f>
        <v>2317.1376919999998</v>
      </c>
      <c r="H312" s="5">
        <f>[1]Hybrid!G26</f>
        <v>2287.330833</v>
      </c>
      <c r="I312" s="5">
        <f>[1]Hybrid!H26</f>
        <v>2260.8118239999999</v>
      </c>
      <c r="J312" s="5">
        <f>[1]Hybrid!I26</f>
        <v>2236.84836</v>
      </c>
      <c r="K312" s="5">
        <f>[1]Hybrid!J26</f>
        <v>2214.9005649999999</v>
      </c>
      <c r="L312" s="5">
        <f>[1]Hybrid!K26</f>
        <v>2194.5063639999998</v>
      </c>
      <c r="M312" s="5">
        <f>[1]Hybrid!L26</f>
        <v>2175.6181550000001</v>
      </c>
      <c r="N312" s="5">
        <f>[1]Hybrid!M26</f>
        <v>2157.4200300000002</v>
      </c>
      <c r="O312" s="5">
        <f>[1]Hybrid!N26</f>
        <v>2139.5166850000001</v>
      </c>
      <c r="P312" s="5">
        <f>[1]Hybrid!O26</f>
        <v>2121.5809610000001</v>
      </c>
      <c r="Q312" s="5">
        <f>[1]Hybrid!P26</f>
        <v>2103.2832250000001</v>
      </c>
      <c r="R312" s="5">
        <f>[1]Hybrid!Q26</f>
        <v>2084.3412539999999</v>
      </c>
      <c r="S312" s="5">
        <f>[1]Hybrid!R26</f>
        <v>2064.5133310000001</v>
      </c>
      <c r="T312" s="5">
        <f>[1]Hybrid!S26</f>
        <v>2043.6170500000001</v>
      </c>
      <c r="U312" s="5">
        <f>[1]Hybrid!T26</f>
        <v>2021.5273460000001</v>
      </c>
      <c r="V312" s="5">
        <f>[1]Hybrid!U26</f>
        <v>1998.165133</v>
      </c>
      <c r="W312" s="5">
        <f>[1]Hybrid!V26</f>
        <v>1973.2878089999999</v>
      </c>
      <c r="X312" s="5">
        <f>[1]Hybrid!W26</f>
        <v>1947.13319</v>
      </c>
      <c r="Y312" s="5">
        <f>[1]Hybrid!X26</f>
        <v>1919.7386939999999</v>
      </c>
      <c r="Z312" s="5">
        <f>[1]Hybrid!Y26</f>
        <v>1891.1380059999999</v>
      </c>
      <c r="AA312" s="5">
        <f>[1]Hybrid!Z26</f>
        <v>1861.397046</v>
      </c>
      <c r="AB312" s="5">
        <f>[1]Hybrid!AA26</f>
        <v>1830.09926</v>
      </c>
      <c r="AC312" s="5">
        <f>[1]Hybrid!AB26</f>
        <v>1797.675986</v>
      </c>
      <c r="AD312" s="5">
        <f>[1]Hybrid!AC26</f>
        <v>1764.2768739999999</v>
      </c>
      <c r="AE312" s="5">
        <f>[1]Hybrid!AD26</f>
        <v>1729.999264</v>
      </c>
      <c r="AF312" s="5">
        <f>[1]Hybrid!AE26</f>
        <v>1694.9609049999999</v>
      </c>
      <c r="AG312" s="5">
        <f>[1]Hybrid!AF26</f>
        <v>1659.2683730000001</v>
      </c>
      <c r="AH312" s="5">
        <f>[1]Hybrid!AG26</f>
        <v>1623.018525</v>
      </c>
      <c r="AI312" s="5">
        <f>[1]Hybrid!AH26</f>
        <v>1586.297489</v>
      </c>
      <c r="AJ312" s="5">
        <f>[1]Hybrid!AI26</f>
        <v>1549.182094</v>
      </c>
      <c r="AK312" s="5">
        <f>[1]Hybrid!AJ26</f>
        <v>1511.7427319999999</v>
      </c>
      <c r="AL312" s="5">
        <f>[1]Hybrid!AK26</f>
        <v>1474.0443150000001</v>
      </c>
      <c r="AM312" s="5">
        <f>[1]Hybrid!AL26</f>
        <v>1436.0873810000001</v>
      </c>
      <c r="AN312" s="5">
        <f>[1]Hybrid!AM26</f>
        <v>1397.9498180000001</v>
      </c>
      <c r="AO312" s="5">
        <f>[1]Hybrid!AN26</f>
        <v>1359.70063</v>
      </c>
      <c r="AP312" s="5">
        <f>[1]Hybrid!AO26</f>
        <v>1321.4019149999999</v>
      </c>
      <c r="AQ312" s="5">
        <f>[1]Hybrid!AP26</f>
        <v>1283.113155</v>
      </c>
      <c r="AR312" s="5">
        <f>[1]Hybrid!AQ26</f>
        <v>1244.8921769999999</v>
      </c>
      <c r="AS312" s="5">
        <f>[1]Hybrid!AR26</f>
        <v>1206.792938</v>
      </c>
      <c r="AT312" s="5">
        <f>[1]Hybrid!AS26</f>
        <v>1168.865313</v>
      </c>
      <c r="AU312" s="5">
        <f>[1]Hybrid!AT26</f>
        <v>1131.1568600000001</v>
      </c>
      <c r="AV312" s="5">
        <f>[1]Hybrid!AU26</f>
        <v>1093.7130139999999</v>
      </c>
      <c r="AW312" s="5">
        <f>[1]Hybrid!AV26</f>
        <v>1056.5845979999999</v>
      </c>
      <c r="AX312" s="5">
        <f>[1]Hybrid!AW26</f>
        <v>1019.814699</v>
      </c>
      <c r="AY312" s="5">
        <f>[1]Hybrid!AX26</f>
        <v>985.91651979999995</v>
      </c>
      <c r="AZ312" s="5">
        <f>[1]Hybrid!AY26</f>
        <v>954.67705009999997</v>
      </c>
      <c r="BA312" s="5">
        <f>[1]Hybrid!AZ26</f>
        <v>925.87120519999996</v>
      </c>
      <c r="BB312" s="5">
        <f>[1]Hybrid!BA26</f>
        <v>942.4006637</v>
      </c>
      <c r="BC312" s="5">
        <f>[1]Hybrid!BB26</f>
        <v>908.72411469999997</v>
      </c>
      <c r="BD312" s="5">
        <f>[1]Hybrid!BC26</f>
        <v>875.52158870000005</v>
      </c>
      <c r="BE312" s="5">
        <f>[1]Hybrid!BD26</f>
        <v>842.82576189999997</v>
      </c>
      <c r="BF312" s="5">
        <f>[1]Hybrid!BE26</f>
        <v>810.66726630000005</v>
      </c>
    </row>
    <row r="313" spans="1:58" x14ac:dyDescent="0.35">
      <c r="B313" s="5" t="str">
        <f>[1]Hybrid!A28</f>
        <v>auto_cf_cfut_2</v>
      </c>
      <c r="C313" s="5">
        <f>[1]Hybrid!B28</f>
        <v>1243.6668460000001</v>
      </c>
      <c r="D313" s="5">
        <f>[1]Hybrid!C28</f>
        <v>1210.4268050000001</v>
      </c>
      <c r="E313" s="5">
        <f>[1]Hybrid!D28</f>
        <v>1182.1641030000001</v>
      </c>
      <c r="F313" s="5">
        <f>[1]Hybrid!E28</f>
        <v>1156.829377</v>
      </c>
      <c r="G313" s="5">
        <f>[1]Hybrid!F28</f>
        <v>1132.9929030000001</v>
      </c>
      <c r="H313" s="5">
        <f>[1]Hybrid!G28</f>
        <v>1109.75548</v>
      </c>
      <c r="I313" s="5">
        <f>[1]Hybrid!H28</f>
        <v>1086.4620849999999</v>
      </c>
      <c r="J313" s="5">
        <f>[1]Hybrid!I28</f>
        <v>1062.7914029999999</v>
      </c>
      <c r="K313" s="5">
        <f>[1]Hybrid!J28</f>
        <v>1038.5695020000001</v>
      </c>
      <c r="L313" s="5">
        <f>[1]Hybrid!K28</f>
        <v>1013.700867</v>
      </c>
      <c r="M313" s="5">
        <f>[1]Hybrid!L28</f>
        <v>988.27382950000003</v>
      </c>
      <c r="N313" s="5">
        <f>[1]Hybrid!M28</f>
        <v>962.12593719999995</v>
      </c>
      <c r="O313" s="5">
        <f>[1]Hybrid!N28</f>
        <v>935.26508209999997</v>
      </c>
      <c r="P313" s="5">
        <f>[1]Hybrid!O28</f>
        <v>907.74585349999995</v>
      </c>
      <c r="Q313" s="5">
        <f>[1]Hybrid!P28</f>
        <v>879.62915980000002</v>
      </c>
      <c r="R313" s="5">
        <f>[1]Hybrid!Q28</f>
        <v>850.99436360000004</v>
      </c>
      <c r="S313" s="5">
        <f>[1]Hybrid!R28</f>
        <v>821.93292699999995</v>
      </c>
      <c r="T313" s="5">
        <f>[1]Hybrid!S28</f>
        <v>792.54957100000001</v>
      </c>
      <c r="U313" s="5">
        <f>[1]Hybrid!T28</f>
        <v>762.9586951</v>
      </c>
      <c r="V313" s="5">
        <f>[1]Hybrid!U28</f>
        <v>733.27784050000002</v>
      </c>
      <c r="W313" s="5">
        <f>[1]Hybrid!V28</f>
        <v>703.58163119999995</v>
      </c>
      <c r="X313" s="5">
        <f>[1]Hybrid!W28</f>
        <v>674.03775940000003</v>
      </c>
      <c r="Y313" s="5">
        <f>[1]Hybrid!X28</f>
        <v>644.75857619999999</v>
      </c>
      <c r="Z313" s="5">
        <f>[1]Hybrid!Y28</f>
        <v>615.84027700000001</v>
      </c>
      <c r="AA313" s="5">
        <f>[1]Hybrid!Z28</f>
        <v>587.37368059999994</v>
      </c>
      <c r="AB313" s="5">
        <f>[1]Hybrid!AA28</f>
        <v>559.36342400000001</v>
      </c>
      <c r="AC313" s="5">
        <f>[1]Hybrid!AB28</f>
        <v>531.94341880000002</v>
      </c>
      <c r="AD313" s="5">
        <f>[1]Hybrid!AC28</f>
        <v>505.19210099999998</v>
      </c>
      <c r="AE313" s="5">
        <f>[1]Hybrid!AD28</f>
        <v>479.1648758</v>
      </c>
      <c r="AF313" s="5">
        <f>[1]Hybrid!AE28</f>
        <v>453.90999449999998</v>
      </c>
      <c r="AG313" s="5">
        <f>[1]Hybrid!AF28</f>
        <v>429.46489439999999</v>
      </c>
      <c r="AH313" s="5">
        <f>[1]Hybrid!AG28</f>
        <v>405.85750080000003</v>
      </c>
      <c r="AI313" s="5">
        <f>[1]Hybrid!AH28</f>
        <v>383.107257</v>
      </c>
      <c r="AJ313" s="5">
        <f>[1]Hybrid!AI28</f>
        <v>361.22629910000001</v>
      </c>
      <c r="AK313" s="5">
        <f>[1]Hybrid!AJ28</f>
        <v>340.22075269999999</v>
      </c>
      <c r="AL313" s="5">
        <f>[1]Hybrid!AK28</f>
        <v>320.0916244</v>
      </c>
      <c r="AM313" s="5">
        <f>[1]Hybrid!AL28</f>
        <v>300.83136089999999</v>
      </c>
      <c r="AN313" s="5">
        <f>[1]Hybrid!AM28</f>
        <v>282.4354783</v>
      </c>
      <c r="AO313" s="5">
        <f>[1]Hybrid!AN28</f>
        <v>264.89545270000002</v>
      </c>
      <c r="AP313" s="5">
        <f>[1]Hybrid!AO28</f>
        <v>248.19911909999999</v>
      </c>
      <c r="AQ313" s="5">
        <f>[1]Hybrid!AP28</f>
        <v>232.33143440000001</v>
      </c>
      <c r="AR313" s="5">
        <f>[1]Hybrid!AQ28</f>
        <v>217.2749153</v>
      </c>
      <c r="AS313" s="5">
        <f>[1]Hybrid!AR28</f>
        <v>203.0098524</v>
      </c>
      <c r="AT313" s="5">
        <f>[1]Hybrid!AS28</f>
        <v>189.51458840000001</v>
      </c>
      <c r="AU313" s="5">
        <f>[1]Hybrid!AT28</f>
        <v>176.76592930000001</v>
      </c>
      <c r="AV313" s="5">
        <f>[1]Hybrid!AU28</f>
        <v>164.7394291</v>
      </c>
      <c r="AW313" s="5">
        <f>[1]Hybrid!AV28</f>
        <v>153.40991450000001</v>
      </c>
      <c r="AX313" s="5">
        <f>[1]Hybrid!AW28</f>
        <v>142.751249</v>
      </c>
      <c r="AY313" s="5">
        <f>[1]Hybrid!AX28</f>
        <v>132.92131370000001</v>
      </c>
      <c r="AZ313" s="5">
        <f>[1]Hybrid!AY28</f>
        <v>123.84671400000001</v>
      </c>
      <c r="BA313" s="5">
        <f>[1]Hybrid!AZ28</f>
        <v>115.4759471</v>
      </c>
      <c r="BB313" s="5">
        <f>[1]Hybrid!BA28</f>
        <v>114.4251134</v>
      </c>
      <c r="BC313" s="5">
        <f>[1]Hybrid!BB28</f>
        <v>106.3615669</v>
      </c>
      <c r="BD313" s="5">
        <f>[1]Hybrid!BC28</f>
        <v>98.805041329999995</v>
      </c>
      <c r="BE313" s="5">
        <f>[1]Hybrid!BD28</f>
        <v>91.7312467</v>
      </c>
      <c r="BF313" s="5">
        <f>[1]Hybrid!BE28</f>
        <v>85.116179560000006</v>
      </c>
    </row>
    <row r="314" spans="1:58" x14ac:dyDescent="0.35">
      <c r="B314" s="5" t="str">
        <f>[1]Hybrid!A30</f>
        <v>auto_cg_cfut_2</v>
      </c>
      <c r="C314" s="5">
        <f>[1]Hybrid!B30</f>
        <v>2239.620606</v>
      </c>
      <c r="D314" s="5">
        <f>[1]Hybrid!C30</f>
        <v>2183.4857889999998</v>
      </c>
      <c r="E314" s="5">
        <f>[1]Hybrid!D30</f>
        <v>2134.126503</v>
      </c>
      <c r="F314" s="5">
        <f>[1]Hybrid!E30</f>
        <v>2087.4209850000002</v>
      </c>
      <c r="G314" s="5">
        <f>[1]Hybrid!F30</f>
        <v>2040.618694</v>
      </c>
      <c r="H314" s="5">
        <f>[1]Hybrid!G30</f>
        <v>1992.125446</v>
      </c>
      <c r="I314" s="5">
        <f>[1]Hybrid!H30</f>
        <v>1940.9533819999999</v>
      </c>
      <c r="J314" s="5">
        <f>[1]Hybrid!I30</f>
        <v>1886.821502</v>
      </c>
      <c r="K314" s="5">
        <f>[1]Hybrid!J30</f>
        <v>1829.7917070000001</v>
      </c>
      <c r="L314" s="5">
        <f>[1]Hybrid!K30</f>
        <v>1770.107346</v>
      </c>
      <c r="M314" s="5">
        <f>[1]Hybrid!L30</f>
        <v>1708.308102</v>
      </c>
      <c r="N314" s="5">
        <f>[1]Hybrid!M30</f>
        <v>1644.57701</v>
      </c>
      <c r="O314" s="5">
        <f>[1]Hybrid!N30</f>
        <v>1579.33483</v>
      </c>
      <c r="P314" s="5">
        <f>[1]Hybrid!O30</f>
        <v>1513.0545500000001</v>
      </c>
      <c r="Q314" s="5">
        <f>[1]Hybrid!P30</f>
        <v>1446.184718</v>
      </c>
      <c r="R314" s="5">
        <f>[1]Hybrid!Q30</f>
        <v>1379.159721</v>
      </c>
      <c r="S314" s="5">
        <f>[1]Hybrid!R30</f>
        <v>1312.3876319999999</v>
      </c>
      <c r="T314" s="5">
        <f>[1]Hybrid!S30</f>
        <v>1246.2488679999999</v>
      </c>
      <c r="U314" s="5">
        <f>[1]Hybrid!T30</f>
        <v>1181.0914769999999</v>
      </c>
      <c r="V314" s="5">
        <f>[1]Hybrid!U30</f>
        <v>1117.22399</v>
      </c>
      <c r="W314" s="5">
        <f>[1]Hybrid!V30</f>
        <v>1054.8754719999999</v>
      </c>
      <c r="X314" s="5">
        <f>[1]Hybrid!W30</f>
        <v>994.32202329999996</v>
      </c>
      <c r="Y314" s="5">
        <f>[1]Hybrid!X30</f>
        <v>935.75248060000001</v>
      </c>
      <c r="Z314" s="5">
        <f>[1]Hybrid!Y30</f>
        <v>879.3074335</v>
      </c>
      <c r="AA314" s="5">
        <f>[1]Hybrid!Z30</f>
        <v>825.09465560000001</v>
      </c>
      <c r="AB314" s="5">
        <f>[1]Hybrid!AA30</f>
        <v>773.13634460000003</v>
      </c>
      <c r="AC314" s="5">
        <f>[1]Hybrid!AB30</f>
        <v>723.52612590000001</v>
      </c>
      <c r="AD314" s="5">
        <f>[1]Hybrid!AC30</f>
        <v>676.29809739999996</v>
      </c>
      <c r="AE314" s="5">
        <f>[1]Hybrid!AD30</f>
        <v>631.45185279999998</v>
      </c>
      <c r="AF314" s="5">
        <f>[1]Hybrid!AE30</f>
        <v>588.96832119999999</v>
      </c>
      <c r="AG314" s="5">
        <f>[1]Hybrid!AF30</f>
        <v>548.81039080000005</v>
      </c>
      <c r="AH314" s="5">
        <f>[1]Hybrid!AG30</f>
        <v>510.92643249999998</v>
      </c>
      <c r="AI314" s="5">
        <f>[1]Hybrid!AH30</f>
        <v>475.25330330000003</v>
      </c>
      <c r="AJ314" s="5">
        <f>[1]Hybrid!AI30</f>
        <v>441.71903209999999</v>
      </c>
      <c r="AK314" s="5">
        <f>[1]Hybrid!AJ30</f>
        <v>410.2452313</v>
      </c>
      <c r="AL314" s="5">
        <f>[1]Hybrid!AK30</f>
        <v>380.74897170000003</v>
      </c>
      <c r="AM314" s="5">
        <f>[1]Hybrid!AL30</f>
        <v>353.14287619999999</v>
      </c>
      <c r="AN314" s="5">
        <f>[1]Hybrid!AM30</f>
        <v>327.34047420000002</v>
      </c>
      <c r="AO314" s="5">
        <f>[1]Hybrid!AN30</f>
        <v>303.25412249999999</v>
      </c>
      <c r="AP314" s="5">
        <f>[1]Hybrid!AO30</f>
        <v>280.79588000000001</v>
      </c>
      <c r="AQ314" s="5">
        <f>[1]Hybrid!AP30</f>
        <v>259.87843049999998</v>
      </c>
      <c r="AR314" s="5">
        <f>[1]Hybrid!AQ30</f>
        <v>240.41576040000001</v>
      </c>
      <c r="AS314" s="5">
        <f>[1]Hybrid!AR30</f>
        <v>222.3236656</v>
      </c>
      <c r="AT314" s="5">
        <f>[1]Hybrid!AS30</f>
        <v>205.52018430000001</v>
      </c>
      <c r="AU314" s="5">
        <f>[1]Hybrid!AT30</f>
        <v>189.9259874</v>
      </c>
      <c r="AV314" s="5">
        <f>[1]Hybrid!AU30</f>
        <v>175.46465799999999</v>
      </c>
      <c r="AW314" s="5">
        <f>[1]Hybrid!AV30</f>
        <v>162.06294700000001</v>
      </c>
      <c r="AX314" s="5">
        <f>[1]Hybrid!AW30</f>
        <v>149.6508274</v>
      </c>
      <c r="AY314" s="5">
        <f>[1]Hybrid!AX30</f>
        <v>138.16231329999999</v>
      </c>
      <c r="AZ314" s="5">
        <f>[1]Hybrid!AY30</f>
        <v>127.5455539</v>
      </c>
      <c r="BA314" s="5">
        <f>[1]Hybrid!AZ30</f>
        <v>117.7512636</v>
      </c>
      <c r="BB314" s="5">
        <f>[1]Hybrid!BA30</f>
        <v>112.4660597</v>
      </c>
      <c r="BC314" s="5">
        <f>[1]Hybrid!BB30</f>
        <v>103.8162528</v>
      </c>
      <c r="BD314" s="5">
        <f>[1]Hybrid!BC30</f>
        <v>95.817794160000005</v>
      </c>
      <c r="BE314" s="5">
        <f>[1]Hybrid!BD30</f>
        <v>88.424316970000007</v>
      </c>
      <c r="BF314" s="5">
        <f>[1]Hybrid!BE30</f>
        <v>81.592274309999993</v>
      </c>
    </row>
    <row r="315" spans="1:58" x14ac:dyDescent="0.35">
      <c r="B315" s="5" t="str">
        <f>[1]Hybrid!A32</f>
        <v>auto_ca_cele_2</v>
      </c>
      <c r="C315" s="5">
        <f>[1]Hybrid!B32</f>
        <v>9.8427898650000003</v>
      </c>
      <c r="D315" s="5">
        <f>[1]Hybrid!C32</f>
        <v>14.88336791</v>
      </c>
      <c r="E315" s="5">
        <f>[1]Hybrid!D32</f>
        <v>20.099707800000001</v>
      </c>
      <c r="F315" s="5">
        <f>[1]Hybrid!E32</f>
        <v>25.410254470000002</v>
      </c>
      <c r="G315" s="5">
        <f>[1]Hybrid!F32</f>
        <v>30.768277340000001</v>
      </c>
      <c r="H315" s="5">
        <f>[1]Hybrid!G32</f>
        <v>36.155382359999997</v>
      </c>
      <c r="I315" s="5">
        <f>[1]Hybrid!H32</f>
        <v>41.556219800000001</v>
      </c>
      <c r="J315" s="5">
        <f>[1]Hybrid!I32</f>
        <v>46.970321409999997</v>
      </c>
      <c r="K315" s="5">
        <f>[1]Hybrid!J32</f>
        <v>52.396808010000001</v>
      </c>
      <c r="L315" s="5">
        <f>[1]Hybrid!K32</f>
        <v>57.831013230000003</v>
      </c>
      <c r="M315" s="5">
        <f>[1]Hybrid!L32</f>
        <v>63.282903930000003</v>
      </c>
      <c r="N315" s="5">
        <f>[1]Hybrid!M32</f>
        <v>68.718922910000003</v>
      </c>
      <c r="O315" s="5">
        <f>[1]Hybrid!N32</f>
        <v>74.120493769999996</v>
      </c>
      <c r="P315" s="5">
        <f>[1]Hybrid!O32</f>
        <v>79.466858029999997</v>
      </c>
      <c r="Q315" s="5">
        <f>[1]Hybrid!P32</f>
        <v>84.733191550000001</v>
      </c>
      <c r="R315" s="5">
        <f>[1]Hybrid!Q32</f>
        <v>89.893597150000005</v>
      </c>
      <c r="S315" s="5">
        <f>[1]Hybrid!R32</f>
        <v>94.921029649999994</v>
      </c>
      <c r="T315" s="5">
        <f>[1]Hybrid!S32</f>
        <v>99.788711280000001</v>
      </c>
      <c r="U315" s="5">
        <f>[1]Hybrid!T32</f>
        <v>104.47053219999999</v>
      </c>
      <c r="V315" s="5">
        <f>[1]Hybrid!U32</f>
        <v>108.94094440000001</v>
      </c>
      <c r="W315" s="5">
        <f>[1]Hybrid!V32</f>
        <v>113.1614769</v>
      </c>
      <c r="X315" s="5">
        <f>[1]Hybrid!W32</f>
        <v>117.1224361</v>
      </c>
      <c r="Y315" s="5">
        <f>[1]Hybrid!X32</f>
        <v>120.7998923</v>
      </c>
      <c r="Z315" s="5">
        <f>[1]Hybrid!Y32</f>
        <v>124.1688133</v>
      </c>
      <c r="AA315" s="5">
        <f>[1]Hybrid!Z32</f>
        <v>127.20434760000001</v>
      </c>
      <c r="AB315" s="5">
        <f>[1]Hybrid!AA32</f>
        <v>129.8466018</v>
      </c>
      <c r="AC315" s="5">
        <f>[1]Hybrid!AB32</f>
        <v>132.08966520000001</v>
      </c>
      <c r="AD315" s="5">
        <f>[1]Hybrid!AC32</f>
        <v>133.90643560000001</v>
      </c>
      <c r="AE315" s="5">
        <f>[1]Hybrid!AD32</f>
        <v>135.2656514</v>
      </c>
      <c r="AF315" s="5">
        <f>[1]Hybrid!AE32</f>
        <v>136.13465199999999</v>
      </c>
      <c r="AG315" s="5">
        <f>[1]Hybrid!AF32</f>
        <v>136.47694369999999</v>
      </c>
      <c r="AH315" s="5">
        <f>[1]Hybrid!AG32</f>
        <v>136.2518178</v>
      </c>
      <c r="AI315" s="5">
        <f>[1]Hybrid!AH32</f>
        <v>135.4137422</v>
      </c>
      <c r="AJ315" s="5">
        <f>[1]Hybrid!AI32</f>
        <v>133.91177400000001</v>
      </c>
      <c r="AK315" s="5">
        <f>[1]Hybrid!AJ32</f>
        <v>131.68896119999999</v>
      </c>
      <c r="AL315" s="5">
        <f>[1]Hybrid!AK32</f>
        <v>128.68164039999999</v>
      </c>
      <c r="AM315" s="5">
        <f>[1]Hybrid!AL32</f>
        <v>124.8180886</v>
      </c>
      <c r="AN315" s="5">
        <f>[1]Hybrid!AM32</f>
        <v>120.0221133</v>
      </c>
      <c r="AO315" s="5">
        <f>[1]Hybrid!AN32</f>
        <v>114.209063</v>
      </c>
      <c r="AP315" s="5">
        <f>[1]Hybrid!AO32</f>
        <v>107.2849411</v>
      </c>
      <c r="AQ315" s="5">
        <f>[1]Hybrid!AP32</f>
        <v>99.145378789999995</v>
      </c>
      <c r="AR315" s="5">
        <f>[1]Hybrid!AQ32</f>
        <v>89.674567600000003</v>
      </c>
      <c r="AS315" s="5">
        <f>[1]Hybrid!AR32</f>
        <v>78.744357739999998</v>
      </c>
      <c r="AT315" s="5">
        <f>[1]Hybrid!AS32</f>
        <v>66.213028850000001</v>
      </c>
      <c r="AU315" s="5">
        <f>[1]Hybrid!AT32</f>
        <v>51.923813930000001</v>
      </c>
      <c r="AV315" s="5">
        <f>[1]Hybrid!AU32</f>
        <v>35.703363230000001</v>
      </c>
      <c r="AW315" s="5">
        <f>[1]Hybrid!AV32</f>
        <v>17.35810889</v>
      </c>
      <c r="AX315" s="5">
        <f>[1]Hybrid!AW32</f>
        <v>-3.3238272530000001</v>
      </c>
      <c r="AY315" s="5">
        <f>[1]Hybrid!AX32</f>
        <v>-23.170735709999999</v>
      </c>
      <c r="AZ315" s="5">
        <f>[1]Hybrid!AY32</f>
        <v>-42.198028059999999</v>
      </c>
      <c r="BA315" s="5">
        <f>[1]Hybrid!AZ32</f>
        <v>-60.459617180000002</v>
      </c>
      <c r="BB315" s="5">
        <f>[1]Hybrid!BA32</f>
        <v>99.339215170000003</v>
      </c>
      <c r="BC315" s="5">
        <f>[1]Hybrid!BB32</f>
        <v>86.987539580000004</v>
      </c>
      <c r="BD315" s="5">
        <f>[1]Hybrid!BC32</f>
        <v>73.015126519999995</v>
      </c>
      <c r="BE315" s="5">
        <f>[1]Hybrid!BD32</f>
        <v>57.267535199999998</v>
      </c>
      <c r="BF315" s="5">
        <f>[1]Hybrid!BE32</f>
        <v>39.574651529999997</v>
      </c>
    </row>
    <row r="316" spans="1:58" x14ac:dyDescent="0.35">
      <c r="B316" s="5" t="str">
        <f>[1]Hybrid!A34</f>
        <v>auto_cb_cele_2</v>
      </c>
      <c r="C316" s="5">
        <f>[1]Hybrid!B34</f>
        <v>11.44571741</v>
      </c>
      <c r="D316" s="5">
        <f>[1]Hybrid!C34</f>
        <v>16.199269149999999</v>
      </c>
      <c r="E316" s="5">
        <f>[1]Hybrid!D34</f>
        <v>21.11632749</v>
      </c>
      <c r="F316" s="5">
        <f>[1]Hybrid!E34</f>
        <v>26.117229989999998</v>
      </c>
      <c r="G316" s="5">
        <f>[1]Hybrid!F34</f>
        <v>31.156065389999998</v>
      </c>
      <c r="H316" s="5">
        <f>[1]Hybrid!G34</f>
        <v>36.21396163</v>
      </c>
      <c r="I316" s="5">
        <f>[1]Hybrid!H34</f>
        <v>41.274722590000003</v>
      </c>
      <c r="J316" s="5">
        <f>[1]Hybrid!I34</f>
        <v>46.33606674</v>
      </c>
      <c r="K316" s="5">
        <f>[1]Hybrid!J34</f>
        <v>51.395145679999999</v>
      </c>
      <c r="L316" s="5">
        <f>[1]Hybrid!K34</f>
        <v>56.445373109999998</v>
      </c>
      <c r="M316" s="5">
        <f>[1]Hybrid!L34</f>
        <v>61.493856940000001</v>
      </c>
      <c r="N316" s="5">
        <f>[1]Hybrid!M34</f>
        <v>66.506663840000002</v>
      </c>
      <c r="O316" s="5">
        <f>[1]Hybrid!N34</f>
        <v>71.464005080000007</v>
      </c>
      <c r="P316" s="5">
        <f>[1]Hybrid!O34</f>
        <v>76.344319470000002</v>
      </c>
      <c r="Q316" s="5">
        <f>[1]Hybrid!P34</f>
        <v>81.122453739999997</v>
      </c>
      <c r="R316" s="5">
        <f>[1]Hybrid!Q34</f>
        <v>85.772520040000003</v>
      </c>
      <c r="S316" s="5">
        <f>[1]Hybrid!R34</f>
        <v>90.267848959999995</v>
      </c>
      <c r="T316" s="5">
        <f>[1]Hybrid!S34</f>
        <v>94.58230562</v>
      </c>
      <c r="U316" s="5">
        <f>[1]Hybrid!T34</f>
        <v>98.690689599999999</v>
      </c>
      <c r="V316" s="5">
        <f>[1]Hybrid!U34</f>
        <v>102.56862719999999</v>
      </c>
      <c r="W316" s="5">
        <f>[1]Hybrid!V34</f>
        <v>106.18043659999999</v>
      </c>
      <c r="X316" s="5">
        <f>[1]Hybrid!W34</f>
        <v>109.51671210000001</v>
      </c>
      <c r="Y316" s="5">
        <f>[1]Hybrid!X34</f>
        <v>112.5554925</v>
      </c>
      <c r="Z316" s="5">
        <f>[1]Hybrid!Y34</f>
        <v>115.2739998</v>
      </c>
      <c r="AA316" s="5">
        <f>[1]Hybrid!Z34</f>
        <v>117.64985129999999</v>
      </c>
      <c r="AB316" s="5">
        <f>[1]Hybrid!AA34</f>
        <v>119.63054200000001</v>
      </c>
      <c r="AC316" s="5">
        <f>[1]Hybrid!AB34</f>
        <v>121.2109411</v>
      </c>
      <c r="AD316" s="5">
        <f>[1]Hybrid!AC34</f>
        <v>122.3677934</v>
      </c>
      <c r="AE316" s="5">
        <f>[1]Hybrid!AD34</f>
        <v>123.0743445</v>
      </c>
      <c r="AF316" s="5">
        <f>[1]Hybrid!AE34</f>
        <v>123.30282219999999</v>
      </c>
      <c r="AG316" s="5">
        <f>[1]Hybrid!AF34</f>
        <v>123.022374</v>
      </c>
      <c r="AH316" s="5">
        <f>[1]Hybrid!AG34</f>
        <v>122.1987817</v>
      </c>
      <c r="AI316" s="5">
        <f>[1]Hybrid!AH34</f>
        <v>120.794009</v>
      </c>
      <c r="AJ316" s="5">
        <f>[1]Hybrid!AI34</f>
        <v>118.76576710000001</v>
      </c>
      <c r="AK316" s="5">
        <f>[1]Hybrid!AJ34</f>
        <v>116.0670927</v>
      </c>
      <c r="AL316" s="5">
        <f>[1]Hybrid!AK34</f>
        <v>112.64586060000001</v>
      </c>
      <c r="AM316" s="5">
        <f>[1]Hybrid!AL34</f>
        <v>108.4444396</v>
      </c>
      <c r="AN316" s="5">
        <f>[1]Hybrid!AM34</f>
        <v>103.4016817</v>
      </c>
      <c r="AO316" s="5">
        <f>[1]Hybrid!AN34</f>
        <v>97.450256809999999</v>
      </c>
      <c r="AP316" s="5">
        <f>[1]Hybrid!AO34</f>
        <v>90.516027109999996</v>
      </c>
      <c r="AQ316" s="5">
        <f>[1]Hybrid!AP34</f>
        <v>82.51733222</v>
      </c>
      <c r="AR316" s="5">
        <f>[1]Hybrid!AQ34</f>
        <v>73.364301150000003</v>
      </c>
      <c r="AS316" s="5">
        <f>[1]Hybrid!AR34</f>
        <v>62.958387010000003</v>
      </c>
      <c r="AT316" s="5">
        <f>[1]Hybrid!AS34</f>
        <v>51.19162231</v>
      </c>
      <c r="AU316" s="5">
        <f>[1]Hybrid!AT34</f>
        <v>37.945677940000003</v>
      </c>
      <c r="AV316" s="5">
        <f>[1]Hybrid!AU34</f>
        <v>23.09094009</v>
      </c>
      <c r="AW316" s="5">
        <f>[1]Hybrid!AV34</f>
        <v>6.4836569050000001</v>
      </c>
      <c r="AX316" s="5">
        <f>[1]Hybrid!AW34</f>
        <v>-12.03163674</v>
      </c>
      <c r="AY316" s="5">
        <f>[1]Hybrid!AX34</f>
        <v>-29.798937240000001</v>
      </c>
      <c r="AZ316" s="5">
        <f>[1]Hybrid!AY34</f>
        <v>-46.831033050000002</v>
      </c>
      <c r="BA316" s="5">
        <f>[1]Hybrid!AZ34</f>
        <v>-63.17745266</v>
      </c>
      <c r="BB316" s="5">
        <f>[1]Hybrid!BA34</f>
        <v>75.420396510000003</v>
      </c>
      <c r="BC316" s="5">
        <f>[1]Hybrid!BB34</f>
        <v>63.977383179999997</v>
      </c>
      <c r="BD316" s="5">
        <f>[1]Hybrid!BC34</f>
        <v>51.223632559999999</v>
      </c>
      <c r="BE316" s="5">
        <f>[1]Hybrid!BD34</f>
        <v>37.049375359999999</v>
      </c>
      <c r="BF316" s="5">
        <f>[1]Hybrid!BE34</f>
        <v>21.33479221</v>
      </c>
    </row>
    <row r="317" spans="1:58" x14ac:dyDescent="0.35">
      <c r="B317" s="5" t="str">
        <f>[1]Hybrid!A36</f>
        <v>auto_cc_cele_2</v>
      </c>
      <c r="C317" s="5">
        <f>[1]Hybrid!B36</f>
        <v>9.4015406210000005</v>
      </c>
      <c r="D317" s="5">
        <f>[1]Hybrid!C36</f>
        <v>12.6288404</v>
      </c>
      <c r="E317" s="5">
        <f>[1]Hybrid!D36</f>
        <v>15.96597843</v>
      </c>
      <c r="F317" s="5">
        <f>[1]Hybrid!E36</f>
        <v>19.35688656</v>
      </c>
      <c r="G317" s="5">
        <f>[1]Hybrid!F36</f>
        <v>22.769081629999999</v>
      </c>
      <c r="H317" s="5">
        <f>[1]Hybrid!G36</f>
        <v>26.188695639999999</v>
      </c>
      <c r="I317" s="5">
        <f>[1]Hybrid!H36</f>
        <v>29.60356131</v>
      </c>
      <c r="J317" s="5">
        <f>[1]Hybrid!I36</f>
        <v>33.010911559999997</v>
      </c>
      <c r="K317" s="5">
        <f>[1]Hybrid!J36</f>
        <v>36.407493150000001</v>
      </c>
      <c r="L317" s="5">
        <f>[1]Hybrid!K36</f>
        <v>39.787422290000002</v>
      </c>
      <c r="M317" s="5">
        <f>[1]Hybrid!L36</f>
        <v>43.15408437</v>
      </c>
      <c r="N317" s="5">
        <f>[1]Hybrid!M36</f>
        <v>46.482982370000002</v>
      </c>
      <c r="O317" s="5">
        <f>[1]Hybrid!N36</f>
        <v>49.75928304</v>
      </c>
      <c r="P317" s="5">
        <f>[1]Hybrid!O36</f>
        <v>52.967166829999996</v>
      </c>
      <c r="Q317" s="5">
        <f>[1]Hybrid!P36</f>
        <v>56.088561310000003</v>
      </c>
      <c r="R317" s="5">
        <f>[1]Hybrid!Q36</f>
        <v>59.105106399999997</v>
      </c>
      <c r="S317" s="5">
        <f>[1]Hybrid!R36</f>
        <v>61.998136580000001</v>
      </c>
      <c r="T317" s="5">
        <f>[1]Hybrid!S36</f>
        <v>64.74956272</v>
      </c>
      <c r="U317" s="5">
        <f>[1]Hybrid!T36</f>
        <v>67.342155969999993</v>
      </c>
      <c r="V317" s="5">
        <f>[1]Hybrid!U36</f>
        <v>69.759467430000001</v>
      </c>
      <c r="W317" s="5">
        <f>[1]Hybrid!V36</f>
        <v>71.977942720000001</v>
      </c>
      <c r="X317" s="5">
        <f>[1]Hybrid!W36</f>
        <v>73.991374120000003</v>
      </c>
      <c r="Y317" s="5">
        <f>[1]Hybrid!X36</f>
        <v>75.785591190000005</v>
      </c>
      <c r="Z317" s="5">
        <f>[1]Hybrid!Y36</f>
        <v>77.346036679999997</v>
      </c>
      <c r="AA317" s="5">
        <f>[1]Hybrid!Z36</f>
        <v>78.658591529999995</v>
      </c>
      <c r="AB317" s="5">
        <f>[1]Hybrid!AA36</f>
        <v>79.69047295</v>
      </c>
      <c r="AC317" s="5">
        <f>[1]Hybrid!AB36</f>
        <v>80.438964080000005</v>
      </c>
      <c r="AD317" s="5">
        <f>[1]Hybrid!AC36</f>
        <v>80.890183300000004</v>
      </c>
      <c r="AE317" s="5">
        <f>[1]Hybrid!AD36</f>
        <v>81.028163860000006</v>
      </c>
      <c r="AF317" s="5">
        <f>[1]Hybrid!AE36</f>
        <v>80.836463170000002</v>
      </c>
      <c r="AG317" s="5">
        <f>[1]Hybrid!AF36</f>
        <v>80.296903240000006</v>
      </c>
      <c r="AH317" s="5">
        <f>[1]Hybrid!AG36</f>
        <v>79.389423859999994</v>
      </c>
      <c r="AI317" s="5">
        <f>[1]Hybrid!AH36</f>
        <v>78.091847970000003</v>
      </c>
      <c r="AJ317" s="5">
        <f>[1]Hybrid!AI36</f>
        <v>76.379659250000003</v>
      </c>
      <c r="AK317" s="5">
        <f>[1]Hybrid!AJ36</f>
        <v>74.225798920000003</v>
      </c>
      <c r="AL317" s="5">
        <f>[1]Hybrid!AK36</f>
        <v>71.600435509999997</v>
      </c>
      <c r="AM317" s="5">
        <f>[1]Hybrid!AL36</f>
        <v>68.471217260000003</v>
      </c>
      <c r="AN317" s="5">
        <f>[1]Hybrid!AM36</f>
        <v>64.803872240000004</v>
      </c>
      <c r="AO317" s="5">
        <f>[1]Hybrid!AN36</f>
        <v>60.560997659999998</v>
      </c>
      <c r="AP317" s="5">
        <f>[1]Hybrid!AO36</f>
        <v>55.701752910000003</v>
      </c>
      <c r="AQ317" s="5">
        <f>[1]Hybrid!AP36</f>
        <v>50.181510809999999</v>
      </c>
      <c r="AR317" s="5">
        <f>[1]Hybrid!AQ36</f>
        <v>43.951557970000003</v>
      </c>
      <c r="AS317" s="5">
        <f>[1]Hybrid!AR36</f>
        <v>36.958974990000002</v>
      </c>
      <c r="AT317" s="5">
        <f>[1]Hybrid!AS36</f>
        <v>29.146344620000001</v>
      </c>
      <c r="AU317" s="5">
        <f>[1]Hybrid!AT36</f>
        <v>20.451341249999999</v>
      </c>
      <c r="AV317" s="5">
        <f>[1]Hybrid!AU36</f>
        <v>10.806366239999999</v>
      </c>
      <c r="AW317" s="5">
        <f>[1]Hybrid!AV36</f>
        <v>0.13692159079999999</v>
      </c>
      <c r="AX317" s="5">
        <f>[1]Hybrid!AW36</f>
        <v>-11.63650223</v>
      </c>
      <c r="AY317" s="5">
        <f>[1]Hybrid!AX36</f>
        <v>-22.931901790000001</v>
      </c>
      <c r="AZ317" s="5">
        <f>[1]Hybrid!AY36</f>
        <v>-33.752109320000002</v>
      </c>
      <c r="BA317" s="5">
        <f>[1]Hybrid!AZ36</f>
        <v>-44.135334190000002</v>
      </c>
      <c r="BB317" s="5">
        <f>[1]Hybrid!BA36</f>
        <v>41.767990060000002</v>
      </c>
      <c r="BC317" s="5">
        <f>[1]Hybrid!BB36</f>
        <v>34.301015939999999</v>
      </c>
      <c r="BD317" s="5">
        <f>[1]Hybrid!BC36</f>
        <v>26.084829039999999</v>
      </c>
      <c r="BE317" s="5">
        <f>[1]Hybrid!BD36</f>
        <v>17.065230100000001</v>
      </c>
      <c r="BF317" s="5">
        <f>[1]Hybrid!BE36</f>
        <v>7.1835929309999997</v>
      </c>
    </row>
    <row r="318" spans="1:58" x14ac:dyDescent="0.35">
      <c r="B318" s="5" t="str">
        <f>[1]Hybrid!A38</f>
        <v>auto_cd_cele_2</v>
      </c>
      <c r="C318" s="5">
        <f>[1]Hybrid!B38</f>
        <v>5.770071272</v>
      </c>
      <c r="D318" s="5">
        <f>[1]Hybrid!C38</f>
        <v>7.5346235500000001</v>
      </c>
      <c r="E318" s="5">
        <f>[1]Hybrid!D38</f>
        <v>9.3507542739999998</v>
      </c>
      <c r="F318" s="5">
        <f>[1]Hybrid!E38</f>
        <v>11.180976680000001</v>
      </c>
      <c r="G318" s="5">
        <f>[1]Hybrid!F38</f>
        <v>13.001033420000001</v>
      </c>
      <c r="H318" s="5">
        <f>[1]Hybrid!G38</f>
        <v>14.79792436</v>
      </c>
      <c r="I318" s="5">
        <f>[1]Hybrid!H38</f>
        <v>16.56111645</v>
      </c>
      <c r="J318" s="5">
        <f>[1]Hybrid!I38</f>
        <v>18.286688389999998</v>
      </c>
      <c r="K318" s="5">
        <f>[1]Hybrid!J38</f>
        <v>19.971868319999999</v>
      </c>
      <c r="L318" s="5">
        <f>[1]Hybrid!K38</f>
        <v>21.613657740000001</v>
      </c>
      <c r="M318" s="5">
        <f>[1]Hybrid!L38</f>
        <v>23.214578289999999</v>
      </c>
      <c r="N318" s="5">
        <f>[1]Hybrid!M38</f>
        <v>24.763989760000001</v>
      </c>
      <c r="O318" s="5">
        <f>[1]Hybrid!N38</f>
        <v>26.256870960000001</v>
      </c>
      <c r="P318" s="5">
        <f>[1]Hybrid!O38</f>
        <v>27.688469690000002</v>
      </c>
      <c r="Q318" s="5">
        <f>[1]Hybrid!P38</f>
        <v>29.053440009999999</v>
      </c>
      <c r="R318" s="5">
        <f>[1]Hybrid!Q38</f>
        <v>30.346743740000001</v>
      </c>
      <c r="S318" s="5">
        <f>[1]Hybrid!R38</f>
        <v>31.56361661</v>
      </c>
      <c r="T318" s="5">
        <f>[1]Hybrid!S38</f>
        <v>32.699956159999999</v>
      </c>
      <c r="U318" s="5">
        <f>[1]Hybrid!T38</f>
        <v>33.75239655</v>
      </c>
      <c r="V318" s="5">
        <f>[1]Hybrid!U38</f>
        <v>34.718215219999998</v>
      </c>
      <c r="W318" s="5">
        <f>[1]Hybrid!V38</f>
        <v>35.591758929999997</v>
      </c>
      <c r="X318" s="5">
        <f>[1]Hybrid!W38</f>
        <v>36.375491629999999</v>
      </c>
      <c r="Y318" s="5">
        <f>[1]Hybrid!X38</f>
        <v>37.068554050000003</v>
      </c>
      <c r="Z318" s="5">
        <f>[1]Hybrid!Y38</f>
        <v>37.670114050000002</v>
      </c>
      <c r="AA318" s="5">
        <f>[1]Hybrid!Z38</f>
        <v>38.179887690000001</v>
      </c>
      <c r="AB318" s="5">
        <f>[1]Hybrid!AA38</f>
        <v>38.58935589</v>
      </c>
      <c r="AC318" s="5">
        <f>[1]Hybrid!AB38</f>
        <v>38.904202840000004</v>
      </c>
      <c r="AD318" s="5">
        <f>[1]Hybrid!AC38</f>
        <v>39.125482099999999</v>
      </c>
      <c r="AE318" s="5">
        <f>[1]Hybrid!AD38</f>
        <v>39.253578109999999</v>
      </c>
      <c r="AF318" s="5">
        <f>[1]Hybrid!AE38</f>
        <v>39.289235249999997</v>
      </c>
      <c r="AG318" s="5">
        <f>[1]Hybrid!AF38</f>
        <v>39.233036140000003</v>
      </c>
      <c r="AH318" s="5">
        <f>[1]Hybrid!AG38</f>
        <v>39.085416090000002</v>
      </c>
      <c r="AI318" s="5">
        <f>[1]Hybrid!AH38</f>
        <v>38.84663947</v>
      </c>
      <c r="AJ318" s="5">
        <f>[1]Hybrid!AI38</f>
        <v>38.516808830000002</v>
      </c>
      <c r="AK318" s="5">
        <f>[1]Hybrid!AJ38</f>
        <v>38.095895710000001</v>
      </c>
      <c r="AL318" s="5">
        <f>[1]Hybrid!AK38</f>
        <v>37.58375118</v>
      </c>
      <c r="AM318" s="5">
        <f>[1]Hybrid!AL38</f>
        <v>36.979448099999999</v>
      </c>
      <c r="AN318" s="5">
        <f>[1]Hybrid!AM38</f>
        <v>36.283067340000002</v>
      </c>
      <c r="AO318" s="5">
        <f>[1]Hybrid!AN38</f>
        <v>35.494574610000001</v>
      </c>
      <c r="AP318" s="5">
        <f>[1]Hybrid!AO38</f>
        <v>34.613853370000001</v>
      </c>
      <c r="AQ318" s="5">
        <f>[1]Hybrid!AP38</f>
        <v>33.64075304</v>
      </c>
      <c r="AR318" s="5">
        <f>[1]Hybrid!AQ38</f>
        <v>32.575111280000002</v>
      </c>
      <c r="AS318" s="5">
        <f>[1]Hybrid!AR38</f>
        <v>31.416764969999999</v>
      </c>
      <c r="AT318" s="5">
        <f>[1]Hybrid!AS38</f>
        <v>30.165574110000001</v>
      </c>
      <c r="AU318" s="5">
        <f>[1]Hybrid!AT38</f>
        <v>28.821452659999999</v>
      </c>
      <c r="AV318" s="5">
        <f>[1]Hybrid!AU38</f>
        <v>27.384393339999999</v>
      </c>
      <c r="AW318" s="5">
        <f>[1]Hybrid!AV38</f>
        <v>25.854448090000002</v>
      </c>
      <c r="AX318" s="5">
        <f>[1]Hybrid!AW38</f>
        <v>24.231829279999999</v>
      </c>
      <c r="AY318" s="5">
        <f>[1]Hybrid!AX38</f>
        <v>22.680865699999998</v>
      </c>
      <c r="AZ318" s="5">
        <f>[1]Hybrid!AY38</f>
        <v>21.214328170000002</v>
      </c>
      <c r="BA318" s="5">
        <f>[1]Hybrid!AZ38</f>
        <v>19.81046091</v>
      </c>
      <c r="BB318" s="5">
        <f>[1]Hybrid!BA38</f>
        <v>33.875114490000001</v>
      </c>
      <c r="BC318" s="5">
        <f>[1]Hybrid!BB38</f>
        <v>32.826666979999999</v>
      </c>
      <c r="BD318" s="5">
        <f>[1]Hybrid!BC38</f>
        <v>31.723283139999999</v>
      </c>
      <c r="BE318" s="5">
        <f>[1]Hybrid!BD38</f>
        <v>30.565733399999999</v>
      </c>
      <c r="BF318" s="5">
        <f>[1]Hybrid!BE38</f>
        <v>29.35484288</v>
      </c>
    </row>
    <row r="319" spans="1:58" x14ac:dyDescent="0.35">
      <c r="B319" s="5" t="str">
        <f>[1]Hybrid!A40</f>
        <v>auto_ce_cele_2</v>
      </c>
      <c r="C319" s="5">
        <f>[1]Hybrid!B40</f>
        <v>3.4730440960000002</v>
      </c>
      <c r="D319" s="5">
        <f>[1]Hybrid!C40</f>
        <v>4.5571132990000001</v>
      </c>
      <c r="E319" s="5">
        <f>[1]Hybrid!D40</f>
        <v>5.6652505800000004</v>
      </c>
      <c r="F319" s="5">
        <f>[1]Hybrid!E40</f>
        <v>6.7726735219999998</v>
      </c>
      <c r="G319" s="5">
        <f>[1]Hybrid!F40</f>
        <v>7.8631185180000003</v>
      </c>
      <c r="H319" s="5">
        <f>[1]Hybrid!G40</f>
        <v>8.9274366080000007</v>
      </c>
      <c r="I319" s="5">
        <f>[1]Hybrid!H40</f>
        <v>9.9582218709999992</v>
      </c>
      <c r="J319" s="5">
        <f>[1]Hybrid!I40</f>
        <v>10.952239000000001</v>
      </c>
      <c r="K319" s="5">
        <f>[1]Hybrid!J40</f>
        <v>11.907174850000001</v>
      </c>
      <c r="L319" s="5">
        <f>[1]Hybrid!K40</f>
        <v>12.82078802</v>
      </c>
      <c r="M319" s="5">
        <f>[1]Hybrid!L40</f>
        <v>13.69414617</v>
      </c>
      <c r="N319" s="5">
        <f>[1]Hybrid!M40</f>
        <v>14.521062150000001</v>
      </c>
      <c r="O319" s="5">
        <f>[1]Hybrid!N40</f>
        <v>15.29872333</v>
      </c>
      <c r="P319" s="5">
        <f>[1]Hybrid!O40</f>
        <v>16.024766639999999</v>
      </c>
      <c r="Q319" s="5">
        <f>[1]Hybrid!P40</f>
        <v>16.69671074</v>
      </c>
      <c r="R319" s="5">
        <f>[1]Hybrid!Q40</f>
        <v>17.31244873</v>
      </c>
      <c r="S319" s="5">
        <f>[1]Hybrid!R40</f>
        <v>17.87021391</v>
      </c>
      <c r="T319" s="5">
        <f>[1]Hybrid!S40</f>
        <v>18.368760569999999</v>
      </c>
      <c r="U319" s="5">
        <f>[1]Hybrid!T40</f>
        <v>18.807387039999998</v>
      </c>
      <c r="V319" s="5">
        <f>[1]Hybrid!U40</f>
        <v>19.185855400000001</v>
      </c>
      <c r="W319" s="5">
        <f>[1]Hybrid!V40</f>
        <v>19.50265418</v>
      </c>
      <c r="X319" s="5">
        <f>[1]Hybrid!W40</f>
        <v>19.760306459999999</v>
      </c>
      <c r="Y319" s="5">
        <f>[1]Hybrid!X40</f>
        <v>19.959807130000002</v>
      </c>
      <c r="Z319" s="5">
        <f>[1]Hybrid!Y40</f>
        <v>20.102182880000001</v>
      </c>
      <c r="AA319" s="5">
        <f>[1]Hybrid!Z40</f>
        <v>20.188767049999999</v>
      </c>
      <c r="AB319" s="5">
        <f>[1]Hybrid!AA40</f>
        <v>20.21738255</v>
      </c>
      <c r="AC319" s="5">
        <f>[1]Hybrid!AB40</f>
        <v>20.1921611</v>
      </c>
      <c r="AD319" s="5">
        <f>[1]Hybrid!AC40</f>
        <v>20.115255090000002</v>
      </c>
      <c r="AE319" s="5">
        <f>[1]Hybrid!AD40</f>
        <v>19.988477719999999</v>
      </c>
      <c r="AF319" s="5">
        <f>[1]Hybrid!AE40</f>
        <v>19.813794909999999</v>
      </c>
      <c r="AG319" s="5">
        <f>[1]Hybrid!AF40</f>
        <v>19.593104520000001</v>
      </c>
      <c r="AH319" s="5">
        <f>[1]Hybrid!AG40</f>
        <v>19.328246499999999</v>
      </c>
      <c r="AI319" s="5">
        <f>[1]Hybrid!AH40</f>
        <v>19.021001290000001</v>
      </c>
      <c r="AJ319" s="5">
        <f>[1]Hybrid!AI40</f>
        <v>18.673100120000001</v>
      </c>
      <c r="AK319" s="5">
        <f>[1]Hybrid!AJ40</f>
        <v>18.286245300000001</v>
      </c>
      <c r="AL319" s="5">
        <f>[1]Hybrid!AK40</f>
        <v>17.86212184</v>
      </c>
      <c r="AM319" s="5">
        <f>[1]Hybrid!AL40</f>
        <v>17.402228019999999</v>
      </c>
      <c r="AN319" s="5">
        <f>[1]Hybrid!AM40</f>
        <v>16.908419469999998</v>
      </c>
      <c r="AO319" s="5">
        <f>[1]Hybrid!AN40</f>
        <v>16.382542579999999</v>
      </c>
      <c r="AP319" s="5">
        <f>[1]Hybrid!AO40</f>
        <v>15.82644206</v>
      </c>
      <c r="AQ319" s="5">
        <f>[1]Hybrid!AP40</f>
        <v>15.24197582</v>
      </c>
      <c r="AR319" s="5">
        <f>[1]Hybrid!AQ40</f>
        <v>14.631021840000001</v>
      </c>
      <c r="AS319" s="5">
        <f>[1]Hybrid!AR40</f>
        <v>13.995484230000001</v>
      </c>
      <c r="AT319" s="5">
        <f>[1]Hybrid!AS40</f>
        <v>13.33729975</v>
      </c>
      <c r="AU319" s="5">
        <f>[1]Hybrid!AT40</f>
        <v>12.65844324</v>
      </c>
      <c r="AV319" s="5">
        <f>[1]Hybrid!AU40</f>
        <v>11.960931520000001</v>
      </c>
      <c r="AW319" s="5">
        <f>[1]Hybrid!AV40</f>
        <v>11.246796399999999</v>
      </c>
      <c r="AX319" s="5">
        <f>[1]Hybrid!AW40</f>
        <v>10.51813437</v>
      </c>
      <c r="AY319" s="5">
        <f>[1]Hybrid!AX40</f>
        <v>9.8250644180000002</v>
      </c>
      <c r="AZ319" s="5">
        <f>[1]Hybrid!AY40</f>
        <v>9.1808625050000003</v>
      </c>
      <c r="BA319" s="5">
        <f>[1]Hybrid!AZ40</f>
        <v>8.5661940689999998</v>
      </c>
      <c r="BB319" s="5">
        <f>[1]Hybrid!BA40</f>
        <v>13.85018971</v>
      </c>
      <c r="BC319" s="5">
        <f>[1]Hybrid!BB40</f>
        <v>13.3144727</v>
      </c>
      <c r="BD319" s="5">
        <f>[1]Hybrid!BC40</f>
        <v>12.772281039999999</v>
      </c>
      <c r="BE319" s="5">
        <f>[1]Hybrid!BD40</f>
        <v>12.22493592</v>
      </c>
      <c r="BF319" s="5">
        <f>[1]Hybrid!BE40</f>
        <v>11.673745009999999</v>
      </c>
    </row>
    <row r="320" spans="1:58" x14ac:dyDescent="0.35">
      <c r="B320" s="5" t="str">
        <f>[1]Hybrid!A42</f>
        <v>auto_cf_cele_2</v>
      </c>
      <c r="C320" s="5">
        <f>[1]Hybrid!B42</f>
        <v>1.7251505170000001</v>
      </c>
      <c r="D320" s="5">
        <f>[1]Hybrid!C42</f>
        <v>2.2415230159999999</v>
      </c>
      <c r="E320" s="5">
        <f>[1]Hybrid!D42</f>
        <v>2.7579179319999998</v>
      </c>
      <c r="F320" s="5">
        <f>[1]Hybrid!E42</f>
        <v>3.2592348590000002</v>
      </c>
      <c r="G320" s="5">
        <f>[1]Hybrid!F42</f>
        <v>3.7353287630000001</v>
      </c>
      <c r="H320" s="5">
        <f>[1]Hybrid!G42</f>
        <v>4.1802496639999998</v>
      </c>
      <c r="I320" s="5">
        <f>[1]Hybrid!H42</f>
        <v>4.589753483</v>
      </c>
      <c r="J320" s="5">
        <f>[1]Hybrid!I42</f>
        <v>4.9622219830000001</v>
      </c>
      <c r="K320" s="5">
        <f>[1]Hybrid!J42</f>
        <v>5.297130718</v>
      </c>
      <c r="L320" s="5">
        <f>[1]Hybrid!K42</f>
        <v>5.5945180360000002</v>
      </c>
      <c r="M320" s="5">
        <f>[1]Hybrid!L42</f>
        <v>5.8560113019999998</v>
      </c>
      <c r="N320" s="5">
        <f>[1]Hybrid!M42</f>
        <v>6.0809690429999996</v>
      </c>
      <c r="O320" s="5">
        <f>[1]Hybrid!N42</f>
        <v>6.2702279689999996</v>
      </c>
      <c r="P320" s="5">
        <f>[1]Hybrid!O42</f>
        <v>6.4250667049999999</v>
      </c>
      <c r="Q320" s="5">
        <f>[1]Hybrid!P42</f>
        <v>6.5468597669999999</v>
      </c>
      <c r="R320" s="5">
        <f>[1]Hybrid!Q42</f>
        <v>6.6371882490000003</v>
      </c>
      <c r="S320" s="5">
        <f>[1]Hybrid!R42</f>
        <v>6.6977815879999998</v>
      </c>
      <c r="T320" s="5">
        <f>[1]Hybrid!S42</f>
        <v>6.7305222049999998</v>
      </c>
      <c r="U320" s="5">
        <f>[1]Hybrid!T42</f>
        <v>6.7374129700000003</v>
      </c>
      <c r="V320" s="5">
        <f>[1]Hybrid!U42</f>
        <v>6.7205146759999996</v>
      </c>
      <c r="W320" s="5">
        <f>[1]Hybrid!V42</f>
        <v>6.6815499159999998</v>
      </c>
      <c r="X320" s="5">
        <f>[1]Hybrid!W42</f>
        <v>6.6230265209999999</v>
      </c>
      <c r="Y320" s="5">
        <f>[1]Hybrid!X42</f>
        <v>6.5470057190000004</v>
      </c>
      <c r="Z320" s="5">
        <f>[1]Hybrid!Y42</f>
        <v>6.4554103229999997</v>
      </c>
      <c r="AA320" s="5">
        <f>[1]Hybrid!Z42</f>
        <v>6.3501046910000003</v>
      </c>
      <c r="AB320" s="5">
        <f>[1]Hybrid!AA42</f>
        <v>6.2322651960000002</v>
      </c>
      <c r="AC320" s="5">
        <f>[1]Hybrid!AB42</f>
        <v>6.1040281460000001</v>
      </c>
      <c r="AD320" s="5">
        <f>[1]Hybrid!AC42</f>
        <v>5.9670794950000001</v>
      </c>
      <c r="AE320" s="5">
        <f>[1]Hybrid!AD42</f>
        <v>5.8228944550000001</v>
      </c>
      <c r="AF320" s="5">
        <f>[1]Hybrid!AE42</f>
        <v>5.6728513669999998</v>
      </c>
      <c r="AG320" s="5">
        <f>[1]Hybrid!AF42</f>
        <v>5.5182042359999999</v>
      </c>
      <c r="AH320" s="5">
        <f>[1]Hybrid!AG42</f>
        <v>5.3600918919999998</v>
      </c>
      <c r="AI320" s="5">
        <f>[1]Hybrid!AH42</f>
        <v>5.1995457370000002</v>
      </c>
      <c r="AJ320" s="5">
        <f>[1]Hybrid!AI42</f>
        <v>5.0374982839999998</v>
      </c>
      <c r="AK320" s="5">
        <f>[1]Hybrid!AJ42</f>
        <v>4.8747925439999999</v>
      </c>
      <c r="AL320" s="5">
        <f>[1]Hybrid!AK42</f>
        <v>4.7121888539999999</v>
      </c>
      <c r="AM320" s="5">
        <f>[1]Hybrid!AL42</f>
        <v>4.5503518400000003</v>
      </c>
      <c r="AN320" s="5">
        <f>[1]Hybrid!AM42</f>
        <v>4.3899095399999997</v>
      </c>
      <c r="AO320" s="5">
        <f>[1]Hybrid!AN42</f>
        <v>4.2314167930000002</v>
      </c>
      <c r="AP320" s="5">
        <f>[1]Hybrid!AO42</f>
        <v>4.0753590270000002</v>
      </c>
      <c r="AQ320" s="5">
        <f>[1]Hybrid!AP42</f>
        <v>3.9221578340000001</v>
      </c>
      <c r="AR320" s="5">
        <f>[1]Hybrid!AQ42</f>
        <v>3.7721751960000001</v>
      </c>
      <c r="AS320" s="5">
        <f>[1]Hybrid!AR42</f>
        <v>3.6257170470000002</v>
      </c>
      <c r="AT320" s="5">
        <f>[1]Hybrid!AS42</f>
        <v>3.4830370230000001</v>
      </c>
      <c r="AU320" s="5">
        <f>[1]Hybrid!AT42</f>
        <v>3.344340453</v>
      </c>
      <c r="AV320" s="5">
        <f>[1]Hybrid!AU42</f>
        <v>3.2097879790000001</v>
      </c>
      <c r="AW320" s="5">
        <f>[1]Hybrid!AV42</f>
        <v>3.079498869</v>
      </c>
      <c r="AX320" s="5">
        <f>[1]Hybrid!AW42</f>
        <v>2.953554537</v>
      </c>
      <c r="AY320" s="5">
        <f>[1]Hybrid!AX42</f>
        <v>2.8388650599999998</v>
      </c>
      <c r="AZ320" s="5">
        <f>[1]Hybrid!AY42</f>
        <v>2.7493522370000001</v>
      </c>
      <c r="BA320" s="5">
        <f>[1]Hybrid!AZ42</f>
        <v>2.6671038469999999</v>
      </c>
      <c r="BB320" s="5">
        <f>[1]Hybrid!BA42</f>
        <v>2.8822763779999998</v>
      </c>
      <c r="BC320" s="5">
        <f>[1]Hybrid!BB42</f>
        <v>2.7701985680000001</v>
      </c>
      <c r="BD320" s="5">
        <f>[1]Hybrid!BC42</f>
        <v>2.6618247959999999</v>
      </c>
      <c r="BE320" s="5">
        <f>[1]Hybrid!BD42</f>
        <v>2.5571370870000001</v>
      </c>
      <c r="BF320" s="5">
        <f>[1]Hybrid!BE42</f>
        <v>2.456102048</v>
      </c>
    </row>
    <row r="321" spans="1:58" x14ac:dyDescent="0.35">
      <c r="B321" s="5" t="str">
        <f>[1]Hybrid!A44</f>
        <v>auto_cg_cele_2</v>
      </c>
      <c r="C321" s="5">
        <f>[1]Hybrid!B44</f>
        <v>3.1066862139999998</v>
      </c>
      <c r="D321" s="5">
        <f>[1]Hybrid!C44</f>
        <v>4.0702997060000001</v>
      </c>
      <c r="E321" s="5">
        <f>[1]Hybrid!D44</f>
        <v>5.0146665319999997</v>
      </c>
      <c r="F321" s="5">
        <f>[1]Hybrid!E44</f>
        <v>5.9080665940000001</v>
      </c>
      <c r="G321" s="5">
        <f>[1]Hybrid!F44</f>
        <v>6.7299439889999997</v>
      </c>
      <c r="H321" s="5">
        <f>[1]Hybrid!G44</f>
        <v>7.4690442250000002</v>
      </c>
      <c r="I321" s="5">
        <f>[1]Hybrid!H44</f>
        <v>8.118683313</v>
      </c>
      <c r="J321" s="5">
        <f>[1]Hybrid!I44</f>
        <v>8.6779325360000001</v>
      </c>
      <c r="K321" s="5">
        <f>[1]Hybrid!J44</f>
        <v>9.1486723449999996</v>
      </c>
      <c r="L321" s="5">
        <f>[1]Hybrid!K44</f>
        <v>9.534343003</v>
      </c>
      <c r="M321" s="5">
        <f>[1]Hybrid!L44</f>
        <v>9.8411255270000009</v>
      </c>
      <c r="N321" s="5">
        <f>[1]Hybrid!M44</f>
        <v>10.07216139</v>
      </c>
      <c r="O321" s="5">
        <f>[1]Hybrid!N44</f>
        <v>10.232821639999999</v>
      </c>
      <c r="P321" s="5">
        <f>[1]Hybrid!O44</f>
        <v>10.32913297</v>
      </c>
      <c r="Q321" s="5">
        <f>[1]Hybrid!P44</f>
        <v>10.367088170000001</v>
      </c>
      <c r="R321" s="5">
        <f>[1]Hybrid!Q44</f>
        <v>10.35270869</v>
      </c>
      <c r="S321" s="5">
        <f>[1]Hybrid!R44</f>
        <v>10.29190268</v>
      </c>
      <c r="T321" s="5">
        <f>[1]Hybrid!S44</f>
        <v>10.190416799999999</v>
      </c>
      <c r="U321" s="5">
        <f>[1]Hybrid!T44</f>
        <v>10.053767349999999</v>
      </c>
      <c r="V321" s="5">
        <f>[1]Hybrid!U44</f>
        <v>9.8871487719999998</v>
      </c>
      <c r="W321" s="5">
        <f>[1]Hybrid!V44</f>
        <v>9.6950737240000002</v>
      </c>
      <c r="X321" s="5">
        <f>[1]Hybrid!W44</f>
        <v>9.4823868079999993</v>
      </c>
      <c r="Y321" s="5">
        <f>[1]Hybrid!X44</f>
        <v>9.2531530449999995</v>
      </c>
      <c r="Z321" s="5">
        <f>[1]Hybrid!Y44</f>
        <v>9.0109546470000002</v>
      </c>
      <c r="AA321" s="5">
        <f>[1]Hybrid!Z44</f>
        <v>8.7590032170000001</v>
      </c>
      <c r="AB321" s="5">
        <f>[1]Hybrid!AA44</f>
        <v>8.49974059</v>
      </c>
      <c r="AC321" s="5">
        <f>[1]Hybrid!AB44</f>
        <v>8.2360030369999997</v>
      </c>
      <c r="AD321" s="5">
        <f>[1]Hybrid!AC44</f>
        <v>7.9700530250000003</v>
      </c>
      <c r="AE321" s="5">
        <f>[1]Hybrid!AD44</f>
        <v>7.703764981</v>
      </c>
      <c r="AF321" s="5">
        <f>[1]Hybrid!AE44</f>
        <v>7.4387420970000004</v>
      </c>
      <c r="AG321" s="5">
        <f>[1]Hybrid!AF44</f>
        <v>7.1763273649999997</v>
      </c>
      <c r="AH321" s="5">
        <f>[1]Hybrid!AG44</f>
        <v>6.91763525</v>
      </c>
      <c r="AI321" s="5">
        <f>[1]Hybrid!AH44</f>
        <v>6.6635798709999996</v>
      </c>
      <c r="AJ321" s="5">
        <f>[1]Hybrid!AI44</f>
        <v>6.4149006120000003</v>
      </c>
      <c r="AK321" s="5">
        <f>[1]Hybrid!AJ44</f>
        <v>6.1721855440000004</v>
      </c>
      <c r="AL321" s="5">
        <f>[1]Hybrid!AK44</f>
        <v>5.9358911279999997</v>
      </c>
      <c r="AM321" s="5">
        <f>[1]Hybrid!AL44</f>
        <v>5.7063541569999998</v>
      </c>
      <c r="AN321" s="5">
        <f>[1]Hybrid!AM44</f>
        <v>5.4838235900000001</v>
      </c>
      <c r="AO321" s="5">
        <f>[1]Hybrid!AN44</f>
        <v>5.2684594010000003</v>
      </c>
      <c r="AP321" s="5">
        <f>[1]Hybrid!AO44</f>
        <v>5.0603450350000001</v>
      </c>
      <c r="AQ321" s="5">
        <f>[1]Hybrid!AP44</f>
        <v>4.8594993689999999</v>
      </c>
      <c r="AR321" s="5">
        <f>[1]Hybrid!AQ44</f>
        <v>4.6658870969999997</v>
      </c>
      <c r="AS321" s="5">
        <f>[1]Hybrid!AR44</f>
        <v>4.4794279079999999</v>
      </c>
      <c r="AT321" s="5">
        <f>[1]Hybrid!AS44</f>
        <v>4.3000047009999998</v>
      </c>
      <c r="AU321" s="5">
        <f>[1]Hybrid!AT44</f>
        <v>4.1274708990000004</v>
      </c>
      <c r="AV321" s="5">
        <f>[1]Hybrid!AU44</f>
        <v>3.9616568189999999</v>
      </c>
      <c r="AW321" s="5">
        <f>[1]Hybrid!AV44</f>
        <v>3.802375101</v>
      </c>
      <c r="AX321" s="5">
        <f>[1]Hybrid!AW44</f>
        <v>3.6494256840000001</v>
      </c>
      <c r="AY321" s="5">
        <f>[1]Hybrid!AX44</f>
        <v>3.5085714860000001</v>
      </c>
      <c r="AZ321" s="5">
        <f>[1]Hybrid!AY44</f>
        <v>3.3931506210000002</v>
      </c>
      <c r="BA321" s="5">
        <f>[1]Hybrid!AZ44</f>
        <v>3.285889595</v>
      </c>
      <c r="BB321" s="5">
        <f>[1]Hybrid!BA44</f>
        <v>3.284762427</v>
      </c>
      <c r="BC321" s="5">
        <f>[1]Hybrid!BB44</f>
        <v>3.1536470840000002</v>
      </c>
      <c r="BD321" s="5">
        <f>[1]Hybrid!BC44</f>
        <v>3.0276746650000002</v>
      </c>
      <c r="BE321" s="5">
        <f>[1]Hybrid!BD44</f>
        <v>2.9066671610000001</v>
      </c>
      <c r="BF321" s="5">
        <f>[1]Hybrid!BE44</f>
        <v>2.790447458</v>
      </c>
    </row>
    <row r="322" spans="1:58" x14ac:dyDescent="0.35">
      <c r="B322" s="5" t="str">
        <f>[1]Hybrid!A46</f>
        <v>auto_ca_cgas_2</v>
      </c>
      <c r="C322" s="5">
        <f>[1]Hybrid!B46</f>
        <v>0.42568169729999999</v>
      </c>
      <c r="D322" s="5">
        <f>[1]Hybrid!C46</f>
        <v>0.44872499329999999</v>
      </c>
      <c r="E322" s="5">
        <f>[1]Hybrid!D46</f>
        <v>0.47393295019999998</v>
      </c>
      <c r="F322" s="5">
        <f>[1]Hybrid!E46</f>
        <v>0.50042245649999995</v>
      </c>
      <c r="G322" s="5">
        <f>[1]Hybrid!F46</f>
        <v>0.52763456289999999</v>
      </c>
      <c r="H322" s="5">
        <f>[1]Hybrid!G46</f>
        <v>0.55530294150000004</v>
      </c>
      <c r="I322" s="5">
        <f>[1]Hybrid!H46</f>
        <v>0.58323267739999995</v>
      </c>
      <c r="J322" s="5">
        <f>[1]Hybrid!I46</f>
        <v>0.61141124250000001</v>
      </c>
      <c r="K322" s="5">
        <f>[1]Hybrid!J46</f>
        <v>0.63985862000000004</v>
      </c>
      <c r="L322" s="5">
        <f>[1]Hybrid!K46</f>
        <v>0.66859061060000002</v>
      </c>
      <c r="M322" s="5">
        <f>[1]Hybrid!L46</f>
        <v>0.69778099719999997</v>
      </c>
      <c r="N322" s="5">
        <f>[1]Hybrid!M46</f>
        <v>0.72722318819999998</v>
      </c>
      <c r="O322" s="5">
        <f>[1]Hybrid!N46</f>
        <v>0.7568733272</v>
      </c>
      <c r="P322" s="5">
        <f>[1]Hybrid!O46</f>
        <v>0.78668009790000004</v>
      </c>
      <c r="Q322" s="5">
        <f>[1]Hybrid!P46</f>
        <v>0.81656505109999999</v>
      </c>
      <c r="R322" s="5">
        <f>[1]Hybrid!Q46</f>
        <v>0.84644824350000003</v>
      </c>
      <c r="S322" s="5">
        <f>[1]Hybrid!R46</f>
        <v>0.87624724460000003</v>
      </c>
      <c r="T322" s="5">
        <f>[1]Hybrid!S46</f>
        <v>0.9058910657</v>
      </c>
      <c r="U322" s="5">
        <f>[1]Hybrid!T46</f>
        <v>0.93532198720000004</v>
      </c>
      <c r="V322" s="5">
        <f>[1]Hybrid!U46</f>
        <v>0.96449428559999995</v>
      </c>
      <c r="W322" s="5">
        <f>[1]Hybrid!V46</f>
        <v>0.99323531580000002</v>
      </c>
      <c r="X322" s="5">
        <f>[1]Hybrid!W46</f>
        <v>1.0216789829999999</v>
      </c>
      <c r="Y322" s="5">
        <f>[1]Hybrid!X46</f>
        <v>1.0498199340000001</v>
      </c>
      <c r="Z322" s="5">
        <f>[1]Hybrid!Y46</f>
        <v>1.0776558279999999</v>
      </c>
      <c r="AA322" s="5">
        <f>[1]Hybrid!Z46</f>
        <v>1.105204783</v>
      </c>
      <c r="AB322" s="5">
        <f>[1]Hybrid!AA46</f>
        <v>1.1320753349999999</v>
      </c>
      <c r="AC322" s="5">
        <f>[1]Hybrid!AB46</f>
        <v>1.158552571</v>
      </c>
      <c r="AD322" s="5">
        <f>[1]Hybrid!AC46</f>
        <v>1.1846853900000001</v>
      </c>
      <c r="AE322" s="5">
        <f>[1]Hybrid!AD46</f>
        <v>1.2105031470000001</v>
      </c>
      <c r="AF322" s="5">
        <f>[1]Hybrid!AE46</f>
        <v>1.236059945</v>
      </c>
      <c r="AG322" s="5">
        <f>[1]Hybrid!AF46</f>
        <v>1.2614084699999999</v>
      </c>
      <c r="AH322" s="5">
        <f>[1]Hybrid!AG46</f>
        <v>1.2866014670000001</v>
      </c>
      <c r="AI322" s="5">
        <f>[1]Hybrid!AH46</f>
        <v>1.3116898130000001</v>
      </c>
      <c r="AJ322" s="5">
        <f>[1]Hybrid!AI46</f>
        <v>1.3367232469999999</v>
      </c>
      <c r="AK322" s="5">
        <f>[1]Hybrid!AJ46</f>
        <v>1.3617514980000001</v>
      </c>
      <c r="AL322" s="5">
        <f>[1]Hybrid!AK46</f>
        <v>1.3868237459999999</v>
      </c>
      <c r="AM322" s="5">
        <f>[1]Hybrid!AL46</f>
        <v>1.4118974870000001</v>
      </c>
      <c r="AN322" s="5">
        <f>[1]Hybrid!AM46</f>
        <v>1.43702983</v>
      </c>
      <c r="AO322" s="5">
        <f>[1]Hybrid!AN46</f>
        <v>1.4622680530000001</v>
      </c>
      <c r="AP322" s="5">
        <f>[1]Hybrid!AO46</f>
        <v>1.487655256</v>
      </c>
      <c r="AQ322" s="5">
        <f>[1]Hybrid!AP46</f>
        <v>1.513235195</v>
      </c>
      <c r="AR322" s="5">
        <f>[1]Hybrid!AQ46</f>
        <v>1.53905304</v>
      </c>
      <c r="AS322" s="5">
        <f>[1]Hybrid!AR46</f>
        <v>1.565150993</v>
      </c>
      <c r="AT322" s="5">
        <f>[1]Hybrid!AS46</f>
        <v>1.5915688139999999</v>
      </c>
      <c r="AU322" s="5">
        <f>[1]Hybrid!AT46</f>
        <v>1.6183460590000001</v>
      </c>
      <c r="AV322" s="5">
        <f>[1]Hybrid!AU46</f>
        <v>1.6455221229999999</v>
      </c>
      <c r="AW322" s="5">
        <f>[1]Hybrid!AV46</f>
        <v>1.6731533430000001</v>
      </c>
      <c r="AX322" s="5">
        <f>[1]Hybrid!AW46</f>
        <v>1.7012797669999999</v>
      </c>
      <c r="AY322" s="5">
        <f>[1]Hybrid!AX46</f>
        <v>1.7184444889999999</v>
      </c>
      <c r="AZ322" s="5">
        <f>[1]Hybrid!AY46</f>
        <v>1.7350608160000001</v>
      </c>
      <c r="BA322" s="5">
        <f>[1]Hybrid!AZ46</f>
        <v>1.751007196</v>
      </c>
      <c r="BB322" s="5">
        <f>[1]Hybrid!BA46</f>
        <v>1.8039206699999999</v>
      </c>
      <c r="BC322" s="5">
        <f>[1]Hybrid!BB46</f>
        <v>1.8325442700000001</v>
      </c>
      <c r="BD322" s="5">
        <f>[1]Hybrid!BC46</f>
        <v>1.861562003</v>
      </c>
      <c r="BE322" s="5">
        <f>[1]Hybrid!BD46</f>
        <v>1.8910015280000001</v>
      </c>
      <c r="BF322" s="5">
        <f>[1]Hybrid!BE46</f>
        <v>1.9208926319999999</v>
      </c>
    </row>
    <row r="323" spans="1:58" x14ac:dyDescent="0.35">
      <c r="B323" s="5" t="str">
        <f>[1]Hybrid!A48</f>
        <v>auto_cb_cgas_2</v>
      </c>
      <c r="C323" s="5">
        <f>[1]Hybrid!B48</f>
        <v>0.49500522540000003</v>
      </c>
      <c r="D323" s="5">
        <f>[1]Hybrid!C48</f>
        <v>0.51169802409999998</v>
      </c>
      <c r="E323" s="5">
        <f>[1]Hybrid!D48</f>
        <v>0.5307402806</v>
      </c>
      <c r="F323" s="5">
        <f>[1]Hybrid!E48</f>
        <v>0.55124353839999995</v>
      </c>
      <c r="G323" s="5">
        <f>[1]Hybrid!F48</f>
        <v>0.57263394339999996</v>
      </c>
      <c r="H323" s="5">
        <f>[1]Hybrid!G48</f>
        <v>0.5946209536</v>
      </c>
      <c r="I323" s="5">
        <f>[1]Hybrid!H48</f>
        <v>0.6169855796</v>
      </c>
      <c r="J323" s="5">
        <f>[1]Hybrid!I48</f>
        <v>0.6396856876</v>
      </c>
      <c r="K323" s="5">
        <f>[1]Hybrid!J48</f>
        <v>0.66271301179999997</v>
      </c>
      <c r="L323" s="5">
        <f>[1]Hybrid!K48</f>
        <v>0.68605760790000003</v>
      </c>
      <c r="M323" s="5">
        <f>[1]Hybrid!L48</f>
        <v>0.70986001340000005</v>
      </c>
      <c r="N323" s="5">
        <f>[1]Hybrid!M48</f>
        <v>0.73390461500000004</v>
      </c>
      <c r="O323" s="5">
        <f>[1]Hybrid!N48</f>
        <v>0.75813061410000004</v>
      </c>
      <c r="P323" s="5">
        <f>[1]Hybrid!O48</f>
        <v>0.78247314010000002</v>
      </c>
      <c r="Q323" s="5">
        <f>[1]Hybrid!P48</f>
        <v>0.80684373450000002</v>
      </c>
      <c r="R323" s="5">
        <f>[1]Hybrid!Q48</f>
        <v>0.83115434789999998</v>
      </c>
      <c r="S323" s="5">
        <f>[1]Hybrid!R48</f>
        <v>0.85531634619999997</v>
      </c>
      <c r="T323" s="5">
        <f>[1]Hybrid!S48</f>
        <v>0.87925322409999995</v>
      </c>
      <c r="U323" s="5">
        <f>[1]Hybrid!T48</f>
        <v>0.90290218280000001</v>
      </c>
      <c r="V323" s="5">
        <f>[1]Hybrid!U48</f>
        <v>0.92621261450000003</v>
      </c>
      <c r="W323" s="5">
        <f>[1]Hybrid!V48</f>
        <v>0.9490199829</v>
      </c>
      <c r="X323" s="5">
        <f>[1]Hybrid!W48</f>
        <v>0.97143915859999996</v>
      </c>
      <c r="Y323" s="5">
        <f>[1]Hybrid!X48</f>
        <v>0.99345926470000001</v>
      </c>
      <c r="Z323" s="5">
        <f>[1]Hybrid!Y48</f>
        <v>1.015071641</v>
      </c>
      <c r="AA323" s="5">
        <f>[1]Hybrid!Z48</f>
        <v>1.0362862859999999</v>
      </c>
      <c r="AB323" s="5">
        <f>[1]Hybrid!AA48</f>
        <v>1.0567494989999999</v>
      </c>
      <c r="AC323" s="5">
        <f>[1]Hybrid!AB48</f>
        <v>1.0767114609999999</v>
      </c>
      <c r="AD323" s="5">
        <f>[1]Hybrid!AC48</f>
        <v>1.096213106</v>
      </c>
      <c r="AE323" s="5">
        <f>[1]Hybrid!AD48</f>
        <v>1.115276046</v>
      </c>
      <c r="AF323" s="5">
        <f>[1]Hybrid!AE48</f>
        <v>1.133943312</v>
      </c>
      <c r="AG323" s="5">
        <f>[1]Hybrid!AF48</f>
        <v>1.152256001</v>
      </c>
      <c r="AH323" s="5">
        <f>[1]Hybrid!AG48</f>
        <v>1.1702544530000001</v>
      </c>
      <c r="AI323" s="5">
        <f>[1]Hybrid!AH48</f>
        <v>1.1879765280000001</v>
      </c>
      <c r="AJ323" s="5">
        <f>[1]Hybrid!AI48</f>
        <v>1.2054581900000001</v>
      </c>
      <c r="AK323" s="5">
        <f>[1]Hybrid!AJ48</f>
        <v>1.2227345439999999</v>
      </c>
      <c r="AL323" s="5">
        <f>[1]Hybrid!AK48</f>
        <v>1.2398394260000001</v>
      </c>
      <c r="AM323" s="5">
        <f>[1]Hybrid!AL48</f>
        <v>1.256728775</v>
      </c>
      <c r="AN323" s="5">
        <f>[1]Hybrid!AM48</f>
        <v>1.2734432979999999</v>
      </c>
      <c r="AO323" s="5">
        <f>[1]Hybrid!AN48</f>
        <v>1.290014966</v>
      </c>
      <c r="AP323" s="5">
        <f>[1]Hybrid!AO48</f>
        <v>1.3064715090000001</v>
      </c>
      <c r="AQ323" s="5">
        <f>[1]Hybrid!AP48</f>
        <v>1.322840563</v>
      </c>
      <c r="AR323" s="5">
        <f>[1]Hybrid!AQ48</f>
        <v>1.3391503469999999</v>
      </c>
      <c r="AS323" s="5">
        <f>[1]Hybrid!AR48</f>
        <v>1.355426037</v>
      </c>
      <c r="AT323" s="5">
        <f>[1]Hybrid!AS48</f>
        <v>1.371690079</v>
      </c>
      <c r="AU323" s="5">
        <f>[1]Hybrid!AT48</f>
        <v>1.387964086</v>
      </c>
      <c r="AV323" s="5">
        <f>[1]Hybrid!AU48</f>
        <v>1.4042688699999999</v>
      </c>
      <c r="AW323" s="5">
        <f>[1]Hybrid!AV48</f>
        <v>1.420638319</v>
      </c>
      <c r="AX323" s="5">
        <f>[1]Hybrid!AW48</f>
        <v>1.437092743</v>
      </c>
      <c r="AY323" s="5">
        <f>[1]Hybrid!AX48</f>
        <v>1.4449241079999999</v>
      </c>
      <c r="AZ323" s="5">
        <f>[1]Hybrid!AY48</f>
        <v>1.4525254910000001</v>
      </c>
      <c r="BA323" s="5">
        <f>[1]Hybrid!AZ48</f>
        <v>1.4598651499999999</v>
      </c>
      <c r="BB323" s="5">
        <f>[1]Hybrid!BA48</f>
        <v>1.5039197900000001</v>
      </c>
      <c r="BC323" s="5">
        <f>[1]Hybrid!BB48</f>
        <v>1.519912972</v>
      </c>
      <c r="BD323" s="5">
        <f>[1]Hybrid!BC48</f>
        <v>1.5358993460000001</v>
      </c>
      <c r="BE323" s="5">
        <f>[1]Hybrid!BD48</f>
        <v>1.551891216</v>
      </c>
      <c r="BF323" s="5">
        <f>[1]Hybrid!BE48</f>
        <v>1.567902049</v>
      </c>
    </row>
    <row r="324" spans="1:58" x14ac:dyDescent="0.35">
      <c r="B324" s="5" t="str">
        <f>[1]Hybrid!A50</f>
        <v>auto_cc_cgas_2</v>
      </c>
      <c r="C324" s="5">
        <f>[1]Hybrid!B50</f>
        <v>0.40659851759999999</v>
      </c>
      <c r="D324" s="5">
        <f>[1]Hybrid!C50</f>
        <v>0.41413184790000002</v>
      </c>
      <c r="E324" s="5">
        <f>[1]Hybrid!D50</f>
        <v>0.42349601739999998</v>
      </c>
      <c r="F324" s="5">
        <f>[1]Hybrid!E50</f>
        <v>0.43404729390000002</v>
      </c>
      <c r="G324" s="5">
        <f>[1]Hybrid!F50</f>
        <v>0.44536226359999997</v>
      </c>
      <c r="H324" s="5">
        <f>[1]Hybrid!G50</f>
        <v>0.4572154537</v>
      </c>
      <c r="I324" s="5">
        <f>[1]Hybrid!H50</f>
        <v>0.46943315369999999</v>
      </c>
      <c r="J324" s="5">
        <f>[1]Hybrid!I50</f>
        <v>0.48196544670000002</v>
      </c>
      <c r="K324" s="5">
        <f>[1]Hybrid!J50</f>
        <v>0.49478782939999999</v>
      </c>
      <c r="L324" s="5">
        <f>[1]Hybrid!K50</f>
        <v>0.50787638329999996</v>
      </c>
      <c r="M324" s="5">
        <f>[1]Hybrid!L50</f>
        <v>0.52131071849999999</v>
      </c>
      <c r="N324" s="5">
        <f>[1]Hybrid!M50</f>
        <v>0.53493013710000004</v>
      </c>
      <c r="O324" s="5">
        <f>[1]Hybrid!N50</f>
        <v>0.54868029350000003</v>
      </c>
      <c r="P324" s="5">
        <f>[1]Hybrid!O50</f>
        <v>0.56250618870000002</v>
      </c>
      <c r="Q324" s="5">
        <f>[1]Hybrid!P50</f>
        <v>0.57633824789999999</v>
      </c>
      <c r="R324" s="5">
        <f>[1]Hybrid!Q50</f>
        <v>0.59010850299999995</v>
      </c>
      <c r="S324" s="5">
        <f>[1]Hybrid!R50</f>
        <v>0.60374986350000004</v>
      </c>
      <c r="T324" s="5">
        <f>[1]Hybrid!S50</f>
        <v>0.61720447239999998</v>
      </c>
      <c r="U324" s="5">
        <f>[1]Hybrid!T50</f>
        <v>0.63042467059999996</v>
      </c>
      <c r="V324" s="5">
        <f>[1]Hybrid!U50</f>
        <v>0.64337175349999998</v>
      </c>
      <c r="W324" s="5">
        <f>[1]Hybrid!V50</f>
        <v>0.65593335470000003</v>
      </c>
      <c r="X324" s="5">
        <f>[1]Hybrid!W50</f>
        <v>0.66818092409999996</v>
      </c>
      <c r="Y324" s="5">
        <f>[1]Hybrid!X50</f>
        <v>0.68010408050000004</v>
      </c>
      <c r="Z324" s="5">
        <f>[1]Hybrid!Y50</f>
        <v>0.69169366740000005</v>
      </c>
      <c r="AA324" s="5">
        <f>[1]Hybrid!Z50</f>
        <v>0.70295290119999998</v>
      </c>
      <c r="AB324" s="5">
        <f>[1]Hybrid!AA50</f>
        <v>0.71365206079999999</v>
      </c>
      <c r="AC324" s="5">
        <f>[1]Hybrid!AB50</f>
        <v>0.72395043560000005</v>
      </c>
      <c r="AD324" s="5">
        <f>[1]Hybrid!AC50</f>
        <v>0.73387360079999997</v>
      </c>
      <c r="AE324" s="5">
        <f>[1]Hybrid!AD50</f>
        <v>0.74343360579999995</v>
      </c>
      <c r="AF324" s="5">
        <f>[1]Hybrid!AE50</f>
        <v>0.7526559652</v>
      </c>
      <c r="AG324" s="5">
        <f>[1]Hybrid!AF50</f>
        <v>0.76156463169999999</v>
      </c>
      <c r="AH324" s="5">
        <f>[1]Hybrid!AG50</f>
        <v>0.77018268239999998</v>
      </c>
      <c r="AI324" s="5">
        <f>[1]Hybrid!AH50</f>
        <v>0.77853122610000003</v>
      </c>
      <c r="AJ324" s="5">
        <f>[1]Hybrid!AI50</f>
        <v>0.78662974870000002</v>
      </c>
      <c r="AK324" s="5">
        <f>[1]Hybrid!AJ50</f>
        <v>0.79449682290000001</v>
      </c>
      <c r="AL324" s="5">
        <f>[1]Hybrid!AK50</f>
        <v>0.80214989380000001</v>
      </c>
      <c r="AM324" s="5">
        <f>[1]Hybrid!AL50</f>
        <v>0.80955878459999997</v>
      </c>
      <c r="AN324" s="5">
        <f>[1]Hybrid!AM50</f>
        <v>0.81674553699999997</v>
      </c>
      <c r="AO324" s="5">
        <f>[1]Hybrid!AN50</f>
        <v>0.82372676290000002</v>
      </c>
      <c r="AP324" s="5">
        <f>[1]Hybrid!AO50</f>
        <v>0.83051621939999998</v>
      </c>
      <c r="AQ324" s="5">
        <f>[1]Hybrid!AP50</f>
        <v>0.83712739619999998</v>
      </c>
      <c r="AR324" s="5">
        <f>[1]Hybrid!AQ50</f>
        <v>0.84357395499999999</v>
      </c>
      <c r="AS324" s="5">
        <f>[1]Hybrid!AR50</f>
        <v>0.84986757570000004</v>
      </c>
      <c r="AT324" s="5">
        <f>[1]Hybrid!AS50</f>
        <v>0.85601808469999996</v>
      </c>
      <c r="AU324" s="5">
        <f>[1]Hybrid!AT50</f>
        <v>0.86203462539999998</v>
      </c>
      <c r="AV324" s="5">
        <f>[1]Hybrid!AU50</f>
        <v>0.86792569009999998</v>
      </c>
      <c r="AW324" s="5">
        <f>[1]Hybrid!AV50</f>
        <v>0.87370725989999998</v>
      </c>
      <c r="AX324" s="5">
        <f>[1]Hybrid!AW50</f>
        <v>0.87938737229999997</v>
      </c>
      <c r="AY324" s="5">
        <f>[1]Hybrid!AX50</f>
        <v>0.88471417539999997</v>
      </c>
      <c r="AZ324" s="5">
        <f>[1]Hybrid!AY50</f>
        <v>0.88971154289999999</v>
      </c>
      <c r="BA324" s="5">
        <f>[1]Hybrid!AZ50</f>
        <v>0.89439701069999999</v>
      </c>
      <c r="BB324" s="5">
        <f>[1]Hybrid!BA50</f>
        <v>0.90839681500000002</v>
      </c>
      <c r="BC324" s="5">
        <f>[1]Hybrid!BB50</f>
        <v>0.91344917969999995</v>
      </c>
      <c r="BD324" s="5">
        <f>[1]Hybrid!BC50</f>
        <v>0.9183529225</v>
      </c>
      <c r="BE324" s="5">
        <f>[1]Hybrid!BD50</f>
        <v>0.92311309210000003</v>
      </c>
      <c r="BF324" s="5">
        <f>[1]Hybrid!BE50</f>
        <v>0.92773529450000003</v>
      </c>
    </row>
    <row r="325" spans="1:58" x14ac:dyDescent="0.35">
      <c r="B325" s="5" t="str">
        <f>[1]Hybrid!A52</f>
        <v>auto_cd_cgas_2</v>
      </c>
      <c r="C325" s="5">
        <f>[1]Hybrid!B52</f>
        <v>0.2495444651</v>
      </c>
      <c r="D325" s="5">
        <f>[1]Hybrid!C52</f>
        <v>0.25214538939999998</v>
      </c>
      <c r="E325" s="5">
        <f>[1]Hybrid!D52</f>
        <v>0.25573815150000001</v>
      </c>
      <c r="F325" s="5">
        <f>[1]Hybrid!E52</f>
        <v>0.25992799150000001</v>
      </c>
      <c r="G325" s="5">
        <f>[1]Hybrid!F52</f>
        <v>0.26444803030000003</v>
      </c>
      <c r="H325" s="5">
        <f>[1]Hybrid!G52</f>
        <v>0.26914500229999999</v>
      </c>
      <c r="I325" s="5">
        <f>[1]Hybrid!H52</f>
        <v>0.27389915869999998</v>
      </c>
      <c r="J325" s="5">
        <f>[1]Hybrid!I52</f>
        <v>0.27866190070000002</v>
      </c>
      <c r="K325" s="5">
        <f>[1]Hybrid!J52</f>
        <v>0.2834026731</v>
      </c>
      <c r="L325" s="5">
        <f>[1]Hybrid!K52</f>
        <v>0.28809462159999999</v>
      </c>
      <c r="M325" s="5">
        <f>[1]Hybrid!L52</f>
        <v>0.29276587580000002</v>
      </c>
      <c r="N325" s="5">
        <f>[1]Hybrid!M52</f>
        <v>0.29732557279999999</v>
      </c>
      <c r="O325" s="5">
        <f>[1]Hybrid!N52</f>
        <v>0.30173892250000001</v>
      </c>
      <c r="P325" s="5">
        <f>[1]Hybrid!O52</f>
        <v>0.30597488229999997</v>
      </c>
      <c r="Q325" s="5">
        <f>[1]Hybrid!P52</f>
        <v>0.30999752270000003</v>
      </c>
      <c r="R325" s="5">
        <f>[1]Hybrid!Q52</f>
        <v>0.31377395089999999</v>
      </c>
      <c r="S325" s="5">
        <f>[1]Hybrid!R52</f>
        <v>0.31727379</v>
      </c>
      <c r="T325" s="5">
        <f>[1]Hybrid!S52</f>
        <v>0.32047279150000002</v>
      </c>
      <c r="U325" s="5">
        <f>[1]Hybrid!T52</f>
        <v>0.32335308600000001</v>
      </c>
      <c r="V325" s="5">
        <f>[1]Hybrid!U52</f>
        <v>0.32590211679999997</v>
      </c>
      <c r="W325" s="5">
        <f>[1]Hybrid!V52</f>
        <v>0.32807706040000001</v>
      </c>
      <c r="X325" s="5">
        <f>[1]Hybrid!W52</f>
        <v>0.32991528640000001</v>
      </c>
      <c r="Y325" s="5">
        <f>[1]Hybrid!X52</f>
        <v>0.33141953070000002</v>
      </c>
      <c r="Z325" s="5">
        <f>[1]Hybrid!Y52</f>
        <v>0.33259223490000001</v>
      </c>
      <c r="AA325" s="5">
        <f>[1]Hybrid!Z52</f>
        <v>0.33344111380000002</v>
      </c>
      <c r="AB325" s="5">
        <f>[1]Hybrid!AA52</f>
        <v>0.33388320510000002</v>
      </c>
      <c r="AC325" s="5">
        <f>[1]Hybrid!AB52</f>
        <v>0.33399020149999997</v>
      </c>
      <c r="AD325" s="5">
        <f>[1]Hybrid!AC52</f>
        <v>0.3337820272</v>
      </c>
      <c r="AE325" s="5">
        <f>[1]Hybrid!AD52</f>
        <v>0.33327104239999999</v>
      </c>
      <c r="AF325" s="5">
        <f>[1]Hybrid!AE52</f>
        <v>0.33247414850000001</v>
      </c>
      <c r="AG325" s="5">
        <f>[1]Hybrid!AF52</f>
        <v>0.33140690280000001</v>
      </c>
      <c r="AH325" s="5">
        <f>[1]Hybrid!AG52</f>
        <v>0.33008373940000002</v>
      </c>
      <c r="AI325" s="5">
        <f>[1]Hybrid!AH52</f>
        <v>0.32851763439999998</v>
      </c>
      <c r="AJ325" s="5">
        <f>[1]Hybrid!AI52</f>
        <v>0.32672027009999999</v>
      </c>
      <c r="AK325" s="5">
        <f>[1]Hybrid!AJ52</f>
        <v>0.32470243209999999</v>
      </c>
      <c r="AL325" s="5">
        <f>[1]Hybrid!AK52</f>
        <v>0.32247405870000001</v>
      </c>
      <c r="AM325" s="5">
        <f>[1]Hybrid!AL52</f>
        <v>0.32003029459999999</v>
      </c>
      <c r="AN325" s="5">
        <f>[1]Hybrid!AM52</f>
        <v>0.31738318189999998</v>
      </c>
      <c r="AO325" s="5">
        <f>[1]Hybrid!AN52</f>
        <v>0.31454295840000002</v>
      </c>
      <c r="AP325" s="5">
        <f>[1]Hybrid!AO52</f>
        <v>0.3115186512</v>
      </c>
      <c r="AQ325" s="5">
        <f>[1]Hybrid!AP52</f>
        <v>0.30831897180000001</v>
      </c>
      <c r="AR325" s="5">
        <f>[1]Hybrid!AQ52</f>
        <v>0.30495250499999998</v>
      </c>
      <c r="AS325" s="5">
        <f>[1]Hybrid!AR52</f>
        <v>0.30142714079999999</v>
      </c>
      <c r="AT325" s="5">
        <f>[1]Hybrid!AS52</f>
        <v>0.29775005939999999</v>
      </c>
      <c r="AU325" s="5">
        <f>[1]Hybrid!AT52</f>
        <v>0.2939281238</v>
      </c>
      <c r="AV325" s="5">
        <f>[1]Hybrid!AU52</f>
        <v>0.2899679181</v>
      </c>
      <c r="AW325" s="5">
        <f>[1]Hybrid!AV52</f>
        <v>0.28587781759999997</v>
      </c>
      <c r="AX325" s="5">
        <f>[1]Hybrid!AW52</f>
        <v>0.28166429770000001</v>
      </c>
      <c r="AY325" s="5">
        <f>[1]Hybrid!AX52</f>
        <v>0.27771468360000001</v>
      </c>
      <c r="AZ325" s="5">
        <f>[1]Hybrid!AY52</f>
        <v>0.27401233320000001</v>
      </c>
      <c r="BA325" s="5">
        <f>[1]Hybrid!AZ52</f>
        <v>0.27054132580000001</v>
      </c>
      <c r="BB325" s="5">
        <f>[1]Hybrid!BA52</f>
        <v>0.27581100089999999</v>
      </c>
      <c r="BC325" s="5">
        <f>[1]Hybrid!BB52</f>
        <v>0.27146094479999999</v>
      </c>
      <c r="BD325" s="5">
        <f>[1]Hybrid!BC52</f>
        <v>0.26701789739999998</v>
      </c>
      <c r="BE325" s="5">
        <f>[1]Hybrid!BD52</f>
        <v>0.26248832030000002</v>
      </c>
      <c r="BF325" s="5">
        <f>[1]Hybrid!BE52</f>
        <v>0.25787865199999999</v>
      </c>
    </row>
    <row r="326" spans="1:58" x14ac:dyDescent="0.35">
      <c r="B326" s="5" t="str">
        <f>[1]Hybrid!A54</f>
        <v>auto_ce_cgas_2</v>
      </c>
      <c r="C326" s="5">
        <f>[1]Hybrid!B54</f>
        <v>0.15020246549999999</v>
      </c>
      <c r="D326" s="5">
        <f>[1]Hybrid!C54</f>
        <v>0.15197491560000001</v>
      </c>
      <c r="E326" s="5">
        <f>[1]Hybrid!D54</f>
        <v>0.15428079110000001</v>
      </c>
      <c r="F326" s="5">
        <f>[1]Hybrid!E54</f>
        <v>0.1568615119</v>
      </c>
      <c r="G326" s="5">
        <f>[1]Hybrid!F54</f>
        <v>0.159540663</v>
      </c>
      <c r="H326" s="5">
        <f>[1]Hybrid!G54</f>
        <v>0.1622142983</v>
      </c>
      <c r="I326" s="5">
        <f>[1]Hybrid!H54</f>
        <v>0.1648021751</v>
      </c>
      <c r="J326" s="5">
        <f>[1]Hybrid!I54</f>
        <v>0.16726962679999999</v>
      </c>
      <c r="K326" s="5">
        <f>[1]Hybrid!J54</f>
        <v>0.16959553250000001</v>
      </c>
      <c r="L326" s="5">
        <f>[1]Hybrid!K54</f>
        <v>0.17176309719999999</v>
      </c>
      <c r="M326" s="5">
        <f>[1]Hybrid!L54</f>
        <v>0.1737883754</v>
      </c>
      <c r="N326" s="5">
        <f>[1]Hybrid!M54</f>
        <v>0.1756215606</v>
      </c>
      <c r="O326" s="5">
        <f>[1]Hybrid!N54</f>
        <v>0.17724596049999999</v>
      </c>
      <c r="P326" s="5">
        <f>[1]Hybrid!O54</f>
        <v>0.17864906629999999</v>
      </c>
      <c r="Q326" s="5">
        <f>[1]Hybrid!P54</f>
        <v>0.1798168044</v>
      </c>
      <c r="R326" s="5">
        <f>[1]Hybrid!Q54</f>
        <v>0.18073780880000001</v>
      </c>
      <c r="S326" s="5">
        <f>[1]Hybrid!R54</f>
        <v>0.1814029815</v>
      </c>
      <c r="T326" s="5">
        <f>[1]Hybrid!S54</f>
        <v>0.1818071956</v>
      </c>
      <c r="U326" s="5">
        <f>[1]Hybrid!T54</f>
        <v>0.1819492697</v>
      </c>
      <c r="V326" s="5">
        <f>[1]Hybrid!U54</f>
        <v>0.1818311407</v>
      </c>
      <c r="W326" s="5">
        <f>[1]Hybrid!V54</f>
        <v>0.18144037090000001</v>
      </c>
      <c r="X326" s="5">
        <f>[1]Hybrid!W54</f>
        <v>0.1808040739</v>
      </c>
      <c r="Y326" s="5">
        <f>[1]Hybrid!X54</f>
        <v>0.179932388</v>
      </c>
      <c r="Z326" s="5">
        <f>[1]Hybrid!Y54</f>
        <v>0.17883474869999999</v>
      </c>
      <c r="AA326" s="5">
        <f>[1]Hybrid!Z54</f>
        <v>0.1775229304</v>
      </c>
      <c r="AB326" s="5">
        <f>[1]Hybrid!AA54</f>
        <v>0.17596786919999999</v>
      </c>
      <c r="AC326" s="5">
        <f>[1]Hybrid!AB54</f>
        <v>0.1742108265</v>
      </c>
      <c r="AD326" s="5">
        <f>[1]Hybrid!AC54</f>
        <v>0.17226964040000001</v>
      </c>
      <c r="AE326" s="5">
        <f>[1]Hybrid!AD54</f>
        <v>0.1701576175</v>
      </c>
      <c r="AF326" s="5">
        <f>[1]Hybrid!AE54</f>
        <v>0.1678895839</v>
      </c>
      <c r="AG326" s="5">
        <f>[1]Hybrid!AF54</f>
        <v>0.1654792702</v>
      </c>
      <c r="AH326" s="5">
        <f>[1]Hybrid!AG54</f>
        <v>0.162939429</v>
      </c>
      <c r="AI326" s="5">
        <f>[1]Hybrid!AH54</f>
        <v>0.16028174789999999</v>
      </c>
      <c r="AJ326" s="5">
        <f>[1]Hybrid!AI54</f>
        <v>0.1575169659</v>
      </c>
      <c r="AK326" s="5">
        <f>[1]Hybrid!AJ54</f>
        <v>0.15465511209999999</v>
      </c>
      <c r="AL326" s="5">
        <f>[1]Hybrid!AK54</f>
        <v>0.15170558889999999</v>
      </c>
      <c r="AM326" s="5">
        <f>[1]Hybrid!AL54</f>
        <v>0.14867222720000001</v>
      </c>
      <c r="AN326" s="5">
        <f>[1]Hybrid!AM54</f>
        <v>0.14556511999999999</v>
      </c>
      <c r="AO326" s="5">
        <f>[1]Hybrid!AN54</f>
        <v>0.1423934929</v>
      </c>
      <c r="AP326" s="5">
        <f>[1]Hybrid!AO54</f>
        <v>0.1391658653</v>
      </c>
      <c r="AQ326" s="5">
        <f>[1]Hybrid!AP54</f>
        <v>0.13589041060000001</v>
      </c>
      <c r="AR326" s="5">
        <f>[1]Hybrid!AQ54</f>
        <v>0.13257504119999999</v>
      </c>
      <c r="AS326" s="5">
        <f>[1]Hybrid!AR54</f>
        <v>0.12922722789999999</v>
      </c>
      <c r="AT326" s="5">
        <f>[1]Hybrid!AS54</f>
        <v>0.12585398440000001</v>
      </c>
      <c r="AU326" s="5">
        <f>[1]Hybrid!AT54</f>
        <v>0.12246201750000001</v>
      </c>
      <c r="AV326" s="5">
        <f>[1]Hybrid!AU54</f>
        <v>0.1190577473</v>
      </c>
      <c r="AW326" s="5">
        <f>[1]Hybrid!AV54</f>
        <v>0.1156479425</v>
      </c>
      <c r="AX326" s="5">
        <f>[1]Hybrid!AW54</f>
        <v>0.1122386308</v>
      </c>
      <c r="AY326" s="5">
        <f>[1]Hybrid!AX54</f>
        <v>0.1090432622</v>
      </c>
      <c r="AZ326" s="5">
        <f>[1]Hybrid!AY54</f>
        <v>0.1060493448</v>
      </c>
      <c r="BA326" s="5">
        <f>[1]Hybrid!AZ54</f>
        <v>0.1032427603</v>
      </c>
      <c r="BB326" s="5">
        <f>[1]Hybrid!BA54</f>
        <v>0.1050646423</v>
      </c>
      <c r="BC326" s="5">
        <f>[1]Hybrid!BB54</f>
        <v>0.1018301482</v>
      </c>
      <c r="BD326" s="5">
        <f>[1]Hybrid!BC54</f>
        <v>9.8617462000000003E-2</v>
      </c>
      <c r="BE326" s="5">
        <f>[1]Hybrid!BD54</f>
        <v>9.5431064800000007E-2</v>
      </c>
      <c r="BF326" s="5">
        <f>[1]Hybrid!BE54</f>
        <v>9.2275199700000005E-2</v>
      </c>
    </row>
    <row r="327" spans="1:58" x14ac:dyDescent="0.35">
      <c r="B327" s="5" t="str">
        <f>[1]Hybrid!A56</f>
        <v>auto_cf_cgas_2</v>
      </c>
      <c r="C327" s="5">
        <f>[1]Hybrid!B56</f>
        <v>7.4609436000000001E-2</v>
      </c>
      <c r="D327" s="5">
        <f>[1]Hybrid!C56</f>
        <v>7.5284688099999997E-2</v>
      </c>
      <c r="E327" s="5">
        <f>[1]Hybrid!D56</f>
        <v>7.6118570699999999E-2</v>
      </c>
      <c r="F327" s="5">
        <f>[1]Hybrid!E56</f>
        <v>7.6961541300000005E-2</v>
      </c>
      <c r="G327" s="5">
        <f>[1]Hybrid!F56</f>
        <v>7.7712061999999998E-2</v>
      </c>
      <c r="H327" s="5">
        <f>[1]Hybrid!G56</f>
        <v>7.8310163599999996E-2</v>
      </c>
      <c r="I327" s="5">
        <f>[1]Hybrid!H56</f>
        <v>7.8714259300000006E-2</v>
      </c>
      <c r="J327" s="5">
        <f>[1]Hybrid!I56</f>
        <v>7.8909114799999999E-2</v>
      </c>
      <c r="K327" s="5">
        <f>[1]Hybrid!J56</f>
        <v>7.8890728699999996E-2</v>
      </c>
      <c r="L327" s="5">
        <f>[1]Hybrid!K56</f>
        <v>7.8660800500000003E-2</v>
      </c>
      <c r="M327" s="5">
        <f>[1]Hybrid!L56</f>
        <v>7.8235744199999999E-2</v>
      </c>
      <c r="N327" s="5">
        <f>[1]Hybrid!M56</f>
        <v>7.7610456800000005E-2</v>
      </c>
      <c r="O327" s="5">
        <f>[1]Hybrid!N56</f>
        <v>7.6793402900000002E-2</v>
      </c>
      <c r="P327" s="5">
        <f>[1]Hybrid!O56</f>
        <v>7.5796492800000004E-2</v>
      </c>
      <c r="Q327" s="5">
        <f>[1]Hybrid!P56</f>
        <v>7.4631780100000003E-2</v>
      </c>
      <c r="R327" s="5">
        <f>[1]Hybrid!Q56</f>
        <v>7.3312513800000007E-2</v>
      </c>
      <c r="S327" s="5">
        <f>[1]Hybrid!R56</f>
        <v>7.1852650000000004E-2</v>
      </c>
      <c r="T327" s="5">
        <f>[1]Hybrid!S56</f>
        <v>7.0266984500000004E-2</v>
      </c>
      <c r="U327" s="5">
        <f>[1]Hybrid!T56</f>
        <v>6.8570885999999998E-2</v>
      </c>
      <c r="V327" s="5">
        <f>[1]Hybrid!U56</f>
        <v>6.67797745E-2</v>
      </c>
      <c r="W327" s="5">
        <f>[1]Hybrid!V56</f>
        <v>6.4905269500000001E-2</v>
      </c>
      <c r="X327" s="5">
        <f>[1]Hybrid!W56</f>
        <v>6.2966570599999994E-2</v>
      </c>
      <c r="Y327" s="5">
        <f>[1]Hybrid!X56</f>
        <v>6.0978124600000003E-2</v>
      </c>
      <c r="Z327" s="5">
        <f>[1]Hybrid!Y56</f>
        <v>5.8952852700000002E-2</v>
      </c>
      <c r="AA327" s="5">
        <f>[1]Hybrid!Z56</f>
        <v>5.69030456E-2</v>
      </c>
      <c r="AB327" s="5">
        <f>[1]Hybrid!AA56</f>
        <v>5.48335795E-2</v>
      </c>
      <c r="AC327" s="5">
        <f>[1]Hybrid!AB56</f>
        <v>5.2759916599999998E-2</v>
      </c>
      <c r="AD327" s="5">
        <f>[1]Hybrid!AC56</f>
        <v>5.0692767600000001E-2</v>
      </c>
      <c r="AE327" s="5">
        <f>[1]Hybrid!AD56</f>
        <v>4.8640751900000001E-2</v>
      </c>
      <c r="AF327" s="5">
        <f>[1]Hybrid!AE56</f>
        <v>4.6611711200000003E-2</v>
      </c>
      <c r="AG327" s="5">
        <f>[1]Hybrid!AF56</f>
        <v>4.4612404199999997E-2</v>
      </c>
      <c r="AH327" s="5">
        <f>[1]Hybrid!AG56</f>
        <v>4.2648612699999998E-2</v>
      </c>
      <c r="AI327" s="5">
        <f>[1]Hybrid!AH56</f>
        <v>4.0725227400000001E-2</v>
      </c>
      <c r="AJ327" s="5">
        <f>[1]Hybrid!AI56</f>
        <v>3.8846346099999998E-2</v>
      </c>
      <c r="AK327" s="5">
        <f>[1]Hybrid!AJ56</f>
        <v>3.7015385400000003E-2</v>
      </c>
      <c r="AL327" s="5">
        <f>[1]Hybrid!AK56</f>
        <v>3.5235158000000003E-2</v>
      </c>
      <c r="AM327" s="5">
        <f>[1]Hybrid!AL56</f>
        <v>3.3507588300000002E-2</v>
      </c>
      <c r="AN327" s="5">
        <f>[1]Hybrid!AM56</f>
        <v>3.1834689100000001E-2</v>
      </c>
      <c r="AO327" s="5">
        <f>[1]Hybrid!AN56</f>
        <v>3.0217978600000001E-2</v>
      </c>
      <c r="AP327" s="5">
        <f>[1]Hybrid!AO56</f>
        <v>2.86585182E-2</v>
      </c>
      <c r="AQ327" s="5">
        <f>[1]Hybrid!AP56</f>
        <v>2.7156982199999999E-2</v>
      </c>
      <c r="AR327" s="5">
        <f>[1]Hybrid!AQ56</f>
        <v>2.5713698900000002E-2</v>
      </c>
      <c r="AS327" s="5">
        <f>[1]Hybrid!AR56</f>
        <v>2.4328675000000001E-2</v>
      </c>
      <c r="AT327" s="5">
        <f>[1]Hybrid!AS56</f>
        <v>2.3001624299999999E-2</v>
      </c>
      <c r="AU327" s="5">
        <f>[1]Hybrid!AT56</f>
        <v>2.1732007599999999E-2</v>
      </c>
      <c r="AV327" s="5">
        <f>[1]Hybrid!AU56</f>
        <v>2.0519062800000001E-2</v>
      </c>
      <c r="AW327" s="5">
        <f>[1]Hybrid!AV56</f>
        <v>1.93618544E-2</v>
      </c>
      <c r="AX327" s="5">
        <f>[1]Hybrid!AW56</f>
        <v>1.8259259900000002E-2</v>
      </c>
      <c r="AY327" s="5">
        <f>[1]Hybrid!AX56</f>
        <v>1.7225515600000001E-2</v>
      </c>
      <c r="AZ327" s="5">
        <f>[1]Hybrid!AY56</f>
        <v>1.6255570399999999E-2</v>
      </c>
      <c r="BA327" s="5">
        <f>[1]Hybrid!AZ56</f>
        <v>1.5346048399999999E-2</v>
      </c>
      <c r="BB327" s="5">
        <f>[1]Hybrid!BA56</f>
        <v>1.5214498E-2</v>
      </c>
      <c r="BC327" s="5">
        <f>[1]Hybrid!BB56</f>
        <v>1.4334256199999999E-2</v>
      </c>
      <c r="BD327" s="5">
        <f>[1]Hybrid!BC56</f>
        <v>1.34989068E-2</v>
      </c>
      <c r="BE327" s="5">
        <f>[1]Hybrid!BD56</f>
        <v>1.27069182E-2</v>
      </c>
      <c r="BF327" s="5">
        <f>[1]Hybrid!BE56</f>
        <v>1.1956719899999999E-2</v>
      </c>
    </row>
    <row r="328" spans="1:58" x14ac:dyDescent="0.35">
      <c r="B328" s="5" t="str">
        <f>[1]Hybrid!A58</f>
        <v>auto_cg_cgas_2</v>
      </c>
      <c r="C328" s="5">
        <f>[1]Hybrid!B58</f>
        <v>0.13435819299999999</v>
      </c>
      <c r="D328" s="5">
        <f>[1]Hybrid!C58</f>
        <v>0.13588710200000001</v>
      </c>
      <c r="E328" s="5">
        <f>[1]Hybrid!D58</f>
        <v>0.13752267379999999</v>
      </c>
      <c r="F328" s="5">
        <f>[1]Hybrid!E58</f>
        <v>0.13895626589999999</v>
      </c>
      <c r="G328" s="5">
        <f>[1]Hybrid!F58</f>
        <v>0.1399867763</v>
      </c>
      <c r="H328" s="5">
        <f>[1]Hybrid!G58</f>
        <v>0.14050483580000001</v>
      </c>
      <c r="I328" s="5">
        <f>[1]Hybrid!H58</f>
        <v>0.14044842639999999</v>
      </c>
      <c r="J328" s="5">
        <f>[1]Hybrid!I58</f>
        <v>0.13981233169999999</v>
      </c>
      <c r="K328" s="5">
        <f>[1]Hybrid!J58</f>
        <v>0.13861863169999999</v>
      </c>
      <c r="L328" s="5">
        <f>[1]Hybrid!K58</f>
        <v>0.13690367470000001</v>
      </c>
      <c r="M328" s="5">
        <f>[1]Hybrid!L58</f>
        <v>0.13472802340000001</v>
      </c>
      <c r="N328" s="5">
        <f>[1]Hybrid!M58</f>
        <v>0.1321220213</v>
      </c>
      <c r="O328" s="5">
        <f>[1]Hybrid!N58</f>
        <v>0.1291352841</v>
      </c>
      <c r="P328" s="5">
        <f>[1]Hybrid!O58</f>
        <v>0.1258214644</v>
      </c>
      <c r="Q328" s="5">
        <f>[1]Hybrid!P58</f>
        <v>0.122231901</v>
      </c>
      <c r="R328" s="5">
        <f>[1]Hybrid!Q58</f>
        <v>0.11841646679999999</v>
      </c>
      <c r="S328" s="5">
        <f>[1]Hybrid!R58</f>
        <v>0.11442254690000001</v>
      </c>
      <c r="T328" s="5">
        <f>[1]Hybrid!S58</f>
        <v>0.11029490929999999</v>
      </c>
      <c r="U328" s="5">
        <f>[1]Hybrid!T58</f>
        <v>0.1060752917</v>
      </c>
      <c r="V328" s="5">
        <f>[1]Hybrid!U58</f>
        <v>0.1018017791</v>
      </c>
      <c r="W328" s="5">
        <f>[1]Hybrid!V58</f>
        <v>9.7505416900000003E-2</v>
      </c>
      <c r="X328" s="5">
        <f>[1]Hybrid!W58</f>
        <v>9.32207595E-2</v>
      </c>
      <c r="Y328" s="5">
        <f>[1]Hybrid!X58</f>
        <v>8.8974675500000003E-2</v>
      </c>
      <c r="Z328" s="5">
        <f>[1]Hybrid!Y58</f>
        <v>8.4789535599999993E-2</v>
      </c>
      <c r="AA328" s="5">
        <f>[1]Hybrid!Z58</f>
        <v>8.0684474500000006E-2</v>
      </c>
      <c r="AB328" s="5">
        <f>[1]Hybrid!AA58</f>
        <v>7.6670946300000001E-2</v>
      </c>
      <c r="AC328" s="5">
        <f>[1]Hybrid!AB58</f>
        <v>7.2765835000000001E-2</v>
      </c>
      <c r="AD328" s="5">
        <f>[1]Hybrid!AC58</f>
        <v>6.8980580700000002E-2</v>
      </c>
      <c r="AE328" s="5">
        <f>[1]Hybrid!AD58</f>
        <v>6.53232324E-2</v>
      </c>
      <c r="AF328" s="5">
        <f>[1]Hybrid!AE58</f>
        <v>6.1799765600000001E-2</v>
      </c>
      <c r="AG328" s="5">
        <f>[1]Hybrid!AF58</f>
        <v>5.84141418E-2</v>
      </c>
      <c r="AH328" s="5">
        <f>[1]Hybrid!AG58</f>
        <v>5.5168612800000003E-2</v>
      </c>
      <c r="AI328" s="5">
        <f>[1]Hybrid!AH58</f>
        <v>5.2063984799999997E-2</v>
      </c>
      <c r="AJ328" s="5">
        <f>[1]Hybrid!AI58</f>
        <v>4.9099859099999997E-2</v>
      </c>
      <c r="AK328" s="5">
        <f>[1]Hybrid!AJ58</f>
        <v>4.6274852399999997E-2</v>
      </c>
      <c r="AL328" s="5">
        <f>[1]Hybrid!AK58</f>
        <v>4.3586773699999998E-2</v>
      </c>
      <c r="AM328" s="5">
        <f>[1]Hybrid!AL58</f>
        <v>4.1032653299999999E-2</v>
      </c>
      <c r="AN328" s="5">
        <f>[1]Hybrid!AM58</f>
        <v>3.8609211800000001E-2</v>
      </c>
      <c r="AO328" s="5">
        <f>[1]Hybrid!AN58</f>
        <v>3.6312710999999998E-2</v>
      </c>
      <c r="AP328" s="5">
        <f>[1]Hybrid!AO58</f>
        <v>3.4139048300000002E-2</v>
      </c>
      <c r="AQ328" s="5">
        <f>[1]Hybrid!AP58</f>
        <v>3.2083855100000003E-2</v>
      </c>
      <c r="AR328" s="5">
        <f>[1]Hybrid!AQ58</f>
        <v>3.0142574500000002E-2</v>
      </c>
      <c r="AS328" s="5">
        <f>[1]Hybrid!AR58</f>
        <v>2.8310523800000001E-2</v>
      </c>
      <c r="AT328" s="5">
        <f>[1]Hybrid!AS58</f>
        <v>2.6582951099999998E-2</v>
      </c>
      <c r="AU328" s="5">
        <f>[1]Hybrid!AT58</f>
        <v>2.4955086800000002E-2</v>
      </c>
      <c r="AV328" s="5">
        <f>[1]Hybrid!AU58</f>
        <v>2.3422185200000001E-2</v>
      </c>
      <c r="AW328" s="5">
        <f>[1]Hybrid!AV58</f>
        <v>2.1979564E-2</v>
      </c>
      <c r="AX328" s="5">
        <f>[1]Hybrid!AW58</f>
        <v>2.0622625200000001E-2</v>
      </c>
      <c r="AY328" s="5">
        <f>[1]Hybrid!AX58</f>
        <v>1.9346939899999999E-2</v>
      </c>
      <c r="AZ328" s="5">
        <f>[1]Hybrid!AY58</f>
        <v>1.81491121E-2</v>
      </c>
      <c r="BA328" s="5">
        <f>[1]Hybrid!AZ58</f>
        <v>1.7025834399999999E-2</v>
      </c>
      <c r="BB328" s="5">
        <f>[1]Hybrid!BA58</f>
        <v>1.63579495E-2</v>
      </c>
      <c r="BC328" s="5">
        <f>[1]Hybrid!BB58</f>
        <v>1.5344181700000001E-2</v>
      </c>
      <c r="BD328" s="5">
        <f>[1]Hybrid!BC58</f>
        <v>1.4391943900000001E-2</v>
      </c>
      <c r="BE328" s="5">
        <f>[1]Hybrid!BD58</f>
        <v>1.3497753600000001E-2</v>
      </c>
      <c r="BF328" s="5">
        <f>[1]Hybrid!BE58</f>
        <v>1.2658279600000001E-2</v>
      </c>
    </row>
    <row r="330" spans="1:58" x14ac:dyDescent="0.35">
      <c r="A330" s="12" t="s">
        <v>90</v>
      </c>
      <c r="B330" t="s">
        <v>56</v>
      </c>
      <c r="C330" s="2">
        <v>42005</v>
      </c>
      <c r="D330" s="2">
        <v>42370</v>
      </c>
      <c r="E330" s="2">
        <v>42736</v>
      </c>
      <c r="F330" s="2">
        <v>43101</v>
      </c>
      <c r="G330" s="2">
        <v>43466</v>
      </c>
      <c r="H330" s="2">
        <v>43831</v>
      </c>
      <c r="I330" s="2">
        <v>44197</v>
      </c>
      <c r="J330" s="2">
        <v>44562</v>
      </c>
      <c r="K330" s="2">
        <v>44927</v>
      </c>
      <c r="L330" s="2">
        <v>45292</v>
      </c>
      <c r="M330" s="2">
        <v>45658</v>
      </c>
      <c r="N330" s="2">
        <v>46023</v>
      </c>
      <c r="O330" s="2">
        <v>46388</v>
      </c>
      <c r="P330" s="2">
        <v>46753</v>
      </c>
      <c r="Q330" s="2">
        <v>47119</v>
      </c>
      <c r="R330" s="2">
        <v>47484</v>
      </c>
      <c r="S330" s="2">
        <v>47849</v>
      </c>
      <c r="T330" s="2">
        <v>48214</v>
      </c>
      <c r="U330" s="2">
        <v>48580</v>
      </c>
      <c r="V330" s="2">
        <v>48945</v>
      </c>
      <c r="W330" s="2">
        <v>49310</v>
      </c>
      <c r="X330" s="2">
        <v>49675</v>
      </c>
      <c r="Y330" s="2">
        <v>50041</v>
      </c>
      <c r="Z330" s="2">
        <v>50406</v>
      </c>
      <c r="AA330" s="2">
        <v>50771</v>
      </c>
      <c r="AB330" s="2">
        <v>51136</v>
      </c>
      <c r="AC330" s="2">
        <v>51502</v>
      </c>
      <c r="AD330" s="2">
        <v>51867</v>
      </c>
      <c r="AE330" s="2">
        <v>52232</v>
      </c>
      <c r="AF330" s="2">
        <v>52597</v>
      </c>
      <c r="AG330" s="2">
        <v>52963</v>
      </c>
      <c r="AH330" s="2">
        <v>53328</v>
      </c>
      <c r="AI330" s="2">
        <v>53693</v>
      </c>
      <c r="AJ330" s="2">
        <v>54058</v>
      </c>
      <c r="AK330" s="2">
        <v>54424</v>
      </c>
      <c r="AL330" s="2">
        <v>54789</v>
      </c>
      <c r="AM330" s="2">
        <v>54790</v>
      </c>
      <c r="AN330" s="2">
        <v>54791</v>
      </c>
      <c r="AO330" s="2">
        <v>54792</v>
      </c>
      <c r="AP330" s="2">
        <v>54793</v>
      </c>
      <c r="AQ330" s="2">
        <v>54794</v>
      </c>
      <c r="AR330" s="2">
        <v>54795</v>
      </c>
      <c r="AS330" s="2">
        <v>54796</v>
      </c>
      <c r="AT330" s="2">
        <v>54797</v>
      </c>
      <c r="AU330" s="2">
        <v>54798</v>
      </c>
      <c r="AV330" s="2">
        <v>54799</v>
      </c>
      <c r="AW330" s="2">
        <v>54800</v>
      </c>
      <c r="AX330" s="2">
        <v>54801</v>
      </c>
      <c r="AY330" s="2">
        <v>54802</v>
      </c>
      <c r="AZ330" s="2">
        <v>54803</v>
      </c>
      <c r="BA330" s="2">
        <v>54804</v>
      </c>
      <c r="BB330" s="2">
        <v>54805</v>
      </c>
      <c r="BC330" s="2">
        <v>54806</v>
      </c>
      <c r="BD330" s="2">
        <v>54807</v>
      </c>
      <c r="BE330" s="2">
        <v>54808</v>
      </c>
      <c r="BF330" s="2">
        <v>54809</v>
      </c>
    </row>
    <row r="331" spans="1:58" x14ac:dyDescent="0.35">
      <c r="A331" t="s">
        <v>39</v>
      </c>
      <c r="B331" t="s">
        <v>96</v>
      </c>
      <c r="C331" s="6">
        <f t="shared" ref="C331:AL331" si="186">C308+C322+C315</f>
        <v>7105.9689965623002</v>
      </c>
      <c r="D331" s="6">
        <f t="shared" si="186"/>
        <v>7149.8130739032995</v>
      </c>
      <c r="E331" s="6">
        <f t="shared" si="186"/>
        <v>7233.7266097501997</v>
      </c>
      <c r="F331" s="6">
        <f t="shared" si="186"/>
        <v>7345.6213079264999</v>
      </c>
      <c r="G331" s="6">
        <f t="shared" si="186"/>
        <v>7477.5799109029003</v>
      </c>
      <c r="H331" s="6">
        <f t="shared" si="186"/>
        <v>7625.393539301499</v>
      </c>
      <c r="I331" s="6">
        <f t="shared" si="186"/>
        <v>7785.8344254773992</v>
      </c>
      <c r="J331" s="6">
        <f t="shared" si="186"/>
        <v>7957.9658216525004</v>
      </c>
      <c r="K331" s="6">
        <f t="shared" si="186"/>
        <v>8141.3011356300003</v>
      </c>
      <c r="L331" s="6">
        <f t="shared" si="186"/>
        <v>8335.3528628405984</v>
      </c>
      <c r="M331" s="6">
        <f t="shared" si="186"/>
        <v>8541.5781159271992</v>
      </c>
      <c r="N331" s="6">
        <f t="shared" si="186"/>
        <v>8756.8791090981995</v>
      </c>
      <c r="O331" s="6">
        <f t="shared" si="186"/>
        <v>8980.1950200972005</v>
      </c>
      <c r="P331" s="6">
        <f t="shared" si="186"/>
        <v>9210.4225201279005</v>
      </c>
      <c r="Q331" s="6">
        <f t="shared" si="186"/>
        <v>9446.1772886011004</v>
      </c>
      <c r="R331" s="6">
        <f t="shared" si="186"/>
        <v>9686.1035673934985</v>
      </c>
      <c r="S331" s="6">
        <f t="shared" si="186"/>
        <v>9928.8588588946004</v>
      </c>
      <c r="T331" s="6">
        <f t="shared" si="186"/>
        <v>10173.278172345701</v>
      </c>
      <c r="U331" s="6">
        <f t="shared" si="186"/>
        <v>10418.390914187201</v>
      </c>
      <c r="V331" s="6">
        <f t="shared" si="186"/>
        <v>10663.400398685599</v>
      </c>
      <c r="W331" s="6">
        <f t="shared" si="186"/>
        <v>10906.012112215802</v>
      </c>
      <c r="X331" s="6">
        <f t="shared" si="186"/>
        <v>11147.656665082999</v>
      </c>
      <c r="Y331" s="6">
        <f t="shared" si="186"/>
        <v>11388.080242234</v>
      </c>
      <c r="Z331" s="6">
        <f t="shared" si="186"/>
        <v>11627.077649127999</v>
      </c>
      <c r="AA331" s="6">
        <f t="shared" si="186"/>
        <v>11864.699732383</v>
      </c>
      <c r="AB331" s="6">
        <f t="shared" si="186"/>
        <v>12096.094127134998</v>
      </c>
      <c r="AC331" s="6">
        <f t="shared" si="186"/>
        <v>12324.597927770999</v>
      </c>
      <c r="AD331" s="6">
        <f t="shared" si="186"/>
        <v>12550.66739099</v>
      </c>
      <c r="AE331" s="6">
        <f t="shared" si="186"/>
        <v>12774.520724546999</v>
      </c>
      <c r="AF331" s="6">
        <f t="shared" si="186"/>
        <v>12996.671741945001</v>
      </c>
      <c r="AG331" s="6">
        <f t="shared" si="186"/>
        <v>13217.61133217</v>
      </c>
      <c r="AH331" s="6">
        <f t="shared" si="186"/>
        <v>13437.824949266998</v>
      </c>
      <c r="AI331" s="6">
        <f t="shared" si="186"/>
        <v>13657.769382012999</v>
      </c>
      <c r="AJ331" s="6">
        <f t="shared" si="186"/>
        <v>13877.881137246999</v>
      </c>
      <c r="AK331" s="6">
        <f t="shared" si="186"/>
        <v>14098.589732697999</v>
      </c>
      <c r="AL331" s="6">
        <f t="shared" si="186"/>
        <v>14320.310544145999</v>
      </c>
      <c r="AM331" s="6">
        <f t="shared" ref="AM331:BC331" si="187">AM308+AM322+AM315</f>
        <v>14542.358766086998</v>
      </c>
      <c r="AN331" s="6">
        <f t="shared" si="187"/>
        <v>14765.24708313</v>
      </c>
      <c r="AO331" s="6">
        <f t="shared" si="187"/>
        <v>14989.359271052999</v>
      </c>
      <c r="AP331" s="6">
        <f t="shared" si="187"/>
        <v>15215.018816356001</v>
      </c>
      <c r="AQ331" s="6">
        <f t="shared" si="187"/>
        <v>15442.546173985</v>
      </c>
      <c r="AR331" s="6">
        <f t="shared" si="187"/>
        <v>15672.26673064</v>
      </c>
      <c r="AS331" s="6">
        <f t="shared" si="187"/>
        <v>15904.457438732999</v>
      </c>
      <c r="AT331" s="6">
        <f t="shared" si="187"/>
        <v>16139.352487663999</v>
      </c>
      <c r="AU331" s="6">
        <f t="shared" si="187"/>
        <v>16377.168939989</v>
      </c>
      <c r="AV331" s="6">
        <f t="shared" si="187"/>
        <v>16618.105675352999</v>
      </c>
      <c r="AW331" s="6">
        <f t="shared" si="187"/>
        <v>16862.543402232997</v>
      </c>
      <c r="AX331" s="6">
        <f t="shared" si="187"/>
        <v>17110.647822513998</v>
      </c>
      <c r="AY331" s="6">
        <f t="shared" si="187"/>
        <v>17229.106558779004</v>
      </c>
      <c r="AZ331" s="6">
        <f t="shared" si="187"/>
        <v>17343.864662756001</v>
      </c>
      <c r="BA331" s="6">
        <f t="shared" si="187"/>
        <v>17453.364970015999</v>
      </c>
      <c r="BB331" s="6">
        <f t="shared" si="187"/>
        <v>18182.57675584</v>
      </c>
      <c r="BC331" s="6">
        <f t="shared" si="187"/>
        <v>18445.878013850001</v>
      </c>
      <c r="BD331" s="6">
        <f t="shared" ref="BD331:BF331" si="188">BD308+BD322+BD315</f>
        <v>18712.095528523001</v>
      </c>
      <c r="BE331" s="6">
        <f t="shared" si="188"/>
        <v>18981.344316728002</v>
      </c>
      <c r="BF331" s="6">
        <f t="shared" si="188"/>
        <v>19253.748624161999</v>
      </c>
    </row>
    <row r="332" spans="1:58" x14ac:dyDescent="0.35">
      <c r="B332" t="s">
        <v>97</v>
      </c>
      <c r="C332" s="6">
        <f t="shared" ref="C332:AL332" si="189">C309+C323+C316</f>
        <v>8263.1971436354015</v>
      </c>
      <c r="D332" s="6">
        <f t="shared" si="189"/>
        <v>8192.8033071741011</v>
      </c>
      <c r="E332" s="6">
        <f t="shared" si="189"/>
        <v>8168.8093567706001</v>
      </c>
      <c r="F332" s="6">
        <f t="shared" si="189"/>
        <v>8178.7091665283997</v>
      </c>
      <c r="G332" s="6">
        <f t="shared" si="189"/>
        <v>8214.0814513334008</v>
      </c>
      <c r="H332" s="6">
        <f t="shared" si="189"/>
        <v>8270.1293885835985</v>
      </c>
      <c r="I332" s="6">
        <f t="shared" si="189"/>
        <v>8343.0662611696007</v>
      </c>
      <c r="J332" s="6">
        <f t="shared" si="189"/>
        <v>8431.3550854276</v>
      </c>
      <c r="K332" s="6">
        <f t="shared" si="189"/>
        <v>8533.9495626917997</v>
      </c>
      <c r="L332" s="6">
        <f t="shared" si="189"/>
        <v>8649.8547307178997</v>
      </c>
      <c r="M332" s="6">
        <f t="shared" si="189"/>
        <v>8779.9502019533993</v>
      </c>
      <c r="N332" s="6">
        <f t="shared" si="189"/>
        <v>8920.871523455</v>
      </c>
      <c r="O332" s="6">
        <f t="shared" si="189"/>
        <v>9071.2100906941014</v>
      </c>
      <c r="P332" s="6">
        <f t="shared" si="189"/>
        <v>9229.5699016100989</v>
      </c>
      <c r="Q332" s="6">
        <f t="shared" si="189"/>
        <v>9394.3292554744985</v>
      </c>
      <c r="R332" s="6">
        <f t="shared" si="189"/>
        <v>9563.9290223878997</v>
      </c>
      <c r="S332" s="6">
        <f t="shared" si="189"/>
        <v>9736.8561323062004</v>
      </c>
      <c r="T332" s="6">
        <f t="shared" si="189"/>
        <v>9911.7921648441006</v>
      </c>
      <c r="U332" s="6">
        <f t="shared" si="189"/>
        <v>10087.626440782798</v>
      </c>
      <c r="V332" s="6">
        <f t="shared" si="189"/>
        <v>10263.431979814501</v>
      </c>
      <c r="W332" s="6">
        <f t="shared" si="189"/>
        <v>10436.946866582899</v>
      </c>
      <c r="X332" s="6">
        <f t="shared" si="189"/>
        <v>10609.3123812586</v>
      </c>
      <c r="Y332" s="6">
        <f t="shared" si="189"/>
        <v>10780.1562617647</v>
      </c>
      <c r="Z332" s="6">
        <f t="shared" si="189"/>
        <v>10949.150991441</v>
      </c>
      <c r="AA332" s="6">
        <f t="shared" si="189"/>
        <v>11116.208807586001</v>
      </c>
      <c r="AB332" s="6">
        <f t="shared" si="189"/>
        <v>11276.894851499001</v>
      </c>
      <c r="AC332" s="6">
        <f t="shared" si="189"/>
        <v>11434.088202561001</v>
      </c>
      <c r="AD332" s="6">
        <f t="shared" si="189"/>
        <v>11588.120596506002</v>
      </c>
      <c r="AE332" s="6">
        <f t="shared" si="189"/>
        <v>11739.093090546001</v>
      </c>
      <c r="AF332" s="6">
        <f t="shared" si="189"/>
        <v>11887.366845511999</v>
      </c>
      <c r="AG332" s="6">
        <f t="shared" si="189"/>
        <v>12033.278670001</v>
      </c>
      <c r="AH332" s="6">
        <f t="shared" si="189"/>
        <v>12177.154916153</v>
      </c>
      <c r="AI332" s="6">
        <f t="shared" si="189"/>
        <v>12319.290615527998</v>
      </c>
      <c r="AJ332" s="6">
        <f t="shared" si="189"/>
        <v>12459.95615529</v>
      </c>
      <c r="AK332" s="6">
        <f t="shared" si="189"/>
        <v>12599.409517243999</v>
      </c>
      <c r="AL332" s="6">
        <f t="shared" si="189"/>
        <v>12737.890760025999</v>
      </c>
      <c r="AM332" s="6">
        <f t="shared" ref="AM332:BC332" si="190">AM309+AM323+AM316</f>
        <v>12874.709578375001</v>
      </c>
      <c r="AN332" s="6">
        <f t="shared" si="190"/>
        <v>13010.197714997999</v>
      </c>
      <c r="AO332" s="6">
        <f t="shared" si="190"/>
        <v>13144.576431776</v>
      </c>
      <c r="AP332" s="6">
        <f t="shared" si="190"/>
        <v>13278.011018619</v>
      </c>
      <c r="AQ332" s="6">
        <f t="shared" si="190"/>
        <v>13410.660142783001</v>
      </c>
      <c r="AR332" s="6">
        <f t="shared" si="190"/>
        <v>13542.683041497001</v>
      </c>
      <c r="AS332" s="6">
        <f t="shared" si="190"/>
        <v>13674.195673046999</v>
      </c>
      <c r="AT332" s="6">
        <f t="shared" si="190"/>
        <v>13805.274132389</v>
      </c>
      <c r="AU332" s="6">
        <f t="shared" si="190"/>
        <v>13935.976582026</v>
      </c>
      <c r="AV332" s="6">
        <f t="shared" si="190"/>
        <v>14066.342718959999</v>
      </c>
      <c r="AW332" s="6">
        <f t="shared" si="190"/>
        <v>14196.556065224</v>
      </c>
      <c r="AX332" s="6">
        <f t="shared" si="190"/>
        <v>14326.626576003002</v>
      </c>
      <c r="AY332" s="6">
        <f t="shared" si="190"/>
        <v>14355.473876868</v>
      </c>
      <c r="AZ332" s="6">
        <f t="shared" si="190"/>
        <v>14384.517792441</v>
      </c>
      <c r="BA332" s="6">
        <f t="shared" si="190"/>
        <v>14413.201722489999</v>
      </c>
      <c r="BB332" s="6">
        <f t="shared" si="190"/>
        <v>15021.876346300001</v>
      </c>
      <c r="BC332" s="6">
        <f t="shared" si="190"/>
        <v>15156.629626152</v>
      </c>
      <c r="BD332" s="6">
        <f t="shared" ref="BD332:BF332" si="191">BD309+BD323+BD316</f>
        <v>15290.513371906</v>
      </c>
      <c r="BE332" s="6">
        <f t="shared" si="191"/>
        <v>15423.524856576001</v>
      </c>
      <c r="BF332" s="6">
        <f t="shared" si="191"/>
        <v>15555.666014259001</v>
      </c>
    </row>
    <row r="333" spans="1:58" x14ac:dyDescent="0.35">
      <c r="B333" t="s">
        <v>98</v>
      </c>
      <c r="C333" s="6">
        <f t="shared" ref="C333:AL333" si="192">C310+C324+C317</f>
        <v>6787.4105911386005</v>
      </c>
      <c r="D333" s="6">
        <f t="shared" si="192"/>
        <v>6655.3653742478991</v>
      </c>
      <c r="E333" s="6">
        <f t="shared" si="192"/>
        <v>6561.3567324473997</v>
      </c>
      <c r="F333" s="6">
        <f t="shared" si="192"/>
        <v>6496.0761768539005</v>
      </c>
      <c r="G333" s="6">
        <f t="shared" si="192"/>
        <v>6453.1025948936003</v>
      </c>
      <c r="H333" s="6">
        <f t="shared" si="192"/>
        <v>6428.5719620937007</v>
      </c>
      <c r="I333" s="6">
        <f t="shared" si="192"/>
        <v>6419.3700024637001</v>
      </c>
      <c r="J333" s="6">
        <f t="shared" si="192"/>
        <v>6423.9776730066997</v>
      </c>
      <c r="K333" s="6">
        <f t="shared" si="192"/>
        <v>6441.2588289793994</v>
      </c>
      <c r="L333" s="6">
        <f t="shared" si="192"/>
        <v>6470.1515896732999</v>
      </c>
      <c r="M333" s="6">
        <f t="shared" si="192"/>
        <v>6510.9001510885</v>
      </c>
      <c r="N333" s="6">
        <f t="shared" si="192"/>
        <v>6560.9006455071003</v>
      </c>
      <c r="O333" s="6">
        <f t="shared" si="192"/>
        <v>6618.9060683335001</v>
      </c>
      <c r="P333" s="6">
        <f t="shared" si="192"/>
        <v>6683.7161130187005</v>
      </c>
      <c r="Q333" s="6">
        <f t="shared" si="192"/>
        <v>6754.0059565578995</v>
      </c>
      <c r="R333" s="6">
        <f t="shared" si="192"/>
        <v>6828.5195449030007</v>
      </c>
      <c r="S333" s="6">
        <f t="shared" si="192"/>
        <v>6906.0567154435003</v>
      </c>
      <c r="T333" s="6">
        <f t="shared" si="192"/>
        <v>6985.5698261923999</v>
      </c>
      <c r="U333" s="6">
        <f t="shared" si="192"/>
        <v>7066.1705646406008</v>
      </c>
      <c r="V333" s="6">
        <f t="shared" si="192"/>
        <v>7147.1103271835</v>
      </c>
      <c r="W333" s="6">
        <f t="shared" si="192"/>
        <v>7226.7846970747005</v>
      </c>
      <c r="X333" s="6">
        <f t="shared" si="192"/>
        <v>7305.8342130440997</v>
      </c>
      <c r="Y333" s="6">
        <f t="shared" si="192"/>
        <v>7383.9201442704998</v>
      </c>
      <c r="Z333" s="6">
        <f t="shared" si="192"/>
        <v>7460.7354893473994</v>
      </c>
      <c r="AA333" s="6">
        <f t="shared" si="192"/>
        <v>7536.1369194312001</v>
      </c>
      <c r="AB333" s="6">
        <f t="shared" si="192"/>
        <v>7607.2019520108006</v>
      </c>
      <c r="AC333" s="6">
        <f t="shared" si="192"/>
        <v>7675.7229955155999</v>
      </c>
      <c r="AD333" s="6">
        <f t="shared" si="192"/>
        <v>7741.8683459007998</v>
      </c>
      <c r="AE333" s="6">
        <f t="shared" si="192"/>
        <v>7805.6480554658001</v>
      </c>
      <c r="AF333" s="6">
        <f t="shared" si="192"/>
        <v>7867.2389291351992</v>
      </c>
      <c r="AG333" s="6">
        <f t="shared" si="192"/>
        <v>7926.8013918716997</v>
      </c>
      <c r="AH333" s="6">
        <f t="shared" si="192"/>
        <v>7984.4874815424</v>
      </c>
      <c r="AI333" s="6">
        <f t="shared" si="192"/>
        <v>8040.4274701961003</v>
      </c>
      <c r="AJ333" s="6">
        <f t="shared" si="192"/>
        <v>8094.7338109987004</v>
      </c>
      <c r="AK333" s="6">
        <f t="shared" si="192"/>
        <v>8147.5093787429005</v>
      </c>
      <c r="AL333" s="6">
        <f t="shared" si="192"/>
        <v>8198.8445654037987</v>
      </c>
      <c r="AM333" s="6">
        <f t="shared" ref="AM333:BC333" si="193">AM310+AM324+AM317</f>
        <v>8248.2639610446004</v>
      </c>
      <c r="AN333" s="6">
        <f t="shared" si="193"/>
        <v>8295.9238877770003</v>
      </c>
      <c r="AO333" s="6">
        <f t="shared" si="193"/>
        <v>8341.9144584228998</v>
      </c>
      <c r="AP333" s="6">
        <f t="shared" si="193"/>
        <v>8386.2908091293993</v>
      </c>
      <c r="AQ333" s="6">
        <f t="shared" si="193"/>
        <v>8429.1038662062001</v>
      </c>
      <c r="AR333" s="6">
        <f t="shared" si="193"/>
        <v>8470.4051219250014</v>
      </c>
      <c r="AS333" s="6">
        <f t="shared" si="193"/>
        <v>8510.2206345657014</v>
      </c>
      <c r="AT333" s="6">
        <f t="shared" si="193"/>
        <v>8548.5524447046992</v>
      </c>
      <c r="AU333" s="6">
        <f t="shared" si="193"/>
        <v>8585.3922418753991</v>
      </c>
      <c r="AV333" s="6">
        <f t="shared" si="193"/>
        <v>8620.7212859300998</v>
      </c>
      <c r="AW333" s="6">
        <f t="shared" si="193"/>
        <v>8654.6056038506995</v>
      </c>
      <c r="AX333" s="6">
        <f t="shared" si="193"/>
        <v>8687.0126061423016</v>
      </c>
      <c r="AY333" s="6">
        <f t="shared" si="193"/>
        <v>8716.4797633853996</v>
      </c>
      <c r="AZ333" s="6">
        <f t="shared" si="193"/>
        <v>8743.291551222901</v>
      </c>
      <c r="BA333" s="6">
        <f t="shared" si="193"/>
        <v>8767.6170258207003</v>
      </c>
      <c r="BB333" s="6">
        <f t="shared" si="193"/>
        <v>8987.5710228750013</v>
      </c>
      <c r="BC333" s="6">
        <f t="shared" si="193"/>
        <v>9019.9497071197002</v>
      </c>
      <c r="BD333" s="6">
        <f t="shared" ref="BD333:BF333" si="194">BD310+BD324+BD317</f>
        <v>9050.4682229624996</v>
      </c>
      <c r="BE333" s="6">
        <f t="shared" si="194"/>
        <v>9079.1083501920984</v>
      </c>
      <c r="BF333" s="6">
        <f t="shared" si="194"/>
        <v>9105.8550322254996</v>
      </c>
    </row>
    <row r="334" spans="1:58" x14ac:dyDescent="0.35">
      <c r="B334" t="s">
        <v>99</v>
      </c>
      <c r="C334" s="6">
        <f t="shared" ref="C334:AL334" si="195">C311+C325+C318</f>
        <v>4165.6835237371006</v>
      </c>
      <c r="D334" s="6">
        <f t="shared" si="195"/>
        <v>4060.3494199394004</v>
      </c>
      <c r="E334" s="6">
        <f t="shared" si="195"/>
        <v>3977.1436194254998</v>
      </c>
      <c r="F334" s="6">
        <f t="shared" si="195"/>
        <v>3910.3492566714999</v>
      </c>
      <c r="G334" s="6">
        <f t="shared" si="195"/>
        <v>3855.9332764503001</v>
      </c>
      <c r="H334" s="6">
        <f t="shared" si="195"/>
        <v>3811.3397583622996</v>
      </c>
      <c r="I334" s="6">
        <f t="shared" si="195"/>
        <v>3774.4981056086999</v>
      </c>
      <c r="J334" s="6">
        <f t="shared" si="195"/>
        <v>3744.2625302907004</v>
      </c>
      <c r="K334" s="6">
        <f t="shared" si="195"/>
        <v>3719.7558949930999</v>
      </c>
      <c r="L334" s="6">
        <f t="shared" si="195"/>
        <v>3700.1902003615996</v>
      </c>
      <c r="M334" s="6">
        <f t="shared" si="195"/>
        <v>3685.4786181658001</v>
      </c>
      <c r="N334" s="6">
        <f t="shared" si="195"/>
        <v>3674.1325253328005</v>
      </c>
      <c r="O334" s="6">
        <f t="shared" si="195"/>
        <v>3665.3838388825002</v>
      </c>
      <c r="P334" s="6">
        <f t="shared" si="195"/>
        <v>3658.5428485723</v>
      </c>
      <c r="Q334" s="6">
        <f t="shared" si="195"/>
        <v>3652.8912875327001</v>
      </c>
      <c r="R334" s="6">
        <f t="shared" si="195"/>
        <v>3647.7760906909002</v>
      </c>
      <c r="S334" s="6">
        <f t="shared" si="195"/>
        <v>3642.6003733999996</v>
      </c>
      <c r="T334" s="6">
        <f t="shared" si="195"/>
        <v>3636.8643479514999</v>
      </c>
      <c r="U334" s="6">
        <f t="shared" si="195"/>
        <v>3630.165431636</v>
      </c>
      <c r="V334" s="6">
        <f t="shared" si="195"/>
        <v>3622.1827003367998</v>
      </c>
      <c r="W334" s="6">
        <f t="shared" si="195"/>
        <v>3612.2474209904003</v>
      </c>
      <c r="X334" s="6">
        <f t="shared" si="195"/>
        <v>3600.6733459164002</v>
      </c>
      <c r="Y334" s="6">
        <f t="shared" si="195"/>
        <v>3587.3622055806995</v>
      </c>
      <c r="Z334" s="6">
        <f t="shared" si="195"/>
        <v>3572.2218622849</v>
      </c>
      <c r="AA334" s="6">
        <f t="shared" si="195"/>
        <v>3555.2324248037999</v>
      </c>
      <c r="AB334" s="6">
        <f t="shared" si="195"/>
        <v>3535.2935970951003</v>
      </c>
      <c r="AC334" s="6">
        <f t="shared" si="195"/>
        <v>3513.1835620415</v>
      </c>
      <c r="AD334" s="6">
        <f t="shared" si="195"/>
        <v>3489.0528401272004</v>
      </c>
      <c r="AE334" s="6">
        <f t="shared" si="195"/>
        <v>3462.9644251524001</v>
      </c>
      <c r="AF334" s="6">
        <f t="shared" si="195"/>
        <v>3435.0400603984995</v>
      </c>
      <c r="AG334" s="6">
        <f t="shared" si="195"/>
        <v>3405.3884810428003</v>
      </c>
      <c r="AH334" s="6">
        <f t="shared" si="195"/>
        <v>3374.1080678293997</v>
      </c>
      <c r="AI334" s="6">
        <f t="shared" si="195"/>
        <v>3341.2827851044003</v>
      </c>
      <c r="AJ334" s="6">
        <f t="shared" si="195"/>
        <v>3306.9841811001002</v>
      </c>
      <c r="AK334" s="6">
        <f t="shared" si="195"/>
        <v>3271.2761231421</v>
      </c>
      <c r="AL334" s="6">
        <f t="shared" si="195"/>
        <v>3234.2153322387003</v>
      </c>
      <c r="AM334" s="6">
        <f t="shared" ref="AM334:BC334" si="196">AM311+AM325+AM318</f>
        <v>3195.6846073945999</v>
      </c>
      <c r="AN334" s="6">
        <f t="shared" si="196"/>
        <v>3155.7743465218996</v>
      </c>
      <c r="AO334" s="6">
        <f t="shared" si="196"/>
        <v>3114.5552795684002</v>
      </c>
      <c r="AP334" s="6">
        <f t="shared" si="196"/>
        <v>3072.0857570212002</v>
      </c>
      <c r="AQ334" s="6">
        <f t="shared" si="196"/>
        <v>3028.4225020118001</v>
      </c>
      <c r="AR334" s="6">
        <f t="shared" si="196"/>
        <v>2983.6227747849998</v>
      </c>
      <c r="AS334" s="6">
        <f t="shared" si="196"/>
        <v>2937.7374811107998</v>
      </c>
      <c r="AT334" s="6">
        <f t="shared" si="196"/>
        <v>2890.8109961693999</v>
      </c>
      <c r="AU334" s="6">
        <f t="shared" si="196"/>
        <v>2842.8858517837998</v>
      </c>
      <c r="AV334" s="6">
        <f t="shared" si="196"/>
        <v>2794.0031302581001</v>
      </c>
      <c r="AW334" s="6">
        <f t="shared" si="196"/>
        <v>2744.2269929076001</v>
      </c>
      <c r="AX334" s="6">
        <f t="shared" si="196"/>
        <v>2693.6003915777001</v>
      </c>
      <c r="AY334" s="6">
        <f t="shared" si="196"/>
        <v>2646.8655953836001</v>
      </c>
      <c r="AZ334" s="6">
        <f t="shared" si="196"/>
        <v>2603.7363305032</v>
      </c>
      <c r="BA334" s="6">
        <f t="shared" si="196"/>
        <v>2563.9112732357999</v>
      </c>
      <c r="BB334" s="6">
        <f t="shared" si="196"/>
        <v>2627.3217814909003</v>
      </c>
      <c r="BC334" s="6">
        <f t="shared" si="196"/>
        <v>2577.8758599247999</v>
      </c>
      <c r="BD334" s="6">
        <f t="shared" ref="BD334:BF334" si="197">BD311+BD325+BD318</f>
        <v>2527.7977910374002</v>
      </c>
      <c r="BE334" s="6">
        <f t="shared" si="197"/>
        <v>2477.1409967202999</v>
      </c>
      <c r="BF334" s="6">
        <f t="shared" si="197"/>
        <v>2425.9593885319996</v>
      </c>
    </row>
    <row r="335" spans="1:58" x14ac:dyDescent="0.35">
      <c r="B335" t="s">
        <v>100</v>
      </c>
      <c r="C335" s="6">
        <f t="shared" ref="C335:AL335" si="198">C312+C326+C319</f>
        <v>2507.3524895615005</v>
      </c>
      <c r="D335" s="6">
        <f t="shared" si="198"/>
        <v>2446.4365832146</v>
      </c>
      <c r="E335" s="6">
        <f t="shared" si="198"/>
        <v>2398.0384033710998</v>
      </c>
      <c r="F335" s="6">
        <f t="shared" si="198"/>
        <v>2358.4795910338999</v>
      </c>
      <c r="G335" s="6">
        <f t="shared" si="198"/>
        <v>2325.1603511809999</v>
      </c>
      <c r="H335" s="6">
        <f t="shared" si="198"/>
        <v>2296.4204839063</v>
      </c>
      <c r="I335" s="6">
        <f t="shared" si="198"/>
        <v>2270.9348480460999</v>
      </c>
      <c r="J335" s="6">
        <f t="shared" si="198"/>
        <v>2247.9678686268003</v>
      </c>
      <c r="K335" s="6">
        <f t="shared" si="198"/>
        <v>2226.9773353824999</v>
      </c>
      <c r="L335" s="6">
        <f t="shared" si="198"/>
        <v>2207.4989151171994</v>
      </c>
      <c r="M335" s="6">
        <f t="shared" si="198"/>
        <v>2189.4860895453999</v>
      </c>
      <c r="N335" s="6">
        <f t="shared" si="198"/>
        <v>2172.1167137106004</v>
      </c>
      <c r="O335" s="6">
        <f t="shared" si="198"/>
        <v>2154.9926542905</v>
      </c>
      <c r="P335" s="6">
        <f t="shared" si="198"/>
        <v>2137.7843767063</v>
      </c>
      <c r="Q335" s="6">
        <f t="shared" si="198"/>
        <v>2120.1597525444004</v>
      </c>
      <c r="R335" s="6">
        <f t="shared" si="198"/>
        <v>2101.8344405388002</v>
      </c>
      <c r="S335" s="6">
        <f t="shared" si="198"/>
        <v>2082.5649478915002</v>
      </c>
      <c r="T335" s="6">
        <f t="shared" si="198"/>
        <v>2062.1676177656</v>
      </c>
      <c r="U335" s="6">
        <f t="shared" si="198"/>
        <v>2040.5166823097002</v>
      </c>
      <c r="V335" s="6">
        <f t="shared" si="198"/>
        <v>2017.5328195407001</v>
      </c>
      <c r="W335" s="6">
        <f t="shared" si="198"/>
        <v>1992.9719035508999</v>
      </c>
      <c r="X335" s="6">
        <f t="shared" si="198"/>
        <v>1967.0743005339</v>
      </c>
      <c r="Y335" s="6">
        <f t="shared" si="198"/>
        <v>1939.8784335179998</v>
      </c>
      <c r="Z335" s="6">
        <f t="shared" si="198"/>
        <v>1911.4190236287</v>
      </c>
      <c r="AA335" s="6">
        <f t="shared" si="198"/>
        <v>1881.7633359804001</v>
      </c>
      <c r="AB335" s="6">
        <f t="shared" si="198"/>
        <v>1850.4926104191998</v>
      </c>
      <c r="AC335" s="6">
        <f t="shared" si="198"/>
        <v>1818.0423579265</v>
      </c>
      <c r="AD335" s="6">
        <f t="shared" si="198"/>
        <v>1784.5643987303997</v>
      </c>
      <c r="AE335" s="6">
        <f t="shared" si="198"/>
        <v>1750.1578993375001</v>
      </c>
      <c r="AF335" s="6">
        <f t="shared" si="198"/>
        <v>1714.9425894939</v>
      </c>
      <c r="AG335" s="6">
        <f t="shared" si="198"/>
        <v>1679.0269567902001</v>
      </c>
      <c r="AH335" s="6">
        <f t="shared" si="198"/>
        <v>1642.509710929</v>
      </c>
      <c r="AI335" s="6">
        <f t="shared" si="198"/>
        <v>1605.4787720378999</v>
      </c>
      <c r="AJ335" s="6">
        <f t="shared" si="198"/>
        <v>1568.0127110859</v>
      </c>
      <c r="AK335" s="6">
        <f t="shared" si="198"/>
        <v>1530.1836324121</v>
      </c>
      <c r="AL335" s="6">
        <f t="shared" si="198"/>
        <v>1492.0581424289003</v>
      </c>
      <c r="AM335" s="6">
        <f t="shared" ref="AM335:BC335" si="199">AM312+AM326+AM319</f>
        <v>1453.6382812472</v>
      </c>
      <c r="AN335" s="6">
        <f t="shared" si="199"/>
        <v>1415.0038025899999</v>
      </c>
      <c r="AO335" s="6">
        <f t="shared" si="199"/>
        <v>1376.2255660729002</v>
      </c>
      <c r="AP335" s="6">
        <f t="shared" si="199"/>
        <v>1337.3675229252999</v>
      </c>
      <c r="AQ335" s="6">
        <f t="shared" si="199"/>
        <v>1298.4910212306002</v>
      </c>
      <c r="AR335" s="6">
        <f t="shared" si="199"/>
        <v>1259.6557738811998</v>
      </c>
      <c r="AS335" s="6">
        <f t="shared" si="199"/>
        <v>1220.9176494579001</v>
      </c>
      <c r="AT335" s="6">
        <f t="shared" si="199"/>
        <v>1182.3284667344001</v>
      </c>
      <c r="AU335" s="6">
        <f t="shared" si="199"/>
        <v>1143.9377652575001</v>
      </c>
      <c r="AV335" s="6">
        <f t="shared" si="199"/>
        <v>1105.7930032673</v>
      </c>
      <c r="AW335" s="6">
        <f t="shared" si="199"/>
        <v>1067.9470423424998</v>
      </c>
      <c r="AX335" s="6">
        <f t="shared" si="199"/>
        <v>1030.4450720008001</v>
      </c>
      <c r="AY335" s="6">
        <f t="shared" si="199"/>
        <v>995.85062748019993</v>
      </c>
      <c r="AZ335" s="6">
        <f t="shared" si="199"/>
        <v>963.96396194980002</v>
      </c>
      <c r="BA335" s="6">
        <f t="shared" si="199"/>
        <v>934.54064202929987</v>
      </c>
      <c r="BB335" s="6">
        <f t="shared" si="199"/>
        <v>956.35591805230001</v>
      </c>
      <c r="BC335" s="6">
        <f t="shared" si="199"/>
        <v>922.14041754819993</v>
      </c>
      <c r="BD335" s="6">
        <f t="shared" ref="BD335:BF335" si="200">BD312+BD326+BD319</f>
        <v>888.3924872020001</v>
      </c>
      <c r="BE335" s="6">
        <f t="shared" si="200"/>
        <v>855.14612888479996</v>
      </c>
      <c r="BF335" s="6">
        <f t="shared" si="200"/>
        <v>822.4332865097</v>
      </c>
    </row>
    <row r="336" spans="1:58" x14ac:dyDescent="0.35">
      <c r="B336" t="s">
        <v>101</v>
      </c>
      <c r="C336" s="6">
        <f t="shared" ref="C336:AL336" si="201">C313+C327+C320</f>
        <v>1245.466605953</v>
      </c>
      <c r="D336" s="6">
        <f t="shared" si="201"/>
        <v>1212.7436127041001</v>
      </c>
      <c r="E336" s="6">
        <f t="shared" si="201"/>
        <v>1184.9981395027</v>
      </c>
      <c r="F336" s="6">
        <f t="shared" si="201"/>
        <v>1160.1655734003</v>
      </c>
      <c r="G336" s="6">
        <f t="shared" si="201"/>
        <v>1136.8059438250002</v>
      </c>
      <c r="H336" s="6">
        <f t="shared" si="201"/>
        <v>1114.0140398276001</v>
      </c>
      <c r="I336" s="6">
        <f t="shared" si="201"/>
        <v>1091.1305527423001</v>
      </c>
      <c r="J336" s="6">
        <f t="shared" si="201"/>
        <v>1067.8325340977999</v>
      </c>
      <c r="K336" s="6">
        <f t="shared" si="201"/>
        <v>1043.9455234467</v>
      </c>
      <c r="L336" s="6">
        <f t="shared" si="201"/>
        <v>1019.3740458364999</v>
      </c>
      <c r="M336" s="6">
        <f t="shared" si="201"/>
        <v>994.2080765462</v>
      </c>
      <c r="N336" s="6">
        <f t="shared" si="201"/>
        <v>968.28451669979995</v>
      </c>
      <c r="O336" s="6">
        <f t="shared" si="201"/>
        <v>941.6121034718999</v>
      </c>
      <c r="P336" s="6">
        <f t="shared" si="201"/>
        <v>914.24671669779991</v>
      </c>
      <c r="Q336" s="6">
        <f t="shared" si="201"/>
        <v>886.25065134710007</v>
      </c>
      <c r="R336" s="6">
        <f t="shared" si="201"/>
        <v>857.70486436280009</v>
      </c>
      <c r="S336" s="6">
        <f t="shared" si="201"/>
        <v>828.70256123799993</v>
      </c>
      <c r="T336" s="6">
        <f t="shared" si="201"/>
        <v>799.35036018949995</v>
      </c>
      <c r="U336" s="6">
        <f t="shared" si="201"/>
        <v>769.76467895600001</v>
      </c>
      <c r="V336" s="6">
        <f t="shared" si="201"/>
        <v>740.06513495050001</v>
      </c>
      <c r="W336" s="6">
        <f t="shared" si="201"/>
        <v>710.32808638549989</v>
      </c>
      <c r="X336" s="6">
        <f t="shared" si="201"/>
        <v>680.72375249160007</v>
      </c>
      <c r="Y336" s="6">
        <f t="shared" si="201"/>
        <v>651.36656004359997</v>
      </c>
      <c r="Z336" s="6">
        <f t="shared" si="201"/>
        <v>622.35464017570007</v>
      </c>
      <c r="AA336" s="6">
        <f t="shared" si="201"/>
        <v>593.78068833659995</v>
      </c>
      <c r="AB336" s="6">
        <f t="shared" si="201"/>
        <v>565.65052277550001</v>
      </c>
      <c r="AC336" s="6">
        <f t="shared" si="201"/>
        <v>538.10020686260009</v>
      </c>
      <c r="AD336" s="6">
        <f t="shared" si="201"/>
        <v>511.20987326260001</v>
      </c>
      <c r="AE336" s="6">
        <f t="shared" si="201"/>
        <v>485.03641100689998</v>
      </c>
      <c r="AF336" s="6">
        <f t="shared" si="201"/>
        <v>459.6294575782</v>
      </c>
      <c r="AG336" s="6">
        <f t="shared" si="201"/>
        <v>435.02771104019996</v>
      </c>
      <c r="AH336" s="6">
        <f t="shared" si="201"/>
        <v>411.26024130470006</v>
      </c>
      <c r="AI336" s="6">
        <f t="shared" si="201"/>
        <v>388.3475279644</v>
      </c>
      <c r="AJ336" s="6">
        <f t="shared" si="201"/>
        <v>366.30264373009999</v>
      </c>
      <c r="AK336" s="6">
        <f t="shared" si="201"/>
        <v>345.13256062940002</v>
      </c>
      <c r="AL336" s="6">
        <f t="shared" si="201"/>
        <v>324.83904841199995</v>
      </c>
      <c r="AM336" s="6">
        <f t="shared" ref="AM336:BC336" si="202">AM313+AM327+AM320</f>
        <v>305.41522032829999</v>
      </c>
      <c r="AN336" s="6">
        <f t="shared" si="202"/>
        <v>286.8572225291</v>
      </c>
      <c r="AO336" s="6">
        <f t="shared" si="202"/>
        <v>269.15708747159999</v>
      </c>
      <c r="AP336" s="6">
        <f t="shared" si="202"/>
        <v>252.30313664519997</v>
      </c>
      <c r="AQ336" s="6">
        <f t="shared" si="202"/>
        <v>236.28074921620001</v>
      </c>
      <c r="AR336" s="6">
        <f t="shared" si="202"/>
        <v>221.07280419490002</v>
      </c>
      <c r="AS336" s="6">
        <f t="shared" si="202"/>
        <v>206.65989812199999</v>
      </c>
      <c r="AT336" s="6">
        <f t="shared" si="202"/>
        <v>193.02062704730002</v>
      </c>
      <c r="AU336" s="6">
        <f t="shared" si="202"/>
        <v>180.13200176060002</v>
      </c>
      <c r="AV336" s="6">
        <f t="shared" si="202"/>
        <v>167.96973614179998</v>
      </c>
      <c r="AW336" s="6">
        <f t="shared" si="202"/>
        <v>156.50877522339999</v>
      </c>
      <c r="AX336" s="6">
        <f t="shared" si="202"/>
        <v>145.7230627969</v>
      </c>
      <c r="AY336" s="6">
        <f t="shared" si="202"/>
        <v>135.77740427559999</v>
      </c>
      <c r="AZ336" s="6">
        <f t="shared" si="202"/>
        <v>126.61232180740001</v>
      </c>
      <c r="BA336" s="6">
        <f t="shared" si="202"/>
        <v>118.15839699540001</v>
      </c>
      <c r="BB336" s="6">
        <f t="shared" si="202"/>
        <v>117.32260427600001</v>
      </c>
      <c r="BC336" s="6">
        <f t="shared" si="202"/>
        <v>109.1460997242</v>
      </c>
      <c r="BD336" s="6">
        <f t="shared" ref="BD336:BF336" si="203">BD313+BD327+BD320</f>
        <v>101.48036503279999</v>
      </c>
      <c r="BE336" s="6">
        <f t="shared" si="203"/>
        <v>94.301090705199996</v>
      </c>
      <c r="BF336" s="6">
        <f t="shared" si="203"/>
        <v>87.58423832790001</v>
      </c>
    </row>
    <row r="337" spans="1:58" x14ac:dyDescent="0.35">
      <c r="B337" t="s">
        <v>102</v>
      </c>
      <c r="C337" s="6">
        <f t="shared" ref="C337:AL337" si="204">C314+C328+C321</f>
        <v>2242.8616504070001</v>
      </c>
      <c r="D337" s="6">
        <f t="shared" si="204"/>
        <v>2187.6919758079998</v>
      </c>
      <c r="E337" s="6">
        <f t="shared" si="204"/>
        <v>2139.2786922057999</v>
      </c>
      <c r="F337" s="6">
        <f t="shared" si="204"/>
        <v>2093.4680078599004</v>
      </c>
      <c r="G337" s="6">
        <f t="shared" si="204"/>
        <v>2047.4886247653001</v>
      </c>
      <c r="H337" s="6">
        <f t="shared" si="204"/>
        <v>1999.7349950608</v>
      </c>
      <c r="I337" s="6">
        <f t="shared" si="204"/>
        <v>1949.2125137394</v>
      </c>
      <c r="J337" s="6">
        <f t="shared" si="204"/>
        <v>1895.6392468677002</v>
      </c>
      <c r="K337" s="6">
        <f t="shared" si="204"/>
        <v>1839.0789979767001</v>
      </c>
      <c r="L337" s="6">
        <f t="shared" si="204"/>
        <v>1779.7785926777001</v>
      </c>
      <c r="M337" s="6">
        <f t="shared" si="204"/>
        <v>1718.2839555503999</v>
      </c>
      <c r="N337" s="6">
        <f t="shared" si="204"/>
        <v>1654.7812934112999</v>
      </c>
      <c r="O337" s="6">
        <f t="shared" si="204"/>
        <v>1589.6967869241</v>
      </c>
      <c r="P337" s="6">
        <f t="shared" si="204"/>
        <v>1523.5095044344</v>
      </c>
      <c r="Q337" s="6">
        <f t="shared" si="204"/>
        <v>1456.674038071</v>
      </c>
      <c r="R337" s="6">
        <f t="shared" si="204"/>
        <v>1389.6308461568001</v>
      </c>
      <c r="S337" s="6">
        <f t="shared" si="204"/>
        <v>1322.7939572268999</v>
      </c>
      <c r="T337" s="6">
        <f t="shared" si="204"/>
        <v>1256.5495797092999</v>
      </c>
      <c r="U337" s="6">
        <f t="shared" si="204"/>
        <v>1191.2513196417001</v>
      </c>
      <c r="V337" s="6">
        <f t="shared" si="204"/>
        <v>1127.2129405511</v>
      </c>
      <c r="W337" s="6">
        <f t="shared" si="204"/>
        <v>1064.6680511408999</v>
      </c>
      <c r="X337" s="6">
        <f t="shared" si="204"/>
        <v>1003.8976308675</v>
      </c>
      <c r="Y337" s="6">
        <f t="shared" si="204"/>
        <v>945.09460832050001</v>
      </c>
      <c r="Z337" s="6">
        <f t="shared" si="204"/>
        <v>888.4031776825999</v>
      </c>
      <c r="AA337" s="6">
        <f t="shared" si="204"/>
        <v>833.9343432915</v>
      </c>
      <c r="AB337" s="6">
        <f t="shared" si="204"/>
        <v>781.71275613630007</v>
      </c>
      <c r="AC337" s="6">
        <f t="shared" si="204"/>
        <v>731.8348947720001</v>
      </c>
      <c r="AD337" s="6">
        <f t="shared" si="204"/>
        <v>684.33713100569992</v>
      </c>
      <c r="AE337" s="6">
        <f t="shared" si="204"/>
        <v>639.22094101339997</v>
      </c>
      <c r="AF337" s="6">
        <f t="shared" si="204"/>
        <v>596.46886306260001</v>
      </c>
      <c r="AG337" s="6">
        <f t="shared" si="204"/>
        <v>556.04513230680004</v>
      </c>
      <c r="AH337" s="6">
        <f t="shared" si="204"/>
        <v>517.89923636280002</v>
      </c>
      <c r="AI337" s="6">
        <f t="shared" si="204"/>
        <v>481.96894715580004</v>
      </c>
      <c r="AJ337" s="6">
        <f t="shared" si="204"/>
        <v>448.1830325711</v>
      </c>
      <c r="AK337" s="6">
        <f t="shared" si="204"/>
        <v>416.46369169640002</v>
      </c>
      <c r="AL337" s="6">
        <f t="shared" si="204"/>
        <v>386.72844960169999</v>
      </c>
      <c r="AM337" s="6">
        <f t="shared" ref="AM337:BC337" si="205">AM314+AM328+AM321</f>
        <v>358.89026301030003</v>
      </c>
      <c r="AN337" s="6">
        <f t="shared" si="205"/>
        <v>332.86290700180001</v>
      </c>
      <c r="AO337" s="6">
        <f t="shared" si="205"/>
        <v>308.55889461199996</v>
      </c>
      <c r="AP337" s="6">
        <f t="shared" si="205"/>
        <v>285.89036408330003</v>
      </c>
      <c r="AQ337" s="6">
        <f t="shared" si="205"/>
        <v>264.77001372409995</v>
      </c>
      <c r="AR337" s="6">
        <f t="shared" si="205"/>
        <v>245.1117900715</v>
      </c>
      <c r="AS337" s="6">
        <f t="shared" si="205"/>
        <v>226.83140403179999</v>
      </c>
      <c r="AT337" s="6">
        <f t="shared" si="205"/>
        <v>209.84677195210003</v>
      </c>
      <c r="AU337" s="6">
        <f t="shared" si="205"/>
        <v>194.07841338579999</v>
      </c>
      <c r="AV337" s="6">
        <f t="shared" si="205"/>
        <v>179.44973700419999</v>
      </c>
      <c r="AW337" s="6">
        <f t="shared" si="205"/>
        <v>165.887301665</v>
      </c>
      <c r="AX337" s="6">
        <f t="shared" si="205"/>
        <v>153.32087570919998</v>
      </c>
      <c r="AY337" s="6">
        <f t="shared" si="205"/>
        <v>141.69023172589999</v>
      </c>
      <c r="AZ337" s="6">
        <f t="shared" si="205"/>
        <v>130.9568536331</v>
      </c>
      <c r="BA337" s="6">
        <f t="shared" si="205"/>
        <v>121.0541790294</v>
      </c>
      <c r="BB337" s="6">
        <f t="shared" si="205"/>
        <v>115.76718007650001</v>
      </c>
      <c r="BC337" s="6">
        <f t="shared" si="205"/>
        <v>106.9852440657</v>
      </c>
      <c r="BD337" s="6">
        <f t="shared" ref="BD337:BF337" si="206">BD314+BD328+BD321</f>
        <v>98.859860768900006</v>
      </c>
      <c r="BE337" s="6">
        <f t="shared" si="206"/>
        <v>91.344481884600015</v>
      </c>
      <c r="BF337" s="6">
        <f t="shared" si="206"/>
        <v>84.3953800476</v>
      </c>
    </row>
    <row r="339" spans="1:58" x14ac:dyDescent="0.35">
      <c r="A339" s="12" t="s">
        <v>90</v>
      </c>
      <c r="B339" s="6" t="str">
        <f>[1]Hybrid!A19</f>
        <v>auto_ca_cfut_0</v>
      </c>
      <c r="C339" s="6">
        <f>[1]Hybrid!B19</f>
        <v>7095.7005250000002</v>
      </c>
      <c r="D339" s="6">
        <f>[1]Hybrid!C19</f>
        <v>7145.2341619999997</v>
      </c>
      <c r="E339" s="6">
        <f>[1]Hybrid!D19</f>
        <v>7246.5115470000001</v>
      </c>
      <c r="F339" s="6">
        <f>[1]Hybrid!E19</f>
        <v>7383.6018560000002</v>
      </c>
      <c r="G339" s="6">
        <f>[1]Hybrid!F19</f>
        <v>7545.6489709999996</v>
      </c>
      <c r="H339" s="6">
        <f>[1]Hybrid!G19</f>
        <v>7725.8163709999999</v>
      </c>
      <c r="I339" s="6">
        <f>[1]Hybrid!H19</f>
        <v>7918.5884619999997</v>
      </c>
      <c r="J339" s="6">
        <f>[1]Hybrid!I19</f>
        <v>8121.1539030000004</v>
      </c>
      <c r="K339" s="6">
        <f>[1]Hybrid!J19</f>
        <v>8331.5960049999994</v>
      </c>
      <c r="L339" s="6">
        <f>[1]Hybrid!K19</f>
        <v>8548.4583129999992</v>
      </c>
      <c r="M339" s="6">
        <f>[1]Hybrid!L19</f>
        <v>8772.7285090000005</v>
      </c>
      <c r="N339" s="6">
        <f>[1]Hybrid!M19</f>
        <v>9001.1767070000005</v>
      </c>
      <c r="O339" s="6">
        <f>[1]Hybrid!N19</f>
        <v>9232.9389640000009</v>
      </c>
      <c r="P339" s="6">
        <f>[1]Hybrid!O19</f>
        <v>9467.3338370000001</v>
      </c>
      <c r="Q339" s="6">
        <f>[1]Hybrid!P19</f>
        <v>9703.5738789999996</v>
      </c>
      <c r="R339" s="6">
        <f>[1]Hybrid!Q19</f>
        <v>9940.9866860000002</v>
      </c>
      <c r="S339" s="6">
        <f>[1]Hybrid!R19</f>
        <v>10178.99755</v>
      </c>
      <c r="T339" s="6">
        <f>[1]Hybrid!S19</f>
        <v>10417.12293</v>
      </c>
      <c r="U339" s="6">
        <f>[1]Hybrid!T19</f>
        <v>10654.97069</v>
      </c>
      <c r="V339" s="6">
        <f>[1]Hybrid!U19</f>
        <v>10892.24199</v>
      </c>
      <c r="W339" s="6">
        <f>[1]Hybrid!V19</f>
        <v>11127.03477</v>
      </c>
      <c r="X339" s="6">
        <f>[1]Hybrid!W19</f>
        <v>11361.08684</v>
      </c>
      <c r="Y339" s="6">
        <f>[1]Hybrid!X19</f>
        <v>11594.376120000001</v>
      </c>
      <c r="Z339" s="6">
        <f>[1]Hybrid!Y19</f>
        <v>11826.864020000001</v>
      </c>
      <c r="AA339" s="6">
        <f>[1]Hybrid!Z19</f>
        <v>12058.70586</v>
      </c>
      <c r="AB339" s="6">
        <f>[1]Hybrid!AA19</f>
        <v>12285.08995</v>
      </c>
      <c r="AC339" s="6">
        <f>[1]Hybrid!AB19</f>
        <v>12509.31374</v>
      </c>
      <c r="AD339" s="6">
        <f>[1]Hybrid!AC19</f>
        <v>12731.817660000001</v>
      </c>
      <c r="AE339" s="6">
        <f>[1]Hybrid!AD19</f>
        <v>12952.821169999999</v>
      </c>
      <c r="AF339" s="6">
        <f>[1]Hybrid!AE19</f>
        <v>13172.814640000001</v>
      </c>
      <c r="AG339" s="6">
        <f>[1]Hybrid!AF19</f>
        <v>13392.256439999999</v>
      </c>
      <c r="AH339" s="6">
        <f>[1]Hybrid!AG19</f>
        <v>13611.57581</v>
      </c>
      <c r="AI339" s="6">
        <f>[1]Hybrid!AH19</f>
        <v>13831.182580000001</v>
      </c>
      <c r="AJ339" s="6">
        <f>[1]Hybrid!AI19</f>
        <v>14051.47399</v>
      </c>
      <c r="AK339" s="6">
        <f>[1]Hybrid!AJ19</f>
        <v>14272.83669</v>
      </c>
      <c r="AL339" s="6">
        <f>[1]Hybrid!AK19</f>
        <v>14495.64481</v>
      </c>
      <c r="AM339" s="6">
        <f>[1]Hybrid!AL19</f>
        <v>14719.022199999999</v>
      </c>
      <c r="AN339" s="6">
        <f>[1]Hybrid!AM19</f>
        <v>14943.417589999999</v>
      </c>
      <c r="AO339" s="6">
        <f>[1]Hybrid!AN19</f>
        <v>15169.25496</v>
      </c>
      <c r="AP339" s="6">
        <f>[1]Hybrid!AO19</f>
        <v>15396.877699999999</v>
      </c>
      <c r="AQ339" s="6">
        <f>[1]Hybrid!AP19</f>
        <v>15626.63284</v>
      </c>
      <c r="AR339" s="6">
        <f>[1]Hybrid!AQ19</f>
        <v>15858.848830000001</v>
      </c>
      <c r="AS339" s="6">
        <f>[1]Hybrid!AR19</f>
        <v>16093.82799</v>
      </c>
      <c r="AT339" s="6">
        <f>[1]Hybrid!AS19</f>
        <v>16331.84859</v>
      </c>
      <c r="AU339" s="6">
        <f>[1]Hybrid!AT19</f>
        <v>16573.171139999999</v>
      </c>
      <c r="AV339" s="6">
        <f>[1]Hybrid!AU19</f>
        <v>16818.04522</v>
      </c>
      <c r="AW339" s="6">
        <f>[1]Hybrid!AV19</f>
        <v>17066.82878</v>
      </c>
      <c r="AX339" s="6">
        <f>[1]Hybrid!AW19</f>
        <v>17319.753049999999</v>
      </c>
      <c r="AY339" s="6">
        <f>[1]Hybrid!AX19</f>
        <v>17577.04952</v>
      </c>
      <c r="AZ339" s="6">
        <f>[1]Hybrid!AY19</f>
        <v>17838.955000000002</v>
      </c>
      <c r="BA339" s="6">
        <f>[1]Hybrid!AZ19</f>
        <v>18105.704559999998</v>
      </c>
      <c r="BB339" s="6">
        <f>[1]Hybrid!BA19</f>
        <v>18012.62011</v>
      </c>
      <c r="BC339" s="6">
        <f>[1]Hybrid!BB19</f>
        <v>18282.360379999998</v>
      </c>
      <c r="BD339" s="6">
        <f>[1]Hybrid!BC19</f>
        <v>18556.231739999999</v>
      </c>
      <c r="BE339" s="6">
        <f>[1]Hybrid!BD19</f>
        <v>18834.476409999999</v>
      </c>
      <c r="BF339" s="6">
        <f>[1]Hybrid!BE19</f>
        <v>19117.355759999999</v>
      </c>
    </row>
    <row r="340" spans="1:58" x14ac:dyDescent="0.35">
      <c r="A340" t="s">
        <v>38</v>
      </c>
      <c r="B340" s="6" t="str">
        <f>[1]Hybrid!A21</f>
        <v>auto_cb_cfut_0</v>
      </c>
      <c r="C340" s="6">
        <f>[1]Hybrid!B21</f>
        <v>8251.256421</v>
      </c>
      <c r="D340" s="6">
        <f>[1]Hybrid!C21</f>
        <v>8186.1737659999999</v>
      </c>
      <c r="E340" s="6">
        <f>[1]Hybrid!D21</f>
        <v>8178.3555159999996</v>
      </c>
      <c r="F340" s="6">
        <f>[1]Hybrid!E21</f>
        <v>8211.5537000000004</v>
      </c>
      <c r="G340" s="6">
        <f>[1]Hybrid!F21</f>
        <v>8274.540293</v>
      </c>
      <c r="H340" s="6">
        <f>[1]Hybrid!G21</f>
        <v>8360.052936</v>
      </c>
      <c r="I340" s="6">
        <f>[1]Hybrid!H21</f>
        <v>8462.1884520000003</v>
      </c>
      <c r="J340" s="6">
        <f>[1]Hybrid!I21</f>
        <v>8577.6927809999997</v>
      </c>
      <c r="K340" s="6">
        <f>[1]Hybrid!J21</f>
        <v>8704.2255330000007</v>
      </c>
      <c r="L340" s="6">
        <f>[1]Hybrid!K21</f>
        <v>8839.9317480000009</v>
      </c>
      <c r="M340" s="6">
        <f>[1]Hybrid!L21</f>
        <v>8985.2924750000002</v>
      </c>
      <c r="N340" s="6">
        <f>[1]Hybrid!M21</f>
        <v>9136.8691899999994</v>
      </c>
      <c r="O340" s="6">
        <f>[1]Hybrid!N21</f>
        <v>9293.4765810000008</v>
      </c>
      <c r="P340" s="6">
        <f>[1]Hybrid!O21</f>
        <v>9454.1457869999995</v>
      </c>
      <c r="Q340" s="6">
        <f>[1]Hybrid!P21</f>
        <v>9617.8396209999992</v>
      </c>
      <c r="R340" s="6">
        <f>[1]Hybrid!Q21</f>
        <v>9783.6571430000004</v>
      </c>
      <c r="S340" s="6">
        <f>[1]Hybrid!R21</f>
        <v>9950.8147750000007</v>
      </c>
      <c r="T340" s="6">
        <f>[1]Hybrid!S21</f>
        <v>10118.6371</v>
      </c>
      <c r="U340" s="6">
        <f>[1]Hybrid!T21</f>
        <v>10286.553749999999</v>
      </c>
      <c r="V340" s="6">
        <f>[1]Hybrid!U21</f>
        <v>10454.09791</v>
      </c>
      <c r="W340" s="6">
        <f>[1]Hybrid!V21</f>
        <v>10619.36959</v>
      </c>
      <c r="X340" s="6">
        <f>[1]Hybrid!W21</f>
        <v>10783.78198</v>
      </c>
      <c r="Y340" s="6">
        <f>[1]Hybrid!X21</f>
        <v>10947.16656</v>
      </c>
      <c r="Z340" s="6">
        <f>[1]Hybrid!Y21</f>
        <v>11109.33821</v>
      </c>
      <c r="AA340" s="6">
        <f>[1]Hybrid!Z21</f>
        <v>11270.29348</v>
      </c>
      <c r="AB340" s="6">
        <f>[1]Hybrid!AA21</f>
        <v>11425.632809999999</v>
      </c>
      <c r="AC340" s="6">
        <f>[1]Hybrid!AB21</f>
        <v>11578.183440000001</v>
      </c>
      <c r="AD340" s="6">
        <f>[1]Hybrid!AC21</f>
        <v>11728.252130000001</v>
      </c>
      <c r="AE340" s="6">
        <f>[1]Hybrid!AD21</f>
        <v>11875.932510000001</v>
      </c>
      <c r="AF340" s="6">
        <f>[1]Hybrid!AE21</f>
        <v>12021.557290000001</v>
      </c>
      <c r="AG340" s="6">
        <f>[1]Hybrid!AF21</f>
        <v>12165.428529999999</v>
      </c>
      <c r="AH340" s="6">
        <f>[1]Hybrid!AG21</f>
        <v>12307.81863</v>
      </c>
      <c r="AI340" s="6">
        <f>[1]Hybrid!AH21</f>
        <v>12448.978160000001</v>
      </c>
      <c r="AJ340" s="6">
        <f>[1]Hybrid!AI21</f>
        <v>12589.141750000001</v>
      </c>
      <c r="AK340" s="6">
        <f>[1]Hybrid!AJ21</f>
        <v>12728.530119999999</v>
      </c>
      <c r="AL340" s="6">
        <f>[1]Hybrid!AK21</f>
        <v>12867.349029999999</v>
      </c>
      <c r="AM340" s="6">
        <f>[1]Hybrid!AL21</f>
        <v>13004.747380000001</v>
      </c>
      <c r="AN340" s="6">
        <f>[1]Hybrid!AM21</f>
        <v>13141.000749999999</v>
      </c>
      <c r="AO340" s="6">
        <f>[1]Hybrid!AN21</f>
        <v>13276.36779</v>
      </c>
      <c r="AP340" s="6">
        <f>[1]Hybrid!AO21</f>
        <v>13411.035519999999</v>
      </c>
      <c r="AQ340" s="6">
        <f>[1]Hybrid!AP21</f>
        <v>13545.19097</v>
      </c>
      <c r="AR340" s="6">
        <f>[1]Hybrid!AQ21</f>
        <v>13679.002500000001</v>
      </c>
      <c r="AS340" s="6">
        <f>[1]Hybrid!AR21</f>
        <v>13812.613139999999</v>
      </c>
      <c r="AT340" s="6">
        <f>[1]Hybrid!AS21</f>
        <v>13946.14192</v>
      </c>
      <c r="AU340" s="6">
        <f>[1]Hybrid!AT21</f>
        <v>14079.68886</v>
      </c>
      <c r="AV340" s="6">
        <f>[1]Hybrid!AU21</f>
        <v>14213.340469999999</v>
      </c>
      <c r="AW340" s="6">
        <f>[1]Hybrid!AV21</f>
        <v>14347.26478</v>
      </c>
      <c r="AX340" s="6">
        <f>[1]Hybrid!AW21</f>
        <v>14481.52304</v>
      </c>
      <c r="AY340" s="6">
        <f>[1]Hybrid!AX21</f>
        <v>14616.171710000001</v>
      </c>
      <c r="AZ340" s="6">
        <f>[1]Hybrid!AY21</f>
        <v>14751.26749</v>
      </c>
      <c r="BA340" s="6">
        <f>[1]Hybrid!AZ21</f>
        <v>14886.861730000001</v>
      </c>
      <c r="BB340" s="6">
        <f>[1]Hybrid!BA21</f>
        <v>14897.27658</v>
      </c>
      <c r="BC340" s="6">
        <f>[1]Hybrid!BB21</f>
        <v>15039.48724</v>
      </c>
      <c r="BD340" s="6">
        <f>[1]Hybrid!BC21</f>
        <v>15181.8681</v>
      </c>
      <c r="BE340" s="6">
        <f>[1]Hybrid!BD21</f>
        <v>15324.50747</v>
      </c>
      <c r="BF340" s="6">
        <f>[1]Hybrid!BE21</f>
        <v>15467.50431</v>
      </c>
    </row>
    <row r="341" spans="1:58" x14ac:dyDescent="0.35">
      <c r="B341" s="6" t="str">
        <f>[1]Hybrid!A23</f>
        <v>auto_cc_cfut_0</v>
      </c>
      <c r="C341" s="6">
        <f>[1]Hybrid!B23</f>
        <v>6777.6024520000001</v>
      </c>
      <c r="D341" s="6">
        <f>[1]Hybrid!C23</f>
        <v>6649.1352889999998</v>
      </c>
      <c r="E341" s="6">
        <f>[1]Hybrid!D23</f>
        <v>6565.9913429999997</v>
      </c>
      <c r="F341" s="6">
        <f>[1]Hybrid!E23</f>
        <v>6516.2379019999998</v>
      </c>
      <c r="G341" s="6">
        <f>[1]Hybrid!F23</f>
        <v>6491.5233539999999</v>
      </c>
      <c r="H341" s="6">
        <f>[1]Hybrid!G23</f>
        <v>6486.3181450000002</v>
      </c>
      <c r="I341" s="6">
        <f>[1]Hybrid!H23</f>
        <v>6496.0992059999999</v>
      </c>
      <c r="J341" s="6">
        <f>[1]Hybrid!I23</f>
        <v>6518.2163710000004</v>
      </c>
      <c r="K341" s="6">
        <f>[1]Hybrid!J23</f>
        <v>6550.6919799999996</v>
      </c>
      <c r="L341" s="6">
        <f>[1]Hybrid!K23</f>
        <v>6591.9167100000004</v>
      </c>
      <c r="M341" s="6">
        <f>[1]Hybrid!L23</f>
        <v>6641.8941219999997</v>
      </c>
      <c r="N341" s="6">
        <f>[1]Hybrid!M23</f>
        <v>6698.0041549999996</v>
      </c>
      <c r="O341" s="6">
        <f>[1]Hybrid!N23</f>
        <v>6759.1768480000001</v>
      </c>
      <c r="P341" s="6">
        <f>[1]Hybrid!O23</f>
        <v>6824.521643</v>
      </c>
      <c r="Q341" s="6">
        <f>[1]Hybrid!P23</f>
        <v>6893.1251629999997</v>
      </c>
      <c r="R341" s="6">
        <f>[1]Hybrid!Q23</f>
        <v>6964.1875040000004</v>
      </c>
      <c r="S341" s="6">
        <f>[1]Hybrid!R23</f>
        <v>7037.0075210000005</v>
      </c>
      <c r="T341" s="6">
        <f>[1]Hybrid!S23</f>
        <v>7110.9743589999998</v>
      </c>
      <c r="U341" s="6">
        <f>[1]Hybrid!T23</f>
        <v>7185.5630209999999</v>
      </c>
      <c r="V341" s="6">
        <f>[1]Hybrid!U23</f>
        <v>7260.3310680000004</v>
      </c>
      <c r="W341" s="6">
        <f>[1]Hybrid!V23</f>
        <v>7333.9141749999999</v>
      </c>
      <c r="X341" s="6">
        <f>[1]Hybrid!W23</f>
        <v>7407.1257999999998</v>
      </c>
      <c r="Y341" s="6">
        <f>[1]Hybrid!X23</f>
        <v>7479.7557939999997</v>
      </c>
      <c r="Z341" s="6">
        <f>[1]Hybrid!Y23</f>
        <v>7551.5842220000004</v>
      </c>
      <c r="AA341" s="6">
        <f>[1]Hybrid!Z23</f>
        <v>7622.5157939999999</v>
      </c>
      <c r="AB341" s="6">
        <f>[1]Hybrid!AA23</f>
        <v>7689.6495839999998</v>
      </c>
      <c r="AC341" s="6">
        <f>[1]Hybrid!AB23</f>
        <v>7754.7337699999998</v>
      </c>
      <c r="AD341" s="6">
        <f>[1]Hybrid!AC23</f>
        <v>7817.913329</v>
      </c>
      <c r="AE341" s="6">
        <f>[1]Hybrid!AD23</f>
        <v>7879.1878649999999</v>
      </c>
      <c r="AF341" s="6">
        <f>[1]Hybrid!AE23</f>
        <v>7938.7110030000003</v>
      </c>
      <c r="AG341" s="6">
        <f>[1]Hybrid!AF23</f>
        <v>7996.617064</v>
      </c>
      <c r="AH341" s="6">
        <f>[1]Hybrid!AG23</f>
        <v>8053.0208949999997</v>
      </c>
      <c r="AI341" s="6">
        <f>[1]Hybrid!AH23</f>
        <v>8108.0224680000001</v>
      </c>
      <c r="AJ341" s="6">
        <f>[1]Hybrid!AI23</f>
        <v>8161.7106530000001</v>
      </c>
      <c r="AK341" s="6">
        <f>[1]Hybrid!AJ23</f>
        <v>8214.1648089999999</v>
      </c>
      <c r="AL341" s="6">
        <f>[1]Hybrid!AK23</f>
        <v>8265.4545550000003</v>
      </c>
      <c r="AM341" s="6">
        <f>[1]Hybrid!AL23</f>
        <v>8315.0066879999995</v>
      </c>
      <c r="AN341" s="6">
        <f>[1]Hybrid!AM23</f>
        <v>8362.9417790000007</v>
      </c>
      <c r="AO341" s="6">
        <f>[1]Hybrid!AN23</f>
        <v>8409.3744910000005</v>
      </c>
      <c r="AP341" s="6">
        <f>[1]Hybrid!AO23</f>
        <v>8454.3757619999997</v>
      </c>
      <c r="AQ341" s="6">
        <f>[1]Hybrid!AP23</f>
        <v>8498.0168259999991</v>
      </c>
      <c r="AR341" s="6">
        <f>[1]Hybrid!AQ23</f>
        <v>8540.3579669999999</v>
      </c>
      <c r="AS341" s="6">
        <f>[1]Hybrid!AR23</f>
        <v>8581.4443219999994</v>
      </c>
      <c r="AT341" s="6">
        <f>[1]Hybrid!AS23</f>
        <v>8621.3065769999994</v>
      </c>
      <c r="AU341" s="6">
        <f>[1]Hybrid!AT23</f>
        <v>8659.963898</v>
      </c>
      <c r="AV341" s="6">
        <f>[1]Hybrid!AU23</f>
        <v>8697.4272340000007</v>
      </c>
      <c r="AW341" s="6">
        <f>[1]Hybrid!AV23</f>
        <v>8733.7541689999998</v>
      </c>
      <c r="AX341" s="6">
        <f>[1]Hybrid!AW23</f>
        <v>8768.9400160000005</v>
      </c>
      <c r="AY341" s="6">
        <f>[1]Hybrid!AX23</f>
        <v>8802.9771729999993</v>
      </c>
      <c r="AZ341" s="6">
        <f>[1]Hybrid!AY23</f>
        <v>8835.8586620000005</v>
      </c>
      <c r="BA341" s="6">
        <f>[1]Hybrid!AZ23</f>
        <v>8867.5750650000009</v>
      </c>
      <c r="BB341" s="6">
        <f>[1]Hybrid!BA23</f>
        <v>8921.7440729999998</v>
      </c>
      <c r="BC341" s="6">
        <f>[1]Hybrid!BB23</f>
        <v>8959.6840950000005</v>
      </c>
      <c r="BD341" s="6">
        <f>[1]Hybrid!BC23</f>
        <v>8996.3812340000004</v>
      </c>
      <c r="BE341" s="6">
        <f>[1]Hybrid!BD23</f>
        <v>9031.8619600000002</v>
      </c>
      <c r="BF341" s="6">
        <f>[1]Hybrid!BE23</f>
        <v>9066.1583840000003</v>
      </c>
    </row>
    <row r="342" spans="1:58" x14ac:dyDescent="0.35">
      <c r="B342" s="6" t="str">
        <f>[1]Hybrid!A25</f>
        <v>auto_cd_cfut_0</v>
      </c>
      <c r="C342" s="6">
        <f>[1]Hybrid!B25</f>
        <v>4159.6639080000004</v>
      </c>
      <c r="D342" s="6">
        <f>[1]Hybrid!C25</f>
        <v>4055.9349689999999</v>
      </c>
      <c r="E342" s="6">
        <f>[1]Hybrid!D25</f>
        <v>3977.8089380000001</v>
      </c>
      <c r="F342" s="6">
        <f>[1]Hybrid!E25</f>
        <v>3918.0447410000002</v>
      </c>
      <c r="G342" s="6">
        <f>[1]Hybrid!F25</f>
        <v>3871.5866299999998</v>
      </c>
      <c r="H342" s="6">
        <f>[1]Hybrid!G25</f>
        <v>3835.0720329999999</v>
      </c>
      <c r="I342" s="6">
        <f>[1]Hybrid!H25</f>
        <v>3805.7983949999998</v>
      </c>
      <c r="J342" s="6">
        <f>[1]Hybrid!I25</f>
        <v>3782.1395389999998</v>
      </c>
      <c r="K342" s="6">
        <f>[1]Hybrid!J25</f>
        <v>3762.8852419999998</v>
      </c>
      <c r="L342" s="6">
        <f>[1]Hybrid!K25</f>
        <v>3747.0571409999998</v>
      </c>
      <c r="M342" s="6">
        <f>[1]Hybrid!L25</f>
        <v>3734.5148770000001</v>
      </c>
      <c r="N342" s="6">
        <f>[1]Hybrid!M25</f>
        <v>3723.8354859999999</v>
      </c>
      <c r="O342" s="6">
        <f>[1]Hybrid!N25</f>
        <v>3714.3924109999998</v>
      </c>
      <c r="P342" s="6">
        <f>[1]Hybrid!O25</f>
        <v>3705.6897979999999</v>
      </c>
      <c r="Q342" s="6">
        <f>[1]Hybrid!P25</f>
        <v>3697.2420820000002</v>
      </c>
      <c r="R342" s="6">
        <f>[1]Hybrid!Q25</f>
        <v>3688.6391789999998</v>
      </c>
      <c r="S342" s="6">
        <f>[1]Hybrid!R25</f>
        <v>3679.5365940000002</v>
      </c>
      <c r="T342" s="6">
        <f>[1]Hybrid!S25</f>
        <v>3669.647997</v>
      </c>
      <c r="U342" s="6">
        <f>[1]Hybrid!T25</f>
        <v>3658.7396440000002</v>
      </c>
      <c r="V342" s="6">
        <f>[1]Hybrid!U25</f>
        <v>3646.6255059999999</v>
      </c>
      <c r="W342" s="6">
        <f>[1]Hybrid!V25</f>
        <v>3632.740155</v>
      </c>
      <c r="X342" s="6">
        <f>[1]Hybrid!W25</f>
        <v>3617.455766</v>
      </c>
      <c r="Y342" s="6">
        <f>[1]Hybrid!X25</f>
        <v>3600.7146910000001</v>
      </c>
      <c r="Z342" s="6">
        <f>[1]Hybrid!Y25</f>
        <v>3582.4458020000002</v>
      </c>
      <c r="AA342" s="6">
        <f>[1]Hybrid!Z25</f>
        <v>3562.6321389999998</v>
      </c>
      <c r="AB342" s="6">
        <f>[1]Hybrid!AA25</f>
        <v>3540.1766990000001</v>
      </c>
      <c r="AC342" s="6">
        <f>[1]Hybrid!AB25</f>
        <v>3515.815681</v>
      </c>
      <c r="AD342" s="6">
        <f>[1]Hybrid!AC25</f>
        <v>3489.6735650000001</v>
      </c>
      <c r="AE342" s="6">
        <f>[1]Hybrid!AD25</f>
        <v>3461.7959900000001</v>
      </c>
      <c r="AF342" s="6">
        <f>[1]Hybrid!AE25</f>
        <v>3432.283786</v>
      </c>
      <c r="AG342" s="6">
        <f>[1]Hybrid!AF25</f>
        <v>3401.225762</v>
      </c>
      <c r="AH342" s="6">
        <f>[1]Hybrid!AG25</f>
        <v>3368.6982269999999</v>
      </c>
      <c r="AI342" s="6">
        <f>[1]Hybrid!AH25</f>
        <v>3334.7671009999999</v>
      </c>
      <c r="AJ342" s="6">
        <f>[1]Hybrid!AI25</f>
        <v>3299.4902390000002</v>
      </c>
      <c r="AK342" s="6">
        <f>[1]Hybrid!AJ25</f>
        <v>3262.9192349999998</v>
      </c>
      <c r="AL342" s="6">
        <f>[1]Hybrid!AK25</f>
        <v>3225.1006590000002</v>
      </c>
      <c r="AM342" s="6">
        <f>[1]Hybrid!AL25</f>
        <v>3185.8841010000001</v>
      </c>
      <c r="AN342" s="6">
        <f>[1]Hybrid!AM25</f>
        <v>3145.3425849999999</v>
      </c>
      <c r="AO342" s="6">
        <f>[1]Hybrid!AN25</f>
        <v>3103.552522</v>
      </c>
      <c r="AP342" s="6">
        <f>[1]Hybrid!AO25</f>
        <v>3060.576035</v>
      </c>
      <c r="AQ342" s="6">
        <f>[1]Hybrid!AP25</f>
        <v>3016.4752600000002</v>
      </c>
      <c r="AR342" s="6">
        <f>[1]Hybrid!AQ25</f>
        <v>2971.309178</v>
      </c>
      <c r="AS342" s="6">
        <f>[1]Hybrid!AR25</f>
        <v>2925.1324220000001</v>
      </c>
      <c r="AT342" s="6">
        <f>[1]Hybrid!AS25</f>
        <v>2877.9955399999999</v>
      </c>
      <c r="AU342" s="6">
        <f>[1]Hybrid!AT25</f>
        <v>2829.9459820000002</v>
      </c>
      <c r="AV342" s="6">
        <f>[1]Hybrid!AU25</f>
        <v>2781.0292519999998</v>
      </c>
      <c r="AW342" s="6">
        <f>[1]Hybrid!AV25</f>
        <v>2731.3020929999998</v>
      </c>
      <c r="AX342" s="6">
        <f>[1]Hybrid!AW25</f>
        <v>2680.806525</v>
      </c>
      <c r="AY342" s="6">
        <f>[1]Hybrid!AX25</f>
        <v>2629.5846099999999</v>
      </c>
      <c r="AZ342" s="6">
        <f>[1]Hybrid!AY25</f>
        <v>2577.6799759999999</v>
      </c>
      <c r="BA342" s="6">
        <f>[1]Hybrid!AZ25</f>
        <v>2525.1372040000001</v>
      </c>
      <c r="BB342" s="6">
        <f>[1]Hybrid!BA25</f>
        <v>2596.5519389999999</v>
      </c>
      <c r="BC342" s="6">
        <f>[1]Hybrid!BB25</f>
        <v>2548.3801870000002</v>
      </c>
      <c r="BD342" s="6">
        <f>[1]Hybrid!BC25</f>
        <v>2499.6340030000001</v>
      </c>
      <c r="BE342" s="6">
        <f>[1]Hybrid!BD25</f>
        <v>2450.3657029999999</v>
      </c>
      <c r="BF342" s="6">
        <f>[1]Hybrid!BE25</f>
        <v>2400.6280200000001</v>
      </c>
    </row>
    <row r="343" spans="1:58" x14ac:dyDescent="0.35">
      <c r="B343" s="6" t="str">
        <f>[1]Hybrid!A27</f>
        <v>auto_ce_cfut_0</v>
      </c>
      <c r="C343" s="6">
        <f>[1]Hybrid!B27</f>
        <v>2503.7292430000002</v>
      </c>
      <c r="D343" s="6">
        <f>[1]Hybrid!C27</f>
        <v>2443.5739880000001</v>
      </c>
      <c r="E343" s="6">
        <f>[1]Hybrid!D27</f>
        <v>2397.7688050000002</v>
      </c>
      <c r="F343" s="6">
        <f>[1]Hybrid!E27</f>
        <v>2361.6699309999999</v>
      </c>
      <c r="G343" s="6">
        <f>[1]Hybrid!F27</f>
        <v>2332.086033</v>
      </c>
      <c r="H343" s="6">
        <f>[1]Hybrid!G27</f>
        <v>2306.934479</v>
      </c>
      <c r="I343" s="6">
        <f>[1]Hybrid!H27</f>
        <v>2284.5896229999998</v>
      </c>
      <c r="J343" s="6">
        <f>[1]Hybrid!I27</f>
        <v>2264.103908</v>
      </c>
      <c r="K343" s="6">
        <f>[1]Hybrid!J27</f>
        <v>2244.8032880000001</v>
      </c>
      <c r="L343" s="6">
        <f>[1]Hybrid!K27</f>
        <v>2226.1658440000001</v>
      </c>
      <c r="M343" s="6">
        <f>[1]Hybrid!L27</f>
        <v>2208.1525879999999</v>
      </c>
      <c r="N343" s="6">
        <f>[1]Hybrid!M27</f>
        <v>2190.0169729999998</v>
      </c>
      <c r="O343" s="6">
        <f>[1]Hybrid!N27</f>
        <v>2171.4664590000002</v>
      </c>
      <c r="P343" s="6">
        <f>[1]Hybrid!O27</f>
        <v>2152.2977139999998</v>
      </c>
      <c r="Q343" s="6">
        <f>[1]Hybrid!P27</f>
        <v>2132.3195999999998</v>
      </c>
      <c r="R343" s="6">
        <f>[1]Hybrid!Q27</f>
        <v>2111.3879029999998</v>
      </c>
      <c r="S343" s="6">
        <f>[1]Hybrid!R27</f>
        <v>2089.3983199999998</v>
      </c>
      <c r="T343" s="6">
        <f>[1]Hybrid!S27</f>
        <v>2066.2806529999998</v>
      </c>
      <c r="U343" s="6">
        <f>[1]Hybrid!T27</f>
        <v>2041.9940919999999</v>
      </c>
      <c r="V343" s="6">
        <f>[1]Hybrid!U27</f>
        <v>2016.523091</v>
      </c>
      <c r="W343" s="6">
        <f>[1]Hybrid!V27</f>
        <v>1989.6702600000001</v>
      </c>
      <c r="X343" s="6">
        <f>[1]Hybrid!W27</f>
        <v>1961.6939319999999</v>
      </c>
      <c r="Y343" s="6">
        <f>[1]Hybrid!X27</f>
        <v>1932.6426670000001</v>
      </c>
      <c r="Z343" s="6">
        <f>[1]Hybrid!Y27</f>
        <v>1902.5515330000001</v>
      </c>
      <c r="AA343" s="6">
        <f>[1]Hybrid!Z27</f>
        <v>1871.4792789999999</v>
      </c>
      <c r="AB343" s="6">
        <f>[1]Hybrid!AA27</f>
        <v>1839.0032349999999</v>
      </c>
      <c r="AC343" s="6">
        <f>[1]Hybrid!AB27</f>
        <v>1805.527576</v>
      </c>
      <c r="AD343" s="6">
        <f>[1]Hybrid!AC27</f>
        <v>1771.183401</v>
      </c>
      <c r="AE343" s="6">
        <f>[1]Hybrid!AD27</f>
        <v>1736.055081</v>
      </c>
      <c r="AF343" s="6">
        <f>[1]Hybrid!AE27</f>
        <v>1700.2469309999999</v>
      </c>
      <c r="AG343" s="6">
        <f>[1]Hybrid!AF27</f>
        <v>1663.8536059999999</v>
      </c>
      <c r="AH343" s="6">
        <f>[1]Hybrid!AG27</f>
        <v>1626.9600989999999</v>
      </c>
      <c r="AI343" s="6">
        <f>[1]Hybrid!AH27</f>
        <v>1589.64312</v>
      </c>
      <c r="AJ343" s="6">
        <f>[1]Hybrid!AI27</f>
        <v>1551.972698</v>
      </c>
      <c r="AK343" s="6">
        <f>[1]Hybrid!AJ27</f>
        <v>1514.0135749999999</v>
      </c>
      <c r="AL343" s="6">
        <f>[1]Hybrid!AK27</f>
        <v>1475.826313</v>
      </c>
      <c r="AM343" s="6">
        <f>[1]Hybrid!AL27</f>
        <v>1437.39867</v>
      </c>
      <c r="AN343" s="6">
        <f>[1]Hybrid!AM27</f>
        <v>1398.8010569999999</v>
      </c>
      <c r="AO343" s="6">
        <f>[1]Hybrid!AN27</f>
        <v>1360.1047860000001</v>
      </c>
      <c r="AP343" s="6">
        <f>[1]Hybrid!AO27</f>
        <v>1321.373781</v>
      </c>
      <c r="AQ343" s="6">
        <f>[1]Hybrid!AP27</f>
        <v>1282.6699719999999</v>
      </c>
      <c r="AR343" s="6">
        <f>[1]Hybrid!AQ27</f>
        <v>1244.05222</v>
      </c>
      <c r="AS343" s="6">
        <f>[1]Hybrid!AR27</f>
        <v>1205.5759069999999</v>
      </c>
      <c r="AT343" s="6">
        <f>[1]Hybrid!AS27</f>
        <v>1167.293052</v>
      </c>
      <c r="AU343" s="6">
        <f>[1]Hybrid!AT27</f>
        <v>1129.2526909999999</v>
      </c>
      <c r="AV343" s="6">
        <f>[1]Hybrid!AU27</f>
        <v>1091.501317</v>
      </c>
      <c r="AW343" s="6">
        <f>[1]Hybrid!AV27</f>
        <v>1054.0867370000001</v>
      </c>
      <c r="AX343" s="6">
        <f>[1]Hybrid!AW27</f>
        <v>1017.050535</v>
      </c>
      <c r="AY343" s="6">
        <f>[1]Hybrid!AX27</f>
        <v>980.43249149999997</v>
      </c>
      <c r="AZ343" s="6">
        <f>[1]Hybrid!AY27</f>
        <v>944.27113940000004</v>
      </c>
      <c r="BA343" s="6">
        <f>[1]Hybrid!AZ27</f>
        <v>908.60354319999999</v>
      </c>
      <c r="BB343" s="6">
        <f>[1]Hybrid!BA27</f>
        <v>945.27267259999996</v>
      </c>
      <c r="BC343" s="6">
        <f>[1]Hybrid!BB27</f>
        <v>911.68588090000003</v>
      </c>
      <c r="BD343" s="6">
        <f>[1]Hybrid!BC27</f>
        <v>878.5668349</v>
      </c>
      <c r="BE343" s="6">
        <f>[1]Hybrid!BD27</f>
        <v>845.94794160000004</v>
      </c>
      <c r="BF343" s="6">
        <f>[1]Hybrid!BE27</f>
        <v>813.85963189999995</v>
      </c>
    </row>
    <row r="344" spans="1:58" x14ac:dyDescent="0.35">
      <c r="B344" s="6" t="str">
        <f>[1]Hybrid!A29</f>
        <v>auto_cf_cfut_0</v>
      </c>
      <c r="C344" s="6">
        <f>[1]Hybrid!B29</f>
        <v>1243.6668460000001</v>
      </c>
      <c r="D344" s="6">
        <f>[1]Hybrid!C29</f>
        <v>1210.940433</v>
      </c>
      <c r="E344" s="6">
        <f>[1]Hybrid!D29</f>
        <v>1183.595955</v>
      </c>
      <c r="F344" s="6">
        <f>[1]Hybrid!E29</f>
        <v>1159.0935380000001</v>
      </c>
      <c r="G344" s="6">
        <f>[1]Hybrid!F29</f>
        <v>1135.80629</v>
      </c>
      <c r="H344" s="6">
        <f>[1]Hybrid!G29</f>
        <v>1112.77325</v>
      </c>
      <c r="I344" s="6">
        <f>[1]Hybrid!H29</f>
        <v>1089.3473280000001</v>
      </c>
      <c r="J344" s="6">
        <f>[1]Hybrid!I29</f>
        <v>1065.2392480000001</v>
      </c>
      <c r="K344" s="6">
        <f>[1]Hybrid!J29</f>
        <v>1040.3183260000001</v>
      </c>
      <c r="L344" s="6">
        <f>[1]Hybrid!K29</f>
        <v>1014.538764</v>
      </c>
      <c r="M344" s="6">
        <f>[1]Hybrid!L29</f>
        <v>988.03834080000001</v>
      </c>
      <c r="N344" s="6">
        <f>[1]Hybrid!M29</f>
        <v>960.71967419999999</v>
      </c>
      <c r="O344" s="6">
        <f>[1]Hybrid!N29</f>
        <v>932.64696509999999</v>
      </c>
      <c r="P344" s="6">
        <f>[1]Hybrid!O29</f>
        <v>903.92459210000004</v>
      </c>
      <c r="Q344" s="6">
        <f>[1]Hybrid!P29</f>
        <v>874.65859499999999</v>
      </c>
      <c r="R344" s="6">
        <f>[1]Hybrid!Q29</f>
        <v>844.96528279999995</v>
      </c>
      <c r="S344" s="6">
        <f>[1]Hybrid!R29</f>
        <v>814.96636409999996</v>
      </c>
      <c r="T344" s="6">
        <f>[1]Hybrid!S29</f>
        <v>784.78486080000005</v>
      </c>
      <c r="U344" s="6">
        <f>[1]Hybrid!T29</f>
        <v>754.54190670000003</v>
      </c>
      <c r="V344" s="6">
        <f>[1]Hybrid!U29</f>
        <v>724.35431070000004</v>
      </c>
      <c r="W344" s="6">
        <f>[1]Hybrid!V29</f>
        <v>694.29179529999999</v>
      </c>
      <c r="X344" s="6">
        <f>[1]Hybrid!W29</f>
        <v>664.50809960000004</v>
      </c>
      <c r="Y344" s="6">
        <f>[1]Hybrid!X29</f>
        <v>635.10185430000001</v>
      </c>
      <c r="Z344" s="6">
        <f>[1]Hybrid!Y29</f>
        <v>606.15494020000006</v>
      </c>
      <c r="AA344" s="6">
        <f>[1]Hybrid!Z29</f>
        <v>577.74347109999997</v>
      </c>
      <c r="AB344" s="6">
        <f>[1]Hybrid!AA29</f>
        <v>549.86135379999996</v>
      </c>
      <c r="AC344" s="6">
        <f>[1]Hybrid!AB29</f>
        <v>522.62559780000004</v>
      </c>
      <c r="AD344" s="6">
        <f>[1]Hybrid!AC29</f>
        <v>496.1021849</v>
      </c>
      <c r="AE344" s="6">
        <f>[1]Hybrid!AD29</f>
        <v>470.33706819999998</v>
      </c>
      <c r="AF344" s="6">
        <f>[1]Hybrid!AE29</f>
        <v>445.37026370000001</v>
      </c>
      <c r="AG344" s="6">
        <f>[1]Hybrid!AF29</f>
        <v>421.23240340000001</v>
      </c>
      <c r="AH344" s="6">
        <f>[1]Hybrid!AG29</f>
        <v>397.94563879999998</v>
      </c>
      <c r="AI344" s="6">
        <f>[1]Hybrid!AH29</f>
        <v>375.5247483</v>
      </c>
      <c r="AJ344" s="6">
        <f>[1]Hybrid!AI29</f>
        <v>353.97820769999998</v>
      </c>
      <c r="AK344" s="6">
        <f>[1]Hybrid!AJ29</f>
        <v>333.30913020000003</v>
      </c>
      <c r="AL344" s="6">
        <f>[1]Hybrid!AK29</f>
        <v>313.51604980000002</v>
      </c>
      <c r="AM344" s="6">
        <f>[1]Hybrid!AL29</f>
        <v>294.58861660000002</v>
      </c>
      <c r="AN344" s="6">
        <f>[1]Hybrid!AM29</f>
        <v>276.51998609999998</v>
      </c>
      <c r="AO344" s="6">
        <f>[1]Hybrid!AN29</f>
        <v>259.3005172</v>
      </c>
      <c r="AP344" s="6">
        <f>[1]Hybrid!AO29</f>
        <v>242.9171087</v>
      </c>
      <c r="AQ344" s="6">
        <f>[1]Hybrid!AP29</f>
        <v>227.35397219999999</v>
      </c>
      <c r="AR344" s="6">
        <f>[1]Hybrid!AQ29</f>
        <v>212.59289999999999</v>
      </c>
      <c r="AS344" s="6">
        <f>[1]Hybrid!AR29</f>
        <v>198.61356290000001</v>
      </c>
      <c r="AT344" s="6">
        <f>[1]Hybrid!AS29</f>
        <v>185.3938291</v>
      </c>
      <c r="AU344" s="6">
        <f>[1]Hybrid!AT29</f>
        <v>172.91008149999999</v>
      </c>
      <c r="AV344" s="6">
        <f>[1]Hybrid!AU29</f>
        <v>161.137518</v>
      </c>
      <c r="AW344" s="6">
        <f>[1]Hybrid!AV29</f>
        <v>150.0505302</v>
      </c>
      <c r="AX344" s="6">
        <f>[1]Hybrid!AW29</f>
        <v>139.62268890000001</v>
      </c>
      <c r="AY344" s="6">
        <f>[1]Hybrid!AX29</f>
        <v>129.8271154</v>
      </c>
      <c r="AZ344" s="6">
        <f>[1]Hybrid!AY29</f>
        <v>120.6366967</v>
      </c>
      <c r="BA344" s="6">
        <f>[1]Hybrid!AZ29</f>
        <v>112.0242468</v>
      </c>
      <c r="BB344" s="6">
        <f>[1]Hybrid!BA29</f>
        <v>114.9074565</v>
      </c>
      <c r="BC344" s="6">
        <f>[1]Hybrid!BB29</f>
        <v>106.8293941</v>
      </c>
      <c r="BD344" s="6">
        <f>[1]Hybrid!BC29</f>
        <v>99.257369080000004</v>
      </c>
      <c r="BE344" s="6">
        <f>[1]Hybrid!BD29</f>
        <v>92.167277819999995</v>
      </c>
      <c r="BF344" s="6">
        <f>[1]Hybrid!BE29</f>
        <v>85.535296729999999</v>
      </c>
    </row>
    <row r="345" spans="1:58" x14ac:dyDescent="0.35">
      <c r="B345" s="6" t="str">
        <f>[1]Hybrid!A31</f>
        <v>auto_cg_cfut_0</v>
      </c>
      <c r="C345" s="6">
        <f>[1]Hybrid!B31</f>
        <v>2239.620606</v>
      </c>
      <c r="D345" s="6">
        <f>[1]Hybrid!C31</f>
        <v>2183.8449820000001</v>
      </c>
      <c r="E345" s="6">
        <f>[1]Hybrid!D31</f>
        <v>2134.8819269999999</v>
      </c>
      <c r="F345" s="6">
        <f>[1]Hybrid!E31</f>
        <v>2087.7524910000002</v>
      </c>
      <c r="G345" s="6">
        <f>[1]Hybrid!F31</f>
        <v>2039.560287</v>
      </c>
      <c r="H345" s="6">
        <f>[1]Hybrid!G31</f>
        <v>1988.8672750000001</v>
      </c>
      <c r="I345" s="6">
        <f>[1]Hybrid!H31</f>
        <v>1934.95093</v>
      </c>
      <c r="J345" s="6">
        <f>[1]Hybrid!I31</f>
        <v>1877.7781990000001</v>
      </c>
      <c r="K345" s="6">
        <f>[1]Hybrid!J31</f>
        <v>1817.614558</v>
      </c>
      <c r="L345" s="6">
        <f>[1]Hybrid!K31</f>
        <v>1754.8614789999999</v>
      </c>
      <c r="M345" s="6">
        <f>[1]Hybrid!L31</f>
        <v>1690.1650529999999</v>
      </c>
      <c r="N345" s="6">
        <f>[1]Hybrid!M31</f>
        <v>1623.8170339999999</v>
      </c>
      <c r="O345" s="6">
        <f>[1]Hybrid!N31</f>
        <v>1556.3021699999999</v>
      </c>
      <c r="P345" s="6">
        <f>[1]Hybrid!O31</f>
        <v>1488.1288239999999</v>
      </c>
      <c r="Q345" s="6">
        <f>[1]Hybrid!P31</f>
        <v>1419.7641189999999</v>
      </c>
      <c r="R345" s="6">
        <f>[1]Hybrid!Q31</f>
        <v>1351.6437739999999</v>
      </c>
      <c r="S345" s="6">
        <f>[1]Hybrid!R31</f>
        <v>1284.1654329999999</v>
      </c>
      <c r="T345" s="6">
        <f>[1]Hybrid!S31</f>
        <v>1217.6843610000001</v>
      </c>
      <c r="U345" s="6">
        <f>[1]Hybrid!T31</f>
        <v>1152.5114269999999</v>
      </c>
      <c r="V345" s="6">
        <f>[1]Hybrid!U31</f>
        <v>1088.9129370000001</v>
      </c>
      <c r="W345" s="6">
        <f>[1]Hybrid!V31</f>
        <v>1027.076315</v>
      </c>
      <c r="X345" s="6">
        <f>[1]Hybrid!W31</f>
        <v>967.22940149999999</v>
      </c>
      <c r="Y345" s="6">
        <f>[1]Hybrid!X31</f>
        <v>909.51924840000004</v>
      </c>
      <c r="Z345" s="6">
        <f>[1]Hybrid!Y31</f>
        <v>854.04929059999995</v>
      </c>
      <c r="AA345" s="6">
        <f>[1]Hybrid!Z31</f>
        <v>800.89426879999996</v>
      </c>
      <c r="AB345" s="6">
        <f>[1]Hybrid!AA31</f>
        <v>750.05177590000005</v>
      </c>
      <c r="AC345" s="6">
        <f>[1]Hybrid!AB31</f>
        <v>701.58745580000004</v>
      </c>
      <c r="AD345" s="6">
        <f>[1]Hybrid!AC31</f>
        <v>655.5148997</v>
      </c>
      <c r="AE345" s="6">
        <f>[1]Hybrid!AD31</f>
        <v>611.81855410000003</v>
      </c>
      <c r="AF345" s="6">
        <f>[1]Hybrid!AE31</f>
        <v>570.46735120000005</v>
      </c>
      <c r="AG345" s="6">
        <f>[1]Hybrid!AF31</f>
        <v>531.4150664</v>
      </c>
      <c r="AH345" s="6">
        <f>[1]Hybrid!AG31</f>
        <v>494.60319140000001</v>
      </c>
      <c r="AI345" s="6">
        <f>[1]Hybrid!AH31</f>
        <v>459.96362219999997</v>
      </c>
      <c r="AJ345" s="6">
        <f>[1]Hybrid!AI31</f>
        <v>427.42100979999998</v>
      </c>
      <c r="AK345" s="6">
        <f>[1]Hybrid!AJ31</f>
        <v>396.89474289999998</v>
      </c>
      <c r="AL345" s="6">
        <f>[1]Hybrid!AK31</f>
        <v>368.30058639999999</v>
      </c>
      <c r="AM345" s="6">
        <f>[1]Hybrid!AL31</f>
        <v>341.55030779999998</v>
      </c>
      <c r="AN345" s="6">
        <f>[1]Hybrid!AM31</f>
        <v>316.55714</v>
      </c>
      <c r="AO345" s="6">
        <f>[1]Hybrid!AN31</f>
        <v>293.23403059999998</v>
      </c>
      <c r="AP345" s="6">
        <f>[1]Hybrid!AO31</f>
        <v>271.493989</v>
      </c>
      <c r="AQ345" s="6">
        <f>[1]Hybrid!AP31</f>
        <v>251.25093330000001</v>
      </c>
      <c r="AR345" s="6">
        <f>[1]Hybrid!AQ31</f>
        <v>232.42025899999999</v>
      </c>
      <c r="AS345" s="6">
        <f>[1]Hybrid!AR31</f>
        <v>214.91932650000001</v>
      </c>
      <c r="AT345" s="6">
        <f>[1]Hybrid!AS31</f>
        <v>198.66787020000001</v>
      </c>
      <c r="AU345" s="6">
        <f>[1]Hybrid!AT31</f>
        <v>183.58833060000001</v>
      </c>
      <c r="AV345" s="6">
        <f>[1]Hybrid!AU31</f>
        <v>169.6061095</v>
      </c>
      <c r="AW345" s="6">
        <f>[1]Hybrid!AV31</f>
        <v>156.64977450000001</v>
      </c>
      <c r="AX345" s="6">
        <f>[1]Hybrid!AW31</f>
        <v>144.65113779999999</v>
      </c>
      <c r="AY345" s="6">
        <f>[1]Hybrid!AX31</f>
        <v>133.5453578</v>
      </c>
      <c r="AZ345" s="6">
        <f>[1]Hybrid!AY31</f>
        <v>123.27097019999999</v>
      </c>
      <c r="BA345" s="6">
        <f>[1]Hybrid!AZ31</f>
        <v>113.7698747</v>
      </c>
      <c r="BB345" s="6">
        <f>[1]Hybrid!BA31</f>
        <v>112.71163730000001</v>
      </c>
      <c r="BC345" s="6">
        <f>[1]Hybrid!BB31</f>
        <v>104.0471179</v>
      </c>
      <c r="BD345" s="6">
        <f>[1]Hybrid!BC31</f>
        <v>96.034357119999996</v>
      </c>
      <c r="BE345" s="6">
        <f>[1]Hybrid!BD31</f>
        <v>88.627060349999994</v>
      </c>
      <c r="BF345" s="6">
        <f>[1]Hybrid!BE31</f>
        <v>81.781736309999999</v>
      </c>
    </row>
    <row r="346" spans="1:58" x14ac:dyDescent="0.35">
      <c r="B346" s="6" t="str">
        <f>[1]Hybrid!A33</f>
        <v>auto_ca_cele_0</v>
      </c>
      <c r="C346" s="6">
        <f>[1]Hybrid!B33</f>
        <v>9.8427898650000003</v>
      </c>
      <c r="D346" s="6">
        <f>[1]Hybrid!C33</f>
        <v>15.012846529999999</v>
      </c>
      <c r="E346" s="6">
        <f>[1]Hybrid!D33</f>
        <v>20.495887110000002</v>
      </c>
      <c r="F346" s="6">
        <f>[1]Hybrid!E33</f>
        <v>26.173650670000001</v>
      </c>
      <c r="G346" s="6">
        <f>[1]Hybrid!F33</f>
        <v>31.967420669999999</v>
      </c>
      <c r="H346" s="6">
        <f>[1]Hybrid!G33</f>
        <v>37.829624279999997</v>
      </c>
      <c r="I346" s="6">
        <f>[1]Hybrid!H33</f>
        <v>43.720048660000003</v>
      </c>
      <c r="J346" s="6">
        <f>[1]Hybrid!I33</f>
        <v>49.619364349999998</v>
      </c>
      <c r="K346" s="6">
        <f>[1]Hybrid!J33</f>
        <v>55.513836750000003</v>
      </c>
      <c r="L346" s="6">
        <f>[1]Hybrid!K33</f>
        <v>61.391881150000003</v>
      </c>
      <c r="M346" s="6">
        <f>[1]Hybrid!L33</f>
        <v>67.263167420000002</v>
      </c>
      <c r="N346" s="6">
        <f>[1]Hybrid!M33</f>
        <v>73.097341909999997</v>
      </c>
      <c r="O346" s="6">
        <f>[1]Hybrid!N33</f>
        <v>78.883928679999997</v>
      </c>
      <c r="P346" s="6">
        <f>[1]Hybrid!O33</f>
        <v>84.613441350000002</v>
      </c>
      <c r="Q346" s="6">
        <f>[1]Hybrid!P33</f>
        <v>90.274762789999997</v>
      </c>
      <c r="R346" s="6">
        <f>[1]Hybrid!Q33</f>
        <v>95.857279469999995</v>
      </c>
      <c r="S346" s="6">
        <f>[1]Hybrid!R33</f>
        <v>101.3508339</v>
      </c>
      <c r="T346" s="6">
        <f>[1]Hybrid!S33</f>
        <v>106.7457395</v>
      </c>
      <c r="U346" s="6">
        <f>[1]Hybrid!T33</f>
        <v>112.0328227</v>
      </c>
      <c r="V346" s="6">
        <f>[1]Hybrid!U33</f>
        <v>117.20344919999999</v>
      </c>
      <c r="W346" s="6">
        <f>[1]Hybrid!V33</f>
        <v>122.2342481</v>
      </c>
      <c r="X346" s="6">
        <f>[1]Hybrid!W33</f>
        <v>127.1337372</v>
      </c>
      <c r="Y346" s="6">
        <f>[1]Hybrid!X33</f>
        <v>131.89501000000001</v>
      </c>
      <c r="Z346" s="6">
        <f>[1]Hybrid!Y33</f>
        <v>136.51044379999999</v>
      </c>
      <c r="AA346" s="6">
        <f>[1]Hybrid!Z33</f>
        <v>140.97348579999999</v>
      </c>
      <c r="AB346" s="6">
        <f>[1]Hybrid!AA33</f>
        <v>145.23458389999999</v>
      </c>
      <c r="AC346" s="6">
        <f>[1]Hybrid!AB33</f>
        <v>149.31155570000001</v>
      </c>
      <c r="AD346" s="6">
        <f>[1]Hybrid!AC33</f>
        <v>153.19849160000001</v>
      </c>
      <c r="AE346" s="6">
        <f>[1]Hybrid!AD33</f>
        <v>156.8868343</v>
      </c>
      <c r="AF346" s="6">
        <f>[1]Hybrid!AE33</f>
        <v>160.36931279999999</v>
      </c>
      <c r="AG346" s="6">
        <f>[1]Hybrid!AF33</f>
        <v>163.63731989999999</v>
      </c>
      <c r="AH346" s="6">
        <f>[1]Hybrid!AG33</f>
        <v>166.68073000000001</v>
      </c>
      <c r="AI346" s="6">
        <f>[1]Hybrid!AH33</f>
        <v>169.4877539</v>
      </c>
      <c r="AJ346" s="6">
        <f>[1]Hybrid!AI33</f>
        <v>172.0447594</v>
      </c>
      <c r="AK346" s="6">
        <f>[1]Hybrid!AJ33</f>
        <v>174.33604869999999</v>
      </c>
      <c r="AL346" s="6">
        <f>[1]Hybrid!AK33</f>
        <v>176.34360649999999</v>
      </c>
      <c r="AM346" s="6">
        <f>[1]Hybrid!AL33</f>
        <v>178.0388342</v>
      </c>
      <c r="AN346" s="6">
        <f>[1]Hybrid!AM33</f>
        <v>179.39938240000001</v>
      </c>
      <c r="AO346" s="6">
        <f>[1]Hybrid!AN33</f>
        <v>180.40003519999999</v>
      </c>
      <c r="AP346" s="6">
        <f>[1]Hybrid!AO33</f>
        <v>181.0120919</v>
      </c>
      <c r="AQ346" s="6">
        <f>[1]Hybrid!AP33</f>
        <v>181.20359400000001</v>
      </c>
      <c r="AR346" s="6">
        <f>[1]Hybrid!AQ33</f>
        <v>180.93888559999999</v>
      </c>
      <c r="AS346" s="6">
        <f>[1]Hybrid!AR33</f>
        <v>180.1782369</v>
      </c>
      <c r="AT346" s="6">
        <f>[1]Hybrid!AS33</f>
        <v>178.87748590000001</v>
      </c>
      <c r="AU346" s="6">
        <f>[1]Hybrid!AT33</f>
        <v>176.98765499999999</v>
      </c>
      <c r="AV346" s="6">
        <f>[1]Hybrid!AU33</f>
        <v>174.45451929999999</v>
      </c>
      <c r="AW346" s="6">
        <f>[1]Hybrid!AV33</f>
        <v>171.21838869999999</v>
      </c>
      <c r="AX346" s="6">
        <f>[1]Hybrid!AW33</f>
        <v>167.21285270000001</v>
      </c>
      <c r="AY346" s="6">
        <f>[1]Hybrid!AX33</f>
        <v>162.364566</v>
      </c>
      <c r="AZ346" s="6">
        <f>[1]Hybrid!AY33</f>
        <v>156.59257310000001</v>
      </c>
      <c r="BA346" s="6">
        <f>[1]Hybrid!AZ33</f>
        <v>149.8075485</v>
      </c>
      <c r="BB346" s="6">
        <f>[1]Hybrid!BA33</f>
        <v>124.0450032</v>
      </c>
      <c r="BC346" s="6">
        <f>[1]Hybrid!BB33</f>
        <v>114.81711970000001</v>
      </c>
      <c r="BD346" s="6">
        <f>[1]Hybrid!BC33</f>
        <v>104.3082737</v>
      </c>
      <c r="BE346" s="6">
        <f>[1]Hybrid!BD33</f>
        <v>92.398095470000001</v>
      </c>
      <c r="BF346" s="6">
        <f>[1]Hybrid!BE33</f>
        <v>78.954133470000002</v>
      </c>
    </row>
    <row r="347" spans="1:58" x14ac:dyDescent="0.35">
      <c r="B347" s="6" t="str">
        <f>[1]Hybrid!A35</f>
        <v>auto_cb_cele_0</v>
      </c>
      <c r="C347" s="6">
        <f>[1]Hybrid!B35</f>
        <v>11.44571741</v>
      </c>
      <c r="D347" s="6">
        <f>[1]Hybrid!C35</f>
        <v>16.323730309999998</v>
      </c>
      <c r="E347" s="6">
        <f>[1]Hybrid!D35</f>
        <v>21.495372360000001</v>
      </c>
      <c r="F347" s="6">
        <f>[1]Hybrid!E35</f>
        <v>26.844395469999998</v>
      </c>
      <c r="G347" s="6">
        <f>[1]Hybrid!F35</f>
        <v>32.293212560000001</v>
      </c>
      <c r="H347" s="6">
        <f>[1]Hybrid!G35</f>
        <v>37.794458220000003</v>
      </c>
      <c r="I347" s="6">
        <f>[1]Hybrid!H35</f>
        <v>43.308041549999999</v>
      </c>
      <c r="J347" s="6">
        <f>[1]Hybrid!I35</f>
        <v>48.813864809999998</v>
      </c>
      <c r="K347" s="6">
        <f>[1]Hybrid!J35</f>
        <v>54.297240909999999</v>
      </c>
      <c r="L347" s="6">
        <f>[1]Hybrid!K35</f>
        <v>59.745552689999997</v>
      </c>
      <c r="M347" s="6">
        <f>[1]Hybrid!L35</f>
        <v>65.166178430000002</v>
      </c>
      <c r="N347" s="6">
        <f>[1]Hybrid!M35</f>
        <v>70.52892568</v>
      </c>
      <c r="O347" s="6">
        <f>[1]Hybrid!N35</f>
        <v>75.822305610000001</v>
      </c>
      <c r="P347" s="6">
        <f>[1]Hybrid!O35</f>
        <v>81.035972360000002</v>
      </c>
      <c r="Q347" s="6">
        <f>[1]Hybrid!P35</f>
        <v>86.158170999999996</v>
      </c>
      <c r="R347" s="6">
        <f>[1]Hybrid!Q35</f>
        <v>91.177749009999999</v>
      </c>
      <c r="S347" s="6">
        <f>[1]Hybrid!R35</f>
        <v>96.084115170000004</v>
      </c>
      <c r="T347" s="6">
        <f>[1]Hybrid!S35</f>
        <v>100.8672476</v>
      </c>
      <c r="U347" s="6">
        <f>[1]Hybrid!T35</f>
        <v>105.5177214</v>
      </c>
      <c r="V347" s="6">
        <f>[1]Hybrid!U35</f>
        <v>110.0267166</v>
      </c>
      <c r="W347" s="6">
        <f>[1]Hybrid!V35</f>
        <v>114.3722558</v>
      </c>
      <c r="X347" s="6">
        <f>[1]Hybrid!W35</f>
        <v>118.561244</v>
      </c>
      <c r="Y347" s="6">
        <f>[1]Hybrid!X35</f>
        <v>122.5867628</v>
      </c>
      <c r="Z347" s="6">
        <f>[1]Hybrid!Y35</f>
        <v>126.4412107</v>
      </c>
      <c r="AA347" s="6">
        <f>[1]Hybrid!Z35</f>
        <v>130.1179803</v>
      </c>
      <c r="AB347" s="6">
        <f>[1]Hybrid!AA35</f>
        <v>133.57287030000001</v>
      </c>
      <c r="AC347" s="6">
        <f>[1]Hybrid!AB35</f>
        <v>136.8210503</v>
      </c>
      <c r="AD347" s="6">
        <f>[1]Hybrid!AC35</f>
        <v>139.85702689999999</v>
      </c>
      <c r="AE347" s="6">
        <f>[1]Hybrid!AD35</f>
        <v>142.6728674</v>
      </c>
      <c r="AF347" s="6">
        <f>[1]Hybrid!AE35</f>
        <v>145.26176369999999</v>
      </c>
      <c r="AG347" s="6">
        <f>[1]Hybrid!AF35</f>
        <v>147.61574160000001</v>
      </c>
      <c r="AH347" s="6">
        <f>[1]Hybrid!AG35</f>
        <v>149.72550390000001</v>
      </c>
      <c r="AI347" s="6">
        <f>[1]Hybrid!AH35</f>
        <v>151.5803129</v>
      </c>
      <c r="AJ347" s="6">
        <f>[1]Hybrid!AI35</f>
        <v>153.16785340000001</v>
      </c>
      <c r="AK347" s="6">
        <f>[1]Hybrid!AJ35</f>
        <v>154.47406799999999</v>
      </c>
      <c r="AL347" s="6">
        <f>[1]Hybrid!AK35</f>
        <v>155.48297529999999</v>
      </c>
      <c r="AM347" s="6">
        <f>[1]Hybrid!AL35</f>
        <v>156.17017139999999</v>
      </c>
      <c r="AN347" s="6">
        <f>[1]Hybrid!AM35</f>
        <v>156.51635200000001</v>
      </c>
      <c r="AO347" s="6">
        <f>[1]Hybrid!AN35</f>
        <v>156.50000349999999</v>
      </c>
      <c r="AP347" s="6">
        <f>[1]Hybrid!AO35</f>
        <v>156.09690900000001</v>
      </c>
      <c r="AQ347" s="6">
        <f>[1]Hybrid!AP35</f>
        <v>155.28036850000001</v>
      </c>
      <c r="AR347" s="6">
        <f>[1]Hybrid!AQ35</f>
        <v>154.02089989999999</v>
      </c>
      <c r="AS347" s="6">
        <f>[1]Hybrid!AR35</f>
        <v>152.28599840000001</v>
      </c>
      <c r="AT347" s="6">
        <f>[1]Hybrid!AS35</f>
        <v>150.0399161</v>
      </c>
      <c r="AU347" s="6">
        <f>[1]Hybrid!AT35</f>
        <v>147.2434307</v>
      </c>
      <c r="AV347" s="6">
        <f>[1]Hybrid!AU35</f>
        <v>143.85358669999999</v>
      </c>
      <c r="AW347" s="6">
        <f>[1]Hybrid!AV35</f>
        <v>139.82352710000001</v>
      </c>
      <c r="AX347" s="6">
        <f>[1]Hybrid!AW35</f>
        <v>135.1017774</v>
      </c>
      <c r="AY347" s="6">
        <f>[1]Hybrid!AX35</f>
        <v>129.6321265</v>
      </c>
      <c r="AZ347" s="6">
        <f>[1]Hybrid!AY35</f>
        <v>123.3532342</v>
      </c>
      <c r="BA347" s="6">
        <f>[1]Hybrid!AZ35</f>
        <v>116.19820249999999</v>
      </c>
      <c r="BB347" s="6">
        <f>[1]Hybrid!BA35</f>
        <v>97.441447859999997</v>
      </c>
      <c r="BC347" s="6">
        <f>[1]Hybrid!BB35</f>
        <v>88.643995919999995</v>
      </c>
      <c r="BD347" s="6">
        <f>[1]Hybrid!BC35</f>
        <v>78.802633589999999</v>
      </c>
      <c r="BE347" s="6">
        <f>[1]Hybrid!BD35</f>
        <v>67.831831030000004</v>
      </c>
      <c r="BF347" s="6">
        <f>[1]Hybrid!BE35</f>
        <v>55.638347830000001</v>
      </c>
    </row>
    <row r="348" spans="1:58" x14ac:dyDescent="0.35">
      <c r="B348" s="6" t="str">
        <f>[1]Hybrid!A37</f>
        <v>auto_cc_cele_0</v>
      </c>
      <c r="C348" s="6">
        <f>[1]Hybrid!B37</f>
        <v>9.4015406210000005</v>
      </c>
      <c r="D348" s="6">
        <f>[1]Hybrid!C37</f>
        <v>12.714995419999999</v>
      </c>
      <c r="E348" s="6">
        <f>[1]Hybrid!D37</f>
        <v>16.227163950000001</v>
      </c>
      <c r="F348" s="6">
        <f>[1]Hybrid!E37</f>
        <v>19.855741089999999</v>
      </c>
      <c r="G348" s="6">
        <f>[1]Hybrid!F37</f>
        <v>23.54567797</v>
      </c>
      <c r="H348" s="6">
        <f>[1]Hybrid!G37</f>
        <v>27.263081230000001</v>
      </c>
      <c r="I348" s="6">
        <f>[1]Hybrid!H37</f>
        <v>30.97925107</v>
      </c>
      <c r="J348" s="6">
        <f>[1]Hybrid!I37</f>
        <v>34.67930475</v>
      </c>
      <c r="K348" s="6">
        <f>[1]Hybrid!J37</f>
        <v>38.352146740000002</v>
      </c>
      <c r="L348" s="6">
        <f>[1]Hybrid!K37</f>
        <v>41.988134979999998</v>
      </c>
      <c r="M348" s="6">
        <f>[1]Hybrid!L37</f>
        <v>45.591209220000003</v>
      </c>
      <c r="N348" s="6">
        <f>[1]Hybrid!M37</f>
        <v>49.139896550000003</v>
      </c>
      <c r="O348" s="6">
        <f>[1]Hybrid!N37</f>
        <v>52.625435600000003</v>
      </c>
      <c r="P348" s="6">
        <f>[1]Hybrid!O37</f>
        <v>56.03999984</v>
      </c>
      <c r="Q348" s="6">
        <f>[1]Hybrid!P37</f>
        <v>59.374909469999999</v>
      </c>
      <c r="R348" s="6">
        <f>[1]Hybrid!Q37</f>
        <v>62.621997450000002</v>
      </c>
      <c r="S348" s="6">
        <f>[1]Hybrid!R37</f>
        <v>65.773583290000005</v>
      </c>
      <c r="T348" s="6">
        <f>[1]Hybrid!S37</f>
        <v>68.822473979999998</v>
      </c>
      <c r="U348" s="6">
        <f>[1]Hybrid!T37</f>
        <v>71.761973999999995</v>
      </c>
      <c r="V348" s="6">
        <f>[1]Hybrid!U37</f>
        <v>74.585880299999999</v>
      </c>
      <c r="W348" s="6">
        <f>[1]Hybrid!V37</f>
        <v>77.279539130000003</v>
      </c>
      <c r="X348" s="6">
        <f>[1]Hybrid!W37</f>
        <v>79.847183259999994</v>
      </c>
      <c r="Y348" s="6">
        <f>[1]Hybrid!X37</f>
        <v>82.284129419999999</v>
      </c>
      <c r="Z348" s="6">
        <f>[1]Hybrid!Y37</f>
        <v>84.585249700000006</v>
      </c>
      <c r="AA348" s="6">
        <f>[1]Hybrid!Z37</f>
        <v>86.746104729999999</v>
      </c>
      <c r="AB348" s="6">
        <f>[1]Hybrid!AA37</f>
        <v>88.738577969999994</v>
      </c>
      <c r="AC348" s="6">
        <f>[1]Hybrid!AB37</f>
        <v>90.572309469999993</v>
      </c>
      <c r="AD348" s="6">
        <f>[1]Hybrid!AC37</f>
        <v>92.243979820000007</v>
      </c>
      <c r="AE348" s="6">
        <f>[1]Hybrid!AD37</f>
        <v>93.748680879999995</v>
      </c>
      <c r="AF348" s="6">
        <f>[1]Hybrid!AE37</f>
        <v>95.082238700000005</v>
      </c>
      <c r="AG348" s="6">
        <f>[1]Hybrid!AF37</f>
        <v>96.239774819999994</v>
      </c>
      <c r="AH348" s="6">
        <f>[1]Hybrid!AG37</f>
        <v>97.215610979999994</v>
      </c>
      <c r="AI348" s="6">
        <f>[1]Hybrid!AH37</f>
        <v>98.003205120000004</v>
      </c>
      <c r="AJ348" s="6">
        <f>[1]Hybrid!AI37</f>
        <v>98.595080679999995</v>
      </c>
      <c r="AK348" s="6">
        <f>[1]Hybrid!AJ37</f>
        <v>98.982744310000001</v>
      </c>
      <c r="AL348" s="6">
        <f>[1]Hybrid!AK37</f>
        <v>99.156598340000002</v>
      </c>
      <c r="AM348" s="6">
        <f>[1]Hybrid!AL37</f>
        <v>99.102280300000004</v>
      </c>
      <c r="AN348" s="6">
        <f>[1]Hybrid!AM37</f>
        <v>98.80847129</v>
      </c>
      <c r="AO348" s="6">
        <f>[1]Hybrid!AN37</f>
        <v>98.262683710000005</v>
      </c>
      <c r="AP348" s="6">
        <f>[1]Hybrid!AO37</f>
        <v>97.450983570000005</v>
      </c>
      <c r="AQ348" s="6">
        <f>[1]Hybrid!AP37</f>
        <v>96.358142709999996</v>
      </c>
      <c r="AR348" s="6">
        <f>[1]Hybrid!AQ37</f>
        <v>94.967501889999994</v>
      </c>
      <c r="AS348" s="6">
        <f>[1]Hybrid!AR37</f>
        <v>93.260870830000002</v>
      </c>
      <c r="AT348" s="6">
        <f>[1]Hybrid!AS37</f>
        <v>91.21844394</v>
      </c>
      <c r="AU348" s="6">
        <f>[1]Hybrid!AT37</f>
        <v>88.818714229999998</v>
      </c>
      <c r="AV348" s="6">
        <f>[1]Hybrid!AU37</f>
        <v>86.038375880000004</v>
      </c>
      <c r="AW348" s="6">
        <f>[1]Hybrid!AV37</f>
        <v>82.852232330000007</v>
      </c>
      <c r="AX348" s="6">
        <f>[1]Hybrid!AW37</f>
        <v>79.23295229</v>
      </c>
      <c r="AY348" s="6">
        <f>[1]Hybrid!AX37</f>
        <v>75.151028359999998</v>
      </c>
      <c r="AZ348" s="6">
        <f>[1]Hybrid!AY37</f>
        <v>70.574631749999995</v>
      </c>
      <c r="BA348" s="6">
        <f>[1]Hybrid!AZ37</f>
        <v>65.46946165</v>
      </c>
      <c r="BB348" s="6">
        <f>[1]Hybrid!BA37</f>
        <v>55.764968279999998</v>
      </c>
      <c r="BC348" s="6">
        <f>[1]Hybrid!BB37</f>
        <v>49.894204240000001</v>
      </c>
      <c r="BD348" s="6">
        <f>[1]Hybrid!BC37</f>
        <v>43.422705530000002</v>
      </c>
      <c r="BE348" s="6">
        <f>[1]Hybrid!BD37</f>
        <v>36.308326579999999</v>
      </c>
      <c r="BF348" s="6">
        <f>[1]Hybrid!BE37</f>
        <v>28.50554975</v>
      </c>
    </row>
    <row r="349" spans="1:58" x14ac:dyDescent="0.35">
      <c r="B349" s="6" t="str">
        <f>[1]Hybrid!A39</f>
        <v>auto_cd_cele_0</v>
      </c>
      <c r="C349" s="6">
        <f>[1]Hybrid!B39</f>
        <v>5.770071272</v>
      </c>
      <c r="D349" s="6">
        <f>[1]Hybrid!C39</f>
        <v>7.5726187009999997</v>
      </c>
      <c r="E349" s="6">
        <f>[1]Hybrid!D39</f>
        <v>9.4661408490000003</v>
      </c>
      <c r="F349" s="6">
        <f>[1]Hybrid!E39</f>
        <v>11.399278860000001</v>
      </c>
      <c r="G349" s="6">
        <f>[1]Hybrid!F39</f>
        <v>13.337587989999999</v>
      </c>
      <c r="H349" s="6">
        <f>[1]Hybrid!G39</f>
        <v>15.25976245</v>
      </c>
      <c r="I349" s="6">
        <f>[1]Hybrid!H39</f>
        <v>17.148708150000001</v>
      </c>
      <c r="J349" s="6">
        <f>[1]Hybrid!I39</f>
        <v>18.995728400000001</v>
      </c>
      <c r="K349" s="6">
        <f>[1]Hybrid!J39</f>
        <v>20.794940660000002</v>
      </c>
      <c r="L349" s="6">
        <f>[1]Hybrid!K39</f>
        <v>22.541804620000001</v>
      </c>
      <c r="M349" s="6">
        <f>[1]Hybrid!L39</f>
        <v>24.238946670000001</v>
      </c>
      <c r="N349" s="6">
        <f>[1]Hybrid!M39</f>
        <v>25.876780069999999</v>
      </c>
      <c r="O349" s="6">
        <f>[1]Hybrid!N39</f>
        <v>27.452377389999999</v>
      </c>
      <c r="P349" s="6">
        <f>[1]Hybrid!O39</f>
        <v>28.963700100000001</v>
      </c>
      <c r="Q349" s="6">
        <f>[1]Hybrid!P39</f>
        <v>30.40853684</v>
      </c>
      <c r="R349" s="6">
        <f>[1]Hybrid!Q39</f>
        <v>31.785141500000002</v>
      </c>
      <c r="S349" s="6">
        <f>[1]Hybrid!R39</f>
        <v>33.092188059999998</v>
      </c>
      <c r="T349" s="6">
        <f>[1]Hybrid!S39</f>
        <v>34.328738389999998</v>
      </c>
      <c r="U349" s="6">
        <f>[1]Hybrid!T39</f>
        <v>35.494218600000004</v>
      </c>
      <c r="V349" s="6">
        <f>[1]Hybrid!U39</f>
        <v>36.588395429999998</v>
      </c>
      <c r="W349" s="6">
        <f>[1]Hybrid!V39</f>
        <v>37.607459419999998</v>
      </c>
      <c r="X349" s="6">
        <f>[1]Hybrid!W39</f>
        <v>38.556015270000003</v>
      </c>
      <c r="Y349" s="6">
        <f>[1]Hybrid!X39</f>
        <v>39.434850449999999</v>
      </c>
      <c r="Z349" s="6">
        <f>[1]Hybrid!Y39</f>
        <v>40.244564500000003</v>
      </c>
      <c r="AA349" s="6">
        <f>[1]Hybrid!Z39</f>
        <v>40.986187280000003</v>
      </c>
      <c r="AB349" s="6">
        <f>[1]Hybrid!AA39</f>
        <v>41.650919979999998</v>
      </c>
      <c r="AC349" s="6">
        <f>[1]Hybrid!AB39</f>
        <v>42.246165859999998</v>
      </c>
      <c r="AD349" s="6">
        <f>[1]Hybrid!AC39</f>
        <v>42.774068020000001</v>
      </c>
      <c r="AE349" s="6">
        <f>[1]Hybrid!AD39</f>
        <v>43.236054780000003</v>
      </c>
      <c r="AF349" s="6">
        <f>[1]Hybrid!AE39</f>
        <v>43.634023800000001</v>
      </c>
      <c r="AG349" s="6">
        <f>[1]Hybrid!AF39</f>
        <v>43.969750580000003</v>
      </c>
      <c r="AH349" s="6">
        <f>[1]Hybrid!AG39</f>
        <v>44.24487474</v>
      </c>
      <c r="AI349" s="6">
        <f>[1]Hybrid!AH39</f>
        <v>44.460910269999999</v>
      </c>
      <c r="AJ349" s="6">
        <f>[1]Hybrid!AI39</f>
        <v>44.619259640000003</v>
      </c>
      <c r="AK349" s="6">
        <f>[1]Hybrid!AJ39</f>
        <v>44.72122607</v>
      </c>
      <c r="AL349" s="6">
        <f>[1]Hybrid!AK39</f>
        <v>44.768023370000002</v>
      </c>
      <c r="AM349" s="6">
        <f>[1]Hybrid!AL39</f>
        <v>44.759161140000003</v>
      </c>
      <c r="AN349" s="6">
        <f>[1]Hybrid!AM39</f>
        <v>44.695955480000002</v>
      </c>
      <c r="AO349" s="6">
        <f>[1]Hybrid!AN39</f>
        <v>44.579736660000002</v>
      </c>
      <c r="AP349" s="6">
        <f>[1]Hybrid!AO39</f>
        <v>44.411703129999999</v>
      </c>
      <c r="AQ349" s="6">
        <f>[1]Hybrid!AP39</f>
        <v>44.193040379999999</v>
      </c>
      <c r="AR349" s="6">
        <f>[1]Hybrid!AQ39</f>
        <v>43.924898779999999</v>
      </c>
      <c r="AS349" s="6">
        <f>[1]Hybrid!AR39</f>
        <v>43.608387149999999</v>
      </c>
      <c r="AT349" s="6">
        <f>[1]Hybrid!AS39</f>
        <v>43.244578079999997</v>
      </c>
      <c r="AU349" s="6">
        <f>[1]Hybrid!AT39</f>
        <v>42.83451882</v>
      </c>
      <c r="AV349" s="6">
        <f>[1]Hybrid!AU39</f>
        <v>42.379243719999998</v>
      </c>
      <c r="AW349" s="6">
        <f>[1]Hybrid!AV39</f>
        <v>41.879873230000001</v>
      </c>
      <c r="AX349" s="6">
        <f>[1]Hybrid!AW39</f>
        <v>41.337431240000001</v>
      </c>
      <c r="AY349" s="6">
        <f>[1]Hybrid!AX39</f>
        <v>40.752955729999996</v>
      </c>
      <c r="AZ349" s="6">
        <f>[1]Hybrid!AY39</f>
        <v>40.127514789999999</v>
      </c>
      <c r="BA349" s="6">
        <f>[1]Hybrid!AZ39</f>
        <v>39.462207929999998</v>
      </c>
      <c r="BB349" s="6">
        <f>[1]Hybrid!BA39</f>
        <v>35.485589879999999</v>
      </c>
      <c r="BC349" s="6">
        <f>[1]Hybrid!BB39</f>
        <v>34.573697099999997</v>
      </c>
      <c r="BD349" s="6">
        <f>[1]Hybrid!BC39</f>
        <v>33.613691600000003</v>
      </c>
      <c r="BE349" s="6">
        <f>[1]Hybrid!BD39</f>
        <v>32.606383600000001</v>
      </c>
      <c r="BF349" s="6">
        <f>[1]Hybrid!BE39</f>
        <v>31.552621970000001</v>
      </c>
    </row>
    <row r="350" spans="1:58" x14ac:dyDescent="0.35">
      <c r="B350" s="6" t="str">
        <f>[1]Hybrid!A41</f>
        <v>auto_ce_cele_0</v>
      </c>
      <c r="C350" s="6">
        <f>[1]Hybrid!B41</f>
        <v>3.4730440960000002</v>
      </c>
      <c r="D350" s="6">
        <f>[1]Hybrid!C41</f>
        <v>4.5791602720000002</v>
      </c>
      <c r="E350" s="6">
        <f>[1]Hybrid!D41</f>
        <v>5.7311770729999996</v>
      </c>
      <c r="F350" s="6">
        <f>[1]Hybrid!E41</f>
        <v>6.8952222089999999</v>
      </c>
      <c r="G350" s="6">
        <f>[1]Hybrid!F41</f>
        <v>8.048750879</v>
      </c>
      <c r="H350" s="6">
        <f>[1]Hybrid!G41</f>
        <v>9.1778728909999998</v>
      </c>
      <c r="I350" s="6">
        <f>[1]Hybrid!H41</f>
        <v>10.271736900000001</v>
      </c>
      <c r="J350" s="6">
        <f>[1]Hybrid!I41</f>
        <v>11.324814079999999</v>
      </c>
      <c r="K350" s="6">
        <f>[1]Hybrid!J41</f>
        <v>12.33349904</v>
      </c>
      <c r="L350" s="6">
        <f>[1]Hybrid!K41</f>
        <v>13.295145290000001</v>
      </c>
      <c r="M350" s="6">
        <f>[1]Hybrid!L41</f>
        <v>14.211273439999999</v>
      </c>
      <c r="N350" s="6">
        <f>[1]Hybrid!M41</f>
        <v>15.07668621</v>
      </c>
      <c r="O350" s="6">
        <f>[1]Hybrid!N41</f>
        <v>15.89003357</v>
      </c>
      <c r="P350" s="6">
        <f>[1]Hybrid!O41</f>
        <v>16.650663470000001</v>
      </c>
      <c r="Q350" s="6">
        <f>[1]Hybrid!P41</f>
        <v>17.35794271</v>
      </c>
      <c r="R350" s="6">
        <f>[1]Hybrid!Q41</f>
        <v>18.011599749999998</v>
      </c>
      <c r="S350" s="6">
        <f>[1]Hybrid!R41</f>
        <v>18.611685269999999</v>
      </c>
      <c r="T350" s="6">
        <f>[1]Hybrid!S41</f>
        <v>19.158537039999999</v>
      </c>
      <c r="U350" s="6">
        <f>[1]Hybrid!T41</f>
        <v>19.652749020000002</v>
      </c>
      <c r="V350" s="6">
        <f>[1]Hybrid!U41</f>
        <v>20.095141600000002</v>
      </c>
      <c r="W350" s="6">
        <f>[1]Hybrid!V41</f>
        <v>20.484863650000001</v>
      </c>
      <c r="X350" s="6">
        <f>[1]Hybrid!W41</f>
        <v>20.82518202</v>
      </c>
      <c r="Y350" s="6">
        <f>[1]Hybrid!X41</f>
        <v>21.11753817</v>
      </c>
      <c r="Z350" s="6">
        <f>[1]Hybrid!Y41</f>
        <v>21.36324793</v>
      </c>
      <c r="AA350" s="6">
        <f>[1]Hybrid!Z41</f>
        <v>21.56383572</v>
      </c>
      <c r="AB350" s="6">
        <f>[1]Hybrid!AA41</f>
        <v>21.71649846</v>
      </c>
      <c r="AC350" s="6">
        <f>[1]Hybrid!AB41</f>
        <v>21.825711070000001</v>
      </c>
      <c r="AD350" s="6">
        <f>[1]Hybrid!AC41</f>
        <v>21.89363792</v>
      </c>
      <c r="AE350" s="6">
        <f>[1]Hybrid!AD41</f>
        <v>21.92204091</v>
      </c>
      <c r="AF350" s="6">
        <f>[1]Hybrid!AE41</f>
        <v>21.91285925</v>
      </c>
      <c r="AG350" s="6">
        <f>[1]Hybrid!AF41</f>
        <v>21.867949360000001</v>
      </c>
      <c r="AH350" s="6">
        <f>[1]Hybrid!AG41</f>
        <v>21.789079350000002</v>
      </c>
      <c r="AI350" s="6">
        <f>[1]Hybrid!AH41</f>
        <v>21.677936389999999</v>
      </c>
      <c r="AJ350" s="6">
        <f>[1]Hybrid!AI41</f>
        <v>21.53613739</v>
      </c>
      <c r="AK350" s="6">
        <f>[1]Hybrid!AJ41</f>
        <v>21.3652394</v>
      </c>
      <c r="AL350" s="6">
        <f>[1]Hybrid!AK41</f>
        <v>21.16674883</v>
      </c>
      <c r="AM350" s="6">
        <f>[1]Hybrid!AL41</f>
        <v>20.941564110000002</v>
      </c>
      <c r="AN350" s="6">
        <f>[1]Hybrid!AM41</f>
        <v>20.691235349999999</v>
      </c>
      <c r="AO350" s="6">
        <f>[1]Hybrid!AN41</f>
        <v>20.417316679999999</v>
      </c>
      <c r="AP350" s="6">
        <f>[1]Hybrid!AO41</f>
        <v>20.121300099999999</v>
      </c>
      <c r="AQ350" s="6">
        <f>[1]Hybrid!AP41</f>
        <v>19.804658199999999</v>
      </c>
      <c r="AR350" s="6">
        <f>[1]Hybrid!AQ41</f>
        <v>19.468836400000001</v>
      </c>
      <c r="AS350" s="6">
        <f>[1]Hybrid!AR41</f>
        <v>19.115250360000001</v>
      </c>
      <c r="AT350" s="6">
        <f>[1]Hybrid!AS41</f>
        <v>18.745287260000001</v>
      </c>
      <c r="AU350" s="6">
        <f>[1]Hybrid!AT41</f>
        <v>18.36030882</v>
      </c>
      <c r="AV350" s="6">
        <f>[1]Hybrid!AU41</f>
        <v>17.961654790000001</v>
      </c>
      <c r="AW350" s="6">
        <f>[1]Hybrid!AV41</f>
        <v>17.550668160000001</v>
      </c>
      <c r="AX350" s="6">
        <f>[1]Hybrid!AW41</f>
        <v>17.128645909999999</v>
      </c>
      <c r="AY350" s="6">
        <f>[1]Hybrid!AX41</f>
        <v>16.696868169999998</v>
      </c>
      <c r="AZ350" s="6">
        <f>[1]Hybrid!AY41</f>
        <v>16.256601499999999</v>
      </c>
      <c r="BA350" s="6">
        <f>[1]Hybrid!AZ41</f>
        <v>15.80909722</v>
      </c>
      <c r="BB350" s="6">
        <f>[1]Hybrid!BA41</f>
        <v>14.46660228</v>
      </c>
      <c r="BC350" s="6">
        <f>[1]Hybrid!BB41</f>
        <v>13.96919132</v>
      </c>
      <c r="BD350" s="6">
        <f>[1]Hybrid!BC41</f>
        <v>13.465731549999999</v>
      </c>
      <c r="BE350" s="6">
        <f>[1]Hybrid!BD41</f>
        <v>12.95742368</v>
      </c>
      <c r="BF350" s="6">
        <f>[1]Hybrid!BE41</f>
        <v>12.44545143</v>
      </c>
    </row>
    <row r="351" spans="1:58" x14ac:dyDescent="0.35">
      <c r="B351" s="6" t="str">
        <f>[1]Hybrid!A43</f>
        <v>auto_cf_cele_0</v>
      </c>
      <c r="C351" s="6">
        <f>[1]Hybrid!B43</f>
        <v>1.7251505170000001</v>
      </c>
      <c r="D351" s="6">
        <f>[1]Hybrid!C43</f>
        <v>2.2481862339999998</v>
      </c>
      <c r="E351" s="6">
        <f>[1]Hybrid!D43</f>
        <v>2.776725066</v>
      </c>
      <c r="F351" s="6">
        <f>[1]Hybrid!E43</f>
        <v>3.291104867</v>
      </c>
      <c r="G351" s="6">
        <f>[1]Hybrid!F43</f>
        <v>3.779018668</v>
      </c>
      <c r="H351" s="6">
        <f>[1]Hybrid!G43</f>
        <v>4.2335719000000003</v>
      </c>
      <c r="I351" s="6">
        <f>[1]Hybrid!H43</f>
        <v>4.6502863400000001</v>
      </c>
      <c r="J351" s="6">
        <f>[1]Hybrid!I43</f>
        <v>5.0276518530000001</v>
      </c>
      <c r="K351" s="6">
        <f>[1]Hybrid!J43</f>
        <v>5.3654489310000004</v>
      </c>
      <c r="L351" s="6">
        <f>[1]Hybrid!K43</f>
        <v>5.6641437889999997</v>
      </c>
      <c r="M351" s="6">
        <f>[1]Hybrid!L43</f>
        <v>5.9258567979999999</v>
      </c>
      <c r="N351" s="6">
        <f>[1]Hybrid!M43</f>
        <v>6.1505426139999999</v>
      </c>
      <c r="O351" s="6">
        <f>[1]Hybrid!N43</f>
        <v>6.3395910320000004</v>
      </c>
      <c r="P351" s="6">
        <f>[1]Hybrid!O43</f>
        <v>6.4947738260000003</v>
      </c>
      <c r="Q351" s="6">
        <f>[1]Hybrid!P43</f>
        <v>6.6178982240000002</v>
      </c>
      <c r="R351" s="6">
        <f>[1]Hybrid!Q43</f>
        <v>6.7108867639999996</v>
      </c>
      <c r="S351" s="6">
        <f>[1]Hybrid!R43</f>
        <v>6.7757336869999998</v>
      </c>
      <c r="T351" s="6">
        <f>[1]Hybrid!S43</f>
        <v>6.8144662379999996</v>
      </c>
      <c r="U351" s="6">
        <f>[1]Hybrid!T43</f>
        <v>6.8291124749999996</v>
      </c>
      <c r="V351" s="6">
        <f>[1]Hybrid!U43</f>
        <v>6.8216750619999997</v>
      </c>
      <c r="W351" s="6">
        <f>[1]Hybrid!V43</f>
        <v>6.7937286549999998</v>
      </c>
      <c r="X351" s="6">
        <f>[1]Hybrid!W43</f>
        <v>6.7476215909999997</v>
      </c>
      <c r="Y351" s="6">
        <f>[1]Hybrid!X43</f>
        <v>6.6852121359999996</v>
      </c>
      <c r="Z351" s="6">
        <f>[1]Hybrid!Y43</f>
        <v>6.6082002830000004</v>
      </c>
      <c r="AA351" s="6">
        <f>[1]Hybrid!Z43</f>
        <v>6.518223871</v>
      </c>
      <c r="AB351" s="6">
        <f>[1]Hybrid!AA43</f>
        <v>6.4161454039999999</v>
      </c>
      <c r="AC351" s="6">
        <f>[1]Hybrid!AB43</f>
        <v>6.3039303120000003</v>
      </c>
      <c r="AD351" s="6">
        <f>[1]Hybrid!AC43</f>
        <v>6.1830786360000003</v>
      </c>
      <c r="AE351" s="6">
        <f>[1]Hybrid!AD43</f>
        <v>6.0548904270000001</v>
      </c>
      <c r="AF351" s="6">
        <f>[1]Hybrid!AE43</f>
        <v>5.9205904809999996</v>
      </c>
      <c r="AG351" s="6">
        <f>[1]Hybrid!AF43</f>
        <v>5.78129487</v>
      </c>
      <c r="AH351" s="6">
        <f>[1]Hybrid!AG43</f>
        <v>5.638016812</v>
      </c>
      <c r="AI351" s="6">
        <f>[1]Hybrid!AH43</f>
        <v>5.4916749319999996</v>
      </c>
      <c r="AJ351" s="6">
        <f>[1]Hybrid!AI43</f>
        <v>5.3431017379999997</v>
      </c>
      <c r="AK351" s="6">
        <f>[1]Hybrid!AJ43</f>
        <v>5.1930513869999997</v>
      </c>
      <c r="AL351" s="6">
        <f>[1]Hybrid!AK43</f>
        <v>5.0422064129999997</v>
      </c>
      <c r="AM351" s="6">
        <f>[1]Hybrid!AL43</f>
        <v>4.8911376610000001</v>
      </c>
      <c r="AN351" s="6">
        <f>[1]Hybrid!AM43</f>
        <v>4.7404171960000001</v>
      </c>
      <c r="AO351" s="6">
        <f>[1]Hybrid!AN43</f>
        <v>4.5905629399999999</v>
      </c>
      <c r="AP351" s="6">
        <f>[1]Hybrid!AO43</f>
        <v>4.4420327129999997</v>
      </c>
      <c r="AQ351" s="6">
        <f>[1]Hybrid!AP43</f>
        <v>4.2952313709999999</v>
      </c>
      <c r="AR351" s="6">
        <f>[1]Hybrid!AQ43</f>
        <v>4.1505135309999996</v>
      </c>
      <c r="AS351" s="6">
        <f>[1]Hybrid!AR43</f>
        <v>4.0081866369999997</v>
      </c>
      <c r="AT351" s="6">
        <f>[1]Hybrid!AS43</f>
        <v>3.8685142950000002</v>
      </c>
      <c r="AU351" s="6">
        <f>[1]Hybrid!AT43</f>
        <v>3.7317196859999999</v>
      </c>
      <c r="AV351" s="6">
        <f>[1]Hybrid!AU43</f>
        <v>3.5979889119999999</v>
      </c>
      <c r="AW351" s="6">
        <f>[1]Hybrid!AV43</f>
        <v>3.4674751499999998</v>
      </c>
      <c r="AX351" s="6">
        <f>[1]Hybrid!AW43</f>
        <v>3.3402992779999998</v>
      </c>
      <c r="AY351" s="6">
        <f>[1]Hybrid!AX43</f>
        <v>3.2165540209999999</v>
      </c>
      <c r="AZ351" s="6">
        <f>[1]Hybrid!AY43</f>
        <v>3.0963067720000002</v>
      </c>
      <c r="BA351" s="6">
        <f>[1]Hybrid!AZ43</f>
        <v>2.9796019409999999</v>
      </c>
      <c r="BB351" s="6">
        <f>[1]Hybrid!BA43</f>
        <v>2.9073723610000002</v>
      </c>
      <c r="BC351" s="6">
        <f>[1]Hybrid!BB43</f>
        <v>2.7952765500000001</v>
      </c>
      <c r="BD351" s="6">
        <f>[1]Hybrid!BC43</f>
        <v>2.686812464</v>
      </c>
      <c r="BE351" s="6">
        <f>[1]Hybrid!BD43</f>
        <v>2.581966531</v>
      </c>
      <c r="BF351" s="6">
        <f>[1]Hybrid!BE43</f>
        <v>2.480710094</v>
      </c>
    </row>
    <row r="352" spans="1:58" x14ac:dyDescent="0.35">
      <c r="B352" s="6" t="str">
        <f>[1]Hybrid!A45</f>
        <v>auto_cg_cele_0</v>
      </c>
      <c r="C352" s="6">
        <f>[1]Hybrid!B45</f>
        <v>3.1066862139999998</v>
      </c>
      <c r="D352" s="6">
        <f>[1]Hybrid!C45</f>
        <v>4.0778187849999998</v>
      </c>
      <c r="E352" s="6">
        <f>[1]Hybrid!D45</f>
        <v>5.0334414509999998</v>
      </c>
      <c r="F352" s="6">
        <f>[1]Hybrid!E45</f>
        <v>5.9333714459999998</v>
      </c>
      <c r="G352" s="6">
        <f>[1]Hybrid!F45</f>
        <v>6.7545791250000002</v>
      </c>
      <c r="H352" s="6">
        <f>[1]Hybrid!G45</f>
        <v>7.4861950249999998</v>
      </c>
      <c r="I352" s="6">
        <f>[1]Hybrid!H45</f>
        <v>8.1232160400000009</v>
      </c>
      <c r="J352" s="6">
        <f>[1]Hybrid!I45</f>
        <v>8.6665965820000004</v>
      </c>
      <c r="K352" s="6">
        <f>[1]Hybrid!J45</f>
        <v>9.1199531999999994</v>
      </c>
      <c r="L352" s="6">
        <f>[1]Hybrid!K45</f>
        <v>9.4882032190000007</v>
      </c>
      <c r="M352" s="6">
        <f>[1]Hybrid!L45</f>
        <v>9.7786557270000003</v>
      </c>
      <c r="N352" s="6">
        <f>[1]Hybrid!M45</f>
        <v>9.9955283880000003</v>
      </c>
      <c r="O352" s="6">
        <f>[1]Hybrid!N45</f>
        <v>10.14490249</v>
      </c>
      <c r="P352" s="6">
        <f>[1]Hybrid!O45</f>
        <v>10.233232989999999</v>
      </c>
      <c r="Q352" s="6">
        <f>[1]Hybrid!P45</f>
        <v>10.266739299999999</v>
      </c>
      <c r="R352" s="6">
        <f>[1]Hybrid!Q45</f>
        <v>10.25147188</v>
      </c>
      <c r="S352" s="6">
        <f>[1]Hybrid!R45</f>
        <v>10.193228339999999</v>
      </c>
      <c r="T352" s="6">
        <f>[1]Hybrid!S45</f>
        <v>10.09748971</v>
      </c>
      <c r="U352" s="6">
        <f>[1]Hybrid!T45</f>
        <v>9.9693779080000002</v>
      </c>
      <c r="V352" s="6">
        <f>[1]Hybrid!U45</f>
        <v>9.8136313099999999</v>
      </c>
      <c r="W352" s="6">
        <f>[1]Hybrid!V45</f>
        <v>9.6342636899999992</v>
      </c>
      <c r="X352" s="6">
        <f>[1]Hybrid!W45</f>
        <v>9.4356433860000006</v>
      </c>
      <c r="Y352" s="6">
        <f>[1]Hybrid!X45</f>
        <v>9.2213802109999996</v>
      </c>
      <c r="Z352" s="6">
        <f>[1]Hybrid!Y45</f>
        <v>8.9946381609999992</v>
      </c>
      <c r="AA352" s="6">
        <f>[1]Hybrid!Z45</f>
        <v>8.7582600179999996</v>
      </c>
      <c r="AB352" s="6">
        <f>[1]Hybrid!AA45</f>
        <v>8.5143095639999995</v>
      </c>
      <c r="AC352" s="6">
        <f>[1]Hybrid!AB45</f>
        <v>8.2653924790000008</v>
      </c>
      <c r="AD352" s="6">
        <f>[1]Hybrid!AC45</f>
        <v>8.0135738340000007</v>
      </c>
      <c r="AE352" s="6">
        <f>[1]Hybrid!AD45</f>
        <v>7.7605717089999997</v>
      </c>
      <c r="AF352" s="6">
        <f>[1]Hybrid!AE45</f>
        <v>7.507876843</v>
      </c>
      <c r="AG352" s="6">
        <f>[1]Hybrid!AF45</f>
        <v>7.2567541789999996</v>
      </c>
      <c r="AH352" s="6">
        <f>[1]Hybrid!AG45</f>
        <v>7.0082679289999996</v>
      </c>
      <c r="AI352" s="6">
        <f>[1]Hybrid!AH45</f>
        <v>6.7633060279999997</v>
      </c>
      <c r="AJ352" s="6">
        <f>[1]Hybrid!AI45</f>
        <v>6.5226024269999998</v>
      </c>
      <c r="AK352" s="6">
        <f>[1]Hybrid!AJ45</f>
        <v>6.2867567710000003</v>
      </c>
      <c r="AL352" s="6">
        <f>[1]Hybrid!AK45</f>
        <v>6.05625152</v>
      </c>
      <c r="AM352" s="6">
        <f>[1]Hybrid!AL45</f>
        <v>5.831451081</v>
      </c>
      <c r="AN352" s="6">
        <f>[1]Hybrid!AM45</f>
        <v>5.612654</v>
      </c>
      <c r="AO352" s="6">
        <f>[1]Hybrid!AN45</f>
        <v>5.4000810220000002</v>
      </c>
      <c r="AP352" s="6">
        <f>[1]Hybrid!AO45</f>
        <v>5.1938813750000001</v>
      </c>
      <c r="AQ352" s="6">
        <f>[1]Hybrid!AP45</f>
        <v>4.9941436289999999</v>
      </c>
      <c r="AR352" s="6">
        <f>[1]Hybrid!AQ45</f>
        <v>4.8009041379999999</v>
      </c>
      <c r="AS352" s="6">
        <f>[1]Hybrid!AR45</f>
        <v>4.6141547870000004</v>
      </c>
      <c r="AT352" s="6">
        <f>[1]Hybrid!AS45</f>
        <v>4.4338500410000004</v>
      </c>
      <c r="AU352" s="6">
        <f>[1]Hybrid!AT45</f>
        <v>4.2599132769999999</v>
      </c>
      <c r="AV352" s="6">
        <f>[1]Hybrid!AU45</f>
        <v>4.09224239</v>
      </c>
      <c r="AW352" s="6">
        <f>[1]Hybrid!AV45</f>
        <v>3.9307148650000001</v>
      </c>
      <c r="AX352" s="6">
        <f>[1]Hybrid!AW45</f>
        <v>3.7751916539999999</v>
      </c>
      <c r="AY352" s="6">
        <f>[1]Hybrid!AX45</f>
        <v>3.6255211329999999</v>
      </c>
      <c r="AZ352" s="6">
        <f>[1]Hybrid!AY45</f>
        <v>3.4815423239999999</v>
      </c>
      <c r="BA352" s="6">
        <f>[1]Hybrid!AZ45</f>
        <v>3.3430875979999999</v>
      </c>
      <c r="BB352" s="6">
        <f>[1]Hybrid!BA45</f>
        <v>3.2957326619999998</v>
      </c>
      <c r="BC352" s="6">
        <f>[1]Hybrid!BB45</f>
        <v>3.16432365</v>
      </c>
      <c r="BD352" s="6">
        <f>[1]Hybrid!BC45</f>
        <v>3.0380470530000001</v>
      </c>
      <c r="BE352" s="6">
        <f>[1]Hybrid!BD45</f>
        <v>2.9167280400000002</v>
      </c>
      <c r="BF352" s="6">
        <f>[1]Hybrid!BE45</f>
        <v>2.8001923290000001</v>
      </c>
    </row>
    <row r="353" spans="1:58" x14ac:dyDescent="0.35">
      <c r="B353" s="6" t="str">
        <f>[1]Hybrid!A47</f>
        <v>auto_ca_cgas_0</v>
      </c>
      <c r="C353" s="6">
        <f>[1]Hybrid!B47</f>
        <v>0.42568169729999999</v>
      </c>
      <c r="D353" s="6">
        <f>[1]Hybrid!C47</f>
        <v>0.4496283787</v>
      </c>
      <c r="E353" s="6">
        <f>[1]Hybrid!D47</f>
        <v>0.47674927839999998</v>
      </c>
      <c r="F353" s="6">
        <f>[1]Hybrid!E47</f>
        <v>0.50584593460000005</v>
      </c>
      <c r="G353" s="6">
        <f>[1]Hybrid!F47</f>
        <v>0.53611696769999995</v>
      </c>
      <c r="H353" s="6">
        <f>[1]Hybrid!G47</f>
        <v>0.56707779940000003</v>
      </c>
      <c r="I353" s="6">
        <f>[1]Hybrid!H47</f>
        <v>0.59834041400000004</v>
      </c>
      <c r="J353" s="6">
        <f>[1]Hybrid!I47</f>
        <v>0.62973217349999999</v>
      </c>
      <c r="K353" s="6">
        <f>[1]Hybrid!J47</f>
        <v>0.66114801069999996</v>
      </c>
      <c r="L353" s="6">
        <f>[1]Hybrid!K47</f>
        <v>0.69251555870000003</v>
      </c>
      <c r="M353" s="6">
        <f>[1]Hybrid!L47</f>
        <v>0.72396278599999997</v>
      </c>
      <c r="N353" s="6">
        <f>[1]Hybrid!M47</f>
        <v>0.75526179790000003</v>
      </c>
      <c r="O353" s="6">
        <f>[1]Hybrid!N47</f>
        <v>0.7863765922</v>
      </c>
      <c r="P353" s="6">
        <f>[1]Hybrid!O47</f>
        <v>0.8172831008</v>
      </c>
      <c r="Q353" s="6">
        <f>[1]Hybrid!P47</f>
        <v>0.84794539859999996</v>
      </c>
      <c r="R353" s="6">
        <f>[1]Hybrid!Q47</f>
        <v>0.87833432310000004</v>
      </c>
      <c r="S353" s="6">
        <f>[1]Hybrid!R47</f>
        <v>0.90842634519999998</v>
      </c>
      <c r="T353" s="6">
        <f>[1]Hybrid!S47</f>
        <v>0.93820330929999995</v>
      </c>
      <c r="U353" s="6">
        <f>[1]Hybrid!T47</f>
        <v>0.96765271100000005</v>
      </c>
      <c r="V353" s="6">
        <f>[1]Hybrid!U47</f>
        <v>0.99676810159999996</v>
      </c>
      <c r="W353" s="6">
        <f>[1]Hybrid!V47</f>
        <v>1.0254067950000001</v>
      </c>
      <c r="X353" s="6">
        <f>[1]Hybrid!W47</f>
        <v>1.0537283749999999</v>
      </c>
      <c r="Y353" s="6">
        <f>[1]Hybrid!X47</f>
        <v>1.081745964</v>
      </c>
      <c r="Z353" s="6">
        <f>[1]Hybrid!Y47</f>
        <v>1.1094703340000001</v>
      </c>
      <c r="AA353" s="6">
        <f>[1]Hybrid!Z47</f>
        <v>1.136927617</v>
      </c>
      <c r="AB353" s="6">
        <f>[1]Hybrid!AA47</f>
        <v>1.16372605</v>
      </c>
      <c r="AC353" s="6">
        <f>[1]Hybrid!AB47</f>
        <v>1.19014815</v>
      </c>
      <c r="AD353" s="6">
        <f>[1]Hybrid!AC47</f>
        <v>1.2162403159999999</v>
      </c>
      <c r="AE353" s="6">
        <f>[1]Hybrid!AD47</f>
        <v>1.2420303619999999</v>
      </c>
      <c r="AF353" s="6">
        <f>[1]Hybrid!AE47</f>
        <v>1.2675685560000001</v>
      </c>
      <c r="AG353" s="6">
        <f>[1]Hybrid!AF47</f>
        <v>1.292902545</v>
      </c>
      <c r="AH353" s="6">
        <f>[1]Hybrid!AG47</f>
        <v>1.318077545</v>
      </c>
      <c r="AI353" s="6">
        <f>[1]Hybrid!AH47</f>
        <v>1.343137123</v>
      </c>
      <c r="AJ353" s="6">
        <f>[1]Hybrid!AI47</f>
        <v>1.368123744</v>
      </c>
      <c r="AK353" s="6">
        <f>[1]Hybrid!AJ47</f>
        <v>1.393078928</v>
      </c>
      <c r="AL353" s="6">
        <f>[1]Hybrid!AK47</f>
        <v>1.418043073</v>
      </c>
      <c r="AM353" s="6">
        <f>[1]Hybrid!AL47</f>
        <v>1.442951463</v>
      </c>
      <c r="AN353" s="6">
        <f>[1]Hybrid!AM47</f>
        <v>1.4678490049999999</v>
      </c>
      <c r="AO353" s="6">
        <f>[1]Hybrid!AN47</f>
        <v>1.492778648</v>
      </c>
      <c r="AP353" s="6">
        <f>[1]Hybrid!AO47</f>
        <v>1.5177766640000001</v>
      </c>
      <c r="AQ353" s="6">
        <f>[1]Hybrid!AP47</f>
        <v>1.542879605</v>
      </c>
      <c r="AR353" s="6">
        <f>[1]Hybrid!AQ47</f>
        <v>1.5681224490000001</v>
      </c>
      <c r="AS353" s="6">
        <f>[1]Hybrid!AR47</f>
        <v>1.593537939</v>
      </c>
      <c r="AT353" s="6">
        <f>[1]Hybrid!AS47</f>
        <v>1.6191567259999999</v>
      </c>
      <c r="AU353" s="6">
        <f>[1]Hybrid!AT47</f>
        <v>1.6450078749999999</v>
      </c>
      <c r="AV353" s="6">
        <f>[1]Hybrid!AU47</f>
        <v>1.671119418</v>
      </c>
      <c r="AW353" s="6">
        <f>[1]Hybrid!AV47</f>
        <v>1.6975283720000001</v>
      </c>
      <c r="AX353" s="6">
        <f>[1]Hybrid!AW47</f>
        <v>1.724261134</v>
      </c>
      <c r="AY353" s="6">
        <f>[1]Hybrid!AX47</f>
        <v>1.7513439850000001</v>
      </c>
      <c r="AZ353" s="6">
        <f>[1]Hybrid!AY47</f>
        <v>1.7788035230000001</v>
      </c>
      <c r="BA353" s="6">
        <f>[1]Hybrid!AZ47</f>
        <v>1.806666087</v>
      </c>
      <c r="BB353" s="6">
        <f>[1]Hybrid!BA47</f>
        <v>1.797599926</v>
      </c>
      <c r="BC353" s="6">
        <f>[1]Hybrid!BB47</f>
        <v>1.825674359</v>
      </c>
      <c r="BD353" s="6">
        <f>[1]Hybrid!BC47</f>
        <v>1.8541047100000001</v>
      </c>
      <c r="BE353" s="6">
        <f>[1]Hybrid!BD47</f>
        <v>1.8829160920000001</v>
      </c>
      <c r="BF353" s="6">
        <f>[1]Hybrid!BE47</f>
        <v>1.9121352410000001</v>
      </c>
    </row>
    <row r="354" spans="1:58" x14ac:dyDescent="0.35">
      <c r="B354" s="6" t="str">
        <f>[1]Hybrid!A49</f>
        <v>auto_cb_cgas_0</v>
      </c>
      <c r="C354" s="6">
        <f>[1]Hybrid!B49</f>
        <v>0.49500522540000003</v>
      </c>
      <c r="D354" s="6">
        <f>[1]Hybrid!C49</f>
        <v>0.51254497480000005</v>
      </c>
      <c r="E354" s="6">
        <f>[1]Hybrid!D49</f>
        <v>0.5333738307</v>
      </c>
      <c r="F354" s="6">
        <f>[1]Hybrid!E49</f>
        <v>0.55629560030000003</v>
      </c>
      <c r="G354" s="6">
        <f>[1]Hybrid!F49</f>
        <v>0.58050435700000003</v>
      </c>
      <c r="H354" s="6">
        <f>[1]Hybrid!G49</f>
        <v>0.60550429719999999</v>
      </c>
      <c r="I354" s="6">
        <f>[1]Hybrid!H49</f>
        <v>0.63089731169999996</v>
      </c>
      <c r="J354" s="6">
        <f>[1]Hybrid!I49</f>
        <v>0.65649413369999998</v>
      </c>
      <c r="K354" s="6">
        <f>[1]Hybrid!J49</f>
        <v>0.68217280970000005</v>
      </c>
      <c r="L354" s="6">
        <f>[1]Hybrid!K49</f>
        <v>0.70784448870000005</v>
      </c>
      <c r="M354" s="6">
        <f>[1]Hybrid!L49</f>
        <v>0.73360999579999997</v>
      </c>
      <c r="N354" s="6">
        <f>[1]Hybrid!M49</f>
        <v>0.75923771230000003</v>
      </c>
      <c r="O354" s="6">
        <f>[1]Hybrid!N49</f>
        <v>0.78467731009999997</v>
      </c>
      <c r="P354" s="6">
        <f>[1]Hybrid!O49</f>
        <v>0.80989204120000002</v>
      </c>
      <c r="Q354" s="6">
        <f>[1]Hybrid!P49</f>
        <v>0.83483538000000002</v>
      </c>
      <c r="R354" s="6">
        <f>[1]Hybrid!Q49</f>
        <v>0.8594683742</v>
      </c>
      <c r="S354" s="6">
        <f>[1]Hybrid!R49</f>
        <v>0.88375847559999998</v>
      </c>
      <c r="T354" s="6">
        <f>[1]Hybrid!S49</f>
        <v>0.90767913369999997</v>
      </c>
      <c r="U354" s="6">
        <f>[1]Hybrid!T49</f>
        <v>0.93120986729999999</v>
      </c>
      <c r="V354" s="6">
        <f>[1]Hybrid!U49</f>
        <v>0.95433644539999996</v>
      </c>
      <c r="W354" s="6">
        <f>[1]Hybrid!V49</f>
        <v>0.97692207330000003</v>
      </c>
      <c r="X354" s="6">
        <f>[1]Hybrid!W49</f>
        <v>0.99910442570000002</v>
      </c>
      <c r="Y354" s="6">
        <f>[1]Hybrid!X49</f>
        <v>1.0208889329999999</v>
      </c>
      <c r="Z354" s="6">
        <f>[1]Hybrid!Y49</f>
        <v>1.042278188</v>
      </c>
      <c r="AA354" s="6">
        <f>[1]Hybrid!Z49</f>
        <v>1.063288674</v>
      </c>
      <c r="AB354" s="6">
        <f>[1]Hybrid!AA49</f>
        <v>1.083566501</v>
      </c>
      <c r="AC354" s="6">
        <f>[1]Hybrid!AB49</f>
        <v>1.1033582630000001</v>
      </c>
      <c r="AD354" s="6">
        <f>[1]Hybrid!AC49</f>
        <v>1.1227018790000001</v>
      </c>
      <c r="AE354" s="6">
        <f>[1]Hybrid!AD49</f>
        <v>1.1416169949999999</v>
      </c>
      <c r="AF354" s="6">
        <f>[1]Hybrid!AE49</f>
        <v>1.160142733</v>
      </c>
      <c r="AG354" s="6">
        <f>[1]Hybrid!AF49</f>
        <v>1.1783153630000001</v>
      </c>
      <c r="AH354" s="6">
        <f>[1]Hybrid!AG49</f>
        <v>1.196168377</v>
      </c>
      <c r="AI354" s="6">
        <f>[1]Hybrid!AH49</f>
        <v>1.2137331170000001</v>
      </c>
      <c r="AJ354" s="6">
        <f>[1]Hybrid!AI49</f>
        <v>1.231039266</v>
      </c>
      <c r="AK354" s="6">
        <f>[1]Hybrid!AJ49</f>
        <v>1.2481150190000001</v>
      </c>
      <c r="AL354" s="6">
        <f>[1]Hybrid!AK49</f>
        <v>1.264986991</v>
      </c>
      <c r="AM354" s="6">
        <f>[1]Hybrid!AL49</f>
        <v>1.281592697</v>
      </c>
      <c r="AN354" s="6">
        <f>[1]Hybrid!AM49</f>
        <v>1.297962641</v>
      </c>
      <c r="AO354" s="6">
        <f>[1]Hybrid!AN49</f>
        <v>1.3141258010000001</v>
      </c>
      <c r="AP354" s="6">
        <f>[1]Hybrid!AO49</f>
        <v>1.33010502</v>
      </c>
      <c r="AQ354" s="6">
        <f>[1]Hybrid!AP49</f>
        <v>1.3459229340000001</v>
      </c>
      <c r="AR354" s="6">
        <f>[1]Hybrid!AQ49</f>
        <v>1.361600419</v>
      </c>
      <c r="AS354" s="6">
        <f>[1]Hybrid!AR49</f>
        <v>1.377156021</v>
      </c>
      <c r="AT354" s="6">
        <f>[1]Hybrid!AS49</f>
        <v>1.392606043</v>
      </c>
      <c r="AU354" s="6">
        <f>[1]Hybrid!AT49</f>
        <v>1.4079649510000001</v>
      </c>
      <c r="AV354" s="6">
        <f>[1]Hybrid!AU49</f>
        <v>1.4232458269999999</v>
      </c>
      <c r="AW354" s="6">
        <f>[1]Hybrid!AV49</f>
        <v>1.438468348</v>
      </c>
      <c r="AX354" s="6">
        <f>[1]Hybrid!AW49</f>
        <v>1.4536430899999999</v>
      </c>
      <c r="AY354" s="6">
        <f>[1]Hybrid!AX49</f>
        <v>1.468779966</v>
      </c>
      <c r="AZ354" s="6">
        <f>[1]Hybrid!AY49</f>
        <v>1.4838886579999999</v>
      </c>
      <c r="BA354" s="6">
        <f>[1]Hybrid!AZ49</f>
        <v>1.4989781659999999</v>
      </c>
      <c r="BB354" s="6">
        <f>[1]Hybrid!BA49</f>
        <v>1.49953493</v>
      </c>
      <c r="BC354" s="6">
        <f>[1]Hybrid!BB49</f>
        <v>1.515156978</v>
      </c>
      <c r="BD354" s="6">
        <f>[1]Hybrid!BC49</f>
        <v>1.5307466949999999</v>
      </c>
      <c r="BE354" s="6">
        <f>[1]Hybrid!BD49</f>
        <v>1.5463146320000001</v>
      </c>
      <c r="BF354" s="6">
        <f>[1]Hybrid!BE49</f>
        <v>1.561872156</v>
      </c>
    </row>
    <row r="355" spans="1:58" x14ac:dyDescent="0.35">
      <c r="B355" s="6" t="str">
        <f>[1]Hybrid!A51</f>
        <v>auto_cc_cgas_0</v>
      </c>
      <c r="C355" s="6">
        <f>[1]Hybrid!B51</f>
        <v>0.40659851759999999</v>
      </c>
      <c r="D355" s="6">
        <f>[1]Hybrid!C51</f>
        <v>0.41470420530000002</v>
      </c>
      <c r="E355" s="6">
        <f>[1]Hybrid!D51</f>
        <v>0.4252710408</v>
      </c>
      <c r="F355" s="6">
        <f>[1]Hybrid!E51</f>
        <v>0.43743903839999998</v>
      </c>
      <c r="G355" s="6">
        <f>[1]Hybrid!F51</f>
        <v>0.4506247994</v>
      </c>
      <c r="H355" s="6">
        <f>[1]Hybrid!G51</f>
        <v>0.46446387</v>
      </c>
      <c r="I355" s="6">
        <f>[1]Hybrid!H51</f>
        <v>0.47866297949999997</v>
      </c>
      <c r="J355" s="6">
        <f>[1]Hybrid!I51</f>
        <v>0.49307495979999999</v>
      </c>
      <c r="K355" s="6">
        <f>[1]Hybrid!J51</f>
        <v>0.50760101260000001</v>
      </c>
      <c r="L355" s="6">
        <f>[1]Hybrid!K51</f>
        <v>0.52216652919999995</v>
      </c>
      <c r="M355" s="6">
        <f>[1]Hybrid!L51</f>
        <v>0.53682654240000005</v>
      </c>
      <c r="N355" s="6">
        <f>[1]Hybrid!M51</f>
        <v>0.55141225569999996</v>
      </c>
      <c r="O355" s="6">
        <f>[1]Hybrid!N51</f>
        <v>0.56587851840000003</v>
      </c>
      <c r="P355" s="6">
        <f>[1]Hybrid!O51</f>
        <v>0.58019107820000004</v>
      </c>
      <c r="Q355" s="6">
        <f>[1]Hybrid!P51</f>
        <v>0.59431008429999999</v>
      </c>
      <c r="R355" s="6">
        <f>[1]Hybrid!Q51</f>
        <v>0.60820173799999999</v>
      </c>
      <c r="S355" s="6">
        <f>[1]Hybrid!R51</f>
        <v>0.6218374203</v>
      </c>
      <c r="T355" s="6">
        <f>[1]Hybrid!S51</f>
        <v>0.63519330220000003</v>
      </c>
      <c r="U355" s="6">
        <f>[1]Hybrid!T51</f>
        <v>0.64825026350000003</v>
      </c>
      <c r="V355" s="6">
        <f>[1]Hybrid!U51</f>
        <v>0.66099388240000001</v>
      </c>
      <c r="W355" s="6">
        <f>[1]Hybrid!V51</f>
        <v>0.67333029710000003</v>
      </c>
      <c r="X355" s="6">
        <f>[1]Hybrid!W51</f>
        <v>0.68534555050000001</v>
      </c>
      <c r="Y355" s="6">
        <f>[1]Hybrid!X51</f>
        <v>0.69703963170000005</v>
      </c>
      <c r="Z355" s="6">
        <f>[1]Hybrid!Y51</f>
        <v>0.70841033419999999</v>
      </c>
      <c r="AA355" s="6">
        <f>[1]Hybrid!Z51</f>
        <v>0.71946462359999996</v>
      </c>
      <c r="AB355" s="6">
        <f>[1]Hybrid!AA51</f>
        <v>0.72997270219999999</v>
      </c>
      <c r="AC355" s="6">
        <f>[1]Hybrid!AB51</f>
        <v>0.74009074539999997</v>
      </c>
      <c r="AD355" s="6">
        <f>[1]Hybrid!AC51</f>
        <v>0.74984190989999999</v>
      </c>
      <c r="AE355" s="6">
        <f>[1]Hybrid!AD51</f>
        <v>0.75923664049999995</v>
      </c>
      <c r="AF355" s="6">
        <f>[1]Hybrid!AE51</f>
        <v>0.76829766560000001</v>
      </c>
      <c r="AG355" s="6">
        <f>[1]Hybrid!AF51</f>
        <v>0.77704567599999996</v>
      </c>
      <c r="AH355" s="6">
        <f>[1]Hybrid!AG51</f>
        <v>0.78549931129999995</v>
      </c>
      <c r="AI355" s="6">
        <f>[1]Hybrid!AH51</f>
        <v>0.79367554750000002</v>
      </c>
      <c r="AJ355" s="6">
        <f>[1]Hybrid!AI51</f>
        <v>0.80159002030000004</v>
      </c>
      <c r="AK355" s="6">
        <f>[1]Hybrid!AJ51</f>
        <v>0.80925717029999999</v>
      </c>
      <c r="AL355" s="6">
        <f>[1]Hybrid!AK51</f>
        <v>0.81669023600000001</v>
      </c>
      <c r="AM355" s="6">
        <f>[1]Hybrid!AL51</f>
        <v>0.82384807969999996</v>
      </c>
      <c r="AN355" s="6">
        <f>[1]Hybrid!AM51</f>
        <v>0.83074667179999995</v>
      </c>
      <c r="AO355" s="6">
        <f>[1]Hybrid!AN51</f>
        <v>0.83740127659999997</v>
      </c>
      <c r="AP355" s="6">
        <f>[1]Hybrid!AO51</f>
        <v>0.84382328049999999</v>
      </c>
      <c r="AQ355" s="6">
        <f>[1]Hybrid!AP51</f>
        <v>0.85002384710000001</v>
      </c>
      <c r="AR355" s="6">
        <f>[1]Hybrid!AQ51</f>
        <v>0.85601298790000002</v>
      </c>
      <c r="AS355" s="6">
        <f>[1]Hybrid!AR51</f>
        <v>0.86179921029999995</v>
      </c>
      <c r="AT355" s="6">
        <f>[1]Hybrid!AS51</f>
        <v>0.86738957130000005</v>
      </c>
      <c r="AU355" s="6">
        <f>[1]Hybrid!AT51</f>
        <v>0.87278991920000004</v>
      </c>
      <c r="AV355" s="6">
        <f>[1]Hybrid!AU51</f>
        <v>0.87800517209999995</v>
      </c>
      <c r="AW355" s="6">
        <f>[1]Hybrid!AV51</f>
        <v>0.88304393020000005</v>
      </c>
      <c r="AX355" s="6">
        <f>[1]Hybrid!AW51</f>
        <v>0.88790940080000003</v>
      </c>
      <c r="AY355" s="6">
        <f>[1]Hybrid!AX51</f>
        <v>0.89260431579999999</v>
      </c>
      <c r="AZ355" s="6">
        <f>[1]Hybrid!AY51</f>
        <v>0.89713123849999998</v>
      </c>
      <c r="BA355" s="6">
        <f>[1]Hybrid!AZ51</f>
        <v>0.90149232189999995</v>
      </c>
      <c r="BB355" s="6">
        <f>[1]Hybrid!BA51</f>
        <v>0.90626562889999995</v>
      </c>
      <c r="BC355" s="6">
        <f>[1]Hybrid!BB51</f>
        <v>0.91114016870000003</v>
      </c>
      <c r="BD355" s="6">
        <f>[1]Hybrid!BC51</f>
        <v>0.91585367900000003</v>
      </c>
      <c r="BE355" s="6">
        <f>[1]Hybrid!BD51</f>
        <v>0.92041032209999996</v>
      </c>
      <c r="BF355" s="6">
        <f>[1]Hybrid!BE51</f>
        <v>0.92481464719999995</v>
      </c>
    </row>
    <row r="356" spans="1:58" x14ac:dyDescent="0.35">
      <c r="B356" s="6" t="str">
        <f>[1]Hybrid!A53</f>
        <v>auto_cd_cgas_0</v>
      </c>
      <c r="C356" s="6">
        <f>[1]Hybrid!B53</f>
        <v>0.2495444651</v>
      </c>
      <c r="D356" s="6">
        <f>[1]Hybrid!C53</f>
        <v>0.25242870119999999</v>
      </c>
      <c r="E356" s="6">
        <f>[1]Hybrid!D53</f>
        <v>0.25660543720000001</v>
      </c>
      <c r="F356" s="6">
        <f>[1]Hybrid!E53</f>
        <v>0.26155294909999999</v>
      </c>
      <c r="G356" s="6">
        <f>[1]Hybrid!F53</f>
        <v>0.26691837140000002</v>
      </c>
      <c r="H356" s="6">
        <f>[1]Hybrid!G53</f>
        <v>0.2724800845</v>
      </c>
      <c r="I356" s="6">
        <f>[1]Hybrid!H53</f>
        <v>0.2780637849</v>
      </c>
      <c r="J356" s="6">
        <f>[1]Hybrid!I53</f>
        <v>0.28357882159999998</v>
      </c>
      <c r="K356" s="6">
        <f>[1]Hybrid!J53</f>
        <v>0.2889645226</v>
      </c>
      <c r="L356" s="6">
        <f>[1]Hybrid!K53</f>
        <v>0.29417557420000001</v>
      </c>
      <c r="M356" s="6">
        <f>[1]Hybrid!L53</f>
        <v>0.2992335002</v>
      </c>
      <c r="N356" s="6">
        <f>[1]Hybrid!M53</f>
        <v>0.30404980869999998</v>
      </c>
      <c r="O356" s="6">
        <f>[1]Hybrid!N53</f>
        <v>0.30859914199999999</v>
      </c>
      <c r="P356" s="6">
        <f>[1]Hybrid!O53</f>
        <v>0.31286461189999998</v>
      </c>
      <c r="Q356" s="6">
        <f>[1]Hybrid!P53</f>
        <v>0.31682800779999998</v>
      </c>
      <c r="R356" s="6">
        <f>[1]Hybrid!Q53</f>
        <v>0.32047542449999999</v>
      </c>
      <c r="S356" s="6">
        <f>[1]Hybrid!R53</f>
        <v>0.32379665460000001</v>
      </c>
      <c r="T356" s="6">
        <f>[1]Hybrid!S53</f>
        <v>0.32678476319999999</v>
      </c>
      <c r="U356" s="6">
        <f>[1]Hybrid!T53</f>
        <v>0.32943579429999997</v>
      </c>
      <c r="V356" s="6">
        <f>[1]Hybrid!U53</f>
        <v>0.33174851999999999</v>
      </c>
      <c r="W356" s="6">
        <f>[1]Hybrid!V53</f>
        <v>0.33368869880000002</v>
      </c>
      <c r="X356" s="6">
        <f>[1]Hybrid!W53</f>
        <v>0.33529930200000002</v>
      </c>
      <c r="Y356" s="6">
        <f>[1]Hybrid!X53</f>
        <v>0.33658693820000002</v>
      </c>
      <c r="Z356" s="6">
        <f>[1]Hybrid!Y53</f>
        <v>0.33755629390000003</v>
      </c>
      <c r="AA356" s="6">
        <f>[1]Hybrid!Z53</f>
        <v>0.33821584809999999</v>
      </c>
      <c r="AB356" s="6">
        <f>[1]Hybrid!AA53</f>
        <v>0.33848270359999999</v>
      </c>
      <c r="AC356" s="6">
        <f>[1]Hybrid!AB53</f>
        <v>0.33842598159999998</v>
      </c>
      <c r="AD356" s="6">
        <f>[1]Hybrid!AC53</f>
        <v>0.33806390489999999</v>
      </c>
      <c r="AE356" s="6">
        <f>[1]Hybrid!AD53</f>
        <v>0.3374077479</v>
      </c>
      <c r="AF356" s="6">
        <f>[1]Hybrid!AE53</f>
        <v>0.33647301530000001</v>
      </c>
      <c r="AG356" s="6">
        <f>[1]Hybrid!AF53</f>
        <v>0.33527389210000003</v>
      </c>
      <c r="AH356" s="6">
        <f>[1]Hybrid!AG53</f>
        <v>0.33382320729999998</v>
      </c>
      <c r="AI356" s="6">
        <f>[1]Hybrid!AH53</f>
        <v>0.33213261399999999</v>
      </c>
      <c r="AJ356" s="6">
        <f>[1]Hybrid!AI53</f>
        <v>0.33021279050000002</v>
      </c>
      <c r="AK356" s="6">
        <f>[1]Hybrid!AJ53</f>
        <v>0.32807360009999997</v>
      </c>
      <c r="AL356" s="6">
        <f>[1]Hybrid!AK53</f>
        <v>0.32572420460000001</v>
      </c>
      <c r="AM356" s="6">
        <f>[1]Hybrid!AL53</f>
        <v>0.3231569494</v>
      </c>
      <c r="AN356" s="6">
        <f>[1]Hybrid!AM53</f>
        <v>0.32038244580000003</v>
      </c>
      <c r="AO356" s="6">
        <f>[1]Hybrid!AN53</f>
        <v>0.31741140379999999</v>
      </c>
      <c r="AP356" s="6">
        <f>[1]Hybrid!AO53</f>
        <v>0.31425316339999998</v>
      </c>
      <c r="AQ356" s="6">
        <f>[1]Hybrid!AP53</f>
        <v>0.31091688789999999</v>
      </c>
      <c r="AR356" s="6">
        <f>[1]Hybrid!AQ53</f>
        <v>0.30741130909999997</v>
      </c>
      <c r="AS356" s="6">
        <f>[1]Hybrid!AR53</f>
        <v>0.30374463350000003</v>
      </c>
      <c r="AT356" s="6">
        <f>[1]Hybrid!AS53</f>
        <v>0.2999245687</v>
      </c>
      <c r="AU356" s="6">
        <f>[1]Hybrid!AT53</f>
        <v>0.2959584106</v>
      </c>
      <c r="AV356" s="6">
        <f>[1]Hybrid!AU53</f>
        <v>0.29185314610000002</v>
      </c>
      <c r="AW356" s="6">
        <f>[1]Hybrid!AV53</f>
        <v>0.28761656670000002</v>
      </c>
      <c r="AX356" s="6">
        <f>[1]Hybrid!AW53</f>
        <v>0.2832551116</v>
      </c>
      <c r="AY356" s="6">
        <f>[1]Hybrid!AX53</f>
        <v>0.2787750953</v>
      </c>
      <c r="AZ356" s="6">
        <f>[1]Hybrid!AY53</f>
        <v>0.27418284450000002</v>
      </c>
      <c r="BA356" s="6">
        <f>[1]Hybrid!AZ53</f>
        <v>0.2694846555</v>
      </c>
      <c r="BB356" s="6">
        <f>[1]Hybrid!BA53</f>
        <v>0.27612346450000003</v>
      </c>
      <c r="BC356" s="6">
        <f>[1]Hybrid!BB53</f>
        <v>0.2717945819</v>
      </c>
      <c r="BD356" s="6">
        <f>[1]Hybrid!BC53</f>
        <v>0.26737305779999998</v>
      </c>
      <c r="BE356" s="6">
        <f>[1]Hybrid!BD53</f>
        <v>0.26286532150000003</v>
      </c>
      <c r="BF356" s="6">
        <f>[1]Hybrid!BE53</f>
        <v>0.25827777819999997</v>
      </c>
    </row>
    <row r="357" spans="1:58" x14ac:dyDescent="0.35">
      <c r="B357" s="6" t="str">
        <f>[1]Hybrid!A55</f>
        <v>auto_ce_cgas_0</v>
      </c>
      <c r="C357" s="6">
        <f>[1]Hybrid!B55</f>
        <v>0.15020246549999999</v>
      </c>
      <c r="D357" s="6">
        <f>[1]Hybrid!C55</f>
        <v>0.1521300414</v>
      </c>
      <c r="E357" s="6">
        <f>[1]Hybrid!D55</f>
        <v>0.15474942320000001</v>
      </c>
      <c r="F357" s="6">
        <f>[1]Hybrid!E55</f>
        <v>0.15772106429999999</v>
      </c>
      <c r="G357" s="6">
        <f>[1]Hybrid!F55</f>
        <v>0.16081829950000001</v>
      </c>
      <c r="H357" s="6">
        <f>[1]Hybrid!G55</f>
        <v>0.1639009089</v>
      </c>
      <c r="I357" s="6">
        <f>[1]Hybrid!H55</f>
        <v>0.16686221239999999</v>
      </c>
      <c r="J357" s="6">
        <f>[1]Hybrid!I55</f>
        <v>0.16964853599999999</v>
      </c>
      <c r="K357" s="6">
        <f>[1]Hybrid!J55</f>
        <v>0.17222634340000001</v>
      </c>
      <c r="L357" s="6">
        <f>[1]Hybrid!K55</f>
        <v>0.17457256809999999</v>
      </c>
      <c r="M357" s="6">
        <f>[1]Hybrid!L55</f>
        <v>0.17670274399999999</v>
      </c>
      <c r="N357" s="6">
        <f>[1]Hybrid!M55</f>
        <v>0.17857173700000001</v>
      </c>
      <c r="O357" s="6">
        <f>[1]Hybrid!N55</f>
        <v>0.18017049439999999</v>
      </c>
      <c r="P357" s="6">
        <f>[1]Hybrid!O55</f>
        <v>0.1814961115</v>
      </c>
      <c r="Q357" s="6">
        <f>[1]Hybrid!P55</f>
        <v>0.1825455597</v>
      </c>
      <c r="R357" s="6">
        <f>[1]Hybrid!Q55</f>
        <v>0.1833186926</v>
      </c>
      <c r="S357" s="6">
        <f>[1]Hybrid!R55</f>
        <v>0.18381778300000001</v>
      </c>
      <c r="T357" s="6">
        <f>[1]Hybrid!S55</f>
        <v>0.18404714480000001</v>
      </c>
      <c r="U357" s="6">
        <f>[1]Hybrid!T55</f>
        <v>0.18401283239999999</v>
      </c>
      <c r="V357" s="6">
        <f>[1]Hybrid!U55</f>
        <v>0.1837223774</v>
      </c>
      <c r="W357" s="6">
        <f>[1]Hybrid!V55</f>
        <v>0.18316746210000001</v>
      </c>
      <c r="X357" s="6">
        <f>[1]Hybrid!W55</f>
        <v>0.18237728380000001</v>
      </c>
      <c r="Y357" s="6">
        <f>[1]Hybrid!X55</f>
        <v>0.18136328099999999</v>
      </c>
      <c r="Z357" s="6">
        <f>[1]Hybrid!Y55</f>
        <v>0.18013536090000001</v>
      </c>
      <c r="AA357" s="6">
        <f>[1]Hybrid!Z55</f>
        <v>0.1787050305</v>
      </c>
      <c r="AB357" s="6">
        <f>[1]Hybrid!AA55</f>
        <v>0.17704301720000001</v>
      </c>
      <c r="AC357" s="6">
        <f>[1]Hybrid!AB55</f>
        <v>0.1751885785</v>
      </c>
      <c r="AD357" s="6">
        <f>[1]Hybrid!AC55</f>
        <v>0.17315821949999999</v>
      </c>
      <c r="AE357" s="6">
        <f>[1]Hybrid!AD55</f>
        <v>0.1709643451</v>
      </c>
      <c r="AF357" s="6">
        <f>[1]Hybrid!AE55</f>
        <v>0.1686208119</v>
      </c>
      <c r="AG357" s="6">
        <f>[1]Hybrid!AF55</f>
        <v>0.1661404812</v>
      </c>
      <c r="AH357" s="6">
        <f>[1]Hybrid!AG55</f>
        <v>0.16353521730000001</v>
      </c>
      <c r="AI357" s="6">
        <f>[1]Hybrid!AH55</f>
        <v>0.16081600300000001</v>
      </c>
      <c r="AJ357" s="6">
        <f>[1]Hybrid!AI55</f>
        <v>0.15799307479999999</v>
      </c>
      <c r="AK357" s="6">
        <f>[1]Hybrid!AJ55</f>
        <v>0.15507604310000001</v>
      </c>
      <c r="AL357" s="6">
        <f>[1]Hybrid!AK55</f>
        <v>0.1520739897</v>
      </c>
      <c r="AM357" s="6">
        <f>[1]Hybrid!AL55</f>
        <v>0.14898970850000001</v>
      </c>
      <c r="AN357" s="6">
        <f>[1]Hybrid!AM55</f>
        <v>0.14583268260000001</v>
      </c>
      <c r="AO357" s="6">
        <f>[1]Hybrid!AN55</f>
        <v>0.14261233810000001</v>
      </c>
      <c r="AP357" s="6">
        <f>[1]Hybrid!AO55</f>
        <v>0.13933735780000001</v>
      </c>
      <c r="AQ357" s="6">
        <f>[1]Hybrid!AP55</f>
        <v>0.13601613230000001</v>
      </c>
      <c r="AR357" s="6">
        <f>[1]Hybrid!AQ55</f>
        <v>0.13265667440000001</v>
      </c>
      <c r="AS357" s="6">
        <f>[1]Hybrid!AR55</f>
        <v>0.1292665892</v>
      </c>
      <c r="AT357" s="6">
        <f>[1]Hybrid!AS55</f>
        <v>0.12585308570000001</v>
      </c>
      <c r="AU357" s="6">
        <f>[1]Hybrid!AT55</f>
        <v>0.1224230118</v>
      </c>
      <c r="AV357" s="6">
        <f>[1]Hybrid!AU55</f>
        <v>0.11898289469999999</v>
      </c>
      <c r="AW357" s="6">
        <f>[1]Hybrid!AV55</f>
        <v>0.1155392675</v>
      </c>
      <c r="AX357" s="6">
        <f>[1]Hybrid!AW55</f>
        <v>0.1120980451</v>
      </c>
      <c r="AY357" s="6">
        <f>[1]Hybrid!AX55</f>
        <v>0.108664893</v>
      </c>
      <c r="AZ357" s="6">
        <f>[1]Hybrid!AY55</f>
        <v>0.10524527779999999</v>
      </c>
      <c r="BA357" s="6">
        <f>[1]Hybrid!AZ55</f>
        <v>0.101844453</v>
      </c>
      <c r="BB357" s="6">
        <f>[1]Hybrid!BA55</f>
        <v>0.1053358968</v>
      </c>
      <c r="BC357" s="6">
        <f>[1]Hybrid!BB55</f>
        <v>0.1021107666</v>
      </c>
      <c r="BD357" s="6">
        <f>[1]Hybrid!BC55</f>
        <v>9.8906918499999996E-2</v>
      </c>
      <c r="BE357" s="6">
        <f>[1]Hybrid!BD55</f>
        <v>9.5728802700000004E-2</v>
      </c>
      <c r="BF357" s="6">
        <f>[1]Hybrid!BE55</f>
        <v>9.2580637699999996E-2</v>
      </c>
    </row>
    <row r="358" spans="1:58" x14ac:dyDescent="0.35">
      <c r="B358" s="6" t="str">
        <f>[1]Hybrid!A57</f>
        <v>auto_cf_cgas_0</v>
      </c>
      <c r="C358" s="6">
        <f>[1]Hybrid!B57</f>
        <v>7.4609436000000001E-2</v>
      </c>
      <c r="D358" s="6">
        <f>[1]Hybrid!C57</f>
        <v>7.5327838499999994E-2</v>
      </c>
      <c r="E358" s="6">
        <f>[1]Hybrid!D57</f>
        <v>7.6239523099999998E-2</v>
      </c>
      <c r="F358" s="6">
        <f>[1]Hybrid!E57</f>
        <v>7.7154218499999996E-2</v>
      </c>
      <c r="G358" s="6">
        <f>[1]Hybrid!F57</f>
        <v>7.7953640599999999E-2</v>
      </c>
      <c r="H358" s="6">
        <f>[1]Hybrid!G57</f>
        <v>7.8572207300000002E-2</v>
      </c>
      <c r="I358" s="6">
        <f>[1]Hybrid!H57</f>
        <v>7.8968521299999997E-2</v>
      </c>
      <c r="J358" s="6">
        <f>[1]Hybrid!I57</f>
        <v>7.9129602300000004E-2</v>
      </c>
      <c r="K358" s="6">
        <f>[1]Hybrid!J57</f>
        <v>7.9054713799999995E-2</v>
      </c>
      <c r="L358" s="6">
        <f>[1]Hybrid!K57</f>
        <v>7.8749442200000005E-2</v>
      </c>
      <c r="M358" s="6">
        <f>[1]Hybrid!L57</f>
        <v>7.8234147599999998E-2</v>
      </c>
      <c r="N358" s="6">
        <f>[1]Hybrid!M57</f>
        <v>7.7509062500000003E-2</v>
      </c>
      <c r="O358" s="6">
        <f>[1]Hybrid!N57</f>
        <v>7.6587342799999999E-2</v>
      </c>
      <c r="P358" s="6">
        <f>[1]Hybrid!O57</f>
        <v>7.5485117300000001E-2</v>
      </c>
      <c r="Q358" s="6">
        <f>[1]Hybrid!P57</f>
        <v>7.4218328799999997E-2</v>
      </c>
      <c r="R358" s="6">
        <f>[1]Hybrid!Q57</f>
        <v>7.2803479500000004E-2</v>
      </c>
      <c r="S358" s="6">
        <f>[1]Hybrid!R57</f>
        <v>7.1257254500000006E-2</v>
      </c>
      <c r="T358" s="6">
        <f>[1]Hybrid!S57</f>
        <v>6.9596201900000002E-2</v>
      </c>
      <c r="U358" s="6">
        <f>[1]Hybrid!T57</f>
        <v>6.7836481300000001E-2</v>
      </c>
      <c r="V358" s="6">
        <f>[1]Hybrid!U57</f>
        <v>6.5993670899999995E-2</v>
      </c>
      <c r="W358" s="6">
        <f>[1]Hybrid!V57</f>
        <v>6.4079183200000001E-2</v>
      </c>
      <c r="X358" s="6">
        <f>[1]Hybrid!W57</f>
        <v>6.2111231500000003E-2</v>
      </c>
      <c r="Y358" s="6">
        <f>[1]Hybrid!X57</f>
        <v>6.0103266400000001E-2</v>
      </c>
      <c r="Z358" s="6">
        <f>[1]Hybrid!Y57</f>
        <v>5.8067135200000002E-2</v>
      </c>
      <c r="AA358" s="6">
        <f>[1]Hybrid!Z57</f>
        <v>5.6013995699999999E-2</v>
      </c>
      <c r="AB358" s="6">
        <f>[1]Hybrid!AA57</f>
        <v>5.3947899799999997E-2</v>
      </c>
      <c r="AC358" s="6">
        <f>[1]Hybrid!AB57</f>
        <v>5.1882947999999998E-2</v>
      </c>
      <c r="AD358" s="6">
        <f>[1]Hybrid!AC57</f>
        <v>4.9828837799999998E-2</v>
      </c>
      <c r="AE358" s="6">
        <f>[1]Hybrid!AD57</f>
        <v>4.7793409500000002E-2</v>
      </c>
      <c r="AF358" s="6">
        <f>[1]Hybrid!AE57</f>
        <v>4.5783814700000001E-2</v>
      </c>
      <c r="AG358" s="6">
        <f>[1]Hybrid!AF57</f>
        <v>4.3806231500000001E-2</v>
      </c>
      <c r="AH358" s="6">
        <f>[1]Hybrid!AG57</f>
        <v>4.18659397E-2</v>
      </c>
      <c r="AI358" s="6">
        <f>[1]Hybrid!AH57</f>
        <v>3.9967414299999997E-2</v>
      </c>
      <c r="AJ358" s="6">
        <f>[1]Hybrid!AI57</f>
        <v>3.8114418099999998E-2</v>
      </c>
      <c r="AK358" s="6">
        <f>[1]Hybrid!AJ57</f>
        <v>3.6310083200000003E-2</v>
      </c>
      <c r="AL358" s="6">
        <f>[1]Hybrid!AK57</f>
        <v>3.4556981899999999E-2</v>
      </c>
      <c r="AM358" s="6">
        <f>[1]Hybrid!AL57</f>
        <v>3.2856769700000003E-2</v>
      </c>
      <c r="AN358" s="6">
        <f>[1]Hybrid!AM57</f>
        <v>3.1211225499999998E-2</v>
      </c>
      <c r="AO358" s="6">
        <f>[1]Hybrid!AN57</f>
        <v>2.9621737299999999E-2</v>
      </c>
      <c r="AP358" s="6">
        <f>[1]Hybrid!AO57</f>
        <v>2.8089252499999998E-2</v>
      </c>
      <c r="AQ358" s="6">
        <f>[1]Hybrid!AP57</f>
        <v>2.6614348199999999E-2</v>
      </c>
      <c r="AR358" s="6">
        <f>[1]Hybrid!AQ57</f>
        <v>2.51972585E-2</v>
      </c>
      <c r="AS358" s="6">
        <f>[1]Hybrid!AR57</f>
        <v>2.38379061E-2</v>
      </c>
      <c r="AT358" s="6">
        <f>[1]Hybrid!AS57</f>
        <v>2.2535933800000001E-2</v>
      </c>
      <c r="AU358" s="6">
        <f>[1]Hybrid!AT57</f>
        <v>2.12907375E-2</v>
      </c>
      <c r="AV358" s="6">
        <f>[1]Hybrid!AU57</f>
        <v>2.0101496699999999E-2</v>
      </c>
      <c r="AW358" s="6">
        <f>[1]Hybrid!AV57</f>
        <v>1.89672125E-2</v>
      </c>
      <c r="AX358" s="6">
        <f>[1]Hybrid!AW57</f>
        <v>1.78867118E-2</v>
      </c>
      <c r="AY358" s="6">
        <f>[1]Hybrid!AX57</f>
        <v>1.68586846E-2</v>
      </c>
      <c r="AZ358" s="6">
        <f>[1]Hybrid!AY57</f>
        <v>1.5881706999999998E-2</v>
      </c>
      <c r="BA358" s="6">
        <f>[1]Hybrid!AZ57</f>
        <v>1.49542609E-2</v>
      </c>
      <c r="BB358" s="6">
        <f>[1]Hybrid!BA57</f>
        <v>1.52630786E-2</v>
      </c>
      <c r="BC358" s="6">
        <f>[1]Hybrid!BB57</f>
        <v>1.43817345E-2</v>
      </c>
      <c r="BD358" s="6">
        <f>[1]Hybrid!BC57</f>
        <v>1.35451741E-2</v>
      </c>
      <c r="BE358" s="6">
        <f>[1]Hybrid!BD57</f>
        <v>1.2751882000000001E-2</v>
      </c>
      <c r="BF358" s="6">
        <f>[1]Hybrid!BE57</f>
        <v>1.20003032E-2</v>
      </c>
    </row>
    <row r="359" spans="1:58" x14ac:dyDescent="0.35">
      <c r="B359" s="6" t="str">
        <f>[1]Hybrid!A59</f>
        <v>auto_cg_cgas_0</v>
      </c>
      <c r="C359" s="6">
        <f>[1]Hybrid!B59</f>
        <v>0.13435819299999999</v>
      </c>
      <c r="D359" s="6">
        <f>[1]Hybrid!C59</f>
        <v>0.13591727810000001</v>
      </c>
      <c r="E359" s="6">
        <f>[1]Hybrid!D59</f>
        <v>0.13758660010000001</v>
      </c>
      <c r="F359" s="6">
        <f>[1]Hybrid!E59</f>
        <v>0.13898552189999999</v>
      </c>
      <c r="G359" s="6">
        <f>[1]Hybrid!F59</f>
        <v>0.13989960309999999</v>
      </c>
      <c r="H359" s="6">
        <f>[1]Hybrid!G59</f>
        <v>0.1402313868</v>
      </c>
      <c r="I359" s="6">
        <f>[1]Hybrid!H59</f>
        <v>0.1399402169</v>
      </c>
      <c r="J359" s="6">
        <f>[1]Hybrid!I59</f>
        <v>0.1390411775</v>
      </c>
      <c r="K359" s="6">
        <f>[1]Hybrid!J59</f>
        <v>0.13757327359999999</v>
      </c>
      <c r="L359" s="6">
        <f>[1]Hybrid!K59</f>
        <v>0.1355862333</v>
      </c>
      <c r="M359" s="6">
        <f>[1]Hybrid!L59</f>
        <v>0.1331498522</v>
      </c>
      <c r="N359" s="6">
        <f>[1]Hybrid!M59</f>
        <v>0.13030401929999999</v>
      </c>
      <c r="O359" s="6">
        <f>[1]Hybrid!N59</f>
        <v>0.1271042517</v>
      </c>
      <c r="P359" s="6">
        <f>[1]Hybrid!O59</f>
        <v>0.12360774970000001</v>
      </c>
      <c r="Q359" s="6">
        <f>[1]Hybrid!P59</f>
        <v>0.1198679979</v>
      </c>
      <c r="R359" s="6">
        <f>[1]Hybrid!Q59</f>
        <v>0.1159355532</v>
      </c>
      <c r="S359" s="6">
        <f>[1]Hybrid!R59</f>
        <v>0.1118574631</v>
      </c>
      <c r="T359" s="6">
        <f>[1]Hybrid!S59</f>
        <v>0.1076768739</v>
      </c>
      <c r="U359" s="6">
        <f>[1]Hybrid!T59</f>
        <v>0.1034328281</v>
      </c>
      <c r="V359" s="6">
        <f>[1]Hybrid!U59</f>
        <v>9.9160216999999995E-2</v>
      </c>
      <c r="W359" s="6">
        <f>[1]Hybrid!V59</f>
        <v>9.4886864700000004E-2</v>
      </c>
      <c r="X359" s="6">
        <f>[1]Hybrid!W59</f>
        <v>9.0643477599999994E-2</v>
      </c>
      <c r="Y359" s="6">
        <f>[1]Hybrid!X59</f>
        <v>8.6453545199999995E-2</v>
      </c>
      <c r="Z359" s="6">
        <f>[1]Hybrid!Y59</f>
        <v>8.2336385999999998E-2</v>
      </c>
      <c r="AA359" s="6">
        <f>[1]Hybrid!Z59</f>
        <v>7.8308376700000001E-2</v>
      </c>
      <c r="AB359" s="6">
        <f>[1]Hybrid!AA59</f>
        <v>7.4378877800000007E-2</v>
      </c>
      <c r="AC359" s="6">
        <f>[1]Hybrid!AB59</f>
        <v>7.0562366200000004E-2</v>
      </c>
      <c r="AD359" s="6">
        <f>[1]Hybrid!AC59</f>
        <v>6.6868469900000005E-2</v>
      </c>
      <c r="AE359" s="6">
        <f>[1]Hybrid!AD59</f>
        <v>6.3303855899999997E-2</v>
      </c>
      <c r="AF359" s="6">
        <f>[1]Hybrid!AE59</f>
        <v>5.9873369199999998E-2</v>
      </c>
      <c r="AG359" s="6">
        <f>[1]Hybrid!AF59</f>
        <v>5.65800755E-2</v>
      </c>
      <c r="AH359" s="6">
        <f>[1]Hybrid!AG59</f>
        <v>5.3425514899999998E-2</v>
      </c>
      <c r="AI359" s="6">
        <f>[1]Hybrid!AH59</f>
        <v>5.0409942499999999E-2</v>
      </c>
      <c r="AJ359" s="6">
        <f>[1]Hybrid!AI59</f>
        <v>4.7532543500000003E-2</v>
      </c>
      <c r="AK359" s="6">
        <f>[1]Hybrid!AJ59</f>
        <v>4.4791619400000003E-2</v>
      </c>
      <c r="AL359" s="6">
        <f>[1]Hybrid!AK59</f>
        <v>4.2184746299999999E-2</v>
      </c>
      <c r="AM359" s="6">
        <f>[1]Hybrid!AL59</f>
        <v>3.9708765299999997E-2</v>
      </c>
      <c r="AN359" s="6">
        <f>[1]Hybrid!AM59</f>
        <v>3.7360261200000001E-2</v>
      </c>
      <c r="AO359" s="6">
        <f>[1]Hybrid!AN59</f>
        <v>3.5135441099999998E-2</v>
      </c>
      <c r="AP359" s="6">
        <f>[1]Hybrid!AO59</f>
        <v>3.3030184999999997E-2</v>
      </c>
      <c r="AQ359" s="6">
        <f>[1]Hybrid!AP59</f>
        <v>3.10401381E-2</v>
      </c>
      <c r="AR359" s="6">
        <f>[1]Hybrid!AQ59</f>
        <v>2.91607794E-2</v>
      </c>
      <c r="AS359" s="6">
        <f>[1]Hybrid!AR59</f>
        <v>2.73874819E-2</v>
      </c>
      <c r="AT359" s="6">
        <f>[1]Hybrid!AS59</f>
        <v>2.5715567200000001E-2</v>
      </c>
      <c r="AU359" s="6">
        <f>[1]Hybrid!AT59</f>
        <v>2.4140352100000002E-2</v>
      </c>
      <c r="AV359" s="6">
        <f>[1]Hybrid!AU59</f>
        <v>2.2657187299999999E-2</v>
      </c>
      <c r="AW359" s="6">
        <f>[1]Hybrid!AV59</f>
        <v>2.12614928E-2</v>
      </c>
      <c r="AX359" s="6">
        <f>[1]Hybrid!AW59</f>
        <v>1.99487803E-2</v>
      </c>
      <c r="AY359" s="6">
        <f>[1]Hybrid!AX59</f>
        <v>1.87146771E-2</v>
      </c>
      <c r="AZ359" s="6">
        <f>[1]Hybrid!AY59</f>
        <v>1.75549438E-2</v>
      </c>
      <c r="BA359" s="6">
        <f>[1]Hybrid!AZ59</f>
        <v>1.6465486800000002E-2</v>
      </c>
      <c r="BB359" s="6">
        <f>[1]Hybrid!BA59</f>
        <v>1.6384401199999999E-2</v>
      </c>
      <c r="BC359" s="6">
        <f>[1]Hybrid!BB59</f>
        <v>1.53693497E-2</v>
      </c>
      <c r="BD359" s="6">
        <f>[1]Hybrid!BC59</f>
        <v>1.44158467E-2</v>
      </c>
      <c r="BE359" s="6">
        <f>[1]Hybrid!BD59</f>
        <v>1.35204174E-2</v>
      </c>
      <c r="BF359" s="6">
        <f>[1]Hybrid!BE59</f>
        <v>1.26797366E-2</v>
      </c>
    </row>
    <row r="361" spans="1:58" x14ac:dyDescent="0.35">
      <c r="A361" s="12" t="s">
        <v>90</v>
      </c>
      <c r="B361" t="s">
        <v>56</v>
      </c>
      <c r="C361" s="2">
        <v>42005</v>
      </c>
      <c r="D361" s="2">
        <v>42370</v>
      </c>
      <c r="E361" s="2">
        <v>42736</v>
      </c>
      <c r="F361" s="2">
        <v>43101</v>
      </c>
      <c r="G361" s="2">
        <v>43466</v>
      </c>
      <c r="H361" s="2">
        <v>43831</v>
      </c>
      <c r="I361" s="2">
        <v>44197</v>
      </c>
      <c r="J361" s="2">
        <v>44562</v>
      </c>
      <c r="K361" s="2">
        <v>44927</v>
      </c>
      <c r="L361" s="2">
        <v>45292</v>
      </c>
      <c r="M361" s="2">
        <v>45658</v>
      </c>
      <c r="N361" s="2">
        <v>46023</v>
      </c>
      <c r="O361" s="2">
        <v>46388</v>
      </c>
      <c r="P361" s="2">
        <v>46753</v>
      </c>
      <c r="Q361" s="2">
        <v>47119</v>
      </c>
      <c r="R361" s="2">
        <v>47484</v>
      </c>
      <c r="S361" s="2">
        <v>47849</v>
      </c>
      <c r="T361" s="2">
        <v>48214</v>
      </c>
      <c r="U361" s="2">
        <v>48580</v>
      </c>
      <c r="V361" s="2">
        <v>48945</v>
      </c>
      <c r="W361" s="2">
        <v>49310</v>
      </c>
      <c r="X361" s="2">
        <v>49675</v>
      </c>
      <c r="Y361" s="2">
        <v>50041</v>
      </c>
      <c r="Z361" s="2">
        <v>50406</v>
      </c>
      <c r="AA361" s="2">
        <v>50771</v>
      </c>
      <c r="AB361" s="2">
        <v>51136</v>
      </c>
      <c r="AC361" s="2">
        <v>51502</v>
      </c>
      <c r="AD361" s="2">
        <v>51867</v>
      </c>
      <c r="AE361" s="2">
        <v>52232</v>
      </c>
      <c r="AF361" s="2">
        <v>52597</v>
      </c>
      <c r="AG361" s="2">
        <v>52963</v>
      </c>
      <c r="AH361" s="2">
        <v>53328</v>
      </c>
      <c r="AI361" s="2">
        <v>53693</v>
      </c>
      <c r="AJ361" s="2">
        <v>54058</v>
      </c>
      <c r="AK361" s="2">
        <v>54424</v>
      </c>
      <c r="AL361" s="2">
        <v>54789</v>
      </c>
      <c r="AM361" s="2">
        <v>54790</v>
      </c>
      <c r="AN361" s="2">
        <v>54791</v>
      </c>
      <c r="AO361" s="2">
        <v>54792</v>
      </c>
      <c r="AP361" s="2">
        <v>54793</v>
      </c>
      <c r="AQ361" s="2">
        <v>54794</v>
      </c>
      <c r="AR361" s="2">
        <v>54795</v>
      </c>
      <c r="AS361" s="2">
        <v>54796</v>
      </c>
      <c r="AT361" s="2">
        <v>54797</v>
      </c>
      <c r="AU361" s="2">
        <v>54798</v>
      </c>
      <c r="AV361" s="2">
        <v>54799</v>
      </c>
      <c r="AW361" s="2">
        <v>54800</v>
      </c>
      <c r="AX361" s="2">
        <v>54801</v>
      </c>
      <c r="AY361" s="2">
        <v>54802</v>
      </c>
      <c r="AZ361" s="2">
        <v>54803</v>
      </c>
      <c r="BA361" s="2">
        <v>54804</v>
      </c>
      <c r="BB361" s="2">
        <v>54805</v>
      </c>
      <c r="BC361" s="2">
        <v>54806</v>
      </c>
      <c r="BD361" s="2">
        <v>54807</v>
      </c>
      <c r="BE361" s="2">
        <v>54808</v>
      </c>
      <c r="BF361" s="2">
        <v>54809</v>
      </c>
    </row>
    <row r="362" spans="1:58" x14ac:dyDescent="0.35">
      <c r="A362" t="s">
        <v>38</v>
      </c>
      <c r="B362" t="s">
        <v>96</v>
      </c>
      <c r="C362" s="6">
        <f>C339+C346+C353</f>
        <v>7105.9689965623002</v>
      </c>
      <c r="D362" s="6">
        <f t="shared" ref="D362:AL362" si="207">D339+D346+D353</f>
        <v>7160.6966369087004</v>
      </c>
      <c r="E362" s="6">
        <f t="shared" si="207"/>
        <v>7267.4841833884002</v>
      </c>
      <c r="F362" s="6">
        <f t="shared" si="207"/>
        <v>7410.2813526046002</v>
      </c>
      <c r="G362" s="6">
        <f t="shared" si="207"/>
        <v>7578.1525086376996</v>
      </c>
      <c r="H362" s="6">
        <f t="shared" si="207"/>
        <v>7764.2130730793997</v>
      </c>
      <c r="I362" s="6">
        <f t="shared" si="207"/>
        <v>7962.9068510739999</v>
      </c>
      <c r="J362" s="6">
        <f t="shared" si="207"/>
        <v>8171.4029995235005</v>
      </c>
      <c r="K362" s="6">
        <f t="shared" si="207"/>
        <v>8387.7709897607001</v>
      </c>
      <c r="L362" s="6">
        <f t="shared" si="207"/>
        <v>8610.5427097086995</v>
      </c>
      <c r="M362" s="6">
        <f t="shared" si="207"/>
        <v>8840.7156392060006</v>
      </c>
      <c r="N362" s="6">
        <f t="shared" si="207"/>
        <v>9075.0293107078996</v>
      </c>
      <c r="O362" s="6">
        <f t="shared" si="207"/>
        <v>9312.6092692721995</v>
      </c>
      <c r="P362" s="6">
        <f t="shared" si="207"/>
        <v>9552.7645614508001</v>
      </c>
      <c r="Q362" s="6">
        <f t="shared" si="207"/>
        <v>9794.6965871886005</v>
      </c>
      <c r="R362" s="6">
        <f t="shared" si="207"/>
        <v>10037.7222997931</v>
      </c>
      <c r="S362" s="6">
        <f t="shared" si="207"/>
        <v>10281.256810245201</v>
      </c>
      <c r="T362" s="6">
        <f t="shared" si="207"/>
        <v>10524.8068728093</v>
      </c>
      <c r="U362" s="6">
        <f t="shared" si="207"/>
        <v>10767.971165411001</v>
      </c>
      <c r="V362" s="6">
        <f t="shared" si="207"/>
        <v>11010.442207301601</v>
      </c>
      <c r="W362" s="6">
        <f t="shared" si="207"/>
        <v>11250.294424895001</v>
      </c>
      <c r="X362" s="6">
        <f t="shared" si="207"/>
        <v>11489.274305575</v>
      </c>
      <c r="Y362" s="6">
        <f t="shared" si="207"/>
        <v>11727.352875964001</v>
      </c>
      <c r="Z362" s="6">
        <f t="shared" si="207"/>
        <v>11964.483934134001</v>
      </c>
      <c r="AA362" s="6">
        <f t="shared" si="207"/>
        <v>12200.816273417</v>
      </c>
      <c r="AB362" s="6">
        <f t="shared" si="207"/>
        <v>12431.48825995</v>
      </c>
      <c r="AC362" s="6">
        <f t="shared" si="207"/>
        <v>12659.815443850001</v>
      </c>
      <c r="AD362" s="6">
        <f t="shared" si="207"/>
        <v>12886.232391916001</v>
      </c>
      <c r="AE362" s="6">
        <f t="shared" si="207"/>
        <v>13110.950034661999</v>
      </c>
      <c r="AF362" s="6">
        <f t="shared" si="207"/>
        <v>13334.451521356001</v>
      </c>
      <c r="AG362" s="6">
        <f t="shared" si="207"/>
        <v>13557.186662444999</v>
      </c>
      <c r="AH362" s="6">
        <f t="shared" si="207"/>
        <v>13779.574617545</v>
      </c>
      <c r="AI362" s="6">
        <f t="shared" si="207"/>
        <v>14002.013471023001</v>
      </c>
      <c r="AJ362" s="6">
        <f t="shared" si="207"/>
        <v>14224.886873144</v>
      </c>
      <c r="AK362" s="6">
        <f t="shared" si="207"/>
        <v>14448.565817627999</v>
      </c>
      <c r="AL362" s="6">
        <f t="shared" si="207"/>
        <v>14673.406459573</v>
      </c>
      <c r="AM362" s="6">
        <f t="shared" ref="AM362:BC362" si="208">AM339+AM346+AM353</f>
        <v>14898.503985662999</v>
      </c>
      <c r="AN362" s="6">
        <f t="shared" si="208"/>
        <v>15124.284821404999</v>
      </c>
      <c r="AO362" s="6">
        <f t="shared" si="208"/>
        <v>15351.147773848001</v>
      </c>
      <c r="AP362" s="6">
        <f t="shared" si="208"/>
        <v>15579.407568564</v>
      </c>
      <c r="AQ362" s="6">
        <f t="shared" si="208"/>
        <v>15809.379313605001</v>
      </c>
      <c r="AR362" s="6">
        <f t="shared" si="208"/>
        <v>16041.355838049001</v>
      </c>
      <c r="AS362" s="6">
        <f t="shared" si="208"/>
        <v>16275.599764838998</v>
      </c>
      <c r="AT362" s="6">
        <f t="shared" si="208"/>
        <v>16512.345232625998</v>
      </c>
      <c r="AU362" s="6">
        <f t="shared" si="208"/>
        <v>16751.803802874998</v>
      </c>
      <c r="AV362" s="6">
        <f t="shared" si="208"/>
        <v>16994.170858718</v>
      </c>
      <c r="AW362" s="6">
        <f t="shared" si="208"/>
        <v>17239.744697071998</v>
      </c>
      <c r="AX362" s="6">
        <f t="shared" si="208"/>
        <v>17488.690163833999</v>
      </c>
      <c r="AY362" s="6">
        <f t="shared" si="208"/>
        <v>17741.165429985002</v>
      </c>
      <c r="AZ362" s="6">
        <f t="shared" si="208"/>
        <v>17997.326376623001</v>
      </c>
      <c r="BA362" s="6">
        <f t="shared" si="208"/>
        <v>18257.318774586998</v>
      </c>
      <c r="BB362" s="6">
        <f t="shared" si="208"/>
        <v>18138.462713126002</v>
      </c>
      <c r="BC362" s="6">
        <f t="shared" si="208"/>
        <v>18399.003174058998</v>
      </c>
      <c r="BD362" s="6">
        <f t="shared" ref="BD362:BF362" si="209">BD339+BD346+BD353</f>
        <v>18662.39411841</v>
      </c>
      <c r="BE362" s="6">
        <f t="shared" si="209"/>
        <v>18928.757421561997</v>
      </c>
      <c r="BF362" s="6">
        <f t="shared" si="209"/>
        <v>19198.222028710999</v>
      </c>
    </row>
    <row r="363" spans="1:58" x14ac:dyDescent="0.35">
      <c r="B363" t="s">
        <v>97</v>
      </c>
      <c r="C363" s="6">
        <f t="shared" ref="C363:AL363" si="210">C340+C347+C354</f>
        <v>8263.1971436354015</v>
      </c>
      <c r="D363" s="6">
        <f t="shared" si="210"/>
        <v>8203.0100412847987</v>
      </c>
      <c r="E363" s="6">
        <f t="shared" si="210"/>
        <v>8200.3842621906988</v>
      </c>
      <c r="F363" s="6">
        <f t="shared" si="210"/>
        <v>8238.9543910702996</v>
      </c>
      <c r="G363" s="6">
        <f t="shared" si="210"/>
        <v>8307.4140099169999</v>
      </c>
      <c r="H363" s="6">
        <f t="shared" si="210"/>
        <v>8398.4528985172001</v>
      </c>
      <c r="I363" s="6">
        <f t="shared" si="210"/>
        <v>8506.1273908617004</v>
      </c>
      <c r="J363" s="6">
        <f t="shared" si="210"/>
        <v>8627.1631399436992</v>
      </c>
      <c r="K363" s="6">
        <f t="shared" si="210"/>
        <v>8759.2049467197012</v>
      </c>
      <c r="L363" s="6">
        <f t="shared" si="210"/>
        <v>8900.3851451786995</v>
      </c>
      <c r="M363" s="6">
        <f t="shared" si="210"/>
        <v>9051.192263425799</v>
      </c>
      <c r="N363" s="6">
        <f t="shared" si="210"/>
        <v>9208.1573533923001</v>
      </c>
      <c r="O363" s="6">
        <f t="shared" si="210"/>
        <v>9370.0835639200996</v>
      </c>
      <c r="P363" s="6">
        <f t="shared" si="210"/>
        <v>9535.9916514011984</v>
      </c>
      <c r="Q363" s="6">
        <f t="shared" si="210"/>
        <v>9704.8326273799976</v>
      </c>
      <c r="R363" s="6">
        <f t="shared" si="210"/>
        <v>9875.6943603841992</v>
      </c>
      <c r="S363" s="6">
        <f t="shared" si="210"/>
        <v>10047.782648645602</v>
      </c>
      <c r="T363" s="6">
        <f t="shared" si="210"/>
        <v>10220.412026733698</v>
      </c>
      <c r="U363" s="6">
        <f t="shared" si="210"/>
        <v>10393.002681267299</v>
      </c>
      <c r="V363" s="6">
        <f t="shared" si="210"/>
        <v>10565.0789630454</v>
      </c>
      <c r="W363" s="6">
        <f t="shared" si="210"/>
        <v>10734.718767873301</v>
      </c>
      <c r="X363" s="6">
        <f t="shared" si="210"/>
        <v>10903.342328425701</v>
      </c>
      <c r="Y363" s="6">
        <f t="shared" si="210"/>
        <v>11070.774211733</v>
      </c>
      <c r="Z363" s="6">
        <f t="shared" si="210"/>
        <v>11236.821698888001</v>
      </c>
      <c r="AA363" s="6">
        <f t="shared" si="210"/>
        <v>11401.474748974</v>
      </c>
      <c r="AB363" s="6">
        <f t="shared" si="210"/>
        <v>11560.289246801</v>
      </c>
      <c r="AC363" s="6">
        <f t="shared" si="210"/>
        <v>11716.107848563001</v>
      </c>
      <c r="AD363" s="6">
        <f t="shared" si="210"/>
        <v>11869.231858779</v>
      </c>
      <c r="AE363" s="6">
        <f t="shared" si="210"/>
        <v>12019.746994395002</v>
      </c>
      <c r="AF363" s="6">
        <f t="shared" si="210"/>
        <v>12167.979196433002</v>
      </c>
      <c r="AG363" s="6">
        <f t="shared" si="210"/>
        <v>12314.222586963</v>
      </c>
      <c r="AH363" s="6">
        <f t="shared" si="210"/>
        <v>12458.740302277</v>
      </c>
      <c r="AI363" s="6">
        <f t="shared" si="210"/>
        <v>12601.772206017</v>
      </c>
      <c r="AJ363" s="6">
        <f t="shared" si="210"/>
        <v>12743.540642666001</v>
      </c>
      <c r="AK363" s="6">
        <f t="shared" si="210"/>
        <v>12884.252303018999</v>
      </c>
      <c r="AL363" s="6">
        <f t="shared" si="210"/>
        <v>13024.096992290999</v>
      </c>
      <c r="AM363" s="6">
        <f t="shared" ref="AM363:BC363" si="211">AM340+AM347+AM354</f>
        <v>13162.199144097</v>
      </c>
      <c r="AN363" s="6">
        <f t="shared" si="211"/>
        <v>13298.815064640999</v>
      </c>
      <c r="AO363" s="6">
        <f t="shared" si="211"/>
        <v>13434.181919301</v>
      </c>
      <c r="AP363" s="6">
        <f t="shared" si="211"/>
        <v>13568.46253402</v>
      </c>
      <c r="AQ363" s="6">
        <f t="shared" si="211"/>
        <v>13701.817261434</v>
      </c>
      <c r="AR363" s="6">
        <f t="shared" si="211"/>
        <v>13834.385000319002</v>
      </c>
      <c r="AS363" s="6">
        <f t="shared" si="211"/>
        <v>13966.276294421001</v>
      </c>
      <c r="AT363" s="6">
        <f t="shared" si="211"/>
        <v>14097.574442143001</v>
      </c>
      <c r="AU363" s="6">
        <f t="shared" si="211"/>
        <v>14228.340255651001</v>
      </c>
      <c r="AV363" s="6">
        <f t="shared" si="211"/>
        <v>14358.617302526998</v>
      </c>
      <c r="AW363" s="6">
        <f t="shared" si="211"/>
        <v>14488.526775447999</v>
      </c>
      <c r="AX363" s="6">
        <f t="shared" si="211"/>
        <v>14618.07846049</v>
      </c>
      <c r="AY363" s="6">
        <f t="shared" si="211"/>
        <v>14747.272616466002</v>
      </c>
      <c r="AZ363" s="6">
        <f t="shared" si="211"/>
        <v>14876.104612858</v>
      </c>
      <c r="BA363" s="6">
        <f t="shared" si="211"/>
        <v>15004.558910666001</v>
      </c>
      <c r="BB363" s="6">
        <f t="shared" si="211"/>
        <v>14996.21756279</v>
      </c>
      <c r="BC363" s="6">
        <f t="shared" si="211"/>
        <v>15129.646392897999</v>
      </c>
      <c r="BD363" s="6">
        <f t="shared" ref="BD363:BF363" si="212">BD340+BD347+BD354</f>
        <v>15262.201480284999</v>
      </c>
      <c r="BE363" s="6">
        <f t="shared" si="212"/>
        <v>15393.885615662</v>
      </c>
      <c r="BF363" s="6">
        <f t="shared" si="212"/>
        <v>15524.704529986</v>
      </c>
    </row>
    <row r="364" spans="1:58" x14ac:dyDescent="0.35">
      <c r="B364" t="s">
        <v>98</v>
      </c>
      <c r="C364" s="6">
        <f t="shared" ref="C364:AL364" si="213">C341+C348+C355</f>
        <v>6787.4105911386005</v>
      </c>
      <c r="D364" s="6">
        <f t="shared" si="213"/>
        <v>6662.2649886253002</v>
      </c>
      <c r="E364" s="6">
        <f t="shared" si="213"/>
        <v>6582.6437779908001</v>
      </c>
      <c r="F364" s="6">
        <f t="shared" si="213"/>
        <v>6536.5310821284002</v>
      </c>
      <c r="G364" s="6">
        <f t="shared" si="213"/>
        <v>6515.5196567694002</v>
      </c>
      <c r="H364" s="6">
        <f t="shared" si="213"/>
        <v>6514.0456901000007</v>
      </c>
      <c r="I364" s="6">
        <f t="shared" si="213"/>
        <v>6527.5571200494996</v>
      </c>
      <c r="J364" s="6">
        <f t="shared" si="213"/>
        <v>6553.3887507097998</v>
      </c>
      <c r="K364" s="6">
        <f t="shared" si="213"/>
        <v>6589.5517277525996</v>
      </c>
      <c r="L364" s="6">
        <f t="shared" si="213"/>
        <v>6634.4270115092004</v>
      </c>
      <c r="M364" s="6">
        <f t="shared" si="213"/>
        <v>6688.0221577623997</v>
      </c>
      <c r="N364" s="6">
        <f t="shared" si="213"/>
        <v>6747.6954638056995</v>
      </c>
      <c r="O364" s="6">
        <f t="shared" si="213"/>
        <v>6812.3681621183996</v>
      </c>
      <c r="P364" s="6">
        <f t="shared" si="213"/>
        <v>6881.1418339182001</v>
      </c>
      <c r="Q364" s="6">
        <f t="shared" si="213"/>
        <v>6953.094382554299</v>
      </c>
      <c r="R364" s="6">
        <f t="shared" si="213"/>
        <v>7027.4177031880008</v>
      </c>
      <c r="S364" s="6">
        <f t="shared" si="213"/>
        <v>7103.4029417103002</v>
      </c>
      <c r="T364" s="6">
        <f t="shared" si="213"/>
        <v>7180.4320262821993</v>
      </c>
      <c r="U364" s="6">
        <f t="shared" si="213"/>
        <v>7257.9732452634998</v>
      </c>
      <c r="V364" s="6">
        <f t="shared" si="213"/>
        <v>7335.5779421824009</v>
      </c>
      <c r="W364" s="6">
        <f t="shared" si="213"/>
        <v>7411.8670444270992</v>
      </c>
      <c r="X364" s="6">
        <f t="shared" si="213"/>
        <v>7487.6583288104994</v>
      </c>
      <c r="Y364" s="6">
        <f t="shared" si="213"/>
        <v>7562.7369630516996</v>
      </c>
      <c r="Z364" s="6">
        <f t="shared" si="213"/>
        <v>7636.8778820342004</v>
      </c>
      <c r="AA364" s="6">
        <f t="shared" si="213"/>
        <v>7709.9813633536005</v>
      </c>
      <c r="AB364" s="6">
        <f t="shared" si="213"/>
        <v>7779.1181346721996</v>
      </c>
      <c r="AC364" s="6">
        <f t="shared" si="213"/>
        <v>7846.0461702153998</v>
      </c>
      <c r="AD364" s="6">
        <f t="shared" si="213"/>
        <v>7910.9071507299004</v>
      </c>
      <c r="AE364" s="6">
        <f t="shared" si="213"/>
        <v>7973.6957825205</v>
      </c>
      <c r="AF364" s="6">
        <f t="shared" si="213"/>
        <v>8034.5615393655999</v>
      </c>
      <c r="AG364" s="6">
        <f t="shared" si="213"/>
        <v>8093.6338844960001</v>
      </c>
      <c r="AH364" s="6">
        <f t="shared" si="213"/>
        <v>8151.0220052912991</v>
      </c>
      <c r="AI364" s="6">
        <f t="shared" si="213"/>
        <v>8206.8193486675009</v>
      </c>
      <c r="AJ364" s="6">
        <f t="shared" si="213"/>
        <v>8261.1073237003002</v>
      </c>
      <c r="AK364" s="6">
        <f t="shared" si="213"/>
        <v>8313.9568104803002</v>
      </c>
      <c r="AL364" s="6">
        <f t="shared" si="213"/>
        <v>8365.4278435760007</v>
      </c>
      <c r="AM364" s="6">
        <f t="shared" ref="AM364:BC364" si="214">AM341+AM348+AM355</f>
        <v>8414.9328163796999</v>
      </c>
      <c r="AN364" s="6">
        <f t="shared" si="214"/>
        <v>8462.5809969618003</v>
      </c>
      <c r="AO364" s="6">
        <f t="shared" si="214"/>
        <v>8508.4745759866</v>
      </c>
      <c r="AP364" s="6">
        <f t="shared" si="214"/>
        <v>8552.670568850499</v>
      </c>
      <c r="AQ364" s="6">
        <f t="shared" si="214"/>
        <v>8595.2249925570995</v>
      </c>
      <c r="AR364" s="6">
        <f t="shared" si="214"/>
        <v>8636.1814818779003</v>
      </c>
      <c r="AS364" s="6">
        <f t="shared" si="214"/>
        <v>8675.5669920402997</v>
      </c>
      <c r="AT364" s="6">
        <f t="shared" si="214"/>
        <v>8713.3924105113001</v>
      </c>
      <c r="AU364" s="6">
        <f t="shared" si="214"/>
        <v>8749.6554021491993</v>
      </c>
      <c r="AV364" s="6">
        <f t="shared" si="214"/>
        <v>8784.3436150521011</v>
      </c>
      <c r="AW364" s="6">
        <f t="shared" si="214"/>
        <v>8817.4894452602002</v>
      </c>
      <c r="AX364" s="6">
        <f t="shared" si="214"/>
        <v>8849.0608776908011</v>
      </c>
      <c r="AY364" s="6">
        <f t="shared" si="214"/>
        <v>8879.0208056758001</v>
      </c>
      <c r="AZ364" s="6">
        <f t="shared" si="214"/>
        <v>8907.3304249885005</v>
      </c>
      <c r="BA364" s="6">
        <f t="shared" si="214"/>
        <v>8933.9460189719011</v>
      </c>
      <c r="BB364" s="6">
        <f t="shared" si="214"/>
        <v>8978.4153069089007</v>
      </c>
      <c r="BC364" s="6">
        <f t="shared" si="214"/>
        <v>9010.4894394087005</v>
      </c>
      <c r="BD364" s="6">
        <f t="shared" ref="BD364:BF364" si="215">BD341+BD348+BD355</f>
        <v>9040.7197932090003</v>
      </c>
      <c r="BE364" s="6">
        <f t="shared" si="215"/>
        <v>9069.0906969020998</v>
      </c>
      <c r="BF364" s="6">
        <f t="shared" si="215"/>
        <v>9095.5887483972001</v>
      </c>
    </row>
    <row r="365" spans="1:58" x14ac:dyDescent="0.35">
      <c r="B365" t="s">
        <v>99</v>
      </c>
      <c r="C365" s="6">
        <f t="shared" ref="C365:AL365" si="216">C342+C349+C356</f>
        <v>4165.6835237371006</v>
      </c>
      <c r="D365" s="6">
        <f t="shared" si="216"/>
        <v>4063.7600164022001</v>
      </c>
      <c r="E365" s="6">
        <f t="shared" si="216"/>
        <v>3987.5316842862003</v>
      </c>
      <c r="F365" s="6">
        <f t="shared" si="216"/>
        <v>3929.7055728091</v>
      </c>
      <c r="G365" s="6">
        <f t="shared" si="216"/>
        <v>3885.1911363613999</v>
      </c>
      <c r="H365" s="6">
        <f t="shared" si="216"/>
        <v>3850.6042755344997</v>
      </c>
      <c r="I365" s="6">
        <f t="shared" si="216"/>
        <v>3823.2251669348998</v>
      </c>
      <c r="J365" s="6">
        <f t="shared" si="216"/>
        <v>3801.4188462215998</v>
      </c>
      <c r="K365" s="6">
        <f t="shared" si="216"/>
        <v>3783.9691471826</v>
      </c>
      <c r="L365" s="6">
        <f t="shared" si="216"/>
        <v>3769.8931211941999</v>
      </c>
      <c r="M365" s="6">
        <f t="shared" si="216"/>
        <v>3759.0530571702002</v>
      </c>
      <c r="N365" s="6">
        <f t="shared" si="216"/>
        <v>3750.0163158787</v>
      </c>
      <c r="O365" s="6">
        <f t="shared" si="216"/>
        <v>3742.1533875319997</v>
      </c>
      <c r="P365" s="6">
        <f t="shared" si="216"/>
        <v>3734.9663627118998</v>
      </c>
      <c r="Q365" s="6">
        <f t="shared" si="216"/>
        <v>3727.9674468478001</v>
      </c>
      <c r="R365" s="6">
        <f t="shared" si="216"/>
        <v>3720.7447959244996</v>
      </c>
      <c r="S365" s="6">
        <f t="shared" si="216"/>
        <v>3712.9525787145999</v>
      </c>
      <c r="T365" s="6">
        <f t="shared" si="216"/>
        <v>3704.3035201532002</v>
      </c>
      <c r="U365" s="6">
        <f t="shared" si="216"/>
        <v>3694.5632983943001</v>
      </c>
      <c r="V365" s="6">
        <f t="shared" si="216"/>
        <v>3683.5456499500001</v>
      </c>
      <c r="W365" s="6">
        <f t="shared" si="216"/>
        <v>3670.6813031187999</v>
      </c>
      <c r="X365" s="6">
        <f t="shared" si="216"/>
        <v>3656.3470805719999</v>
      </c>
      <c r="Y365" s="6">
        <f t="shared" si="216"/>
        <v>3640.4861283882001</v>
      </c>
      <c r="Z365" s="6">
        <f t="shared" si="216"/>
        <v>3623.0279227939</v>
      </c>
      <c r="AA365" s="6">
        <f t="shared" si="216"/>
        <v>3603.9565421281</v>
      </c>
      <c r="AB365" s="6">
        <f t="shared" si="216"/>
        <v>3582.1661016836001</v>
      </c>
      <c r="AC365" s="6">
        <f t="shared" si="216"/>
        <v>3558.4002728415999</v>
      </c>
      <c r="AD365" s="6">
        <f t="shared" si="216"/>
        <v>3532.7856969249001</v>
      </c>
      <c r="AE365" s="6">
        <f t="shared" si="216"/>
        <v>3505.3694525279002</v>
      </c>
      <c r="AF365" s="6">
        <f t="shared" si="216"/>
        <v>3476.2542828152996</v>
      </c>
      <c r="AG365" s="6">
        <f t="shared" si="216"/>
        <v>3445.5307864720999</v>
      </c>
      <c r="AH365" s="6">
        <f t="shared" si="216"/>
        <v>3413.2769249472999</v>
      </c>
      <c r="AI365" s="6">
        <f t="shared" si="216"/>
        <v>3379.5601438839999</v>
      </c>
      <c r="AJ365" s="6">
        <f t="shared" si="216"/>
        <v>3344.4397114305002</v>
      </c>
      <c r="AK365" s="6">
        <f t="shared" si="216"/>
        <v>3307.9685346700999</v>
      </c>
      <c r="AL365" s="6">
        <f t="shared" si="216"/>
        <v>3270.1944065746002</v>
      </c>
      <c r="AM365" s="6">
        <f t="shared" ref="AM365:BC365" si="217">AM342+AM349+AM356</f>
        <v>3230.9664190894</v>
      </c>
      <c r="AN365" s="6">
        <f t="shared" si="217"/>
        <v>3190.3589229258</v>
      </c>
      <c r="AO365" s="6">
        <f t="shared" si="217"/>
        <v>3148.4496700638001</v>
      </c>
      <c r="AP365" s="6">
        <f t="shared" si="217"/>
        <v>3105.3019912934001</v>
      </c>
      <c r="AQ365" s="6">
        <f t="shared" si="217"/>
        <v>3060.9792172679004</v>
      </c>
      <c r="AR365" s="6">
        <f t="shared" si="217"/>
        <v>3015.5414880891003</v>
      </c>
      <c r="AS365" s="6">
        <f t="shared" si="217"/>
        <v>2969.0445537835003</v>
      </c>
      <c r="AT365" s="6">
        <f t="shared" si="217"/>
        <v>2921.5400426486999</v>
      </c>
      <c r="AU365" s="6">
        <f t="shared" si="217"/>
        <v>2873.0764592306004</v>
      </c>
      <c r="AV365" s="6">
        <f t="shared" si="217"/>
        <v>2823.7003488660998</v>
      </c>
      <c r="AW365" s="6">
        <f t="shared" si="217"/>
        <v>2773.4695827966998</v>
      </c>
      <c r="AX365" s="6">
        <f t="shared" si="217"/>
        <v>2722.4272113515999</v>
      </c>
      <c r="AY365" s="6">
        <f t="shared" si="217"/>
        <v>2670.6163408252996</v>
      </c>
      <c r="AZ365" s="6">
        <f t="shared" si="217"/>
        <v>2618.0816736345</v>
      </c>
      <c r="BA365" s="6">
        <f t="shared" si="217"/>
        <v>2564.8688965855004</v>
      </c>
      <c r="BB365" s="6">
        <f t="shared" si="217"/>
        <v>2632.3136523445</v>
      </c>
      <c r="BC365" s="6">
        <f t="shared" si="217"/>
        <v>2583.2256786819003</v>
      </c>
      <c r="BD365" s="6">
        <f t="shared" ref="BD365:BF365" si="218">BD342+BD349+BD356</f>
        <v>2533.5150676578</v>
      </c>
      <c r="BE365" s="6">
        <f t="shared" si="218"/>
        <v>2483.2349519214999</v>
      </c>
      <c r="BF365" s="6">
        <f t="shared" si="218"/>
        <v>2432.4389197482001</v>
      </c>
    </row>
    <row r="366" spans="1:58" x14ac:dyDescent="0.35">
      <c r="B366" t="s">
        <v>100</v>
      </c>
      <c r="C366" s="6">
        <f t="shared" ref="C366:AL366" si="219">C343+C350+C357</f>
        <v>2507.3524895615005</v>
      </c>
      <c r="D366" s="6">
        <f t="shared" si="219"/>
        <v>2448.3052783134003</v>
      </c>
      <c r="E366" s="6">
        <f t="shared" si="219"/>
        <v>2403.6547314961999</v>
      </c>
      <c r="F366" s="6">
        <f t="shared" si="219"/>
        <v>2368.7228742733</v>
      </c>
      <c r="G366" s="6">
        <f t="shared" si="219"/>
        <v>2340.2956021785003</v>
      </c>
      <c r="H366" s="6">
        <f t="shared" si="219"/>
        <v>2316.2762527998998</v>
      </c>
      <c r="I366" s="6">
        <f t="shared" si="219"/>
        <v>2295.0282221123998</v>
      </c>
      <c r="J366" s="6">
        <f t="shared" si="219"/>
        <v>2275.598370616</v>
      </c>
      <c r="K366" s="6">
        <f t="shared" si="219"/>
        <v>2257.3090133833998</v>
      </c>
      <c r="L366" s="6">
        <f t="shared" si="219"/>
        <v>2239.6355618581001</v>
      </c>
      <c r="M366" s="6">
        <f t="shared" si="219"/>
        <v>2222.5405641839998</v>
      </c>
      <c r="N366" s="6">
        <f t="shared" si="219"/>
        <v>2205.2722309469996</v>
      </c>
      <c r="O366" s="6">
        <f t="shared" si="219"/>
        <v>2187.5366630644003</v>
      </c>
      <c r="P366" s="6">
        <f t="shared" si="219"/>
        <v>2169.1298735814999</v>
      </c>
      <c r="Q366" s="6">
        <f t="shared" si="219"/>
        <v>2149.8600882696996</v>
      </c>
      <c r="R366" s="6">
        <f t="shared" si="219"/>
        <v>2129.5828214426001</v>
      </c>
      <c r="S366" s="6">
        <f t="shared" si="219"/>
        <v>2108.193823053</v>
      </c>
      <c r="T366" s="6">
        <f t="shared" si="219"/>
        <v>2085.6232371847996</v>
      </c>
      <c r="U366" s="6">
        <f t="shared" si="219"/>
        <v>2061.8308538524002</v>
      </c>
      <c r="V366" s="6">
        <f t="shared" si="219"/>
        <v>2036.8019549774001</v>
      </c>
      <c r="W366" s="6">
        <f t="shared" si="219"/>
        <v>2010.3382911121003</v>
      </c>
      <c r="X366" s="6">
        <f t="shared" si="219"/>
        <v>1982.7014913037999</v>
      </c>
      <c r="Y366" s="6">
        <f t="shared" si="219"/>
        <v>1953.941568451</v>
      </c>
      <c r="Z366" s="6">
        <f t="shared" si="219"/>
        <v>1924.0949162909001</v>
      </c>
      <c r="AA366" s="6">
        <f t="shared" si="219"/>
        <v>1893.2218197504999</v>
      </c>
      <c r="AB366" s="6">
        <f t="shared" si="219"/>
        <v>1860.8967764771999</v>
      </c>
      <c r="AC366" s="6">
        <f t="shared" si="219"/>
        <v>1827.5284756484998</v>
      </c>
      <c r="AD366" s="6">
        <f t="shared" si="219"/>
        <v>1793.2501971395</v>
      </c>
      <c r="AE366" s="6">
        <f t="shared" si="219"/>
        <v>1758.1480862551</v>
      </c>
      <c r="AF366" s="6">
        <f t="shared" si="219"/>
        <v>1722.3284110618999</v>
      </c>
      <c r="AG366" s="6">
        <f t="shared" si="219"/>
        <v>1685.8876958412</v>
      </c>
      <c r="AH366" s="6">
        <f t="shared" si="219"/>
        <v>1648.9127135673</v>
      </c>
      <c r="AI366" s="6">
        <f t="shared" si="219"/>
        <v>1611.481872393</v>
      </c>
      <c r="AJ366" s="6">
        <f t="shared" si="219"/>
        <v>1573.6668284648001</v>
      </c>
      <c r="AK366" s="6">
        <f t="shared" si="219"/>
        <v>1535.5338904431001</v>
      </c>
      <c r="AL366" s="6">
        <f t="shared" si="219"/>
        <v>1497.1451358197</v>
      </c>
      <c r="AM366" s="6">
        <f t="shared" ref="AM366:BC366" si="220">AM343+AM350+AM357</f>
        <v>1458.4892238185</v>
      </c>
      <c r="AN366" s="6">
        <f t="shared" si="220"/>
        <v>1419.6381250325999</v>
      </c>
      <c r="AO366" s="6">
        <f t="shared" si="220"/>
        <v>1380.6647150181</v>
      </c>
      <c r="AP366" s="6">
        <f t="shared" si="220"/>
        <v>1341.6344184578002</v>
      </c>
      <c r="AQ366" s="6">
        <f t="shared" si="220"/>
        <v>1302.6106463322999</v>
      </c>
      <c r="AR366" s="6">
        <f t="shared" si="220"/>
        <v>1263.6537130744002</v>
      </c>
      <c r="AS366" s="6">
        <f t="shared" si="220"/>
        <v>1224.8204239491997</v>
      </c>
      <c r="AT366" s="6">
        <f t="shared" si="220"/>
        <v>1186.1641923457</v>
      </c>
      <c r="AU366" s="6">
        <f t="shared" si="220"/>
        <v>1147.7354228318</v>
      </c>
      <c r="AV366" s="6">
        <f t="shared" si="220"/>
        <v>1109.5819546846999</v>
      </c>
      <c r="AW366" s="6">
        <f t="shared" si="220"/>
        <v>1071.7529444275001</v>
      </c>
      <c r="AX366" s="6">
        <f t="shared" si="220"/>
        <v>1034.2912789551001</v>
      </c>
      <c r="AY366" s="6">
        <f t="shared" si="220"/>
        <v>997.23802456299995</v>
      </c>
      <c r="AZ366" s="6">
        <f t="shared" si="220"/>
        <v>960.63298617780003</v>
      </c>
      <c r="BA366" s="6">
        <f t="shared" si="220"/>
        <v>924.51448487300001</v>
      </c>
      <c r="BB366" s="6">
        <f t="shared" si="220"/>
        <v>959.84461077679998</v>
      </c>
      <c r="BC366" s="6">
        <f t="shared" si="220"/>
        <v>925.75718298660013</v>
      </c>
      <c r="BD366" s="6">
        <f t="shared" ref="BD366:BF366" si="221">BD343+BD350+BD357</f>
        <v>892.1314733685</v>
      </c>
      <c r="BE366" s="6">
        <f t="shared" si="221"/>
        <v>859.00109408270009</v>
      </c>
      <c r="BF366" s="6">
        <f t="shared" si="221"/>
        <v>826.39766396770005</v>
      </c>
    </row>
    <row r="367" spans="1:58" x14ac:dyDescent="0.35">
      <c r="B367" t="s">
        <v>101</v>
      </c>
      <c r="C367" s="6">
        <f t="shared" ref="C367:AL367" si="222">C344+C351+C358</f>
        <v>1245.466605953</v>
      </c>
      <c r="D367" s="6">
        <f t="shared" si="222"/>
        <v>1213.2639470725001</v>
      </c>
      <c r="E367" s="6">
        <f t="shared" si="222"/>
        <v>1186.4489195890999</v>
      </c>
      <c r="F367" s="6">
        <f t="shared" si="222"/>
        <v>1162.4617970855002</v>
      </c>
      <c r="G367" s="6">
        <f t="shared" si="222"/>
        <v>1139.6632623086</v>
      </c>
      <c r="H367" s="6">
        <f t="shared" si="222"/>
        <v>1117.0853941073001</v>
      </c>
      <c r="I367" s="6">
        <f t="shared" si="222"/>
        <v>1094.0765828613003</v>
      </c>
      <c r="J367" s="6">
        <f t="shared" si="222"/>
        <v>1070.3460294553001</v>
      </c>
      <c r="K367" s="6">
        <f t="shared" si="222"/>
        <v>1045.7628296447999</v>
      </c>
      <c r="L367" s="6">
        <f t="shared" si="222"/>
        <v>1020.2816572312</v>
      </c>
      <c r="M367" s="6">
        <f t="shared" si="222"/>
        <v>994.04243174560008</v>
      </c>
      <c r="N367" s="6">
        <f t="shared" si="222"/>
        <v>966.94772587649993</v>
      </c>
      <c r="O367" s="6">
        <f t="shared" si="222"/>
        <v>939.06314347480009</v>
      </c>
      <c r="P367" s="6">
        <f t="shared" si="222"/>
        <v>910.49485104330006</v>
      </c>
      <c r="Q367" s="6">
        <f t="shared" si="222"/>
        <v>881.35071155280002</v>
      </c>
      <c r="R367" s="6">
        <f t="shared" si="222"/>
        <v>851.74897304349986</v>
      </c>
      <c r="S367" s="6">
        <f t="shared" si="222"/>
        <v>821.8133550414999</v>
      </c>
      <c r="T367" s="6">
        <f t="shared" si="222"/>
        <v>791.6689232399001</v>
      </c>
      <c r="U367" s="6">
        <f t="shared" si="222"/>
        <v>761.43885565630001</v>
      </c>
      <c r="V367" s="6">
        <f t="shared" si="222"/>
        <v>731.24197943290005</v>
      </c>
      <c r="W367" s="6">
        <f t="shared" si="222"/>
        <v>701.14960313819995</v>
      </c>
      <c r="X367" s="6">
        <f t="shared" si="222"/>
        <v>671.31783242250003</v>
      </c>
      <c r="Y367" s="6">
        <f t="shared" si="222"/>
        <v>641.84716970240004</v>
      </c>
      <c r="Z367" s="6">
        <f t="shared" si="222"/>
        <v>612.82120761819999</v>
      </c>
      <c r="AA367" s="6">
        <f t="shared" si="222"/>
        <v>584.31770896670002</v>
      </c>
      <c r="AB367" s="6">
        <f t="shared" si="222"/>
        <v>556.33144710379997</v>
      </c>
      <c r="AC367" s="6">
        <f t="shared" si="222"/>
        <v>528.98141106000003</v>
      </c>
      <c r="AD367" s="6">
        <f t="shared" si="222"/>
        <v>502.33509237380002</v>
      </c>
      <c r="AE367" s="6">
        <f t="shared" si="222"/>
        <v>476.43975203649995</v>
      </c>
      <c r="AF367" s="6">
        <f t="shared" si="222"/>
        <v>451.33663799569996</v>
      </c>
      <c r="AG367" s="6">
        <f t="shared" si="222"/>
        <v>427.05750450150003</v>
      </c>
      <c r="AH367" s="6">
        <f t="shared" si="222"/>
        <v>403.62552155169999</v>
      </c>
      <c r="AI367" s="6">
        <f t="shared" si="222"/>
        <v>381.05639064630003</v>
      </c>
      <c r="AJ367" s="6">
        <f t="shared" si="222"/>
        <v>359.35942385609997</v>
      </c>
      <c r="AK367" s="6">
        <f t="shared" si="222"/>
        <v>338.53849167020007</v>
      </c>
      <c r="AL367" s="6">
        <f t="shared" si="222"/>
        <v>318.59281319489997</v>
      </c>
      <c r="AM367" s="6">
        <f t="shared" ref="AM367:BC367" si="223">AM344+AM351+AM358</f>
        <v>299.51261103070004</v>
      </c>
      <c r="AN367" s="6">
        <f t="shared" si="223"/>
        <v>281.29161452149998</v>
      </c>
      <c r="AO367" s="6">
        <f t="shared" si="223"/>
        <v>263.92070187729996</v>
      </c>
      <c r="AP367" s="6">
        <f t="shared" si="223"/>
        <v>247.3872306655</v>
      </c>
      <c r="AQ367" s="6">
        <f t="shared" si="223"/>
        <v>231.6758179192</v>
      </c>
      <c r="AR367" s="6">
        <f t="shared" si="223"/>
        <v>216.76861078949997</v>
      </c>
      <c r="AS367" s="6">
        <f t="shared" si="223"/>
        <v>202.6455874431</v>
      </c>
      <c r="AT367" s="6">
        <f t="shared" si="223"/>
        <v>189.2848793288</v>
      </c>
      <c r="AU367" s="6">
        <f t="shared" si="223"/>
        <v>176.66309192349999</v>
      </c>
      <c r="AV367" s="6">
        <f t="shared" si="223"/>
        <v>164.7556084087</v>
      </c>
      <c r="AW367" s="6">
        <f t="shared" si="223"/>
        <v>153.53697256250001</v>
      </c>
      <c r="AX367" s="6">
        <f t="shared" si="223"/>
        <v>142.98087488980002</v>
      </c>
      <c r="AY367" s="6">
        <f t="shared" si="223"/>
        <v>133.06052810560001</v>
      </c>
      <c r="AZ367" s="6">
        <f t="shared" si="223"/>
        <v>123.74888517900001</v>
      </c>
      <c r="BA367" s="6">
        <f t="shared" si="223"/>
        <v>115.0188030019</v>
      </c>
      <c r="BB367" s="6">
        <f t="shared" si="223"/>
        <v>117.8300919396</v>
      </c>
      <c r="BC367" s="6">
        <f t="shared" si="223"/>
        <v>109.6390523845</v>
      </c>
      <c r="BD367" s="6">
        <f t="shared" ref="BD367:BF367" si="224">BD344+BD351+BD358</f>
        <v>101.95772671810001</v>
      </c>
      <c r="BE367" s="6">
        <f t="shared" si="224"/>
        <v>94.761996233000005</v>
      </c>
      <c r="BF367" s="6">
        <f t="shared" si="224"/>
        <v>88.028007127199999</v>
      </c>
    </row>
    <row r="368" spans="1:58" x14ac:dyDescent="0.35">
      <c r="B368" t="s">
        <v>102</v>
      </c>
      <c r="C368" s="6">
        <f t="shared" ref="C368:AL368" si="225">C345+C352+C359</f>
        <v>2242.8616504070001</v>
      </c>
      <c r="D368" s="6">
        <f t="shared" si="225"/>
        <v>2188.0587180631001</v>
      </c>
      <c r="E368" s="6">
        <f t="shared" si="225"/>
        <v>2140.0529550510996</v>
      </c>
      <c r="F368" s="6">
        <f t="shared" si="225"/>
        <v>2093.8248479679</v>
      </c>
      <c r="G368" s="6">
        <f t="shared" si="225"/>
        <v>2046.4547657281</v>
      </c>
      <c r="H368" s="6">
        <f t="shared" si="225"/>
        <v>1996.4937014118</v>
      </c>
      <c r="I368" s="6">
        <f t="shared" si="225"/>
        <v>1943.2140862568999</v>
      </c>
      <c r="J368" s="6">
        <f t="shared" si="225"/>
        <v>1886.5838367595002</v>
      </c>
      <c r="K368" s="6">
        <f t="shared" si="225"/>
        <v>1826.8720844736001</v>
      </c>
      <c r="L368" s="6">
        <f t="shared" si="225"/>
        <v>1764.4852684523</v>
      </c>
      <c r="M368" s="6">
        <f t="shared" si="225"/>
        <v>1700.0768585791998</v>
      </c>
      <c r="N368" s="6">
        <f t="shared" si="225"/>
        <v>1633.9428664072998</v>
      </c>
      <c r="O368" s="6">
        <f t="shared" si="225"/>
        <v>1566.5741767417001</v>
      </c>
      <c r="P368" s="6">
        <f t="shared" si="225"/>
        <v>1498.4856647397</v>
      </c>
      <c r="Q368" s="6">
        <f t="shared" si="225"/>
        <v>1430.1507262978998</v>
      </c>
      <c r="R368" s="6">
        <f t="shared" si="225"/>
        <v>1362.0111814331999</v>
      </c>
      <c r="S368" s="6">
        <f t="shared" si="225"/>
        <v>1294.4705188030998</v>
      </c>
      <c r="T368" s="6">
        <f t="shared" si="225"/>
        <v>1227.8895275839</v>
      </c>
      <c r="U368" s="6">
        <f t="shared" si="225"/>
        <v>1162.5842377361</v>
      </c>
      <c r="V368" s="6">
        <f t="shared" si="225"/>
        <v>1098.8257285269999</v>
      </c>
      <c r="W368" s="6">
        <f t="shared" si="225"/>
        <v>1036.8054655546998</v>
      </c>
      <c r="X368" s="6">
        <f t="shared" si="225"/>
        <v>976.75568836360003</v>
      </c>
      <c r="Y368" s="6">
        <f t="shared" si="225"/>
        <v>918.82708215620005</v>
      </c>
      <c r="Z368" s="6">
        <f t="shared" si="225"/>
        <v>863.12626514699991</v>
      </c>
      <c r="AA368" s="6">
        <f t="shared" si="225"/>
        <v>809.73083719469992</v>
      </c>
      <c r="AB368" s="6">
        <f t="shared" si="225"/>
        <v>758.6404643418</v>
      </c>
      <c r="AC368" s="6">
        <f t="shared" si="225"/>
        <v>709.92341064519997</v>
      </c>
      <c r="AD368" s="6">
        <f t="shared" si="225"/>
        <v>663.59534200389999</v>
      </c>
      <c r="AE368" s="6">
        <f t="shared" si="225"/>
        <v>619.64242966490008</v>
      </c>
      <c r="AF368" s="6">
        <f t="shared" si="225"/>
        <v>578.03510141219999</v>
      </c>
      <c r="AG368" s="6">
        <f t="shared" si="225"/>
        <v>538.72840065450009</v>
      </c>
      <c r="AH368" s="6">
        <f t="shared" si="225"/>
        <v>501.66488484390004</v>
      </c>
      <c r="AI368" s="6">
        <f t="shared" si="225"/>
        <v>466.77733817049995</v>
      </c>
      <c r="AJ368" s="6">
        <f t="shared" si="225"/>
        <v>433.99114477049994</v>
      </c>
      <c r="AK368" s="6">
        <f t="shared" si="225"/>
        <v>403.22629129039996</v>
      </c>
      <c r="AL368" s="6">
        <f t="shared" si="225"/>
        <v>374.39902266629997</v>
      </c>
      <c r="AM368" s="6">
        <f t="shared" ref="AM368:BC368" si="226">AM345+AM352+AM359</f>
        <v>347.42146764630002</v>
      </c>
      <c r="AN368" s="6">
        <f t="shared" si="226"/>
        <v>322.2071542612</v>
      </c>
      <c r="AO368" s="6">
        <f t="shared" si="226"/>
        <v>298.66924706309999</v>
      </c>
      <c r="AP368" s="6">
        <f t="shared" si="226"/>
        <v>276.72090055999996</v>
      </c>
      <c r="AQ368" s="6">
        <f t="shared" si="226"/>
        <v>256.27611706710002</v>
      </c>
      <c r="AR368" s="6">
        <f t="shared" si="226"/>
        <v>237.25032391739998</v>
      </c>
      <c r="AS368" s="6">
        <f t="shared" si="226"/>
        <v>219.56086876890001</v>
      </c>
      <c r="AT368" s="6">
        <f t="shared" si="226"/>
        <v>203.1274358082</v>
      </c>
      <c r="AU368" s="6">
        <f t="shared" si="226"/>
        <v>187.87238422910002</v>
      </c>
      <c r="AV368" s="6">
        <f t="shared" si="226"/>
        <v>173.72100907730001</v>
      </c>
      <c r="AW368" s="6">
        <f t="shared" si="226"/>
        <v>160.6017508578</v>
      </c>
      <c r="AX368" s="6">
        <f t="shared" si="226"/>
        <v>148.4462782343</v>
      </c>
      <c r="AY368" s="6">
        <f t="shared" si="226"/>
        <v>137.18959361010002</v>
      </c>
      <c r="AZ368" s="6">
        <f t="shared" si="226"/>
        <v>126.77006746779999</v>
      </c>
      <c r="BA368" s="6">
        <f t="shared" si="226"/>
        <v>117.1294277848</v>
      </c>
      <c r="BB368" s="6">
        <f t="shared" si="226"/>
        <v>116.02375436320001</v>
      </c>
      <c r="BC368" s="6">
        <f t="shared" si="226"/>
        <v>107.2268108997</v>
      </c>
      <c r="BD368" s="6">
        <f t="shared" ref="BD368:BF368" si="227">BD345+BD352+BD359</f>
        <v>99.086820019699999</v>
      </c>
      <c r="BE368" s="6">
        <f t="shared" si="227"/>
        <v>91.557308807399991</v>
      </c>
      <c r="BF368" s="6">
        <f t="shared" si="227"/>
        <v>84.594608375600004</v>
      </c>
    </row>
    <row r="370" spans="1:58" x14ac:dyDescent="0.35">
      <c r="A370" s="12" t="s">
        <v>91</v>
      </c>
      <c r="C370" s="2">
        <v>42005</v>
      </c>
      <c r="D370" s="2">
        <v>42370</v>
      </c>
      <c r="E370" s="2">
        <v>42736</v>
      </c>
      <c r="F370" s="2">
        <v>43101</v>
      </c>
      <c r="G370" s="2">
        <v>43466</v>
      </c>
      <c r="H370" s="2">
        <v>43831</v>
      </c>
      <c r="I370" s="2">
        <v>44197</v>
      </c>
      <c r="J370" s="2">
        <v>44562</v>
      </c>
      <c r="K370" s="2">
        <v>44927</v>
      </c>
      <c r="L370" s="2">
        <v>45292</v>
      </c>
      <c r="M370" s="2">
        <v>45658</v>
      </c>
      <c r="N370" s="2">
        <v>46023</v>
      </c>
      <c r="O370" s="2">
        <v>46388</v>
      </c>
      <c r="P370" s="2">
        <v>46753</v>
      </c>
      <c r="Q370" s="2">
        <v>47119</v>
      </c>
      <c r="R370" s="2">
        <v>47484</v>
      </c>
      <c r="S370" s="2">
        <v>47849</v>
      </c>
      <c r="T370" s="2">
        <v>48214</v>
      </c>
      <c r="U370" s="2">
        <v>48580</v>
      </c>
      <c r="V370" s="2">
        <v>48945</v>
      </c>
      <c r="W370" s="2">
        <v>49310</v>
      </c>
      <c r="X370" s="2">
        <v>49675</v>
      </c>
      <c r="Y370" s="2">
        <v>50041</v>
      </c>
      <c r="Z370" s="2">
        <v>50406</v>
      </c>
      <c r="AA370" s="2">
        <v>50771</v>
      </c>
      <c r="AB370" s="2">
        <v>51136</v>
      </c>
      <c r="AC370" s="2">
        <v>51502</v>
      </c>
      <c r="AD370" s="2">
        <v>51867</v>
      </c>
      <c r="AE370" s="2">
        <v>52232</v>
      </c>
      <c r="AF370" s="2">
        <v>52597</v>
      </c>
      <c r="AG370" s="2">
        <v>52963</v>
      </c>
      <c r="AH370" s="2">
        <v>53328</v>
      </c>
      <c r="AI370" s="2">
        <v>53693</v>
      </c>
      <c r="AJ370" s="2">
        <v>54058</v>
      </c>
      <c r="AK370" s="2">
        <v>54424</v>
      </c>
      <c r="AL370" s="2">
        <v>54789</v>
      </c>
      <c r="AM370" s="2">
        <v>54790</v>
      </c>
      <c r="AN370" s="2">
        <v>54791</v>
      </c>
      <c r="AO370" s="2">
        <v>54792</v>
      </c>
      <c r="AP370" s="2">
        <v>54793</v>
      </c>
      <c r="AQ370" s="2">
        <v>54794</v>
      </c>
      <c r="AR370" s="2">
        <v>54795</v>
      </c>
      <c r="AS370" s="2">
        <v>54796</v>
      </c>
      <c r="AT370" s="2">
        <v>54797</v>
      </c>
      <c r="AU370" s="2">
        <v>54798</v>
      </c>
      <c r="AV370" s="2">
        <v>54799</v>
      </c>
      <c r="AW370" s="2">
        <v>54800</v>
      </c>
      <c r="AX370" s="2">
        <v>54801</v>
      </c>
      <c r="AY370" s="2">
        <v>54802</v>
      </c>
      <c r="AZ370" s="2">
        <v>54803</v>
      </c>
      <c r="BA370" s="2">
        <v>54804</v>
      </c>
      <c r="BB370" s="2">
        <v>54805</v>
      </c>
      <c r="BC370" s="2">
        <v>54806</v>
      </c>
      <c r="BD370" s="2">
        <v>54807</v>
      </c>
      <c r="BE370" s="2">
        <v>54808</v>
      </c>
      <c r="BF370" s="2">
        <v>54809</v>
      </c>
    </row>
    <row r="371" spans="1:58" x14ac:dyDescent="0.35">
      <c r="A371" t="s">
        <v>39</v>
      </c>
      <c r="B371" t="s">
        <v>57</v>
      </c>
      <c r="C371" s="6">
        <f>[1]Results!F104</f>
        <v>3.476542051</v>
      </c>
      <c r="D371" s="6">
        <f>[1]Results!G104</f>
        <v>6.2681680880000004</v>
      </c>
      <c r="E371" s="6">
        <f>[1]Results!H104</f>
        <v>9.2806592709999993</v>
      </c>
      <c r="F371" s="6">
        <f>[1]Results!I104</f>
        <v>12.25316582</v>
      </c>
      <c r="G371" s="6">
        <f>[1]Results!J104</f>
        <v>15.0159995</v>
      </c>
      <c r="H371" s="6">
        <f>[1]Results!K104</f>
        <v>17.498123240000002</v>
      </c>
      <c r="I371" s="6">
        <f>[1]Results!L104</f>
        <v>19.673925180000001</v>
      </c>
      <c r="J371" s="6">
        <f>[1]Results!M104</f>
        <v>21.600766180000001</v>
      </c>
      <c r="K371" s="6">
        <f>[1]Results!N104</f>
        <v>23.328704009999999</v>
      </c>
      <c r="L371" s="6">
        <f>[1]Results!O104</f>
        <v>24.907364690000001</v>
      </c>
      <c r="M371" s="6">
        <f>[1]Results!P104</f>
        <v>26.42358286</v>
      </c>
      <c r="N371" s="6">
        <f>[1]Results!Q104</f>
        <v>27.83808135</v>
      </c>
      <c r="O371" s="6">
        <f>[1]Results!R104</f>
        <v>29.21661186</v>
      </c>
      <c r="P371" s="6">
        <f>[1]Results!S104</f>
        <v>30.59006011</v>
      </c>
      <c r="Q371" s="6">
        <f>[1]Results!T104</f>
        <v>31.978152940000001</v>
      </c>
      <c r="R371" s="6">
        <f>[1]Results!U104</f>
        <v>33.392030599999998</v>
      </c>
      <c r="S371" s="6">
        <f>[1]Results!V104</f>
        <v>34.835538270000001</v>
      </c>
      <c r="T371" s="6">
        <f>[1]Results!W104</f>
        <v>36.306546249999997</v>
      </c>
      <c r="U371" s="6">
        <f>[1]Results!X104</f>
        <v>37.801797020000002</v>
      </c>
      <c r="V371" s="6">
        <f>[1]Results!Y104</f>
        <v>39.315817969999998</v>
      </c>
      <c r="W371" s="6">
        <f>[1]Results!Z104</f>
        <v>40.815262079999997</v>
      </c>
      <c r="X371" s="6">
        <f>[1]Results!AA104</f>
        <v>42.34589896</v>
      </c>
      <c r="Y371" s="6">
        <f>[1]Results!AB104</f>
        <v>43.87788639</v>
      </c>
      <c r="Z371" s="6">
        <f>[1]Results!AC104</f>
        <v>45.40300706</v>
      </c>
      <c r="AA371" s="6">
        <f>[1]Results!AD104</f>
        <v>46.915159760000002</v>
      </c>
      <c r="AB371" s="6">
        <f>[1]Results!AE104</f>
        <v>48.336923040000002</v>
      </c>
      <c r="AC371" s="6">
        <f>[1]Results!AF104</f>
        <v>49.775006580000003</v>
      </c>
      <c r="AD371" s="6">
        <f>[1]Results!AG104</f>
        <v>51.19718237</v>
      </c>
      <c r="AE371" s="6">
        <f>[1]Results!AH104</f>
        <v>52.600241959999998</v>
      </c>
      <c r="AF371" s="6">
        <f>[1]Results!AI104</f>
        <v>53.982705129999999</v>
      </c>
      <c r="AG371" s="6">
        <f>[1]Results!AJ104</f>
        <v>55.34355558</v>
      </c>
      <c r="AH371" s="6">
        <f>[1]Results!AK104</f>
        <v>56.681925079999999</v>
      </c>
      <c r="AI371" s="6">
        <f>[1]Results!AL104</f>
        <v>57.997188780000002</v>
      </c>
      <c r="AJ371" s="6">
        <f>[1]Results!AM104</f>
        <v>59.288477630000003</v>
      </c>
      <c r="AK371" s="6">
        <f>[1]Results!AN104</f>
        <v>60.555311709999998</v>
      </c>
      <c r="AL371" s="6">
        <f>[1]Results!AO104</f>
        <v>61.797732259999997</v>
      </c>
      <c r="AM371" s="6">
        <f>[1]Results!AP104</f>
        <v>63.001817629999998</v>
      </c>
      <c r="AN371" s="6">
        <f>[1]Results!AQ104</f>
        <v>64.186582729999998</v>
      </c>
      <c r="AO371" s="6">
        <f>[1]Results!AR104</f>
        <v>65.353628279999995</v>
      </c>
      <c r="AP371" s="6">
        <f>[1]Results!AS104</f>
        <v>66.504085000000003</v>
      </c>
      <c r="AQ371" s="6">
        <f>[1]Results!AT104</f>
        <v>67.63941122</v>
      </c>
      <c r="AR371" s="6">
        <f>[1]Results!AU104</f>
        <v>68.761345300000002</v>
      </c>
      <c r="AS371" s="6">
        <f>[1]Results!AV104</f>
        <v>69.871721539999996</v>
      </c>
      <c r="AT371" s="6">
        <f>[1]Results!AW104</f>
        <v>70.971477480000004</v>
      </c>
      <c r="AU371" s="6">
        <f>[1]Results!AX104</f>
        <v>72.061292660000007</v>
      </c>
      <c r="AV371" s="6">
        <f>[1]Results!AY104</f>
        <v>73.141715700000006</v>
      </c>
      <c r="AW371" s="6">
        <f>[1]Results!AZ104</f>
        <v>74.214938040000007</v>
      </c>
      <c r="AX371" s="6">
        <f>[1]Results!BA104</f>
        <v>75.281421199999997</v>
      </c>
      <c r="AY371" s="6">
        <f>[1]Results!BB104</f>
        <v>76.409360329999998</v>
      </c>
      <c r="AZ371" s="6">
        <f>[1]Results!BC104</f>
        <v>79.182834729999996</v>
      </c>
      <c r="BA371" s="6">
        <f>[1]Results!BD104</f>
        <v>79.595657259999996</v>
      </c>
      <c r="BB371" s="6">
        <f>[1]Results!BE104</f>
        <v>22.97561808</v>
      </c>
      <c r="BC371" s="6">
        <f>[1]Results!BF104</f>
        <v>23.049233709999999</v>
      </c>
      <c r="BD371" s="6">
        <f>[1]Results!BG104</f>
        <v>23.122476450000001</v>
      </c>
      <c r="BE371" s="6">
        <f>[1]Results!BH104</f>
        <v>23.195350779999998</v>
      </c>
      <c r="BF371" s="6">
        <f>[1]Results!BI104</f>
        <v>23.267860880000001</v>
      </c>
    </row>
    <row r="372" spans="1:58" x14ac:dyDescent="0.35">
      <c r="B372" t="s">
        <v>58</v>
      </c>
      <c r="C372" s="6">
        <f>[1]Results!F105</f>
        <v>68.80476281</v>
      </c>
      <c r="D372" s="6">
        <f>[1]Results!G105</f>
        <v>78.23714244</v>
      </c>
      <c r="E372" s="6">
        <f>[1]Results!H105</f>
        <v>88.355438559999996</v>
      </c>
      <c r="F372" s="6">
        <f>[1]Results!I105</f>
        <v>98.296244000000002</v>
      </c>
      <c r="G372" s="6">
        <f>[1]Results!J105</f>
        <v>107.9361974</v>
      </c>
      <c r="H372" s="6">
        <f>[1]Results!K105</f>
        <v>117.2650336</v>
      </c>
      <c r="I372" s="6">
        <f>[1]Results!L105</f>
        <v>125.7165495</v>
      </c>
      <c r="J372" s="6">
        <f>[1]Results!M105</f>
        <v>133.99232499999999</v>
      </c>
      <c r="K372" s="6">
        <f>[1]Results!N105</f>
        <v>142.17091389999999</v>
      </c>
      <c r="L372" s="6">
        <f>[1]Results!O105</f>
        <v>150.3074714</v>
      </c>
      <c r="M372" s="6">
        <f>[1]Results!P105</f>
        <v>159.4697285</v>
      </c>
      <c r="N372" s="6">
        <f>[1]Results!Q105</f>
        <v>167.5916671</v>
      </c>
      <c r="O372" s="6">
        <f>[1]Results!R105</f>
        <v>175.6958477</v>
      </c>
      <c r="P372" s="6">
        <f>[1]Results!S105</f>
        <v>183.76907360000001</v>
      </c>
      <c r="Q372" s="6">
        <f>[1]Results!T105</f>
        <v>191.79360650000001</v>
      </c>
      <c r="R372" s="6">
        <f>[1]Results!U105</f>
        <v>199.7546059</v>
      </c>
      <c r="S372" s="6">
        <f>[1]Results!V105</f>
        <v>207.64282800000001</v>
      </c>
      <c r="T372" s="6">
        <f>[1]Results!W105</f>
        <v>215.45366609999999</v>
      </c>
      <c r="U372" s="6">
        <f>[1]Results!X105</f>
        <v>223.1880424</v>
      </c>
      <c r="V372" s="6">
        <f>[1]Results!Y105</f>
        <v>230.84929339999999</v>
      </c>
      <c r="W372" s="6">
        <f>[1]Results!Z105</f>
        <v>237.75493420000001</v>
      </c>
      <c r="X372" s="6">
        <f>[1]Results!AA105</f>
        <v>245.2822334</v>
      </c>
      <c r="Y372" s="6">
        <f>[1]Results!AB105</f>
        <v>252.7536193</v>
      </c>
      <c r="Z372" s="6">
        <f>[1]Results!AC105</f>
        <v>260.17245860000003</v>
      </c>
      <c r="AA372" s="6">
        <f>[1]Results!AD105</f>
        <v>267.54325729999999</v>
      </c>
      <c r="AB372" s="6">
        <f>[1]Results!AE105</f>
        <v>272.99461789999998</v>
      </c>
      <c r="AC372" s="6">
        <f>[1]Results!AF105</f>
        <v>279.39459820000002</v>
      </c>
      <c r="AD372" s="6">
        <f>[1]Results!AG105</f>
        <v>285.7584938</v>
      </c>
      <c r="AE372" s="6">
        <f>[1]Results!AH105</f>
        <v>292.08694259999999</v>
      </c>
      <c r="AF372" s="6">
        <f>[1]Results!AI105</f>
        <v>298.38188930000001</v>
      </c>
      <c r="AG372" s="6">
        <f>[1]Results!AJ105</f>
        <v>304.64524030000001</v>
      </c>
      <c r="AH372" s="6">
        <f>[1]Results!AK105</f>
        <v>310.87852359999999</v>
      </c>
      <c r="AI372" s="6">
        <f>[1]Results!AL105</f>
        <v>317.08328749999998</v>
      </c>
      <c r="AJ372" s="6">
        <f>[1]Results!AM105</f>
        <v>323.26070299999998</v>
      </c>
      <c r="AK372" s="6">
        <f>[1]Results!AN105</f>
        <v>329.41200850000001</v>
      </c>
      <c r="AL372" s="6">
        <f>[1]Results!AO105</f>
        <v>335.53848770000002</v>
      </c>
      <c r="AM372" s="6">
        <f>[1]Results!AP105</f>
        <v>341.2402798</v>
      </c>
      <c r="AN372" s="6">
        <f>[1]Results!AQ105</f>
        <v>346.9185627</v>
      </c>
      <c r="AO372" s="6">
        <f>[1]Results!AR105</f>
        <v>352.57375860000002</v>
      </c>
      <c r="AP372" s="6">
        <f>[1]Results!AS105</f>
        <v>358.20590809999999</v>
      </c>
      <c r="AQ372" s="6">
        <f>[1]Results!AT105</f>
        <v>363.81513819999998</v>
      </c>
      <c r="AR372" s="6">
        <f>[1]Results!AU105</f>
        <v>369.40132670000003</v>
      </c>
      <c r="AS372" s="6">
        <f>[1]Results!AV105</f>
        <v>374.96451309999998</v>
      </c>
      <c r="AT372" s="6">
        <f>[1]Results!AW105</f>
        <v>380.504279</v>
      </c>
      <c r="AU372" s="6">
        <f>[1]Results!AX105</f>
        <v>386.02032050000003</v>
      </c>
      <c r="AV372" s="6">
        <f>[1]Results!AY105</f>
        <v>391.51249769999998</v>
      </c>
      <c r="AW372" s="6">
        <f>[1]Results!AZ105</f>
        <v>397.01246809999998</v>
      </c>
      <c r="AX372" s="6">
        <f>[1]Results!BA105</f>
        <v>402.48878839999998</v>
      </c>
      <c r="AY372" s="6">
        <f>[1]Results!BB105</f>
        <v>402.67445839999999</v>
      </c>
      <c r="AZ372" s="6">
        <f>[1]Results!BC105</f>
        <v>403.13294180000003</v>
      </c>
      <c r="BA372" s="6">
        <f>[1]Results!BD105</f>
        <v>403.20146970000002</v>
      </c>
      <c r="BB372" s="6">
        <f>[1]Results!BE105</f>
        <v>476.70896579999999</v>
      </c>
      <c r="BC372" s="6">
        <f>[1]Results!BF105</f>
        <v>481.95657119999998</v>
      </c>
      <c r="BD372" s="6">
        <f>[1]Results!BG105</f>
        <v>487.1573343</v>
      </c>
      <c r="BE372" s="6">
        <f>[1]Results!BH105</f>
        <v>492.3115464</v>
      </c>
      <c r="BF372" s="6">
        <f>[1]Results!BI105</f>
        <v>497.41941509999998</v>
      </c>
    </row>
    <row r="373" spans="1:58" x14ac:dyDescent="0.35">
      <c r="B373" t="s">
        <v>59</v>
      </c>
      <c r="C373" s="6">
        <f>[1]Results!F106</f>
        <v>408.28039699999999</v>
      </c>
      <c r="D373" s="6">
        <f>[1]Results!G106</f>
        <v>427.29661970000001</v>
      </c>
      <c r="E373" s="6">
        <f>[1]Results!H106</f>
        <v>448.064367</v>
      </c>
      <c r="F373" s="6">
        <f>[1]Results!I106</f>
        <v>468.4191644</v>
      </c>
      <c r="G373" s="6">
        <f>[1]Results!J106</f>
        <v>488.20136439999999</v>
      </c>
      <c r="H373" s="6">
        <f>[1]Results!K106</f>
        <v>507.44762109999999</v>
      </c>
      <c r="I373" s="6">
        <f>[1]Results!L106</f>
        <v>524.5447921</v>
      </c>
      <c r="J373" s="6">
        <f>[1]Results!M106</f>
        <v>541.39530379999997</v>
      </c>
      <c r="K373" s="6">
        <f>[1]Results!N106</f>
        <v>558.13791040000001</v>
      </c>
      <c r="L373" s="6">
        <f>[1]Results!O106</f>
        <v>574.86064069999998</v>
      </c>
      <c r="M373" s="6">
        <f>[1]Results!P106</f>
        <v>594.51558850000004</v>
      </c>
      <c r="N373" s="6">
        <f>[1]Results!Q106</f>
        <v>611.28198399999997</v>
      </c>
      <c r="O373" s="6">
        <f>[1]Results!R106</f>
        <v>628.03628679999997</v>
      </c>
      <c r="P373" s="6">
        <f>[1]Results!S106</f>
        <v>644.74590679999994</v>
      </c>
      <c r="Q373" s="6">
        <f>[1]Results!T106</f>
        <v>661.37657569999999</v>
      </c>
      <c r="R373" s="6">
        <f>[1]Results!U106</f>
        <v>677.90252610000005</v>
      </c>
      <c r="S373" s="6">
        <f>[1]Results!V106</f>
        <v>694.30991610000001</v>
      </c>
      <c r="T373" s="6">
        <f>[1]Results!W106</f>
        <v>710.59298190000004</v>
      </c>
      <c r="U373" s="6">
        <f>[1]Results!X106</f>
        <v>726.75446729999999</v>
      </c>
      <c r="V373" s="6">
        <f>[1]Results!Y106</f>
        <v>742.8010544</v>
      </c>
      <c r="W373" s="6">
        <f>[1]Results!Z106</f>
        <v>756.81221849999997</v>
      </c>
      <c r="X373" s="6">
        <f>[1]Results!AA106</f>
        <v>772.64881439999999</v>
      </c>
      <c r="Y373" s="6">
        <f>[1]Results!AB106</f>
        <v>788.39919980000002</v>
      </c>
      <c r="Z373" s="6">
        <f>[1]Results!AC106</f>
        <v>804.06943999999999</v>
      </c>
      <c r="AA373" s="6">
        <f>[1]Results!AD106</f>
        <v>819.66685340000004</v>
      </c>
      <c r="AB373" s="6">
        <f>[1]Results!AE106</f>
        <v>829.93235419999996</v>
      </c>
      <c r="AC373" s="6">
        <f>[1]Results!AF106</f>
        <v>842.91249119999998</v>
      </c>
      <c r="AD373" s="6">
        <f>[1]Results!AG106</f>
        <v>855.82974679999995</v>
      </c>
      <c r="AE373" s="6">
        <f>[1]Results!AH106</f>
        <v>868.68550500000003</v>
      </c>
      <c r="AF373" s="6">
        <f>[1]Results!AI106</f>
        <v>881.48286910000002</v>
      </c>
      <c r="AG373" s="6">
        <f>[1]Results!AJ106</f>
        <v>894.22507780000001</v>
      </c>
      <c r="AH373" s="6">
        <f>[1]Results!AK106</f>
        <v>906.91497730000003</v>
      </c>
      <c r="AI373" s="6">
        <f>[1]Results!AL106</f>
        <v>919.55588890000001</v>
      </c>
      <c r="AJ373" s="6">
        <f>[1]Results!AM106</f>
        <v>932.15081710000004</v>
      </c>
      <c r="AK373" s="6">
        <f>[1]Results!AN106</f>
        <v>944.70291210000005</v>
      </c>
      <c r="AL373" s="6">
        <f>[1]Results!AO106</f>
        <v>957.21536179999998</v>
      </c>
      <c r="AM373" s="6">
        <f>[1]Results!AP106</f>
        <v>968.56424330000004</v>
      </c>
      <c r="AN373" s="6">
        <f>[1]Results!AQ106</f>
        <v>979.87360460000002</v>
      </c>
      <c r="AO373" s="6">
        <f>[1]Results!AR106</f>
        <v>991.14546159999998</v>
      </c>
      <c r="AP373" s="6">
        <f>[1]Results!AS106</f>
        <v>1002.381117</v>
      </c>
      <c r="AQ373" s="6">
        <f>[1]Results!AT106</f>
        <v>1013.581656</v>
      </c>
      <c r="AR373" s="6">
        <f>[1]Results!AU106</f>
        <v>1024.747253</v>
      </c>
      <c r="AS373" s="6">
        <f>[1]Results!AV106</f>
        <v>1035.8785889999999</v>
      </c>
      <c r="AT373" s="6">
        <f>[1]Results!AW106</f>
        <v>1046.9757950000001</v>
      </c>
      <c r="AU373" s="6">
        <f>[1]Results!AX106</f>
        <v>1058.0391340000001</v>
      </c>
      <c r="AV373" s="6">
        <f>[1]Results!AY106</f>
        <v>1069.0690729999999</v>
      </c>
      <c r="AW373" s="6">
        <f>[1]Results!AZ106</f>
        <v>1080.1547479999999</v>
      </c>
      <c r="AX373" s="6">
        <f>[1]Results!BA106</f>
        <v>1091.2076259999999</v>
      </c>
      <c r="AY373" s="6">
        <f>[1]Results!BB106</f>
        <v>1091.412143</v>
      </c>
      <c r="AZ373" s="6">
        <f>[1]Results!BC106</f>
        <v>1091.915528</v>
      </c>
      <c r="BA373" s="6">
        <f>[1]Results!BD106</f>
        <v>1091.990587</v>
      </c>
      <c r="BB373" s="6">
        <f>[1]Results!BE106</f>
        <v>1081.1689630000001</v>
      </c>
      <c r="BC373" s="6">
        <f>[1]Results!BF106</f>
        <v>1090.184426</v>
      </c>
      <c r="BD373" s="6">
        <f>[1]Results!BG106</f>
        <v>1099.142771</v>
      </c>
      <c r="BE373" s="6">
        <f>[1]Results!BH106</f>
        <v>1108.044478</v>
      </c>
      <c r="BF373" s="6">
        <f>[1]Results!BI106</f>
        <v>1116.890073</v>
      </c>
    </row>
    <row r="374" spans="1:58" x14ac:dyDescent="0.35">
      <c r="B374" t="s">
        <v>60</v>
      </c>
      <c r="C374" s="6">
        <f>[1]Results!F107</f>
        <v>954.38155940000001</v>
      </c>
      <c r="D374" s="6">
        <f>[1]Results!G107</f>
        <v>947.61373990000004</v>
      </c>
      <c r="E374" s="6">
        <f>[1]Results!H107</f>
        <v>941.27935119999995</v>
      </c>
      <c r="F374" s="6">
        <f>[1]Results!I107</f>
        <v>935.14758819999997</v>
      </c>
      <c r="G374" s="6">
        <f>[1]Results!J107</f>
        <v>929.02736540000001</v>
      </c>
      <c r="H374" s="6">
        <f>[1]Results!K107</f>
        <v>922.8108479</v>
      </c>
      <c r="I374" s="6">
        <f>[1]Results!L107</f>
        <v>916.44573800000001</v>
      </c>
      <c r="J374" s="6">
        <f>[1]Results!M107</f>
        <v>909.90638090000004</v>
      </c>
      <c r="K374" s="6">
        <f>[1]Results!N107</f>
        <v>903.18511090000004</v>
      </c>
      <c r="L374" s="6">
        <f>[1]Results!O107</f>
        <v>896.29720759999998</v>
      </c>
      <c r="M374" s="6">
        <f>[1]Results!P107</f>
        <v>889.28184290000002</v>
      </c>
      <c r="N374" s="6">
        <f>[1]Results!Q107</f>
        <v>882.19861249999997</v>
      </c>
      <c r="O374" s="6">
        <f>[1]Results!R107</f>
        <v>875.1149739</v>
      </c>
      <c r="P374" s="6">
        <f>[1]Results!S107</f>
        <v>868.09760500000004</v>
      </c>
      <c r="Q374" s="6">
        <f>[1]Results!T107</f>
        <v>861.20666989999995</v>
      </c>
      <c r="R374" s="6">
        <f>[1]Results!U107</f>
        <v>854.4858428</v>
      </c>
      <c r="S374" s="6">
        <f>[1]Results!V107</f>
        <v>847.96024260000002</v>
      </c>
      <c r="T374" s="6">
        <f>[1]Results!W107</f>
        <v>841.63856810000004</v>
      </c>
      <c r="U374" s="6">
        <f>[1]Results!X107</f>
        <v>835.51600470000005</v>
      </c>
      <c r="V374" s="6">
        <f>[1]Results!Y107</f>
        <v>829.57922959999996</v>
      </c>
      <c r="W374" s="6">
        <f>[1]Results!Z107</f>
        <v>823.80981120000001</v>
      </c>
      <c r="X374" s="6">
        <f>[1]Results!AA107</f>
        <v>818.18676310000001</v>
      </c>
      <c r="Y374" s="6">
        <f>[1]Results!AB107</f>
        <v>812.68985710000004</v>
      </c>
      <c r="Z374" s="6">
        <f>[1]Results!AC107</f>
        <v>807.3005167</v>
      </c>
      <c r="AA374" s="6">
        <f>[1]Results!AD107</f>
        <v>802.00048730000003</v>
      </c>
      <c r="AB374" s="6">
        <f>[1]Results!AE107</f>
        <v>796.77383810000003</v>
      </c>
      <c r="AC374" s="6">
        <f>[1]Results!AF107</f>
        <v>791.60647359999996</v>
      </c>
      <c r="AD374" s="6">
        <f>[1]Results!AG107</f>
        <v>786.48868389999996</v>
      </c>
      <c r="AE374" s="6">
        <f>[1]Results!AH107</f>
        <v>781.41543539999998</v>
      </c>
      <c r="AF374" s="6">
        <f>[1]Results!AI107</f>
        <v>776.38107460000003</v>
      </c>
      <c r="AG374" s="6">
        <f>[1]Results!AJ107</f>
        <v>771.38073169999996</v>
      </c>
      <c r="AH374" s="6">
        <f>[1]Results!AK107</f>
        <v>766.41035460000001</v>
      </c>
      <c r="AI374" s="6">
        <f>[1]Results!AL107</f>
        <v>761.46640339999999</v>
      </c>
      <c r="AJ374" s="6">
        <f>[1]Results!AM107</f>
        <v>756.54607929999997</v>
      </c>
      <c r="AK374" s="6">
        <f>[1]Results!AN107</f>
        <v>751.64719409999998</v>
      </c>
      <c r="AL374" s="6">
        <f>[1]Results!AO107</f>
        <v>746.76831970000001</v>
      </c>
      <c r="AM374" s="6">
        <f>[1]Results!AP107</f>
        <v>741.90822290000006</v>
      </c>
      <c r="AN374" s="6">
        <f>[1]Results!AQ107</f>
        <v>737.06522700000005</v>
      </c>
      <c r="AO374" s="6">
        <f>[1]Results!AR107</f>
        <v>732.24052329999995</v>
      </c>
      <c r="AP374" s="6">
        <f>[1]Results!AS107</f>
        <v>727.43649930000004</v>
      </c>
      <c r="AQ374" s="6">
        <f>[1]Results!AT107</f>
        <v>722.65615460000004</v>
      </c>
      <c r="AR374" s="6">
        <f>[1]Results!AU107</f>
        <v>717.90280840000003</v>
      </c>
      <c r="AS374" s="6">
        <f>[1]Results!AV107</f>
        <v>713.1797067</v>
      </c>
      <c r="AT374" s="6">
        <f>[1]Results!AW107</f>
        <v>708.49009599999999</v>
      </c>
      <c r="AU374" s="6">
        <f>[1]Results!AX107</f>
        <v>703.83675359999995</v>
      </c>
      <c r="AV374" s="6">
        <f>[1]Results!AY107</f>
        <v>699.22199539999997</v>
      </c>
      <c r="AW374" s="6">
        <f>[1]Results!AZ107</f>
        <v>694.64738009999996</v>
      </c>
      <c r="AX374" s="6">
        <f>[1]Results!BA107</f>
        <v>690.11345610000001</v>
      </c>
      <c r="AY374" s="6">
        <f>[1]Results!BB107</f>
        <v>690.22243500000002</v>
      </c>
      <c r="AZ374" s="6">
        <f>[1]Results!BC107</f>
        <v>690.49123689999999</v>
      </c>
      <c r="BA374" s="6">
        <f>[1]Results!BD107</f>
        <v>690.53139080000005</v>
      </c>
      <c r="BB374" s="6">
        <f>[1]Results!BE107</f>
        <v>524.96822689999999</v>
      </c>
      <c r="BC374" s="6">
        <f>[1]Results!BF107</f>
        <v>519.65419159999999</v>
      </c>
      <c r="BD374" s="6">
        <f>[1]Results!BG107</f>
        <v>514.41976720000002</v>
      </c>
      <c r="BE374" s="6">
        <f>[1]Results!BH107</f>
        <v>509.26440919999999</v>
      </c>
      <c r="BF374" s="6">
        <f>[1]Results!BI107</f>
        <v>504.18760109999999</v>
      </c>
    </row>
    <row r="375" spans="1:58" x14ac:dyDescent="0.35">
      <c r="B375" t="s">
        <v>61</v>
      </c>
      <c r="C375" s="6">
        <f>[1]Results!F108</f>
        <v>878.79999729999997</v>
      </c>
      <c r="D375" s="6">
        <f>[1]Results!G108</f>
        <v>864.78652279999994</v>
      </c>
      <c r="E375" s="6">
        <f>[1]Results!H108</f>
        <v>850.19926399999997</v>
      </c>
      <c r="F375" s="6">
        <f>[1]Results!I108</f>
        <v>836.04674379999994</v>
      </c>
      <c r="G375" s="6">
        <f>[1]Results!J108</f>
        <v>822.94815080000001</v>
      </c>
      <c r="H375" s="6">
        <f>[1]Results!K108</f>
        <v>811.04557850000003</v>
      </c>
      <c r="I375" s="6">
        <f>[1]Results!L108</f>
        <v>800.19598029999997</v>
      </c>
      <c r="J375" s="6">
        <f>[1]Results!M108</f>
        <v>790.15527599999996</v>
      </c>
      <c r="K375" s="6">
        <f>[1]Results!N108</f>
        <v>780.67604470000003</v>
      </c>
      <c r="L375" s="6">
        <f>[1]Results!O108</f>
        <v>771.56251810000003</v>
      </c>
      <c r="M375" s="6">
        <f>[1]Results!P108</f>
        <v>762.67217860000005</v>
      </c>
      <c r="N375" s="6">
        <f>[1]Results!Q108</f>
        <v>753.90997249999998</v>
      </c>
      <c r="O375" s="6">
        <f>[1]Results!R108</f>
        <v>745.22830320000003</v>
      </c>
      <c r="P375" s="6">
        <f>[1]Results!S108</f>
        <v>736.5809974</v>
      </c>
      <c r="Q375" s="6">
        <f>[1]Results!T108</f>
        <v>727.94358020000004</v>
      </c>
      <c r="R375" s="6">
        <f>[1]Results!U108</f>
        <v>719.30359550000003</v>
      </c>
      <c r="S375" s="6">
        <f>[1]Results!V108</f>
        <v>710.65578919999996</v>
      </c>
      <c r="T375" s="6">
        <f>[1]Results!W108</f>
        <v>702.00330580000002</v>
      </c>
      <c r="U375" s="6">
        <f>[1]Results!X108</f>
        <v>693.34953370000005</v>
      </c>
      <c r="V375" s="6">
        <f>[1]Results!Y108</f>
        <v>684.70180449999998</v>
      </c>
      <c r="W375" s="6">
        <f>[1]Results!Z108</f>
        <v>676.07058949999998</v>
      </c>
      <c r="X375" s="6">
        <f>[1]Results!AA108</f>
        <v>667.46734119999996</v>
      </c>
      <c r="Y375" s="6">
        <f>[1]Results!AB108</f>
        <v>658.89652860000001</v>
      </c>
      <c r="Z375" s="6">
        <f>[1]Results!AC108</f>
        <v>650.37380429999996</v>
      </c>
      <c r="AA375" s="6">
        <f>[1]Results!AD108</f>
        <v>641.91042789999995</v>
      </c>
      <c r="AB375" s="6">
        <f>[1]Results!AE108</f>
        <v>633.51560099999995</v>
      </c>
      <c r="AC375" s="6">
        <f>[1]Results!AF108</f>
        <v>625.19588320000003</v>
      </c>
      <c r="AD375" s="6">
        <f>[1]Results!AG108</f>
        <v>616.93605400000001</v>
      </c>
      <c r="AE375" s="6">
        <f>[1]Results!AH108</f>
        <v>608.74189320000005</v>
      </c>
      <c r="AF375" s="6">
        <f>[1]Results!AI108</f>
        <v>600.61541539999996</v>
      </c>
      <c r="AG375" s="6">
        <f>[1]Results!AJ108</f>
        <v>592.55748770000002</v>
      </c>
      <c r="AH375" s="6">
        <f>[1]Results!AK108</f>
        <v>584.56885139999997</v>
      </c>
      <c r="AI375" s="6">
        <f>[1]Results!AL108</f>
        <v>576.64919259999999</v>
      </c>
      <c r="AJ375" s="6">
        <f>[1]Results!AM108</f>
        <v>568.79843059999996</v>
      </c>
      <c r="AK375" s="6">
        <f>[1]Results!AN108</f>
        <v>561.01536899999996</v>
      </c>
      <c r="AL375" s="6">
        <f>[1]Results!AO108</f>
        <v>553.29754500000001</v>
      </c>
      <c r="AM375" s="6">
        <f>[1]Results!AP108</f>
        <v>545.64443500000004</v>
      </c>
      <c r="AN375" s="6">
        <f>[1]Results!AQ108</f>
        <v>538.04833380000002</v>
      </c>
      <c r="AO375" s="6">
        <f>[1]Results!AR108</f>
        <v>530.50474559999998</v>
      </c>
      <c r="AP375" s="6">
        <f>[1]Results!AS108</f>
        <v>523.00944570000001</v>
      </c>
      <c r="AQ375" s="6">
        <f>[1]Results!AT108</f>
        <v>515.55741279999995</v>
      </c>
      <c r="AR375" s="6">
        <f>[1]Results!AU108</f>
        <v>508.14407940000001</v>
      </c>
      <c r="AS375" s="6">
        <f>[1]Results!AV108</f>
        <v>500.76429719999999</v>
      </c>
      <c r="AT375" s="6">
        <f>[1]Results!AW108</f>
        <v>493.41468989999998</v>
      </c>
      <c r="AU375" s="6">
        <f>[1]Results!AX108</f>
        <v>486.0922994</v>
      </c>
      <c r="AV375" s="6">
        <f>[1]Results!AY108</f>
        <v>478.79435439999997</v>
      </c>
      <c r="AW375" s="6">
        <f>[1]Results!AZ108</f>
        <v>471.52042039999998</v>
      </c>
      <c r="AX375" s="6">
        <f>[1]Results!BA108</f>
        <v>464.26631200000003</v>
      </c>
      <c r="AY375" s="6">
        <f>[1]Results!BB108</f>
        <v>464.3367758</v>
      </c>
      <c r="AZ375" s="6">
        <f>[1]Results!BC108</f>
        <v>464.51080030000003</v>
      </c>
      <c r="BA375" s="6">
        <f>[1]Results!BD108</f>
        <v>464.53682040000001</v>
      </c>
      <c r="BB375" s="6">
        <f>[1]Results!BE108</f>
        <v>630.2942673</v>
      </c>
      <c r="BC375" s="6">
        <f>[1]Results!BF108</f>
        <v>626.75182099999995</v>
      </c>
      <c r="BD375" s="6">
        <f>[1]Results!BG108</f>
        <v>623.22951149999994</v>
      </c>
      <c r="BE375" s="6">
        <f>[1]Results!BH108</f>
        <v>619.72726850000004</v>
      </c>
      <c r="BF375" s="6">
        <f>[1]Results!BI108</f>
        <v>616.24502619999998</v>
      </c>
    </row>
    <row r="376" spans="1:58" x14ac:dyDescent="0.35">
      <c r="B376" t="s">
        <v>62</v>
      </c>
      <c r="C376" s="6">
        <f>[1]Results!F109</f>
        <v>139.85209269999999</v>
      </c>
      <c r="D376" s="6">
        <f>[1]Results!G109</f>
        <v>137.80797530000001</v>
      </c>
      <c r="E376" s="6">
        <f>[1]Results!H109</f>
        <v>135.76597770000001</v>
      </c>
      <c r="F376" s="6">
        <f>[1]Results!I109</f>
        <v>133.75711580000001</v>
      </c>
      <c r="G376" s="6">
        <f>[1]Results!J109</f>
        <v>131.80492570000001</v>
      </c>
      <c r="H376" s="6">
        <f>[1]Results!K109</f>
        <v>129.9196642</v>
      </c>
      <c r="I376" s="6">
        <f>[1]Results!L109</f>
        <v>128.1004739</v>
      </c>
      <c r="J376" s="6">
        <f>[1]Results!M109</f>
        <v>126.3398116</v>
      </c>
      <c r="K376" s="6">
        <f>[1]Results!N109</f>
        <v>124.62652559999999</v>
      </c>
      <c r="L376" s="6">
        <f>[1]Results!O109</f>
        <v>122.9493803</v>
      </c>
      <c r="M376" s="6">
        <f>[1]Results!P109</f>
        <v>121.29826559999999</v>
      </c>
      <c r="N376" s="6">
        <f>[1]Results!Q109</f>
        <v>119.6646707</v>
      </c>
      <c r="O376" s="6">
        <f>[1]Results!R109</f>
        <v>118.04318739999999</v>
      </c>
      <c r="P376" s="6">
        <f>[1]Results!S109</f>
        <v>116.428743</v>
      </c>
      <c r="Q376" s="6">
        <f>[1]Results!T109</f>
        <v>114.8183082</v>
      </c>
      <c r="R376" s="6">
        <f>[1]Results!U109</f>
        <v>113.2104046</v>
      </c>
      <c r="S376" s="6">
        <f>[1]Results!V109</f>
        <v>111.60460260000001</v>
      </c>
      <c r="T376" s="6">
        <f>[1]Results!W109</f>
        <v>110.0016889</v>
      </c>
      <c r="U376" s="6">
        <f>[1]Results!X109</f>
        <v>108.40279750000001</v>
      </c>
      <c r="V376" s="6">
        <f>[1]Results!Y109</f>
        <v>106.80947190000001</v>
      </c>
      <c r="W376" s="6">
        <f>[1]Results!Z109</f>
        <v>105.2235074</v>
      </c>
      <c r="X376" s="6">
        <f>[1]Results!AA109</f>
        <v>103.6468418</v>
      </c>
      <c r="Y376" s="6">
        <f>[1]Results!AB109</f>
        <v>102.08079720000001</v>
      </c>
      <c r="Z376" s="6">
        <f>[1]Results!AC109</f>
        <v>100.5271886</v>
      </c>
      <c r="AA376" s="6">
        <f>[1]Results!AD109</f>
        <v>98.987416469999999</v>
      </c>
      <c r="AB376" s="6">
        <f>[1]Results!AE109</f>
        <v>97.462602869999998</v>
      </c>
      <c r="AC376" s="6">
        <f>[1]Results!AF109</f>
        <v>95.953945689999998</v>
      </c>
      <c r="AD376" s="6">
        <f>[1]Results!AG109</f>
        <v>94.460926490000006</v>
      </c>
      <c r="AE376" s="6">
        <f>[1]Results!AH109</f>
        <v>92.984072690000005</v>
      </c>
      <c r="AF376" s="6">
        <f>[1]Results!AI109</f>
        <v>91.523555369999997</v>
      </c>
      <c r="AG376" s="6">
        <f>[1]Results!AJ109</f>
        <v>90.079352259999993</v>
      </c>
      <c r="AH376" s="6">
        <f>[1]Results!AK109</f>
        <v>88.651373300000003</v>
      </c>
      <c r="AI376" s="6">
        <f>[1]Results!AL109</f>
        <v>87.239334720000002</v>
      </c>
      <c r="AJ376" s="6">
        <f>[1]Results!AM109</f>
        <v>85.842914710000002</v>
      </c>
      <c r="AK376" s="6">
        <f>[1]Results!AN109</f>
        <v>84.461693530000005</v>
      </c>
      <c r="AL376" s="6">
        <f>[1]Results!AO109</f>
        <v>83.095153949999997</v>
      </c>
      <c r="AM376" s="6">
        <f>[1]Results!AP109</f>
        <v>81.743254210000003</v>
      </c>
      <c r="AN376" s="6">
        <f>[1]Results!AQ109</f>
        <v>80.405095729999999</v>
      </c>
      <c r="AO376" s="6">
        <f>[1]Results!AR109</f>
        <v>79.080028619999993</v>
      </c>
      <c r="AP376" s="6">
        <f>[1]Results!AS109</f>
        <v>77.767492230000002</v>
      </c>
      <c r="AQ376" s="6">
        <f>[1]Results!AT109</f>
        <v>76.466911539999998</v>
      </c>
      <c r="AR376" s="6">
        <f>[1]Results!AU109</f>
        <v>75.177813760000006</v>
      </c>
      <c r="AS376" s="6">
        <f>[1]Results!AV109</f>
        <v>73.899613639999998</v>
      </c>
      <c r="AT376" s="6">
        <f>[1]Results!AW109</f>
        <v>72.63185344</v>
      </c>
      <c r="AU376" s="6">
        <f>[1]Results!AX109</f>
        <v>71.374130769999994</v>
      </c>
      <c r="AV376" s="6">
        <f>[1]Results!AY109</f>
        <v>70.12608066</v>
      </c>
      <c r="AW376" s="6">
        <f>[1]Results!AZ109</f>
        <v>68.88773578</v>
      </c>
      <c r="AX376" s="6">
        <f>[1]Results!BA109</f>
        <v>67.658609229999996</v>
      </c>
      <c r="AY376" s="6">
        <f>[1]Results!BB109</f>
        <v>67.671199099999995</v>
      </c>
      <c r="AZ376" s="6">
        <f>[1]Results!BC109</f>
        <v>67.702309150000005</v>
      </c>
      <c r="BA376" s="6">
        <f>[1]Results!BD109</f>
        <v>67.706957650000007</v>
      </c>
      <c r="BB376" s="6">
        <f>[1]Results!BE109</f>
        <v>73.136080030000002</v>
      </c>
      <c r="BC376" s="6">
        <f>[1]Results!BF109</f>
        <v>72.266466910000005</v>
      </c>
      <c r="BD376" s="6">
        <f>[1]Results!BG109</f>
        <v>71.408305409999997</v>
      </c>
      <c r="BE376" s="6">
        <f>[1]Results!BH109</f>
        <v>70.561469470000006</v>
      </c>
      <c r="BF376" s="6">
        <f>[1]Results!BI109</f>
        <v>69.725838089999996</v>
      </c>
    </row>
    <row r="377" spans="1:58" x14ac:dyDescent="0.35">
      <c r="B377" t="s">
        <v>63</v>
      </c>
      <c r="C377" s="6">
        <f>[1]Results!F110</f>
        <v>3.874567114</v>
      </c>
      <c r="D377" s="6">
        <f>[1]Results!G110</f>
        <v>3.716205338</v>
      </c>
      <c r="E377" s="6">
        <f>[1]Results!H110</f>
        <v>3.5630491580000001</v>
      </c>
      <c r="F377" s="6">
        <f>[1]Results!I110</f>
        <v>3.4169627340000002</v>
      </c>
      <c r="G377" s="6">
        <f>[1]Results!J110</f>
        <v>3.2792101699999998</v>
      </c>
      <c r="H377" s="6">
        <f>[1]Results!K110</f>
        <v>3.1501316090000002</v>
      </c>
      <c r="I377" s="6">
        <f>[1]Results!L110</f>
        <v>3.0293306790000001</v>
      </c>
      <c r="J377" s="6">
        <f>[1]Results!M110</f>
        <v>2.9159853280000001</v>
      </c>
      <c r="K377" s="6">
        <f>[1]Results!N110</f>
        <v>2.8090679729999999</v>
      </c>
      <c r="L377" s="6">
        <f>[1]Results!O110</f>
        <v>2.7075930270000002</v>
      </c>
      <c r="M377" s="6">
        <f>[1]Results!P110</f>
        <v>2.6106948449999998</v>
      </c>
      <c r="N377" s="6">
        <f>[1]Results!Q110</f>
        <v>2.517669105</v>
      </c>
      <c r="O377" s="6">
        <f>[1]Results!R110</f>
        <v>2.4280415500000001</v>
      </c>
      <c r="P377" s="6">
        <f>[1]Results!S110</f>
        <v>2.3413826900000001</v>
      </c>
      <c r="Q377" s="6">
        <f>[1]Results!T110</f>
        <v>2.257414732</v>
      </c>
      <c r="R377" s="6">
        <f>[1]Results!U110</f>
        <v>2.1759682919999999</v>
      </c>
      <c r="S377" s="6">
        <f>[1]Results!V110</f>
        <v>2.0969516499999998</v>
      </c>
      <c r="T377" s="6">
        <f>[1]Results!W110</f>
        <v>2.0203377389999999</v>
      </c>
      <c r="U377" s="6">
        <f>[1]Results!X110</f>
        <v>1.9461146460000001</v>
      </c>
      <c r="V377" s="6">
        <f>[1]Results!Y110</f>
        <v>1.874287292</v>
      </c>
      <c r="W377" s="6">
        <f>[1]Results!Z110</f>
        <v>1.80486792</v>
      </c>
      <c r="X377" s="6">
        <f>[1]Results!AA110</f>
        <v>1.737866777</v>
      </c>
      <c r="Y377" s="6">
        <f>[1]Results!AB110</f>
        <v>1.6732628789999999</v>
      </c>
      <c r="Z377" s="6">
        <f>[1]Results!AC110</f>
        <v>1.611055787</v>
      </c>
      <c r="AA377" s="6">
        <f>[1]Results!AD110</f>
        <v>1.5512222600000001</v>
      </c>
      <c r="AB377" s="6">
        <f>[1]Results!AE110</f>
        <v>1.4937253159999999</v>
      </c>
      <c r="AC377" s="6">
        <f>[1]Results!AF110</f>
        <v>1.438518677</v>
      </c>
      <c r="AD377" s="6">
        <f>[1]Results!AG110</f>
        <v>1.3854930080000001</v>
      </c>
      <c r="AE377" s="6">
        <f>[1]Results!AH110</f>
        <v>1.3345878739999999</v>
      </c>
      <c r="AF377" s="6">
        <f>[1]Results!AI110</f>
        <v>1.285730397</v>
      </c>
      <c r="AG377" s="6">
        <f>[1]Results!AJ110</f>
        <v>1.2388432629999999</v>
      </c>
      <c r="AH377" s="6">
        <f>[1]Results!AK110</f>
        <v>1.193848311</v>
      </c>
      <c r="AI377" s="6">
        <f>[1]Results!AL110</f>
        <v>1.1506651459999999</v>
      </c>
      <c r="AJ377" s="6">
        <f>[1]Results!AM110</f>
        <v>1.1092159669999999</v>
      </c>
      <c r="AK377" s="6">
        <f>[1]Results!AN110</f>
        <v>1.0694231599999999</v>
      </c>
      <c r="AL377" s="6">
        <f>[1]Results!AO110</f>
        <v>1.0312093010000001</v>
      </c>
      <c r="AM377" s="6">
        <f>[1]Results!AP110</f>
        <v>0.99450100259999996</v>
      </c>
      <c r="AN377" s="6">
        <f>[1]Results!AQ110</f>
        <v>0.95920991229999997</v>
      </c>
      <c r="AO377" s="6">
        <f>[1]Results!AR110</f>
        <v>0.92526273999999997</v>
      </c>
      <c r="AP377" s="6">
        <f>[1]Results!AS110</f>
        <v>0.89259393909999996</v>
      </c>
      <c r="AQ377" s="6">
        <f>[1]Results!AT110</f>
        <v>0.86114125360000005</v>
      </c>
      <c r="AR377" s="6">
        <f>[1]Results!AU110</f>
        <v>0.83084634700000004</v>
      </c>
      <c r="AS377" s="6">
        <f>[1]Results!AV110</f>
        <v>0.80165228929999999</v>
      </c>
      <c r="AT377" s="6">
        <f>[1]Results!AW110</f>
        <v>0.77350889219999996</v>
      </c>
      <c r="AU377" s="6">
        <f>[1]Results!AX110</f>
        <v>0.74636997309999997</v>
      </c>
      <c r="AV377" s="6">
        <f>[1]Results!AY110</f>
        <v>0.72019247829999999</v>
      </c>
      <c r="AW377" s="6">
        <f>[1]Results!AZ110</f>
        <v>0.6949382342</v>
      </c>
      <c r="AX377" s="6">
        <f>[1]Results!BA110</f>
        <v>0.67056309869999997</v>
      </c>
      <c r="AY377" s="6">
        <f>[1]Results!BB110</f>
        <v>0.68006658600000003</v>
      </c>
      <c r="AZ377" s="6">
        <f>[1]Results!BC110</f>
        <v>0.70355084300000004</v>
      </c>
      <c r="BA377" s="6">
        <f>[1]Results!BD110</f>
        <v>0.70706013229999998</v>
      </c>
      <c r="BB377" s="6">
        <f>[1]Results!BE110</f>
        <v>0.72578483000000005</v>
      </c>
      <c r="BC377" s="6">
        <f>[1]Results!BF110</f>
        <v>0.70667312709999996</v>
      </c>
      <c r="BD377" s="6">
        <f>[1]Results!BG110</f>
        <v>0.68819737540000003</v>
      </c>
      <c r="BE377" s="6">
        <f>[1]Results!BH110</f>
        <v>0.67033503049999998</v>
      </c>
      <c r="BF377" s="6">
        <f>[1]Results!BI110</f>
        <v>0.65306457139999996</v>
      </c>
    </row>
    <row r="379" spans="1:58" x14ac:dyDescent="0.35">
      <c r="A379" s="12" t="s">
        <v>91</v>
      </c>
      <c r="C379" s="2">
        <v>42005</v>
      </c>
      <c r="D379" s="2">
        <v>42370</v>
      </c>
      <c r="E379" s="2">
        <v>42736</v>
      </c>
      <c r="F379" s="2">
        <v>43101</v>
      </c>
      <c r="G379" s="2">
        <v>43466</v>
      </c>
      <c r="H379" s="2">
        <v>43831</v>
      </c>
      <c r="I379" s="2">
        <v>44197</v>
      </c>
      <c r="J379" s="2">
        <v>44562</v>
      </c>
      <c r="K379" s="2">
        <v>44927</v>
      </c>
      <c r="L379" s="2">
        <v>45292</v>
      </c>
      <c r="M379" s="2">
        <v>45658</v>
      </c>
      <c r="N379" s="2">
        <v>46023</v>
      </c>
      <c r="O379" s="2">
        <v>46388</v>
      </c>
      <c r="P379" s="2">
        <v>46753</v>
      </c>
      <c r="Q379" s="2">
        <v>47119</v>
      </c>
      <c r="R379" s="2">
        <v>47484</v>
      </c>
      <c r="S379" s="2">
        <v>47849</v>
      </c>
      <c r="T379" s="2">
        <v>48214</v>
      </c>
      <c r="U379" s="2">
        <v>48580</v>
      </c>
      <c r="V379" s="2">
        <v>48945</v>
      </c>
      <c r="W379" s="2">
        <v>49310</v>
      </c>
      <c r="X379" s="2">
        <v>49675</v>
      </c>
      <c r="Y379" s="2">
        <v>50041</v>
      </c>
      <c r="Z379" s="2">
        <v>50406</v>
      </c>
      <c r="AA379" s="2">
        <v>50771</v>
      </c>
      <c r="AB379" s="2">
        <v>51136</v>
      </c>
      <c r="AC379" s="2">
        <v>51502</v>
      </c>
      <c r="AD379" s="2">
        <v>51867</v>
      </c>
      <c r="AE379" s="2">
        <v>52232</v>
      </c>
      <c r="AF379" s="2">
        <v>52597</v>
      </c>
      <c r="AG379" s="2">
        <v>52963</v>
      </c>
      <c r="AH379" s="2">
        <v>53328</v>
      </c>
      <c r="AI379" s="2">
        <v>53693</v>
      </c>
      <c r="AJ379" s="2">
        <v>54058</v>
      </c>
      <c r="AK379" s="2">
        <v>54424</v>
      </c>
      <c r="AL379" s="2">
        <v>54789</v>
      </c>
      <c r="AM379" s="2">
        <v>54790</v>
      </c>
      <c r="AN379" s="2">
        <v>54791</v>
      </c>
      <c r="AO379" s="2">
        <v>54792</v>
      </c>
      <c r="AP379" s="2">
        <v>54793</v>
      </c>
      <c r="AQ379" s="2">
        <v>54794</v>
      </c>
      <c r="AR379" s="2">
        <v>54795</v>
      </c>
      <c r="AS379" s="2">
        <v>54796</v>
      </c>
      <c r="AT379" s="2">
        <v>54797</v>
      </c>
      <c r="AU379" s="2">
        <v>54798</v>
      </c>
      <c r="AV379" s="2">
        <v>54799</v>
      </c>
      <c r="AW379" s="2">
        <v>54800</v>
      </c>
      <c r="AX379" s="2">
        <v>54801</v>
      </c>
      <c r="AY379" s="2">
        <v>54802</v>
      </c>
      <c r="AZ379" s="2">
        <v>54803</v>
      </c>
      <c r="BA379" s="2">
        <v>54804</v>
      </c>
      <c r="BB379" s="2">
        <v>54805</v>
      </c>
      <c r="BC379" s="2">
        <v>54806</v>
      </c>
      <c r="BD379" s="2">
        <v>54807</v>
      </c>
      <c r="BE379" s="2">
        <v>54808</v>
      </c>
      <c r="BF379" s="2">
        <v>54809</v>
      </c>
    </row>
    <row r="380" spans="1:58" x14ac:dyDescent="0.35">
      <c r="A380" t="s">
        <v>38</v>
      </c>
      <c r="B380" t="s">
        <v>57</v>
      </c>
      <c r="C380" s="6">
        <f>[1]Results!F112</f>
        <v>3.476542051</v>
      </c>
      <c r="D380" s="6">
        <f>[1]Results!G112</f>
        <v>5.6319535050000002</v>
      </c>
      <c r="E380" s="6">
        <f>[1]Results!H112</f>
        <v>7.7514221729999999</v>
      </c>
      <c r="F380" s="6">
        <f>[1]Results!I112</f>
        <v>9.8057799540000001</v>
      </c>
      <c r="G380" s="6">
        <f>[1]Results!J112</f>
        <v>11.77651236</v>
      </c>
      <c r="H380" s="6">
        <f>[1]Results!K112</f>
        <v>13.65742822</v>
      </c>
      <c r="I380" s="6">
        <f>[1]Results!L112</f>
        <v>15.428717130000001</v>
      </c>
      <c r="J380" s="6">
        <f>[1]Results!M112</f>
        <v>17.12457509</v>
      </c>
      <c r="K380" s="6">
        <f>[1]Results!N112</f>
        <v>18.76198042</v>
      </c>
      <c r="L380" s="6">
        <f>[1]Results!O112</f>
        <v>20.35555587</v>
      </c>
      <c r="M380" s="6">
        <f>[1]Results!P112</f>
        <v>21.958352649999998</v>
      </c>
      <c r="N380" s="6">
        <f>[1]Results!Q112</f>
        <v>23.50102145</v>
      </c>
      <c r="O380" s="6">
        <f>[1]Results!R112</f>
        <v>25.024821320000001</v>
      </c>
      <c r="P380" s="6">
        <f>[1]Results!S112</f>
        <v>26.53961589</v>
      </c>
      <c r="Q380" s="6">
        <f>[1]Results!T112</f>
        <v>28.050857730000001</v>
      </c>
      <c r="R380" s="6">
        <f>[1]Results!U112</f>
        <v>29.561947709999998</v>
      </c>
      <c r="S380" s="6">
        <f>[1]Results!V112</f>
        <v>31.07479966</v>
      </c>
      <c r="T380" s="6">
        <f>[1]Results!W112</f>
        <v>32.589933440000003</v>
      </c>
      <c r="U380" s="6">
        <f>[1]Results!X112</f>
        <v>34.10656479</v>
      </c>
      <c r="V380" s="6">
        <f>[1]Results!Y112</f>
        <v>35.622873439999999</v>
      </c>
      <c r="W380" s="6">
        <f>[1]Results!Z112</f>
        <v>37.10971773</v>
      </c>
      <c r="X380" s="6">
        <f>[1]Results!AA112</f>
        <v>38.617110619999998</v>
      </c>
      <c r="Y380" s="6">
        <f>[1]Results!AB112</f>
        <v>40.119311539999998</v>
      </c>
      <c r="Z380" s="6">
        <f>[1]Results!AC112</f>
        <v>41.611556989999997</v>
      </c>
      <c r="AA380" s="6">
        <f>[1]Results!AD112</f>
        <v>43.090696489999999</v>
      </c>
      <c r="AB380" s="6">
        <f>[1]Results!AE112</f>
        <v>44.481566809999997</v>
      </c>
      <c r="AC380" s="6">
        <f>[1]Results!AF112</f>
        <v>45.892416140000002</v>
      </c>
      <c r="AD380" s="6">
        <f>[1]Results!AG112</f>
        <v>47.29238969</v>
      </c>
      <c r="AE380" s="6">
        <f>[1]Results!AH112</f>
        <v>48.679847940000002</v>
      </c>
      <c r="AF380" s="6">
        <f>[1]Results!AI112</f>
        <v>50.054643009999999</v>
      </c>
      <c r="AG380" s="6">
        <f>[1]Results!AJ112</f>
        <v>51.416714450000001</v>
      </c>
      <c r="AH380" s="6">
        <f>[1]Results!AK112</f>
        <v>52.765708529999998</v>
      </c>
      <c r="AI380" s="6">
        <f>[1]Results!AL112</f>
        <v>54.101059309999997</v>
      </c>
      <c r="AJ380" s="6">
        <f>[1]Results!AM112</f>
        <v>55.422234830000001</v>
      </c>
      <c r="AK380" s="6">
        <f>[1]Results!AN112</f>
        <v>56.728955020000001</v>
      </c>
      <c r="AL380" s="6">
        <f>[1]Results!AO112</f>
        <v>58.021319079999998</v>
      </c>
      <c r="AM380" s="6">
        <f>[1]Results!AP112</f>
        <v>59.284354120000003</v>
      </c>
      <c r="AN380" s="6">
        <f>[1]Results!AQ112</f>
        <v>60.534277279999998</v>
      </c>
      <c r="AO380" s="6">
        <f>[1]Results!AR112</f>
        <v>61.773855339999997</v>
      </c>
      <c r="AP380" s="6">
        <f>[1]Results!AS112</f>
        <v>63.005091579999998</v>
      </c>
      <c r="AQ380" s="6">
        <f>[1]Results!AT112</f>
        <v>64.229718230000003</v>
      </c>
      <c r="AR380" s="6">
        <f>[1]Results!AU112</f>
        <v>65.449169280000007</v>
      </c>
      <c r="AS380" s="6">
        <f>[1]Results!AV112</f>
        <v>66.664491389999995</v>
      </c>
      <c r="AT380" s="6">
        <f>[1]Results!AW112</f>
        <v>67.876325429999994</v>
      </c>
      <c r="AU380" s="6">
        <f>[1]Results!AX112</f>
        <v>69.084963400000007</v>
      </c>
      <c r="AV380" s="6">
        <f>[1]Results!AY112</f>
        <v>70.290445579999997</v>
      </c>
      <c r="AW380" s="6">
        <f>[1]Results!AZ112</f>
        <v>71.493909059999993</v>
      </c>
      <c r="AX380" s="6">
        <f>[1]Results!BA112</f>
        <v>72.693940299999994</v>
      </c>
      <c r="AY380" s="6">
        <f>[1]Results!BB112</f>
        <v>73.890240309999996</v>
      </c>
      <c r="AZ380" s="6">
        <f>[1]Results!BC112</f>
        <v>75.082593950000003</v>
      </c>
      <c r="BA380" s="6">
        <f>[1]Results!BD112</f>
        <v>76.270833049999993</v>
      </c>
      <c r="BB380" s="6">
        <f>[1]Results!BE112</f>
        <v>23.02165338</v>
      </c>
      <c r="BC380" s="6">
        <f>[1]Results!BF112</f>
        <v>23.098603359999998</v>
      </c>
      <c r="BD380" s="6">
        <f>[1]Results!BG112</f>
        <v>23.175166600000001</v>
      </c>
      <c r="BE380" s="6">
        <f>[1]Results!BH112</f>
        <v>23.251348539999999</v>
      </c>
      <c r="BF380" s="6">
        <f>[1]Results!BI112</f>
        <v>23.327155260000001</v>
      </c>
    </row>
    <row r="381" spans="1:58" x14ac:dyDescent="0.35">
      <c r="B381" t="s">
        <v>58</v>
      </c>
      <c r="C381" s="6">
        <f>[1]Results!F113</f>
        <v>68.80476281</v>
      </c>
      <c r="D381" s="6">
        <f>[1]Results!G113</f>
        <v>77.344312630000005</v>
      </c>
      <c r="E381" s="6">
        <f>[1]Results!H113</f>
        <v>86.456518540000005</v>
      </c>
      <c r="F381" s="6">
        <f>[1]Results!I113</f>
        <v>95.506620490000003</v>
      </c>
      <c r="G381" s="6">
        <f>[1]Results!J113</f>
        <v>104.4904925</v>
      </c>
      <c r="H381" s="6">
        <f>[1]Results!K113</f>
        <v>113.4131521</v>
      </c>
      <c r="I381" s="6">
        <f>[1]Results!L113</f>
        <v>121.65946099999999</v>
      </c>
      <c r="J381" s="6">
        <f>[1]Results!M113</f>
        <v>129.85794279999999</v>
      </c>
      <c r="K381" s="6">
        <f>[1]Results!N113</f>
        <v>138.0160827</v>
      </c>
      <c r="L381" s="6">
        <f>[1]Results!O113</f>
        <v>146.1349353</v>
      </c>
      <c r="M381" s="6">
        <f>[1]Results!P113</f>
        <v>155.25018370000001</v>
      </c>
      <c r="N381" s="6">
        <f>[1]Results!Q113</f>
        <v>163.284547</v>
      </c>
      <c r="O381" s="6">
        <f>[1]Results!R113</f>
        <v>171.26500429999999</v>
      </c>
      <c r="P381" s="6">
        <f>[1]Results!S113</f>
        <v>179.1907162</v>
      </c>
      <c r="Q381" s="6">
        <f>[1]Results!T113</f>
        <v>187.05869949999999</v>
      </c>
      <c r="R381" s="6">
        <f>[1]Results!U113</f>
        <v>194.86662949999999</v>
      </c>
      <c r="S381" s="6">
        <f>[1]Results!V113</f>
        <v>202.61330469999999</v>
      </c>
      <c r="T381" s="6">
        <f>[1]Results!W113</f>
        <v>210.29853489999999</v>
      </c>
      <c r="U381" s="6">
        <f>[1]Results!X113</f>
        <v>217.92295189999999</v>
      </c>
      <c r="V381" s="6">
        <f>[1]Results!Y113</f>
        <v>225.48785330000001</v>
      </c>
      <c r="W381" s="6">
        <f>[1]Results!Z113</f>
        <v>232.30786459999999</v>
      </c>
      <c r="X381" s="6">
        <f>[1]Results!AA113</f>
        <v>239.75730340000001</v>
      </c>
      <c r="Y381" s="6">
        <f>[1]Results!AB113</f>
        <v>247.15545309999999</v>
      </c>
      <c r="Z381" s="6">
        <f>[1]Results!AC113</f>
        <v>254.50286170000001</v>
      </c>
      <c r="AA381" s="6">
        <f>[1]Results!AD113</f>
        <v>261.80166450000002</v>
      </c>
      <c r="AB381" s="6">
        <f>[1]Results!AE113</f>
        <v>267.17838590000002</v>
      </c>
      <c r="AC381" s="6">
        <f>[1]Results!AF113</f>
        <v>273.49995990000002</v>
      </c>
      <c r="AD381" s="6">
        <f>[1]Results!AG113</f>
        <v>279.7796932</v>
      </c>
      <c r="AE381" s="6">
        <f>[1]Results!AH113</f>
        <v>286.01694459999999</v>
      </c>
      <c r="AF381" s="6">
        <f>[1]Results!AI113</f>
        <v>292.21252959999998</v>
      </c>
      <c r="AG381" s="6">
        <f>[1]Results!AJ113</f>
        <v>298.36725630000001</v>
      </c>
      <c r="AH381" s="6">
        <f>[1]Results!AK113</f>
        <v>304.48168070000003</v>
      </c>
      <c r="AI381" s="6">
        <f>[1]Results!AL113</f>
        <v>310.55622169999998</v>
      </c>
      <c r="AJ381" s="6">
        <f>[1]Results!AM113</f>
        <v>316.59130520000002</v>
      </c>
      <c r="AK381" s="6">
        <f>[1]Results!AN113</f>
        <v>322.58742030000002</v>
      </c>
      <c r="AL381" s="6">
        <f>[1]Results!AO113</f>
        <v>328.54509769999999</v>
      </c>
      <c r="AM381" s="6">
        <f>[1]Results!AP113</f>
        <v>334.06450640000003</v>
      </c>
      <c r="AN381" s="6">
        <f>[1]Results!AQ113</f>
        <v>339.54502200000002</v>
      </c>
      <c r="AO381" s="6">
        <f>[1]Results!AR113</f>
        <v>344.98775920000003</v>
      </c>
      <c r="AP381" s="6">
        <f>[1]Results!AS113</f>
        <v>350.39278830000001</v>
      </c>
      <c r="AQ381" s="6">
        <f>[1]Results!AT113</f>
        <v>355.75989720000001</v>
      </c>
      <c r="AR381" s="6">
        <f>[1]Results!AU113</f>
        <v>361.08875749999999</v>
      </c>
      <c r="AS381" s="6">
        <f>[1]Results!AV113</f>
        <v>366.37899390000001</v>
      </c>
      <c r="AT381" s="6">
        <f>[1]Results!AW113</f>
        <v>371.63025729999998</v>
      </c>
      <c r="AU381" s="6">
        <f>[1]Results!AX113</f>
        <v>376.84229210000001</v>
      </c>
      <c r="AV381" s="6">
        <f>[1]Results!AY113</f>
        <v>382.01498020000002</v>
      </c>
      <c r="AW381" s="6">
        <f>[1]Results!AZ113</f>
        <v>387.18061920000002</v>
      </c>
      <c r="AX381" s="6">
        <f>[1]Results!BA113</f>
        <v>392.30720359999998</v>
      </c>
      <c r="AY381" s="6">
        <f>[1]Results!BB113</f>
        <v>397.39494539999998</v>
      </c>
      <c r="AZ381" s="6">
        <f>[1]Results!BC113</f>
        <v>402.44419329999999</v>
      </c>
      <c r="BA381" s="6">
        <f>[1]Results!BD113</f>
        <v>407.4553507</v>
      </c>
      <c r="BB381" s="6">
        <f>[1]Results!BE113</f>
        <v>505.70694400000002</v>
      </c>
      <c r="BC381" s="6">
        <f>[1]Results!BF113</f>
        <v>512.00260160000005</v>
      </c>
      <c r="BD381" s="6">
        <f>[1]Results!BG113</f>
        <v>518.24737849999997</v>
      </c>
      <c r="BE381" s="6">
        <f>[1]Results!BH113</f>
        <v>524.44232790000001</v>
      </c>
      <c r="BF381" s="6">
        <f>[1]Results!BI113</f>
        <v>530.58864100000005</v>
      </c>
    </row>
    <row r="382" spans="1:58" x14ac:dyDescent="0.35">
      <c r="B382" t="s">
        <v>59</v>
      </c>
      <c r="C382" s="6">
        <f>[1]Results!F114</f>
        <v>408.28039699999999</v>
      </c>
      <c r="D382" s="6">
        <f>[1]Results!G114</f>
        <v>425.65319670000002</v>
      </c>
      <c r="E382" s="6">
        <f>[1]Results!H114</f>
        <v>444.71117409999999</v>
      </c>
      <c r="F382" s="6">
        <f>[1]Results!I114</f>
        <v>463.6601584</v>
      </c>
      <c r="G382" s="6">
        <f>[1]Results!J114</f>
        <v>482.50184400000001</v>
      </c>
      <c r="H382" s="6">
        <f>[1]Results!K114</f>
        <v>501.25235470000001</v>
      </c>
      <c r="I382" s="6">
        <f>[1]Results!L114</f>
        <v>518.17936269999996</v>
      </c>
      <c r="J382" s="6">
        <f>[1]Results!M114</f>
        <v>535.04021650000004</v>
      </c>
      <c r="K382" s="6">
        <f>[1]Results!N114</f>
        <v>551.84608409999998</v>
      </c>
      <c r="L382" s="6">
        <f>[1]Results!O114</f>
        <v>568.5970016</v>
      </c>
      <c r="M382" s="6">
        <f>[1]Results!P114</f>
        <v>588.20102559999998</v>
      </c>
      <c r="N382" s="6">
        <f>[1]Results!Q114</f>
        <v>604.82916939999996</v>
      </c>
      <c r="O382" s="6">
        <f>[1]Results!R114</f>
        <v>621.37431500000002</v>
      </c>
      <c r="P382" s="6">
        <f>[1]Results!S114</f>
        <v>637.83164290000002</v>
      </c>
      <c r="Q382" s="6">
        <f>[1]Results!T114</f>
        <v>654.19414589999997</v>
      </c>
      <c r="R382" s="6">
        <f>[1]Results!U114</f>
        <v>670.45631979999996</v>
      </c>
      <c r="S382" s="6">
        <f>[1]Results!V114</f>
        <v>686.61482520000004</v>
      </c>
      <c r="T382" s="6">
        <f>[1]Results!W114</f>
        <v>702.66835990000004</v>
      </c>
      <c r="U382" s="6">
        <f>[1]Results!X114</f>
        <v>718.61737149999999</v>
      </c>
      <c r="V382" s="6">
        <f>[1]Results!Y114</f>
        <v>734.46372029999998</v>
      </c>
      <c r="W382" s="6">
        <f>[1]Results!Z114</f>
        <v>748.28112380000005</v>
      </c>
      <c r="X382" s="6">
        <f>[1]Results!AA114</f>
        <v>763.92530160000001</v>
      </c>
      <c r="Y382" s="6">
        <f>[1]Results!AB114</f>
        <v>779.4792195</v>
      </c>
      <c r="Z382" s="6">
        <f>[1]Results!AC114</f>
        <v>794.94456119999995</v>
      </c>
      <c r="AA382" s="6">
        <f>[1]Results!AD114</f>
        <v>810.32523809999998</v>
      </c>
      <c r="AB382" s="6">
        <f>[1]Results!AE114</f>
        <v>820.35930299999995</v>
      </c>
      <c r="AC382" s="6">
        <f>[1]Results!AF114</f>
        <v>833.09291399999995</v>
      </c>
      <c r="AD382" s="6">
        <f>[1]Results!AG114</f>
        <v>845.74538719999998</v>
      </c>
      <c r="AE382" s="6">
        <f>[1]Results!AH114</f>
        <v>858.31600360000004</v>
      </c>
      <c r="AF382" s="6">
        <f>[1]Results!AI114</f>
        <v>870.80603510000003</v>
      </c>
      <c r="AG382" s="6">
        <f>[1]Results!AJ114</f>
        <v>883.21691929999997</v>
      </c>
      <c r="AH382" s="6">
        <f>[1]Results!AK114</f>
        <v>895.5499724</v>
      </c>
      <c r="AI382" s="6">
        <f>[1]Results!AL114</f>
        <v>907.80651150000006</v>
      </c>
      <c r="AJ382" s="6">
        <f>[1]Results!AM114</f>
        <v>919.98796749999997</v>
      </c>
      <c r="AK382" s="6">
        <f>[1]Results!AN114</f>
        <v>932.09587220000003</v>
      </c>
      <c r="AL382" s="6">
        <f>[1]Results!AO114</f>
        <v>944.13175460000002</v>
      </c>
      <c r="AM382" s="6">
        <f>[1]Results!AP114</f>
        <v>954.97305719999997</v>
      </c>
      <c r="AN382" s="6">
        <f>[1]Results!AQ114</f>
        <v>965.74084689999995</v>
      </c>
      <c r="AO382" s="6">
        <f>[1]Results!AR114</f>
        <v>976.4366923</v>
      </c>
      <c r="AP382" s="6">
        <f>[1]Results!AS114</f>
        <v>987.06068679999998</v>
      </c>
      <c r="AQ382" s="6">
        <f>[1]Results!AT114</f>
        <v>997.61250959999995</v>
      </c>
      <c r="AR382" s="6">
        <f>[1]Results!AU114</f>
        <v>1008.091714</v>
      </c>
      <c r="AS382" s="6">
        <f>[1]Results!AV114</f>
        <v>1018.497869</v>
      </c>
      <c r="AT382" s="6">
        <f>[1]Results!AW114</f>
        <v>1028.830672</v>
      </c>
      <c r="AU382" s="6">
        <f>[1]Results!AX114</f>
        <v>1039.0900329999999</v>
      </c>
      <c r="AV382" s="6">
        <f>[1]Results!AY114</f>
        <v>1049.276108</v>
      </c>
      <c r="AW382" s="6">
        <f>[1]Results!AZ114</f>
        <v>1059.4798820000001</v>
      </c>
      <c r="AX382" s="6">
        <f>[1]Results!BA114</f>
        <v>1069.6116300000001</v>
      </c>
      <c r="AY382" s="6">
        <f>[1]Results!BB114</f>
        <v>1079.6720230000001</v>
      </c>
      <c r="AZ382" s="6">
        <f>[1]Results!BC114</f>
        <v>1089.661897</v>
      </c>
      <c r="BA382" s="6">
        <f>[1]Results!BD114</f>
        <v>1099.582148</v>
      </c>
      <c r="BB382" s="6">
        <f>[1]Results!BE114</f>
        <v>1097.5222470000001</v>
      </c>
      <c r="BC382" s="6">
        <f>[1]Results!BF114</f>
        <v>1106.9728580000001</v>
      </c>
      <c r="BD382" s="6">
        <f>[1]Results!BG114</f>
        <v>1116.3591220000001</v>
      </c>
      <c r="BE382" s="6">
        <f>[1]Results!BH114</f>
        <v>1125.682438</v>
      </c>
      <c r="BF382" s="6">
        <f>[1]Results!BI114</f>
        <v>1134.9443100000001</v>
      </c>
    </row>
    <row r="383" spans="1:58" x14ac:dyDescent="0.35">
      <c r="B383" t="s">
        <v>60</v>
      </c>
      <c r="C383" s="6">
        <f>[1]Results!F115</f>
        <v>954.38155940000001</v>
      </c>
      <c r="D383" s="6">
        <f>[1]Results!G115</f>
        <v>947.49142140000004</v>
      </c>
      <c r="E383" s="6">
        <f>[1]Results!H115</f>
        <v>940.60971529999995</v>
      </c>
      <c r="F383" s="6">
        <f>[1]Results!I115</f>
        <v>933.70978400000001</v>
      </c>
      <c r="G383" s="6">
        <f>[1]Results!J115</f>
        <v>926.78036770000006</v>
      </c>
      <c r="H383" s="6">
        <f>[1]Results!K115</f>
        <v>919.81350680000003</v>
      </c>
      <c r="I383" s="6">
        <f>[1]Results!L115</f>
        <v>912.80738580000002</v>
      </c>
      <c r="J383" s="6">
        <f>[1]Results!M115</f>
        <v>905.7675911</v>
      </c>
      <c r="K383" s="6">
        <f>[1]Results!N115</f>
        <v>898.70813769999995</v>
      </c>
      <c r="L383" s="6">
        <f>[1]Results!O115</f>
        <v>891.65031209999995</v>
      </c>
      <c r="M383" s="6">
        <f>[1]Results!P115</f>
        <v>884.61805719999995</v>
      </c>
      <c r="N383" s="6">
        <f>[1]Results!Q115</f>
        <v>877.63533649999999</v>
      </c>
      <c r="O383" s="6">
        <f>[1]Results!R115</f>
        <v>870.72072609999998</v>
      </c>
      <c r="P383" s="6">
        <f>[1]Results!S115</f>
        <v>863.88902199999995</v>
      </c>
      <c r="Q383" s="6">
        <f>[1]Results!T115</f>
        <v>857.15424180000002</v>
      </c>
      <c r="R383" s="6">
        <f>[1]Results!U115</f>
        <v>850.52638930000001</v>
      </c>
      <c r="S383" s="6">
        <f>[1]Results!V115</f>
        <v>844.01105180000002</v>
      </c>
      <c r="T383" s="6">
        <f>[1]Results!W115</f>
        <v>837.60964279999996</v>
      </c>
      <c r="U383" s="6">
        <f>[1]Results!X115</f>
        <v>831.31979899999999</v>
      </c>
      <c r="V383" s="6">
        <f>[1]Results!Y115</f>
        <v>825.13614299999995</v>
      </c>
      <c r="W383" s="6">
        <f>[1]Results!Z115</f>
        <v>819.05115880000005</v>
      </c>
      <c r="X383" s="6">
        <f>[1]Results!AA115</f>
        <v>813.05575910000005</v>
      </c>
      <c r="Y383" s="6">
        <f>[1]Results!AB115</f>
        <v>807.14138230000003</v>
      </c>
      <c r="Z383" s="6">
        <f>[1]Results!AC115</f>
        <v>801.30001249999998</v>
      </c>
      <c r="AA383" s="6">
        <f>[1]Results!AD115</f>
        <v>795.5222708</v>
      </c>
      <c r="AB383" s="6">
        <f>[1]Results!AE115</f>
        <v>789.79943560000004</v>
      </c>
      <c r="AC383" s="6">
        <f>[1]Results!AF115</f>
        <v>784.12327589999995</v>
      </c>
      <c r="AD383" s="6">
        <f>[1]Results!AG115</f>
        <v>778.48953340000003</v>
      </c>
      <c r="AE383" s="6">
        <f>[1]Results!AH115</f>
        <v>772.89784899999995</v>
      </c>
      <c r="AF383" s="6">
        <f>[1]Results!AI115</f>
        <v>767.34628399999997</v>
      </c>
      <c r="AG383" s="6">
        <f>[1]Results!AJ115</f>
        <v>761.83294980000005</v>
      </c>
      <c r="AH383" s="6">
        <f>[1]Results!AK115</f>
        <v>756.356179</v>
      </c>
      <c r="AI383" s="6">
        <f>[1]Results!AL115</f>
        <v>750.91443589999994</v>
      </c>
      <c r="AJ383" s="6">
        <f>[1]Results!AM115</f>
        <v>745.50638579999998</v>
      </c>
      <c r="AK383" s="6">
        <f>[1]Results!AN115</f>
        <v>740.13106210000001</v>
      </c>
      <c r="AL383" s="6">
        <f>[1]Results!AO115</f>
        <v>734.78805239999997</v>
      </c>
      <c r="AM383" s="6">
        <f>[1]Results!AP115</f>
        <v>729.47764410000002</v>
      </c>
      <c r="AN383" s="6">
        <f>[1]Results!AQ115</f>
        <v>724.20074090000003</v>
      </c>
      <c r="AO383" s="6">
        <f>[1]Results!AR115</f>
        <v>718.95939550000003</v>
      </c>
      <c r="AP383" s="6">
        <f>[1]Results!AS115</f>
        <v>713.75687619999997</v>
      </c>
      <c r="AQ383" s="6">
        <f>[1]Results!AT115</f>
        <v>708.59655380000004</v>
      </c>
      <c r="AR383" s="6">
        <f>[1]Results!AU115</f>
        <v>703.48152689999995</v>
      </c>
      <c r="AS383" s="6">
        <f>[1]Results!AV115</f>
        <v>698.41440850000004</v>
      </c>
      <c r="AT383" s="6">
        <f>[1]Results!AW115</f>
        <v>693.39719239999999</v>
      </c>
      <c r="AU383" s="6">
        <f>[1]Results!AX115</f>
        <v>688.43121159999998</v>
      </c>
      <c r="AV383" s="6">
        <f>[1]Results!AY115</f>
        <v>683.51718960000005</v>
      </c>
      <c r="AW383" s="6">
        <f>[1]Results!AZ115</f>
        <v>678.65535090000003</v>
      </c>
      <c r="AX383" s="6">
        <f>[1]Results!BA115</f>
        <v>673.8455682</v>
      </c>
      <c r="AY383" s="6">
        <f>[1]Results!BB115</f>
        <v>669.0874546</v>
      </c>
      <c r="AZ383" s="6">
        <f>[1]Results!BC115</f>
        <v>664.38044360000004</v>
      </c>
      <c r="BA383" s="6">
        <f>[1]Results!BD115</f>
        <v>659.72391679999998</v>
      </c>
      <c r="BB383" s="6">
        <f>[1]Results!BE115</f>
        <v>484.04968780000002</v>
      </c>
      <c r="BC383" s="6">
        <f>[1]Results!BF115</f>
        <v>477.39374570000001</v>
      </c>
      <c r="BD383" s="6">
        <f>[1]Results!BG115</f>
        <v>470.83057000000002</v>
      </c>
      <c r="BE383" s="6">
        <f>[1]Results!BH115</f>
        <v>464.35802790000002</v>
      </c>
      <c r="BF383" s="6">
        <f>[1]Results!BI115</f>
        <v>457.97382290000002</v>
      </c>
    </row>
    <row r="384" spans="1:58" x14ac:dyDescent="0.35">
      <c r="B384" t="s">
        <v>61</v>
      </c>
      <c r="C384" s="6">
        <f>[1]Results!F116</f>
        <v>878.79999729999997</v>
      </c>
      <c r="D384" s="6">
        <f>[1]Results!G116</f>
        <v>867.92661069999997</v>
      </c>
      <c r="E384" s="6">
        <f>[1]Results!H116</f>
        <v>857.30847940000001</v>
      </c>
      <c r="F384" s="6">
        <f>[1]Results!I116</f>
        <v>846.9510252</v>
      </c>
      <c r="G384" s="6">
        <f>[1]Results!J116</f>
        <v>836.88450309999996</v>
      </c>
      <c r="H384" s="6">
        <f>[1]Results!K116</f>
        <v>827.10295729999996</v>
      </c>
      <c r="I384" s="6">
        <f>[1]Results!L116</f>
        <v>817.57704820000004</v>
      </c>
      <c r="J384" s="6">
        <f>[1]Results!M116</f>
        <v>808.26862029999995</v>
      </c>
      <c r="K384" s="6">
        <f>[1]Results!N116</f>
        <v>799.13304010000002</v>
      </c>
      <c r="L384" s="6">
        <f>[1]Results!O116</f>
        <v>790.13752339999996</v>
      </c>
      <c r="M384" s="6">
        <f>[1]Results!P116</f>
        <v>781.25703129999999</v>
      </c>
      <c r="N384" s="6">
        <f>[1]Results!Q116</f>
        <v>772.47499400000004</v>
      </c>
      <c r="O384" s="6">
        <f>[1]Results!R116</f>
        <v>763.79140280000001</v>
      </c>
      <c r="P384" s="6">
        <f>[1]Results!S116</f>
        <v>755.18899269999997</v>
      </c>
      <c r="Q384" s="6">
        <f>[1]Results!T116</f>
        <v>746.65915749999999</v>
      </c>
      <c r="R384" s="6">
        <f>[1]Results!U116</f>
        <v>738.1967224</v>
      </c>
      <c r="S384" s="6">
        <f>[1]Results!V116</f>
        <v>729.79880079999998</v>
      </c>
      <c r="T384" s="6">
        <f>[1]Results!W116</f>
        <v>721.46476610000002</v>
      </c>
      <c r="U384" s="6">
        <f>[1]Results!X116</f>
        <v>713.19629669999995</v>
      </c>
      <c r="V384" s="6">
        <f>[1]Results!Y116</f>
        <v>704.99690239999995</v>
      </c>
      <c r="W384" s="6">
        <f>[1]Results!Z116</f>
        <v>696.87165619999996</v>
      </c>
      <c r="X384" s="6">
        <f>[1]Results!AA116</f>
        <v>688.82518210000001</v>
      </c>
      <c r="Y384" s="6">
        <f>[1]Results!AB116</f>
        <v>680.85579480000001</v>
      </c>
      <c r="Z384" s="6">
        <f>[1]Results!AC116</f>
        <v>672.97331459999998</v>
      </c>
      <c r="AA384" s="6">
        <f>[1]Results!AD116</f>
        <v>665.18380769999999</v>
      </c>
      <c r="AB384" s="6">
        <f>[1]Results!AE116</f>
        <v>657.49261509999997</v>
      </c>
      <c r="AC384" s="6">
        <f>[1]Results!AF116</f>
        <v>649.90130429999999</v>
      </c>
      <c r="AD384" s="6">
        <f>[1]Results!AG116</f>
        <v>642.3933217</v>
      </c>
      <c r="AE384" s="6">
        <f>[1]Results!AH116</f>
        <v>634.97193049999998</v>
      </c>
      <c r="AF384" s="6">
        <f>[1]Results!AI116</f>
        <v>627.63729760000001</v>
      </c>
      <c r="AG384" s="6">
        <f>[1]Results!AJ116</f>
        <v>620.38936779999995</v>
      </c>
      <c r="AH384" s="6">
        <f>[1]Results!AK116</f>
        <v>613.22854559999996</v>
      </c>
      <c r="AI384" s="6">
        <f>[1]Results!AL116</f>
        <v>606.15546670000003</v>
      </c>
      <c r="AJ384" s="6">
        <f>[1]Results!AM116</f>
        <v>599.1704489</v>
      </c>
      <c r="AK384" s="6">
        <f>[1]Results!AN116</f>
        <v>592.27308249999999</v>
      </c>
      <c r="AL384" s="6">
        <f>[1]Results!AO116</f>
        <v>585.46205110000005</v>
      </c>
      <c r="AM384" s="6">
        <f>[1]Results!AP116</f>
        <v>578.7353018</v>
      </c>
      <c r="AN384" s="6">
        <f>[1]Results!AQ116</f>
        <v>572.08963449999999</v>
      </c>
      <c r="AO384" s="6">
        <f>[1]Results!AR116</f>
        <v>565.51825280000003</v>
      </c>
      <c r="AP384" s="6">
        <f>[1]Results!AS116</f>
        <v>559.01631529999997</v>
      </c>
      <c r="AQ384" s="6">
        <f>[1]Results!AT116</f>
        <v>552.5797943</v>
      </c>
      <c r="AR384" s="6">
        <f>[1]Results!AU116</f>
        <v>546.20541979999996</v>
      </c>
      <c r="AS384" s="6">
        <f>[1]Results!AV116</f>
        <v>539.890761</v>
      </c>
      <c r="AT384" s="6">
        <f>[1]Results!AW116</f>
        <v>533.63418920000004</v>
      </c>
      <c r="AU384" s="6">
        <f>[1]Results!AX116</f>
        <v>527.4347199</v>
      </c>
      <c r="AV384" s="6">
        <f>[1]Results!AY116</f>
        <v>521.29180050000002</v>
      </c>
      <c r="AW384" s="6">
        <f>[1]Results!AZ116</f>
        <v>515.20509919999995</v>
      </c>
      <c r="AX384" s="6">
        <f>[1]Results!BA116</f>
        <v>509.17439389999998</v>
      </c>
      <c r="AY384" s="6">
        <f>[1]Results!BB116</f>
        <v>503.19966909999999</v>
      </c>
      <c r="AZ384" s="6">
        <f>[1]Results!BC116</f>
        <v>497.28070129999998</v>
      </c>
      <c r="BA384" s="6">
        <f>[1]Results!BD116</f>
        <v>491.41716079999998</v>
      </c>
      <c r="BB384" s="6">
        <f>[1]Results!BE116</f>
        <v>627.43126419999999</v>
      </c>
      <c r="BC384" s="6">
        <f>[1]Results!BF116</f>
        <v>623.80247299999996</v>
      </c>
      <c r="BD384" s="6">
        <f>[1]Results!BG116</f>
        <v>620.1914491</v>
      </c>
      <c r="BE384" s="6">
        <f>[1]Results!BH116</f>
        <v>616.59806479999997</v>
      </c>
      <c r="BF384" s="6">
        <f>[1]Results!BI116</f>
        <v>613.02212169999996</v>
      </c>
    </row>
    <row r="385" spans="1:58" x14ac:dyDescent="0.35">
      <c r="B385" t="s">
        <v>62</v>
      </c>
      <c r="C385" s="6">
        <f>[1]Results!F117</f>
        <v>139.85209269999999</v>
      </c>
      <c r="D385" s="6">
        <f>[1]Results!G117</f>
        <v>137.95469990000001</v>
      </c>
      <c r="E385" s="6">
        <f>[1]Results!H117</f>
        <v>136.090194</v>
      </c>
      <c r="F385" s="6">
        <f>[1]Results!I117</f>
        <v>134.2599659</v>
      </c>
      <c r="G385" s="6">
        <f>[1]Results!J117</f>
        <v>132.46626599999999</v>
      </c>
      <c r="H385" s="6">
        <f>[1]Results!K117</f>
        <v>130.70855739999999</v>
      </c>
      <c r="I385" s="6">
        <f>[1]Results!L117</f>
        <v>128.98414840000001</v>
      </c>
      <c r="J385" s="6">
        <f>[1]Results!M117</f>
        <v>127.2892895</v>
      </c>
      <c r="K385" s="6">
        <f>[1]Results!N117</f>
        <v>125.61957390000001</v>
      </c>
      <c r="L385" s="6">
        <f>[1]Results!O117</f>
        <v>123.9713143</v>
      </c>
      <c r="M385" s="6">
        <f>[1]Results!P117</f>
        <v>122.34151300000001</v>
      </c>
      <c r="N385" s="6">
        <f>[1]Results!Q117</f>
        <v>120.7279444</v>
      </c>
      <c r="O385" s="6">
        <f>[1]Results!R117</f>
        <v>119.1298493</v>
      </c>
      <c r="P385" s="6">
        <f>[1]Results!S117</f>
        <v>117.54580850000001</v>
      </c>
      <c r="Q385" s="6">
        <f>[1]Results!T117</f>
        <v>115.9752065</v>
      </c>
      <c r="R385" s="6">
        <f>[1]Results!U117</f>
        <v>114.41786829999999</v>
      </c>
      <c r="S385" s="6">
        <f>[1]Results!V117</f>
        <v>112.873925</v>
      </c>
      <c r="T385" s="6">
        <f>[1]Results!W117</f>
        <v>111.3437519</v>
      </c>
      <c r="U385" s="6">
        <f>[1]Results!X117</f>
        <v>109.8279165</v>
      </c>
      <c r="V385" s="6">
        <f>[1]Results!Y117</f>
        <v>108.3271187</v>
      </c>
      <c r="W385" s="6">
        <f>[1]Results!Z117</f>
        <v>106.8421519</v>
      </c>
      <c r="X385" s="6">
        <f>[1]Results!AA117</f>
        <v>105.3737979</v>
      </c>
      <c r="Y385" s="6">
        <f>[1]Results!AB117</f>
        <v>103.92236509999999</v>
      </c>
      <c r="Z385" s="6">
        <f>[1]Results!AC117</f>
        <v>102.4887401</v>
      </c>
      <c r="AA385" s="6">
        <f>[1]Results!AD117</f>
        <v>101.0735119</v>
      </c>
      <c r="AB385" s="6">
        <f>[1]Results!AE117</f>
        <v>99.677167119999993</v>
      </c>
      <c r="AC385" s="6">
        <f>[1]Results!AF117</f>
        <v>98.300036090000006</v>
      </c>
      <c r="AD385" s="6">
        <f>[1]Results!AG117</f>
        <v>96.941279019999996</v>
      </c>
      <c r="AE385" s="6">
        <f>[1]Results!AH117</f>
        <v>95.601091179999997</v>
      </c>
      <c r="AF385" s="6">
        <f>[1]Results!AI117</f>
        <v>94.279412699999995</v>
      </c>
      <c r="AG385" s="6">
        <f>[1]Results!AJ117</f>
        <v>92.976109100000002</v>
      </c>
      <c r="AH385" s="6">
        <f>[1]Results!AK117</f>
        <v>91.691029279999995</v>
      </c>
      <c r="AI385" s="6">
        <f>[1]Results!AL117</f>
        <v>90.424004170000003</v>
      </c>
      <c r="AJ385" s="6">
        <f>[1]Results!AM117</f>
        <v>89.174825380000001</v>
      </c>
      <c r="AK385" s="6">
        <f>[1]Results!AN117</f>
        <v>87.943226300000006</v>
      </c>
      <c r="AL385" s="6">
        <f>[1]Results!AO117</f>
        <v>86.728874689999998</v>
      </c>
      <c r="AM385" s="6">
        <f>[1]Results!AP117</f>
        <v>85.53138903</v>
      </c>
      <c r="AN385" s="6">
        <f>[1]Results!AQ117</f>
        <v>84.350344860000007</v>
      </c>
      <c r="AO385" s="6">
        <f>[1]Results!AR117</f>
        <v>83.185118540000005</v>
      </c>
      <c r="AP385" s="6">
        <f>[1]Results!AS117</f>
        <v>82.03519129</v>
      </c>
      <c r="AQ385" s="6">
        <f>[1]Results!AT117</f>
        <v>80.900091649999993</v>
      </c>
      <c r="AR385" s="6">
        <f>[1]Results!AU117</f>
        <v>79.779398630000003</v>
      </c>
      <c r="AS385" s="6">
        <f>[1]Results!AV117</f>
        <v>78.672752579999994</v>
      </c>
      <c r="AT385" s="6">
        <f>[1]Results!AW117</f>
        <v>77.579857250000003</v>
      </c>
      <c r="AU385" s="6">
        <f>[1]Results!AX117</f>
        <v>76.500472119999998</v>
      </c>
      <c r="AV385" s="6">
        <f>[1]Results!AY117</f>
        <v>75.434399319999997</v>
      </c>
      <c r="AW385" s="6">
        <f>[1]Results!AZ117</f>
        <v>74.38146888</v>
      </c>
      <c r="AX385" s="6">
        <f>[1]Results!BA117</f>
        <v>73.341527360000001</v>
      </c>
      <c r="AY385" s="6">
        <f>[1]Results!BB117</f>
        <v>72.314441439999996</v>
      </c>
      <c r="AZ385" s="6">
        <f>[1]Results!BC117</f>
        <v>71.30007406</v>
      </c>
      <c r="BA385" s="6">
        <f>[1]Results!BD117</f>
        <v>70.298287830000007</v>
      </c>
      <c r="BB385" s="6">
        <f>[1]Results!BE117</f>
        <v>71.569973329999996</v>
      </c>
      <c r="BC385" s="6">
        <f>[1]Results!BF117</f>
        <v>70.642954649999993</v>
      </c>
      <c r="BD385" s="6">
        <f>[1]Results!BG117</f>
        <v>69.727825420000002</v>
      </c>
      <c r="BE385" s="6">
        <f>[1]Results!BH117</f>
        <v>68.824426950000003</v>
      </c>
      <c r="BF385" s="6">
        <f>[1]Results!BI117</f>
        <v>67.932590059999995</v>
      </c>
    </row>
    <row r="386" spans="1:58" x14ac:dyDescent="0.35">
      <c r="B386" t="s">
        <v>63</v>
      </c>
      <c r="C386" s="6">
        <f>[1]Results!F118</f>
        <v>3.874567114</v>
      </c>
      <c r="D386" s="6">
        <f>[1]Results!G118</f>
        <v>3.7241786700000001</v>
      </c>
      <c r="E386" s="6">
        <f>[1]Results!H118</f>
        <v>3.5806033149999998</v>
      </c>
      <c r="F386" s="6">
        <f>[1]Results!I118</f>
        <v>3.4436508790000002</v>
      </c>
      <c r="G386" s="6">
        <f>[1]Results!J118</f>
        <v>3.3132280110000001</v>
      </c>
      <c r="H386" s="6">
        <f>[1]Results!K118</f>
        <v>3.1890435749999999</v>
      </c>
      <c r="I386" s="6">
        <f>[1]Results!L118</f>
        <v>3.070666546</v>
      </c>
      <c r="J386" s="6">
        <f>[1]Results!M118</f>
        <v>2.9576135360000002</v>
      </c>
      <c r="K386" s="6">
        <f>[1]Results!N118</f>
        <v>2.849378545</v>
      </c>
      <c r="L386" s="6">
        <f>[1]Results!O118</f>
        <v>2.745533226</v>
      </c>
      <c r="M386" s="6">
        <f>[1]Results!P118</f>
        <v>2.6457183240000002</v>
      </c>
      <c r="N386" s="6">
        <f>[1]Results!Q118</f>
        <v>2.5496446050000001</v>
      </c>
      <c r="O386" s="6">
        <f>[1]Results!R118</f>
        <v>2.4571336050000001</v>
      </c>
      <c r="P386" s="6">
        <f>[1]Results!S118</f>
        <v>2.367970342</v>
      </c>
      <c r="Q386" s="6">
        <f>[1]Results!T118</f>
        <v>2.281999248</v>
      </c>
      <c r="R386" s="6">
        <f>[1]Results!U118</f>
        <v>2.1990968460000002</v>
      </c>
      <c r="S386" s="6">
        <f>[1]Results!V118</f>
        <v>2.1191610590000001</v>
      </c>
      <c r="T386" s="6">
        <f>[1]Results!W118</f>
        <v>2.042105829</v>
      </c>
      <c r="U386" s="6">
        <f>[1]Results!X118</f>
        <v>1.967856922</v>
      </c>
      <c r="V386" s="6">
        <f>[1]Results!Y118</f>
        <v>1.896347902</v>
      </c>
      <c r="W386" s="6">
        <f>[1]Results!Z118</f>
        <v>1.827517718</v>
      </c>
      <c r="X386" s="6">
        <f>[1]Results!AA118</f>
        <v>1.761304966</v>
      </c>
      <c r="Y386" s="6">
        <f>[1]Results!AB118</f>
        <v>1.6976248860000001</v>
      </c>
      <c r="Z386" s="6">
        <f>[1]Results!AC118</f>
        <v>1.6364238959999999</v>
      </c>
      <c r="AA386" s="6">
        <f>[1]Results!AD118</f>
        <v>1.5776350699999999</v>
      </c>
      <c r="AB386" s="6">
        <f>[1]Results!AE118</f>
        <v>1.521188843</v>
      </c>
      <c r="AC386" s="6">
        <f>[1]Results!AF118</f>
        <v>1.46701072</v>
      </c>
      <c r="AD386" s="6">
        <f>[1]Results!AG118</f>
        <v>1.4149761190000001</v>
      </c>
      <c r="AE386" s="6">
        <f>[1]Results!AH118</f>
        <v>1.3650119679999999</v>
      </c>
      <c r="AF386" s="6">
        <f>[1]Results!AI118</f>
        <v>1.3170373179999999</v>
      </c>
      <c r="AG386" s="6">
        <f>[1]Results!AJ118</f>
        <v>1.2709717970000001</v>
      </c>
      <c r="AH386" s="6">
        <f>[1]Results!AK118</f>
        <v>1.226738119</v>
      </c>
      <c r="AI386" s="6">
        <f>[1]Results!AL118</f>
        <v>1.184261923</v>
      </c>
      <c r="AJ386" s="6">
        <f>[1]Results!AM118</f>
        <v>1.143470827</v>
      </c>
      <c r="AK386" s="6">
        <f>[1]Results!AN118</f>
        <v>1.104293639</v>
      </c>
      <c r="AL386" s="6">
        <f>[1]Results!AO118</f>
        <v>1.0666600580000001</v>
      </c>
      <c r="AM386" s="6">
        <f>[1]Results!AP118</f>
        <v>1.0305012680000001</v>
      </c>
      <c r="AN386" s="6">
        <f>[1]Results!AQ118</f>
        <v>0.99575006210000006</v>
      </c>
      <c r="AO386" s="6">
        <f>[1]Results!AR118</f>
        <v>0.96233518279999997</v>
      </c>
      <c r="AP386" s="6">
        <f>[1]Results!AS118</f>
        <v>0.93019223210000002</v>
      </c>
      <c r="AQ386" s="6">
        <f>[1]Results!AT118</f>
        <v>0.89926126679999996</v>
      </c>
      <c r="AR386" s="6">
        <f>[1]Results!AU118</f>
        <v>0.86948663589999997</v>
      </c>
      <c r="AS386" s="6">
        <f>[1]Results!AV118</f>
        <v>0.84081707400000005</v>
      </c>
      <c r="AT386" s="6">
        <f>[1]Results!AW118</f>
        <v>0.81320549490000005</v>
      </c>
      <c r="AU386" s="6">
        <f>[1]Results!AX118</f>
        <v>0.78660849089999996</v>
      </c>
      <c r="AV386" s="6">
        <f>[1]Results!AY118</f>
        <v>0.76098570389999998</v>
      </c>
      <c r="AW386" s="6">
        <f>[1]Results!AZ118</f>
        <v>0.73629919830000001</v>
      </c>
      <c r="AX386" s="6">
        <f>[1]Results!BA118</f>
        <v>0.71251298819999997</v>
      </c>
      <c r="AY386" s="6">
        <f>[1]Results!BB118</f>
        <v>0.68959303279999995</v>
      </c>
      <c r="AZ386" s="6">
        <f>[1]Results!BC118</f>
        <v>0.66750645610000003</v>
      </c>
      <c r="BA386" s="6">
        <f>[1]Results!BD118</f>
        <v>0.6462215872</v>
      </c>
      <c r="BB386" s="6">
        <f>[1]Results!BE118</f>
        <v>0.67613615360000001</v>
      </c>
      <c r="BC386" s="6">
        <f>[1]Results!BF118</f>
        <v>0.65614706970000003</v>
      </c>
      <c r="BD386" s="6">
        <f>[1]Results!BG118</f>
        <v>0.6368516139</v>
      </c>
      <c r="BE386" s="6">
        <f>[1]Results!BH118</f>
        <v>0.61822360580000002</v>
      </c>
      <c r="BF386" s="6">
        <f>[1]Results!BI118</f>
        <v>0.6002375418</v>
      </c>
    </row>
    <row r="388" spans="1:58" x14ac:dyDescent="0.35">
      <c r="A388" s="12" t="s">
        <v>92</v>
      </c>
      <c r="B388" s="6" t="str">
        <f>[1]Emissions!A830</f>
        <v>ems_ci_co2_sagr_2</v>
      </c>
      <c r="C388" s="6">
        <f>[1]Emissions!B830</f>
        <v>14.035820940000001</v>
      </c>
      <c r="D388" s="6">
        <f>[1]Emissions!C830</f>
        <v>14.10172073</v>
      </c>
      <c r="E388" s="6">
        <f>[1]Emissions!D830</f>
        <v>14.209958609999999</v>
      </c>
      <c r="F388" s="6">
        <f>[1]Emissions!E830</f>
        <v>14.33832859</v>
      </c>
      <c r="G388" s="6">
        <f>[1]Emissions!F830</f>
        <v>14.47409577</v>
      </c>
      <c r="H388" s="6">
        <f>[1]Emissions!G830</f>
        <v>14.607061679999999</v>
      </c>
      <c r="I388" s="6">
        <f>[1]Emissions!H830</f>
        <v>14.719486160000001</v>
      </c>
      <c r="J388" s="6">
        <f>[1]Emissions!I830</f>
        <v>14.81088999</v>
      </c>
      <c r="K388" s="6">
        <f>[1]Emissions!J830</f>
        <v>14.88354389</v>
      </c>
      <c r="L388" s="6">
        <f>[1]Emissions!K830</f>
        <v>14.94119686</v>
      </c>
      <c r="M388" s="6">
        <f>[1]Emissions!L830</f>
        <v>15.005727970000001</v>
      </c>
      <c r="N388" s="6">
        <f>[1]Emissions!M830</f>
        <v>15.05846258</v>
      </c>
      <c r="O388" s="6">
        <f>[1]Emissions!N830</f>
        <v>15.104658049999999</v>
      </c>
      <c r="P388" s="6">
        <f>[1]Emissions!O830</f>
        <v>15.150131139999999</v>
      </c>
      <c r="Q388" s="6">
        <f>[1]Emissions!P830</f>
        <v>15.19892896</v>
      </c>
      <c r="R388" s="6">
        <f>[1]Emissions!Q830</f>
        <v>15.25344552</v>
      </c>
      <c r="S388" s="6">
        <f>[1]Emissions!R830</f>
        <v>15.315581099999999</v>
      </c>
      <c r="T388" s="6">
        <f>[1]Emissions!S830</f>
        <v>15.384291729999999</v>
      </c>
      <c r="U388" s="6">
        <f>[1]Emissions!T830</f>
        <v>15.45864783</v>
      </c>
      <c r="V388" s="6">
        <f>[1]Emissions!U830</f>
        <v>15.537384530000001</v>
      </c>
      <c r="W388" s="6">
        <f>[1]Emissions!V830</f>
        <v>15.60767074</v>
      </c>
      <c r="X388" s="6">
        <f>[1]Emissions!W830</f>
        <v>15.68414595</v>
      </c>
      <c r="Y388" s="6">
        <f>[1]Emissions!X830</f>
        <v>15.764631339999999</v>
      </c>
      <c r="Z388" s="6">
        <f>[1]Emissions!Y830</f>
        <v>15.84664482</v>
      </c>
      <c r="AA388" s="6">
        <f>[1]Emissions!Z830</f>
        <v>15.92842856</v>
      </c>
      <c r="AB388" s="6">
        <f>[1]Emissions!AA830</f>
        <v>15.977558760000001</v>
      </c>
      <c r="AC388" s="6">
        <f>[1]Emissions!AB830</f>
        <v>16.02233575</v>
      </c>
      <c r="AD388" s="6">
        <f>[1]Emissions!AC830</f>
        <v>16.066613870000001</v>
      </c>
      <c r="AE388" s="6">
        <f>[1]Emissions!AD830</f>
        <v>16.111415879999999</v>
      </c>
      <c r="AF388" s="6">
        <f>[1]Emissions!AE830</f>
        <v>16.157241590000002</v>
      </c>
      <c r="AG388" s="6">
        <f>[1]Emissions!AF830</f>
        <v>16.204282760000002</v>
      </c>
      <c r="AH388" s="6">
        <f>[1]Emissions!AG830</f>
        <v>16.252214859999999</v>
      </c>
      <c r="AI388" s="6">
        <f>[1]Emissions!AH830</f>
        <v>16.301226620000001</v>
      </c>
      <c r="AJ388" s="6">
        <f>[1]Emissions!AI830</f>
        <v>16.351201679999999</v>
      </c>
      <c r="AK388" s="6">
        <f>[1]Emissions!AJ830</f>
        <v>16.402014959999999</v>
      </c>
      <c r="AL388" s="6">
        <f>[1]Emissions!AK830</f>
        <v>16.453595880000002</v>
      </c>
      <c r="AM388" s="6">
        <f>[1]Emissions!AL830</f>
        <v>16.496417869999998</v>
      </c>
      <c r="AN388" s="6">
        <f>[1]Emissions!AM830</f>
        <v>16.536381909999999</v>
      </c>
      <c r="AO388" s="6">
        <f>[1]Emissions!AN830</f>
        <v>16.576219559999998</v>
      </c>
      <c r="AP388" s="6">
        <f>[1]Emissions!AO830</f>
        <v>16.617358899999999</v>
      </c>
      <c r="AQ388" s="6">
        <f>[1]Emissions!AP830</f>
        <v>16.660467860000001</v>
      </c>
      <c r="AR388" s="6">
        <f>[1]Emissions!AQ830</f>
        <v>16.705235859999998</v>
      </c>
      <c r="AS388" s="6">
        <f>[1]Emissions!AR830</f>
        <v>16.75202548</v>
      </c>
      <c r="AT388" s="6">
        <f>[1]Emissions!AS830</f>
        <v>16.800561160000001</v>
      </c>
      <c r="AU388" s="6">
        <f>[1]Emissions!AT830</f>
        <v>16.850403490000001</v>
      </c>
      <c r="AV388" s="6">
        <f>[1]Emissions!AU830</f>
        <v>16.901083929999999</v>
      </c>
      <c r="AW388" s="6">
        <f>[1]Emissions!AV830</f>
        <v>16.95103091</v>
      </c>
      <c r="AX388" s="6">
        <f>[1]Emissions!AW830</f>
        <v>17.001521650000001</v>
      </c>
      <c r="AY388" s="6">
        <f>[1]Emissions!AX830</f>
        <v>17.050553140000002</v>
      </c>
      <c r="AZ388" s="6">
        <f>[1]Emissions!AY830</f>
        <v>17.168042849999999</v>
      </c>
      <c r="BA388" s="6">
        <f>[1]Emissions!AZ830</f>
        <v>17.18116861</v>
      </c>
      <c r="BB388" s="6">
        <f>[1]Emissions!BA830</f>
        <v>32.314755179999999</v>
      </c>
      <c r="BC388" s="6">
        <f>[1]Emissions!BB830</f>
        <v>32.851295200000003</v>
      </c>
      <c r="BD388" s="6">
        <f>[1]Emissions!BC830</f>
        <v>33.39604851</v>
      </c>
      <c r="BE388" s="6">
        <f>[1]Emissions!BD830</f>
        <v>33.949292190000001</v>
      </c>
      <c r="BF388" s="6">
        <f>[1]Emissions!BE830</f>
        <v>34.511300030000001</v>
      </c>
    </row>
    <row r="389" spans="1:58" x14ac:dyDescent="0.35">
      <c r="A389" t="s">
        <v>39</v>
      </c>
      <c r="B389" s="6" t="str">
        <f>[1]Emissions!A832</f>
        <v>ems_ci_co2_sfor_2</v>
      </c>
      <c r="C389" s="6">
        <f>[1]Emissions!B832</f>
        <v>0.57820482679999996</v>
      </c>
      <c r="D389" s="6">
        <f>[1]Emissions!C832</f>
        <v>0.57769101359999997</v>
      </c>
      <c r="E389" s="6">
        <f>[1]Emissions!D832</f>
        <v>0.57192337810000005</v>
      </c>
      <c r="F389" s="6">
        <f>[1]Emissions!E832</f>
        <v>0.56683788099999999</v>
      </c>
      <c r="G389" s="6">
        <f>[1]Emissions!F832</f>
        <v>0.56348412449999996</v>
      </c>
      <c r="H389" s="6">
        <f>[1]Emissions!G832</f>
        <v>0.56196564169999996</v>
      </c>
      <c r="I389" s="6">
        <f>[1]Emissions!H832</f>
        <v>0.56190876180000005</v>
      </c>
      <c r="J389" s="6">
        <f>[1]Emissions!I832</f>
        <v>0.56304429300000003</v>
      </c>
      <c r="K389" s="6">
        <f>[1]Emissions!J832</f>
        <v>0.56509740210000003</v>
      </c>
      <c r="L389" s="6">
        <f>[1]Emissions!K832</f>
        <v>0.56779777369999995</v>
      </c>
      <c r="M389" s="6">
        <f>[1]Emissions!L832</f>
        <v>0.57124524970000001</v>
      </c>
      <c r="N389" s="6">
        <f>[1]Emissions!M832</f>
        <v>0.57490588030000001</v>
      </c>
      <c r="O389" s="6">
        <f>[1]Emissions!N832</f>
        <v>0.57852755479999995</v>
      </c>
      <c r="P389" s="6">
        <f>[1]Emissions!O832</f>
        <v>0.58208095019999995</v>
      </c>
      <c r="Q389" s="6">
        <f>[1]Emissions!P832</f>
        <v>0.58555488879999995</v>
      </c>
      <c r="R389" s="6">
        <f>[1]Emissions!Q832</f>
        <v>0.58894589379999995</v>
      </c>
      <c r="S389" s="6">
        <f>[1]Emissions!R832</f>
        <v>0.59243648660000003</v>
      </c>
      <c r="T389" s="6">
        <f>[1]Emissions!S832</f>
        <v>0.59586033390000004</v>
      </c>
      <c r="U389" s="6">
        <f>[1]Emissions!T832</f>
        <v>0.59923039450000004</v>
      </c>
      <c r="V389" s="6">
        <f>[1]Emissions!U832</f>
        <v>0.60257817189999996</v>
      </c>
      <c r="W389" s="6">
        <f>[1]Emissions!V832</f>
        <v>0.60566934029999997</v>
      </c>
      <c r="X389" s="6">
        <f>[1]Emissions!W832</f>
        <v>0.60889802250000002</v>
      </c>
      <c r="Y389" s="6">
        <f>[1]Emissions!X832</f>
        <v>0.61225890490000001</v>
      </c>
      <c r="Z389" s="6">
        <f>[1]Emissions!Y832</f>
        <v>0.61573434869999999</v>
      </c>
      <c r="AA389" s="6">
        <f>[1]Emissions!Z832</f>
        <v>0.61932626739999996</v>
      </c>
      <c r="AB389" s="6">
        <f>[1]Emissions!AA832</f>
        <v>0.62228788069999996</v>
      </c>
      <c r="AC389" s="6">
        <f>[1]Emissions!AB832</f>
        <v>0.62524330949999996</v>
      </c>
      <c r="AD389" s="6">
        <f>[1]Emissions!AC832</f>
        <v>0.62834093130000002</v>
      </c>
      <c r="AE389" s="6">
        <f>[1]Emissions!AD832</f>
        <v>0.63157524620000005</v>
      </c>
      <c r="AF389" s="6">
        <f>[1]Emissions!AE832</f>
        <v>0.63494237139999998</v>
      </c>
      <c r="AG389" s="6">
        <f>[1]Emissions!AF832</f>
        <v>0.63844794839999996</v>
      </c>
      <c r="AH389" s="6">
        <f>[1]Emissions!AG832</f>
        <v>0.64204863339999996</v>
      </c>
      <c r="AI389" s="6">
        <f>[1]Emissions!AH832</f>
        <v>0.64580801460000004</v>
      </c>
      <c r="AJ389" s="6">
        <f>[1]Emissions!AI832</f>
        <v>0.64973716770000001</v>
      </c>
      <c r="AK389" s="6">
        <f>[1]Emissions!AJ832</f>
        <v>0.65383925610000004</v>
      </c>
      <c r="AL389" s="6">
        <f>[1]Emissions!AK832</f>
        <v>0.65811454140000003</v>
      </c>
      <c r="AM389" s="6">
        <f>[1]Emissions!AL832</f>
        <v>0.66187278329999999</v>
      </c>
      <c r="AN389" s="6">
        <f>[1]Emissions!AM832</f>
        <v>0.66569334040000006</v>
      </c>
      <c r="AO389" s="6">
        <f>[1]Emissions!AN832</f>
        <v>0.66964892440000001</v>
      </c>
      <c r="AP389" s="6">
        <f>[1]Emissions!AO832</f>
        <v>0.67374001589999999</v>
      </c>
      <c r="AQ389" s="6">
        <f>[1]Emissions!AP832</f>
        <v>0.67795860640000005</v>
      </c>
      <c r="AR389" s="6">
        <f>[1]Emissions!AQ832</f>
        <v>0.68221129570000005</v>
      </c>
      <c r="AS389" s="6">
        <f>[1]Emissions!AR832</f>
        <v>0.68658054729999995</v>
      </c>
      <c r="AT389" s="6">
        <f>[1]Emissions!AS832</f>
        <v>0.69107033890000003</v>
      </c>
      <c r="AU389" s="6">
        <f>[1]Emissions!AT832</f>
        <v>0.69567753970000001</v>
      </c>
      <c r="AV389" s="6">
        <f>[1]Emissions!AU832</f>
        <v>0.70039941930000005</v>
      </c>
      <c r="AW389" s="6">
        <f>[1]Emissions!AV832</f>
        <v>0.70493578339999996</v>
      </c>
      <c r="AX389" s="6">
        <f>[1]Emissions!AW832</f>
        <v>0.70958595810000002</v>
      </c>
      <c r="AY389" s="6">
        <f>[1]Emissions!AX832</f>
        <v>0.73059433519999994</v>
      </c>
      <c r="AZ389" s="6">
        <f>[1]Emissions!AY832</f>
        <v>0.79032875410000003</v>
      </c>
      <c r="BA389" s="6">
        <f>[1]Emissions!AZ832</f>
        <v>0.79837083779999996</v>
      </c>
      <c r="BB389" s="6">
        <f>[1]Emissions!BA832</f>
        <v>0.66328333900000003</v>
      </c>
      <c r="BC389" s="6">
        <f>[1]Emissions!BB832</f>
        <v>0.66823135369999997</v>
      </c>
      <c r="BD389" s="6">
        <f>[1]Emissions!BC832</f>
        <v>0.67327790379999997</v>
      </c>
      <c r="BE389" s="6">
        <f>[1]Emissions!BD832</f>
        <v>0.67842593929999995</v>
      </c>
      <c r="BF389" s="6">
        <f>[1]Emissions!BE832</f>
        <v>0.68367935170000005</v>
      </c>
    </row>
    <row r="390" spans="1:58" x14ac:dyDescent="0.35">
      <c r="B390" s="6" t="str">
        <f>[1]Emissions!A834</f>
        <v>ems_ci_co2_sfoo_2</v>
      </c>
      <c r="C390" s="6">
        <f>[1]Emissions!B834</f>
        <v>8.595684382</v>
      </c>
      <c r="D390" s="6">
        <f>[1]Emissions!C834</f>
        <v>8.6036418470000005</v>
      </c>
      <c r="E390" s="6">
        <f>[1]Emissions!D834</f>
        <v>8.6260107680000004</v>
      </c>
      <c r="F390" s="6">
        <f>[1]Emissions!E834</f>
        <v>8.6588455129999993</v>
      </c>
      <c r="G390" s="6">
        <f>[1]Emissions!F834</f>
        <v>8.7016161519999997</v>
      </c>
      <c r="H390" s="6">
        <f>[1]Emissions!G834</f>
        <v>8.7521886169999998</v>
      </c>
      <c r="I390" s="6">
        <f>[1]Emissions!H834</f>
        <v>8.8012161090000003</v>
      </c>
      <c r="J390" s="6">
        <f>[1]Emissions!I834</f>
        <v>8.8482298830000001</v>
      </c>
      <c r="K390" s="6">
        <f>[1]Emissions!J834</f>
        <v>8.8929850049999999</v>
      </c>
      <c r="L390" s="6">
        <f>[1]Emissions!K834</f>
        <v>8.9353663440000002</v>
      </c>
      <c r="M390" s="6">
        <f>[1]Emissions!L834</f>
        <v>8.9859675649999993</v>
      </c>
      <c r="N390" s="6">
        <f>[1]Emissions!M834</f>
        <v>9.0303521339999993</v>
      </c>
      <c r="O390" s="6">
        <f>[1]Emissions!N834</f>
        <v>9.0703213030000001</v>
      </c>
      <c r="P390" s="6">
        <f>[1]Emissions!O834</f>
        <v>9.1078199259999995</v>
      </c>
      <c r="Q390" s="6">
        <f>[1]Emissions!P834</f>
        <v>9.1440737179999996</v>
      </c>
      <c r="R390" s="6">
        <f>[1]Emissions!Q834</f>
        <v>9.1797959050000006</v>
      </c>
      <c r="S390" s="6">
        <f>[1]Emissions!R834</f>
        <v>9.2149756249999992</v>
      </c>
      <c r="T390" s="6">
        <f>[1]Emissions!S834</f>
        <v>9.2499284339999992</v>
      </c>
      <c r="U390" s="6">
        <f>[1]Emissions!T834</f>
        <v>9.284660637</v>
      </c>
      <c r="V390" s="6">
        <f>[1]Emissions!U834</f>
        <v>9.3191043929999999</v>
      </c>
      <c r="W390" s="6">
        <f>[1]Emissions!V834</f>
        <v>9.3463020500000002</v>
      </c>
      <c r="X390" s="6">
        <f>[1]Emissions!W834</f>
        <v>9.3759546670000002</v>
      </c>
      <c r="Y390" s="6">
        <f>[1]Emissions!X834</f>
        <v>9.4073556010000008</v>
      </c>
      <c r="Z390" s="6">
        <f>[1]Emissions!Y834</f>
        <v>9.4396794019999994</v>
      </c>
      <c r="AA390" s="6">
        <f>[1]Emissions!Z834</f>
        <v>9.4724989040000001</v>
      </c>
      <c r="AB390" s="6">
        <f>[1]Emissions!AA834</f>
        <v>9.4868968729999992</v>
      </c>
      <c r="AC390" s="6">
        <f>[1]Emissions!AB834</f>
        <v>9.5006428150000009</v>
      </c>
      <c r="AD390" s="6">
        <f>[1]Emissions!AC834</f>
        <v>9.5153287990000006</v>
      </c>
      <c r="AE390" s="6">
        <f>[1]Emissions!AD834</f>
        <v>9.5312812529999995</v>
      </c>
      <c r="AF390" s="6">
        <f>[1]Emissions!AE834</f>
        <v>9.5486597700000004</v>
      </c>
      <c r="AG390" s="6">
        <f>[1]Emissions!AF834</f>
        <v>9.5674960920000007</v>
      </c>
      <c r="AH390" s="6">
        <f>[1]Emissions!AG834</f>
        <v>9.5877732130000002</v>
      </c>
      <c r="AI390" s="6">
        <f>[1]Emissions!AH834</f>
        <v>9.6093218930000006</v>
      </c>
      <c r="AJ390" s="6">
        <f>[1]Emissions!AI834</f>
        <v>9.6319650679999995</v>
      </c>
      <c r="AK390" s="6">
        <f>[1]Emissions!AJ834</f>
        <v>9.6555258909999999</v>
      </c>
      <c r="AL390" s="6">
        <f>[1]Emissions!AK834</f>
        <v>9.6798469279999999</v>
      </c>
      <c r="AM390" s="6">
        <f>[1]Emissions!AL834</f>
        <v>9.7013161189999995</v>
      </c>
      <c r="AN390" s="6">
        <f>[1]Emissions!AM834</f>
        <v>9.7213257629999994</v>
      </c>
      <c r="AO390" s="6">
        <f>[1]Emissions!AN834</f>
        <v>9.7410241129999999</v>
      </c>
      <c r="AP390" s="6">
        <f>[1]Emissions!AO834</f>
        <v>9.7610461710000003</v>
      </c>
      <c r="AQ390" s="6">
        <f>[1]Emissions!AP834</f>
        <v>9.7816976570000005</v>
      </c>
      <c r="AR390" s="6">
        <f>[1]Emissions!AQ834</f>
        <v>9.8031547529999994</v>
      </c>
      <c r="AS390" s="6">
        <f>[1]Emissions!AR834</f>
        <v>9.8253927870000002</v>
      </c>
      <c r="AT390" s="6">
        <f>[1]Emissions!AS834</f>
        <v>9.8483448239999998</v>
      </c>
      <c r="AU390" s="6">
        <f>[1]Emissions!AT834</f>
        <v>9.8719132530000007</v>
      </c>
      <c r="AV390" s="6">
        <f>[1]Emissions!AU834</f>
        <v>9.89599327</v>
      </c>
      <c r="AW390" s="6">
        <f>[1]Emissions!AV834</f>
        <v>9.9210151</v>
      </c>
      <c r="AX390" s="6">
        <f>[1]Emissions!AW834</f>
        <v>9.9467370069999994</v>
      </c>
      <c r="AY390" s="6">
        <f>[1]Emissions!AX834</f>
        <v>10.23461513</v>
      </c>
      <c r="AZ390" s="6">
        <f>[1]Emissions!AY834</f>
        <v>10.94418806</v>
      </c>
      <c r="BA390" s="6">
        <f>[1]Emissions!AZ834</f>
        <v>11.02530741</v>
      </c>
      <c r="BB390" s="6">
        <f>[1]Emissions!BA834</f>
        <v>19.880422360000001</v>
      </c>
      <c r="BC390" s="6">
        <f>[1]Emissions!BB834</f>
        <v>20.200756160000001</v>
      </c>
      <c r="BD390" s="6">
        <f>[1]Emissions!BC834</f>
        <v>20.52564692</v>
      </c>
      <c r="BE390" s="6">
        <f>[1]Emissions!BD834</f>
        <v>20.855267479999998</v>
      </c>
      <c r="BF390" s="6">
        <f>[1]Emissions!BE834</f>
        <v>21.189792629999999</v>
      </c>
    </row>
    <row r="391" spans="1:58" x14ac:dyDescent="0.35">
      <c r="B391" s="6" t="str">
        <f>[1]Emissions!A836</f>
        <v>ems_ci_co2_sveh_2</v>
      </c>
      <c r="C391" s="6">
        <f>[1]Emissions!B836</f>
        <v>1.0380823379999999</v>
      </c>
      <c r="D391" s="6">
        <f>[1]Emissions!C836</f>
        <v>1.0063240120000001</v>
      </c>
      <c r="E391" s="6">
        <f>[1]Emissions!D836</f>
        <v>0.98485914100000005</v>
      </c>
      <c r="F391" s="6">
        <f>[1]Emissions!E836</f>
        <v>0.97698222450000005</v>
      </c>
      <c r="G391" s="6">
        <f>[1]Emissions!F836</f>
        <v>0.98576075119999995</v>
      </c>
      <c r="H391" s="6">
        <f>[1]Emissions!G836</f>
        <v>1.011381026</v>
      </c>
      <c r="I391" s="6">
        <f>[1]Emissions!H836</f>
        <v>1.0514459920000001</v>
      </c>
      <c r="J391" s="6">
        <f>[1]Emissions!I836</f>
        <v>1.102721751</v>
      </c>
      <c r="K391" s="6">
        <f>[1]Emissions!J836</f>
        <v>1.1617246020000001</v>
      </c>
      <c r="L391" s="6">
        <f>[1]Emissions!K836</f>
        <v>1.224632559</v>
      </c>
      <c r="M391" s="6">
        <f>[1]Emissions!L836</f>
        <v>1.2888791500000001</v>
      </c>
      <c r="N391" s="6">
        <f>[1]Emissions!M836</f>
        <v>1.3502914349999999</v>
      </c>
      <c r="O391" s="6">
        <f>[1]Emissions!N836</f>
        <v>1.40547321</v>
      </c>
      <c r="P391" s="6">
        <f>[1]Emissions!O836</f>
        <v>1.4527811589999999</v>
      </c>
      <c r="Q391" s="6">
        <f>[1]Emissions!P836</f>
        <v>1.491260553</v>
      </c>
      <c r="R391" s="6">
        <f>[1]Emissions!Q836</f>
        <v>1.520666286</v>
      </c>
      <c r="S391" s="6">
        <f>[1]Emissions!R836</f>
        <v>1.5412702300000001</v>
      </c>
      <c r="T391" s="6">
        <f>[1]Emissions!S836</f>
        <v>1.5540008569999999</v>
      </c>
      <c r="U391" s="6">
        <f>[1]Emissions!T836</f>
        <v>1.5600847819999999</v>
      </c>
      <c r="V391" s="6">
        <f>[1]Emissions!U836</f>
        <v>1.5608783449999999</v>
      </c>
      <c r="W391" s="6">
        <f>[1]Emissions!V836</f>
        <v>1.5567551049999999</v>
      </c>
      <c r="X391" s="6">
        <f>[1]Emissions!W836</f>
        <v>1.5498090330000001</v>
      </c>
      <c r="Y391" s="6">
        <f>[1]Emissions!X836</f>
        <v>1.5415855540000001</v>
      </c>
      <c r="Z391" s="6">
        <f>[1]Emissions!Y836</f>
        <v>1.532824849</v>
      </c>
      <c r="AA391" s="6">
        <f>[1]Emissions!Z836</f>
        <v>1.5242295370000001</v>
      </c>
      <c r="AB391" s="6">
        <f>[1]Emissions!AA836</f>
        <v>1.5137986750000001</v>
      </c>
      <c r="AC391" s="6">
        <f>[1]Emissions!AB836</f>
        <v>1.5031340870000001</v>
      </c>
      <c r="AD391" s="6">
        <f>[1]Emissions!AC836</f>
        <v>1.493484574</v>
      </c>
      <c r="AE391" s="6">
        <f>[1]Emissions!AD836</f>
        <v>1.4849527410000001</v>
      </c>
      <c r="AF391" s="6">
        <f>[1]Emissions!AE836</f>
        <v>1.4777239170000001</v>
      </c>
      <c r="AG391" s="6">
        <f>[1]Emissions!AF836</f>
        <v>1.4720431140000001</v>
      </c>
      <c r="AH391" s="6">
        <f>[1]Emissions!AG836</f>
        <v>1.468147343</v>
      </c>
      <c r="AI391" s="6">
        <f>[1]Emissions!AH836</f>
        <v>1.4661991809999999</v>
      </c>
      <c r="AJ391" s="6">
        <f>[1]Emissions!AI836</f>
        <v>1.4662669779999999</v>
      </c>
      <c r="AK391" s="6">
        <f>[1]Emissions!AJ836</f>
        <v>1.4683248280000001</v>
      </c>
      <c r="AL391" s="6">
        <f>[1]Emissions!AK836</f>
        <v>1.472263192</v>
      </c>
      <c r="AM391" s="6">
        <f>[1]Emissions!AL836</f>
        <v>1.4773912739999999</v>
      </c>
      <c r="AN391" s="6">
        <f>[1]Emissions!AM836</f>
        <v>1.4834983820000001</v>
      </c>
      <c r="AO391" s="6">
        <f>[1]Emissions!AN836</f>
        <v>1.490532631</v>
      </c>
      <c r="AP391" s="6">
        <f>[1]Emissions!AO836</f>
        <v>1.498357436</v>
      </c>
      <c r="AQ391" s="6">
        <f>[1]Emissions!AP836</f>
        <v>1.506827975</v>
      </c>
      <c r="AR391" s="6">
        <f>[1]Emissions!AQ836</f>
        <v>1.5158309089999999</v>
      </c>
      <c r="AS391" s="6">
        <f>[1]Emissions!AR836</f>
        <v>1.525305862</v>
      </c>
      <c r="AT391" s="6">
        <f>[1]Emissions!AS836</f>
        <v>1.535216243</v>
      </c>
      <c r="AU391" s="6">
        <f>[1]Emissions!AT836</f>
        <v>1.545538675</v>
      </c>
      <c r="AV391" s="6">
        <f>[1]Emissions!AU836</f>
        <v>1.556246587</v>
      </c>
      <c r="AW391" s="6">
        <f>[1]Emissions!AV836</f>
        <v>1.5673210820000001</v>
      </c>
      <c r="AX391" s="6">
        <f>[1]Emissions!AW836</f>
        <v>1.5787556650000001</v>
      </c>
      <c r="AY391" s="6">
        <f>[1]Emissions!AX836</f>
        <v>1.5926415389999999</v>
      </c>
      <c r="AZ391" s="6">
        <f>[1]Emissions!AY836</f>
        <v>1.628329752</v>
      </c>
      <c r="BA391" s="6">
        <f>[1]Emissions!AZ836</f>
        <v>1.632624504</v>
      </c>
      <c r="BB391" s="6">
        <f>[1]Emissions!BA836</f>
        <v>2.502649833</v>
      </c>
      <c r="BC391" s="6">
        <f>[1]Emissions!BB836</f>
        <v>2.5424036750000001</v>
      </c>
      <c r="BD391" s="6">
        <f>[1]Emissions!BC836</f>
        <v>2.5831347830000002</v>
      </c>
      <c r="BE391" s="6">
        <f>[1]Emissions!BD836</f>
        <v>2.6249114059999998</v>
      </c>
      <c r="BF391" s="6">
        <f>[1]Emissions!BE836</f>
        <v>2.6677897210000001</v>
      </c>
    </row>
    <row r="392" spans="1:58" x14ac:dyDescent="0.35">
      <c r="B392" s="6" t="str">
        <f>[1]Emissions!A838</f>
        <v>ems_ci_co2_sgla_2</v>
      </c>
      <c r="C392" s="6">
        <f>[1]Emissions!B838</f>
        <v>7.6843654250000002</v>
      </c>
      <c r="D392" s="6">
        <f>[1]Emissions!C838</f>
        <v>7.7181301040000001</v>
      </c>
      <c r="E392" s="6">
        <f>[1]Emissions!D838</f>
        <v>7.7819665220000003</v>
      </c>
      <c r="F392" s="6">
        <f>[1]Emissions!E838</f>
        <v>7.8637502320000001</v>
      </c>
      <c r="G392" s="6">
        <f>[1]Emissions!F838</f>
        <v>7.9589643819999996</v>
      </c>
      <c r="H392" s="6">
        <f>[1]Emissions!G838</f>
        <v>8.0643496910000003</v>
      </c>
      <c r="I392" s="6">
        <f>[1]Emissions!H838</f>
        <v>8.1732682200000006</v>
      </c>
      <c r="J392" s="6">
        <f>[1]Emissions!I838</f>
        <v>8.2853503229999994</v>
      </c>
      <c r="K392" s="6">
        <f>[1]Emissions!J838</f>
        <v>8.3999473939999998</v>
      </c>
      <c r="L392" s="6">
        <f>[1]Emissions!K838</f>
        <v>8.5165628899999994</v>
      </c>
      <c r="M392" s="6">
        <f>[1]Emissions!L838</f>
        <v>8.6416021740000009</v>
      </c>
      <c r="N392" s="6">
        <f>[1]Emissions!M838</f>
        <v>8.7649135870000006</v>
      </c>
      <c r="O392" s="6">
        <f>[1]Emissions!N838</f>
        <v>8.8882965889999994</v>
      </c>
      <c r="P392" s="6">
        <f>[1]Emissions!O838</f>
        <v>9.0123600059999998</v>
      </c>
      <c r="Q392" s="6">
        <f>[1]Emissions!P838</f>
        <v>9.1373126899999999</v>
      </c>
      <c r="R392" s="6">
        <f>[1]Emissions!Q838</f>
        <v>9.2632647719999994</v>
      </c>
      <c r="S392" s="6">
        <f>[1]Emissions!R838</f>
        <v>9.3897213599999994</v>
      </c>
      <c r="T392" s="6">
        <f>[1]Emissions!S838</f>
        <v>9.5171767509999992</v>
      </c>
      <c r="U392" s="6">
        <f>[1]Emissions!T838</f>
        <v>9.6458800779999994</v>
      </c>
      <c r="V392" s="6">
        <f>[1]Emissions!U838</f>
        <v>9.7760536299999998</v>
      </c>
      <c r="W392" s="6">
        <f>[1]Emissions!V838</f>
        <v>9.9030729359999992</v>
      </c>
      <c r="X392" s="6">
        <f>[1]Emissions!W838</f>
        <v>10.03400882</v>
      </c>
      <c r="Y392" s="6">
        <f>[1]Emissions!X838</f>
        <v>10.16801398</v>
      </c>
      <c r="Z392" s="6">
        <f>[1]Emissions!Y838</f>
        <v>10.304932730000001</v>
      </c>
      <c r="AA392" s="6">
        <f>[1]Emissions!Z838</f>
        <v>10.444834139999999</v>
      </c>
      <c r="AB392" s="6">
        <f>[1]Emissions!AA838</f>
        <v>10.574012720000001</v>
      </c>
      <c r="AC392" s="6">
        <f>[1]Emissions!AB838</f>
        <v>10.705580250000001</v>
      </c>
      <c r="AD392" s="6">
        <f>[1]Emissions!AC838</f>
        <v>10.838965829999999</v>
      </c>
      <c r="AE392" s="6">
        <f>[1]Emissions!AD838</f>
        <v>10.97423043</v>
      </c>
      <c r="AF392" s="6">
        <f>[1]Emissions!AE838</f>
        <v>11.11162275</v>
      </c>
      <c r="AG392" s="6">
        <f>[1]Emissions!AF838</f>
        <v>11.25136717</v>
      </c>
      <c r="AH392" s="6">
        <f>[1]Emissions!AG838</f>
        <v>11.393724649999999</v>
      </c>
      <c r="AI392" s="6">
        <f>[1]Emissions!AH838</f>
        <v>11.538664839999999</v>
      </c>
      <c r="AJ392" s="6">
        <f>[1]Emissions!AI838</f>
        <v>11.68613568</v>
      </c>
      <c r="AK392" s="6">
        <f>[1]Emissions!AJ838</f>
        <v>11.836042920000001</v>
      </c>
      <c r="AL392" s="6">
        <f>[1]Emissions!AK838</f>
        <v>11.988263870000001</v>
      </c>
      <c r="AM392" s="6">
        <f>[1]Emissions!AL838</f>
        <v>12.140502740000001</v>
      </c>
      <c r="AN392" s="6">
        <f>[1]Emissions!AM838</f>
        <v>12.293266109999999</v>
      </c>
      <c r="AO392" s="6">
        <f>[1]Emissions!AN838</f>
        <v>12.44685739</v>
      </c>
      <c r="AP392" s="6">
        <f>[1]Emissions!AO838</f>
        <v>12.60142643</v>
      </c>
      <c r="AQ392" s="6">
        <f>[1]Emissions!AP838</f>
        <v>12.757057550000001</v>
      </c>
      <c r="AR392" s="6">
        <f>[1]Emissions!AQ838</f>
        <v>12.913974230000001</v>
      </c>
      <c r="AS392" s="6">
        <f>[1]Emissions!AR838</f>
        <v>13.07210823</v>
      </c>
      <c r="AT392" s="6">
        <f>[1]Emissions!AS838</f>
        <v>13.23143563</v>
      </c>
      <c r="AU392" s="6">
        <f>[1]Emissions!AT838</f>
        <v>13.391922790000001</v>
      </c>
      <c r="AV392" s="6">
        <f>[1]Emissions!AU838</f>
        <v>13.55352266</v>
      </c>
      <c r="AW392" s="6">
        <f>[1]Emissions!AV838</f>
        <v>13.717053379999999</v>
      </c>
      <c r="AX392" s="6">
        <f>[1]Emissions!AW838</f>
        <v>13.882060770000001</v>
      </c>
      <c r="AY392" s="6">
        <f>[1]Emissions!AX838</f>
        <v>13.92438598</v>
      </c>
      <c r="AZ392" s="6">
        <f>[1]Emissions!AY838</f>
        <v>14.02813536</v>
      </c>
      <c r="BA392" s="6">
        <f>[1]Emissions!AZ838</f>
        <v>14.03995085</v>
      </c>
      <c r="BB392" s="6">
        <f>[1]Emissions!BA838</f>
        <v>18.902690150000002</v>
      </c>
      <c r="BC392" s="6">
        <f>[1]Emissions!BB838</f>
        <v>19.241249150000002</v>
      </c>
      <c r="BD392" s="6">
        <f>[1]Emissions!BC838</f>
        <v>19.583814780000001</v>
      </c>
      <c r="BE392" s="6">
        <f>[1]Emissions!BD838</f>
        <v>19.930375250000001</v>
      </c>
      <c r="BF392" s="6">
        <f>[1]Emissions!BE838</f>
        <v>20.28092526</v>
      </c>
    </row>
    <row r="393" spans="1:58" x14ac:dyDescent="0.35">
      <c r="B393" s="6" t="str">
        <f>[1]Emissions!A840</f>
        <v>ems_ci_co2_spap_2</v>
      </c>
      <c r="C393" s="6">
        <f>[1]Emissions!B840</f>
        <v>2.485814859</v>
      </c>
      <c r="D393" s="6">
        <f>[1]Emissions!C840</f>
        <v>2.4916417769999999</v>
      </c>
      <c r="E393" s="6">
        <f>[1]Emissions!D840</f>
        <v>2.5105580120000002</v>
      </c>
      <c r="F393" s="6">
        <f>[1]Emissions!E840</f>
        <v>2.5356574379999999</v>
      </c>
      <c r="G393" s="6">
        <f>[1]Emissions!F840</f>
        <v>2.5651953879999998</v>
      </c>
      <c r="H393" s="6">
        <f>[1]Emissions!G840</f>
        <v>2.5982187649999999</v>
      </c>
      <c r="I393" s="6">
        <f>[1]Emissions!H840</f>
        <v>2.6322289539999999</v>
      </c>
      <c r="J393" s="6">
        <f>[1]Emissions!I840</f>
        <v>2.6676635339999999</v>
      </c>
      <c r="K393" s="6">
        <f>[1]Emissions!J840</f>
        <v>2.704306871</v>
      </c>
      <c r="L393" s="6">
        <f>[1]Emissions!K840</f>
        <v>2.7418763240000001</v>
      </c>
      <c r="M393" s="6">
        <f>[1]Emissions!L840</f>
        <v>2.7829972270000001</v>
      </c>
      <c r="N393" s="6">
        <f>[1]Emissions!M840</f>
        <v>2.822504356</v>
      </c>
      <c r="O393" s="6">
        <f>[1]Emissions!N840</f>
        <v>2.861744174</v>
      </c>
      <c r="P393" s="6">
        <f>[1]Emissions!O840</f>
        <v>2.900885481</v>
      </c>
      <c r="Q393" s="6">
        <f>[1]Emissions!P840</f>
        <v>2.9398896140000002</v>
      </c>
      <c r="R393" s="6">
        <f>[1]Emissions!Q840</f>
        <v>2.9787060420000002</v>
      </c>
      <c r="S393" s="6">
        <f>[1]Emissions!R840</f>
        <v>3.016999786</v>
      </c>
      <c r="T393" s="6">
        <f>[1]Emissions!S840</f>
        <v>3.0550195530000002</v>
      </c>
      <c r="U393" s="6">
        <f>[1]Emissions!T840</f>
        <v>3.0928494500000001</v>
      </c>
      <c r="V393" s="6">
        <f>[1]Emissions!U840</f>
        <v>3.1305674909999999</v>
      </c>
      <c r="W393" s="6">
        <f>[1]Emissions!V840</f>
        <v>3.1661982879999999</v>
      </c>
      <c r="X393" s="6">
        <f>[1]Emissions!W840</f>
        <v>3.2031804959999999</v>
      </c>
      <c r="Y393" s="6">
        <f>[1]Emissions!X840</f>
        <v>3.2407001910000002</v>
      </c>
      <c r="Z393" s="6">
        <f>[1]Emissions!Y840</f>
        <v>3.2786703049999999</v>
      </c>
      <c r="AA393" s="6">
        <f>[1]Emissions!Z840</f>
        <v>3.3171390390000002</v>
      </c>
      <c r="AB393" s="6">
        <f>[1]Emissions!AA840</f>
        <v>3.3503250979999999</v>
      </c>
      <c r="AC393" s="6">
        <f>[1]Emissions!AB840</f>
        <v>3.3850515200000002</v>
      </c>
      <c r="AD393" s="6">
        <f>[1]Emissions!AC840</f>
        <v>3.4203411670000001</v>
      </c>
      <c r="AE393" s="6">
        <f>[1]Emissions!AD840</f>
        <v>3.456129475</v>
      </c>
      <c r="AF393" s="6">
        <f>[1]Emissions!AE840</f>
        <v>3.4925035470000001</v>
      </c>
      <c r="AG393" s="6">
        <f>[1]Emissions!AF840</f>
        <v>3.5295491010000002</v>
      </c>
      <c r="AH393" s="6">
        <f>[1]Emissions!AG840</f>
        <v>3.5673892070000002</v>
      </c>
      <c r="AI393" s="6">
        <f>[1]Emissions!AH840</f>
        <v>3.6060011169999999</v>
      </c>
      <c r="AJ393" s="6">
        <f>[1]Emissions!AI840</f>
        <v>3.64538049</v>
      </c>
      <c r="AK393" s="6">
        <f>[1]Emissions!AJ840</f>
        <v>3.6855139320000001</v>
      </c>
      <c r="AL393" s="6">
        <f>[1]Emissions!AK840</f>
        <v>3.7263793280000002</v>
      </c>
      <c r="AM393" s="6">
        <f>[1]Emissions!AL840</f>
        <v>3.767175317</v>
      </c>
      <c r="AN393" s="6">
        <f>[1]Emissions!AM840</f>
        <v>3.8082551119999999</v>
      </c>
      <c r="AO393" s="6">
        <f>[1]Emissions!AN840</f>
        <v>3.8497365700000001</v>
      </c>
      <c r="AP393" s="6">
        <f>[1]Emissions!AO840</f>
        <v>3.8916686550000001</v>
      </c>
      <c r="AQ393" s="6">
        <f>[1]Emissions!AP840</f>
        <v>3.9340781140000001</v>
      </c>
      <c r="AR393" s="6">
        <f>[1]Emissions!AQ840</f>
        <v>3.9770734879999998</v>
      </c>
      <c r="AS393" s="6">
        <f>[1]Emissions!AR840</f>
        <v>4.0205934870000002</v>
      </c>
      <c r="AT393" s="6">
        <f>[1]Emissions!AS840</f>
        <v>4.0646231789999998</v>
      </c>
      <c r="AU393" s="6">
        <f>[1]Emissions!AT840</f>
        <v>4.1091494500000003</v>
      </c>
      <c r="AV393" s="6">
        <f>[1]Emissions!AU840</f>
        <v>4.1541564109999998</v>
      </c>
      <c r="AW393" s="6">
        <f>[1]Emissions!AV840</f>
        <v>4.200062269</v>
      </c>
      <c r="AX393" s="6">
        <f>[1]Emissions!AW840</f>
        <v>4.2465584559999998</v>
      </c>
      <c r="AY393" s="6">
        <f>[1]Emissions!AX840</f>
        <v>4.3151276249999997</v>
      </c>
      <c r="AZ393" s="6">
        <f>[1]Emissions!AY840</f>
        <v>4.480219033</v>
      </c>
      <c r="BA393" s="6">
        <f>[1]Emissions!AZ840</f>
        <v>4.4987300899999996</v>
      </c>
      <c r="BB393" s="6">
        <f>[1]Emissions!BA840</f>
        <v>5.7686918350000003</v>
      </c>
      <c r="BC393" s="6">
        <f>[1]Emissions!BB840</f>
        <v>5.8662594649999997</v>
      </c>
      <c r="BD393" s="6">
        <f>[1]Emissions!BC840</f>
        <v>5.9654531390000001</v>
      </c>
      <c r="BE393" s="6">
        <f>[1]Emissions!BD840</f>
        <v>6.0663068249999998</v>
      </c>
      <c r="BF393" s="6">
        <f>[1]Emissions!BE840</f>
        <v>6.1688547480000002</v>
      </c>
    </row>
    <row r="394" spans="1:58" x14ac:dyDescent="0.35">
      <c r="B394" s="6" t="str">
        <f>[1]Emissions!A842</f>
        <v>ems_ci_co2_sche_2</v>
      </c>
      <c r="C394" s="6">
        <f>[1]Emissions!B842</f>
        <v>13.13195664</v>
      </c>
      <c r="D394" s="6">
        <f>[1]Emissions!C842</f>
        <v>13.189390700000001</v>
      </c>
      <c r="E394" s="6">
        <f>[1]Emissions!D842</f>
        <v>13.32932993</v>
      </c>
      <c r="F394" s="6">
        <f>[1]Emissions!E842</f>
        <v>13.49807171</v>
      </c>
      <c r="G394" s="6">
        <f>[1]Emissions!F842</f>
        <v>13.683960109999999</v>
      </c>
      <c r="H394" s="6">
        <f>[1]Emissions!G842</f>
        <v>13.88136832</v>
      </c>
      <c r="I394" s="6">
        <f>[1]Emissions!H842</f>
        <v>14.075183839999999</v>
      </c>
      <c r="J394" s="6">
        <f>[1]Emissions!I842</f>
        <v>14.269902999999999</v>
      </c>
      <c r="K394" s="6">
        <f>[1]Emissions!J842</f>
        <v>14.46435524</v>
      </c>
      <c r="L394" s="6">
        <f>[1]Emissions!K842</f>
        <v>14.657084830000001</v>
      </c>
      <c r="M394" s="6">
        <f>[1]Emissions!L842</f>
        <v>14.86478631</v>
      </c>
      <c r="N394" s="6">
        <f>[1]Emissions!M842</f>
        <v>15.053649829999999</v>
      </c>
      <c r="O394" s="6">
        <f>[1]Emissions!N842</f>
        <v>15.23604053</v>
      </c>
      <c r="P394" s="6">
        <f>[1]Emissions!O842</f>
        <v>15.413950549999999</v>
      </c>
      <c r="Q394" s="6">
        <f>[1]Emissions!P842</f>
        <v>15.58801525</v>
      </c>
      <c r="R394" s="6">
        <f>[1]Emissions!Q842</f>
        <v>15.758809490000001</v>
      </c>
      <c r="S394" s="6">
        <f>[1]Emissions!R842</f>
        <v>15.924855579999999</v>
      </c>
      <c r="T394" s="6">
        <f>[1]Emissions!S842</f>
        <v>16.088737640000002</v>
      </c>
      <c r="U394" s="6">
        <f>[1]Emissions!T842</f>
        <v>16.251518969999999</v>
      </c>
      <c r="V394" s="6">
        <f>[1]Emissions!U842</f>
        <v>16.414054069999999</v>
      </c>
      <c r="W394" s="6">
        <f>[1]Emissions!V842</f>
        <v>16.564608419999999</v>
      </c>
      <c r="X394" s="6">
        <f>[1]Emissions!W842</f>
        <v>16.725940120000001</v>
      </c>
      <c r="Y394" s="6">
        <f>[1]Emissions!X842</f>
        <v>16.89105919</v>
      </c>
      <c r="Z394" s="6">
        <f>[1]Emissions!Y842</f>
        <v>17.059366780000001</v>
      </c>
      <c r="AA394" s="6">
        <f>[1]Emissions!Z842</f>
        <v>17.231102440000001</v>
      </c>
      <c r="AB394" s="6">
        <f>[1]Emissions!AA842</f>
        <v>17.371330929999999</v>
      </c>
      <c r="AC394" s="6">
        <f>[1]Emissions!AB842</f>
        <v>17.526114639999999</v>
      </c>
      <c r="AD394" s="6">
        <f>[1]Emissions!AC842</f>
        <v>17.685778339999999</v>
      </c>
      <c r="AE394" s="6">
        <f>[1]Emissions!AD842</f>
        <v>17.84935832</v>
      </c>
      <c r="AF394" s="6">
        <f>[1]Emissions!AE842</f>
        <v>18.017017760000002</v>
      </c>
      <c r="AG394" s="6">
        <f>[1]Emissions!AF842</f>
        <v>18.188934369999998</v>
      </c>
      <c r="AH394" s="6">
        <f>[1]Emissions!AG842</f>
        <v>18.365596579999998</v>
      </c>
      <c r="AI394" s="6">
        <f>[1]Emissions!AH842</f>
        <v>18.54651934</v>
      </c>
      <c r="AJ394" s="6">
        <f>[1]Emissions!AI842</f>
        <v>18.731435990000001</v>
      </c>
      <c r="AK394" s="6">
        <f>[1]Emissions!AJ842</f>
        <v>18.92005567</v>
      </c>
      <c r="AL394" s="6">
        <f>[1]Emissions!AK842</f>
        <v>19.11205867</v>
      </c>
      <c r="AM394" s="6">
        <f>[1]Emissions!AL842</f>
        <v>19.302976959999999</v>
      </c>
      <c r="AN394" s="6">
        <f>[1]Emissions!AM842</f>
        <v>19.495261490000001</v>
      </c>
      <c r="AO394" s="6">
        <f>[1]Emissions!AN842</f>
        <v>19.689348800000001</v>
      </c>
      <c r="AP394" s="6">
        <f>[1]Emissions!AO842</f>
        <v>19.885325720000001</v>
      </c>
      <c r="AQ394" s="6">
        <f>[1]Emissions!AP842</f>
        <v>20.083202230000001</v>
      </c>
      <c r="AR394" s="6">
        <f>[1]Emissions!AQ842</f>
        <v>20.283584749999999</v>
      </c>
      <c r="AS394" s="6">
        <f>[1]Emissions!AR842</f>
        <v>20.485913979999999</v>
      </c>
      <c r="AT394" s="6">
        <f>[1]Emissions!AS842</f>
        <v>20.690038149999999</v>
      </c>
      <c r="AU394" s="6">
        <f>[1]Emissions!AT842</f>
        <v>20.895839949999999</v>
      </c>
      <c r="AV394" s="6">
        <f>[1]Emissions!AU842</f>
        <v>21.103196409999999</v>
      </c>
      <c r="AW394" s="6">
        <f>[1]Emissions!AV842</f>
        <v>21.314814429999998</v>
      </c>
      <c r="AX394" s="6">
        <f>[1]Emissions!AW842</f>
        <v>21.528391119999998</v>
      </c>
      <c r="AY394" s="6">
        <f>[1]Emissions!AX842</f>
        <v>21.55362307</v>
      </c>
      <c r="AZ394" s="6">
        <f>[1]Emissions!AY842</f>
        <v>21.615562619999999</v>
      </c>
      <c r="BA394" s="6">
        <f>[1]Emissions!AZ842</f>
        <v>21.622618899999999</v>
      </c>
      <c r="BB394" s="6">
        <f>[1]Emissions!BA842</f>
        <v>30.561713749999999</v>
      </c>
      <c r="BC394" s="6">
        <f>[1]Emissions!BB842</f>
        <v>31.087305239999999</v>
      </c>
      <c r="BD394" s="6">
        <f>[1]Emissions!BC842</f>
        <v>31.622493739999999</v>
      </c>
      <c r="BE394" s="6">
        <f>[1]Emissions!BD842</f>
        <v>32.167449670000003</v>
      </c>
      <c r="BF394" s="6">
        <f>[1]Emissions!BE842</f>
        <v>32.722338440000001</v>
      </c>
    </row>
    <row r="395" spans="1:58" x14ac:dyDescent="0.35">
      <c r="B395" s="6" t="str">
        <f>[1]Emissions!A844</f>
        <v>ems_ci_co2_spla_2</v>
      </c>
      <c r="C395" s="6">
        <f>[1]Emissions!B844</f>
        <v>1.4524124140000001</v>
      </c>
      <c r="D395" s="6">
        <f>[1]Emissions!C844</f>
        <v>1.4532135230000001</v>
      </c>
      <c r="E395" s="6">
        <f>[1]Emissions!D844</f>
        <v>1.463012795</v>
      </c>
      <c r="F395" s="6">
        <f>[1]Emissions!E844</f>
        <v>1.477161411</v>
      </c>
      <c r="G395" s="6">
        <f>[1]Emissions!F844</f>
        <v>1.4948474519999999</v>
      </c>
      <c r="H395" s="6">
        <f>[1]Emissions!G844</f>
        <v>1.515570547</v>
      </c>
      <c r="I395" s="6">
        <f>[1]Emissions!H844</f>
        <v>1.537676622</v>
      </c>
      <c r="J395" s="6">
        <f>[1]Emissions!I844</f>
        <v>1.561085297</v>
      </c>
      <c r="K395" s="6">
        <f>[1]Emissions!J844</f>
        <v>1.5853012550000001</v>
      </c>
      <c r="L395" s="6">
        <f>[1]Emissions!K844</f>
        <v>1.609794468</v>
      </c>
      <c r="M395" s="6">
        <f>[1]Emissions!L844</f>
        <v>1.635836313</v>
      </c>
      <c r="N395" s="6">
        <f>[1]Emissions!M844</f>
        <v>1.6601387059999999</v>
      </c>
      <c r="O395" s="6">
        <f>[1]Emissions!N844</f>
        <v>1.6833644910000001</v>
      </c>
      <c r="P395" s="6">
        <f>[1]Emissions!O844</f>
        <v>1.705619454</v>
      </c>
      <c r="Q395" s="6">
        <f>[1]Emissions!P844</f>
        <v>1.72692884</v>
      </c>
      <c r="R395" s="6">
        <f>[1]Emissions!Q844</f>
        <v>1.7473498869999999</v>
      </c>
      <c r="S395" s="6">
        <f>[1]Emissions!R844</f>
        <v>1.766777582</v>
      </c>
      <c r="T395" s="6">
        <f>[1]Emissions!S844</f>
        <v>1.785509993</v>
      </c>
      <c r="U395" s="6">
        <f>[1]Emissions!T844</f>
        <v>1.803736529</v>
      </c>
      <c r="V395" s="6">
        <f>[1]Emissions!U844</f>
        <v>1.821631792</v>
      </c>
      <c r="W395" s="6">
        <f>[1]Emissions!V844</f>
        <v>1.838133934</v>
      </c>
      <c r="X395" s="6">
        <f>[1]Emissions!W844</f>
        <v>1.8553835249999999</v>
      </c>
      <c r="Y395" s="6">
        <f>[1]Emissions!X844</f>
        <v>1.8729892909999999</v>
      </c>
      <c r="Z395" s="6">
        <f>[1]Emissions!Y844</f>
        <v>1.8909384490000001</v>
      </c>
      <c r="AA395" s="6">
        <f>[1]Emissions!Z844</f>
        <v>1.9093000419999999</v>
      </c>
      <c r="AB395" s="6">
        <f>[1]Emissions!AA844</f>
        <v>1.924697662</v>
      </c>
      <c r="AC395" s="6">
        <f>[1]Emissions!AB844</f>
        <v>1.9411852919999999</v>
      </c>
      <c r="AD395" s="6">
        <f>[1]Emissions!AC844</f>
        <v>1.9582252529999999</v>
      </c>
      <c r="AE395" s="6">
        <f>[1]Emissions!AD844</f>
        <v>1.9757388250000001</v>
      </c>
      <c r="AF395" s="6">
        <f>[1]Emissions!AE844</f>
        <v>1.993755774</v>
      </c>
      <c r="AG395" s="6">
        <f>[1]Emissions!AF844</f>
        <v>2.0123193669999999</v>
      </c>
      <c r="AH395" s="6">
        <f>[1]Emissions!AG844</f>
        <v>2.0315033040000001</v>
      </c>
      <c r="AI395" s="6">
        <f>[1]Emissions!AH844</f>
        <v>2.051288451</v>
      </c>
      <c r="AJ395" s="6">
        <f>[1]Emissions!AI844</f>
        <v>2.0716633180000001</v>
      </c>
      <c r="AK395" s="6">
        <f>[1]Emissions!AJ844</f>
        <v>2.0926048580000001</v>
      </c>
      <c r="AL395" s="6">
        <f>[1]Emissions!AK844</f>
        <v>2.1140784259999998</v>
      </c>
      <c r="AM395" s="6">
        <f>[1]Emissions!AL844</f>
        <v>2.1356137049999999</v>
      </c>
      <c r="AN395" s="6">
        <f>[1]Emissions!AM844</f>
        <v>2.1573668750000001</v>
      </c>
      <c r="AO395" s="6">
        <f>[1]Emissions!AN844</f>
        <v>2.179385124</v>
      </c>
      <c r="AP395" s="6">
        <f>[1]Emissions!AO844</f>
        <v>2.2016712420000002</v>
      </c>
      <c r="AQ395" s="6">
        <f>[1]Emissions!AP844</f>
        <v>2.2242160270000002</v>
      </c>
      <c r="AR395" s="6">
        <f>[1]Emissions!AQ844</f>
        <v>2.247066212</v>
      </c>
      <c r="AS395" s="6">
        <f>[1]Emissions!AR844</f>
        <v>2.2701704619999998</v>
      </c>
      <c r="AT395" s="6">
        <f>[1]Emissions!AS844</f>
        <v>2.293512443</v>
      </c>
      <c r="AU395" s="6">
        <f>[1]Emissions!AT844</f>
        <v>2.317080716</v>
      </c>
      <c r="AV395" s="6">
        <f>[1]Emissions!AU844</f>
        <v>2.3408630399999999</v>
      </c>
      <c r="AW395" s="6">
        <f>[1]Emissions!AV844</f>
        <v>2.3651059289999998</v>
      </c>
      <c r="AX395" s="6">
        <f>[1]Emissions!AW844</f>
        <v>2.3896179759999998</v>
      </c>
      <c r="AY395" s="6">
        <f>[1]Emissions!AX844</f>
        <v>2.4651875109999999</v>
      </c>
      <c r="AZ395" s="6">
        <f>[1]Emissions!AY844</f>
        <v>2.6682405130000002</v>
      </c>
      <c r="BA395" s="6">
        <f>[1]Emissions!AZ844</f>
        <v>2.6954458290000001</v>
      </c>
      <c r="BB395" s="6">
        <f>[1]Emissions!BA844</f>
        <v>3.4308599389999999</v>
      </c>
      <c r="BC395" s="6">
        <f>[1]Emissions!BB844</f>
        <v>3.489882326</v>
      </c>
      <c r="BD395" s="6">
        <f>[1]Emissions!BC844</f>
        <v>3.5498856779999999</v>
      </c>
      <c r="BE395" s="6">
        <f>[1]Emissions!BD844</f>
        <v>3.6108895250000002</v>
      </c>
      <c r="BF395" s="6">
        <f>[1]Emissions!BE844</f>
        <v>3.6729123210000001</v>
      </c>
    </row>
    <row r="396" spans="1:58" x14ac:dyDescent="0.35">
      <c r="B396" s="6" t="str">
        <f>[1]Emissions!A846</f>
        <v>ems_ci_co2_smet_2</v>
      </c>
      <c r="C396" s="6">
        <f>[1]Emissions!B846</f>
        <v>19.101965249999999</v>
      </c>
      <c r="D396" s="6">
        <f>[1]Emissions!C846</f>
        <v>19.182245680000001</v>
      </c>
      <c r="E396" s="6">
        <f>[1]Emissions!D846</f>
        <v>19.385530599999999</v>
      </c>
      <c r="F396" s="6">
        <f>[1]Emissions!E846</f>
        <v>19.627749779999998</v>
      </c>
      <c r="G396" s="6">
        <f>[1]Emissions!F846</f>
        <v>19.887091290000001</v>
      </c>
      <c r="H396" s="6">
        <f>[1]Emissions!G846</f>
        <v>20.15570331</v>
      </c>
      <c r="I396" s="6">
        <f>[1]Emissions!H846</f>
        <v>20.416229269999999</v>
      </c>
      <c r="J396" s="6">
        <f>[1]Emissions!I846</f>
        <v>20.675851300000001</v>
      </c>
      <c r="K396" s="6">
        <f>[1]Emissions!J846</f>
        <v>20.935889960000001</v>
      </c>
      <c r="L396" s="6">
        <f>[1]Emissions!K846</f>
        <v>21.196521539999999</v>
      </c>
      <c r="M396" s="6">
        <f>[1]Emissions!L846</f>
        <v>21.48016269</v>
      </c>
      <c r="N396" s="6">
        <f>[1]Emissions!M846</f>
        <v>21.746569619999999</v>
      </c>
      <c r="O396" s="6">
        <f>[1]Emissions!N846</f>
        <v>22.00915741</v>
      </c>
      <c r="P396" s="6">
        <f>[1]Emissions!O846</f>
        <v>22.27104881</v>
      </c>
      <c r="Q396" s="6">
        <f>[1]Emissions!P846</f>
        <v>22.533065300000001</v>
      </c>
      <c r="R396" s="6">
        <f>[1]Emissions!Q846</f>
        <v>22.7956307</v>
      </c>
      <c r="S396" s="6">
        <f>[1]Emissions!R846</f>
        <v>23.0564529</v>
      </c>
      <c r="T396" s="6">
        <f>[1]Emissions!S846</f>
        <v>23.318331279999999</v>
      </c>
      <c r="U396" s="6">
        <f>[1]Emissions!T846</f>
        <v>23.582319819999999</v>
      </c>
      <c r="V396" s="6">
        <f>[1]Emissions!U846</f>
        <v>23.8491702</v>
      </c>
      <c r="W396" s="6">
        <f>[1]Emissions!V846</f>
        <v>24.103622040000001</v>
      </c>
      <c r="X396" s="6">
        <f>[1]Emissions!W846</f>
        <v>24.373170089999999</v>
      </c>
      <c r="Y396" s="6">
        <f>[1]Emissions!X846</f>
        <v>24.65046255</v>
      </c>
      <c r="Z396" s="6">
        <f>[1]Emissions!Y846</f>
        <v>24.93423301</v>
      </c>
      <c r="AA396" s="6">
        <f>[1]Emissions!Z846</f>
        <v>25.224535039999999</v>
      </c>
      <c r="AB396" s="6">
        <f>[1]Emissions!AA846</f>
        <v>25.47645687</v>
      </c>
      <c r="AC396" s="6">
        <f>[1]Emissions!AB846</f>
        <v>25.745411499999999</v>
      </c>
      <c r="AD396" s="6">
        <f>[1]Emissions!AC846</f>
        <v>26.022202870000001</v>
      </c>
      <c r="AE396" s="6">
        <f>[1]Emissions!AD846</f>
        <v>26.305152849999999</v>
      </c>
      <c r="AF396" s="6">
        <f>[1]Emissions!AE846</f>
        <v>26.594201649999999</v>
      </c>
      <c r="AG396" s="6">
        <f>[1]Emissions!AF846</f>
        <v>26.889474100000001</v>
      </c>
      <c r="AH396" s="6">
        <f>[1]Emissions!AG846</f>
        <v>27.191557750000001</v>
      </c>
      <c r="AI396" s="6">
        <f>[1]Emissions!AH846</f>
        <v>27.499828480000001</v>
      </c>
      <c r="AJ396" s="6">
        <f>[1]Emissions!AI846</f>
        <v>27.813930930000001</v>
      </c>
      <c r="AK396" s="6">
        <f>[1]Emissions!AJ846</f>
        <v>28.133510739999998</v>
      </c>
      <c r="AL396" s="6">
        <f>[1]Emissions!AK846</f>
        <v>28.458192990000001</v>
      </c>
      <c r="AM396" s="6">
        <f>[1]Emissions!AL846</f>
        <v>28.782136789999999</v>
      </c>
      <c r="AN396" s="6">
        <f>[1]Emissions!AM846</f>
        <v>29.107818829999999</v>
      </c>
      <c r="AO396" s="6">
        <f>[1]Emissions!AN846</f>
        <v>29.436008789999999</v>
      </c>
      <c r="AP396" s="6">
        <f>[1]Emissions!AO846</f>
        <v>29.76696579</v>
      </c>
      <c r="AQ396" s="6">
        <f>[1]Emissions!AP846</f>
        <v>30.100793079999999</v>
      </c>
      <c r="AR396" s="6">
        <f>[1]Emissions!AQ846</f>
        <v>30.438328519999999</v>
      </c>
      <c r="AS396" s="6">
        <f>[1]Emissions!AR846</f>
        <v>30.778911529999998</v>
      </c>
      <c r="AT396" s="6">
        <f>[1]Emissions!AS846</f>
        <v>31.122367310000001</v>
      </c>
      <c r="AU396" s="6">
        <f>[1]Emissions!AT846</f>
        <v>31.468587920000001</v>
      </c>
      <c r="AV396" s="6">
        <f>[1]Emissions!AU846</f>
        <v>31.81746193</v>
      </c>
      <c r="AW396" s="6">
        <f>[1]Emissions!AV846</f>
        <v>32.17251031</v>
      </c>
      <c r="AX396" s="6">
        <f>[1]Emissions!AW846</f>
        <v>32.530893059999997</v>
      </c>
      <c r="AY396" s="6">
        <f>[1]Emissions!AX846</f>
        <v>32.56909632</v>
      </c>
      <c r="AZ396" s="6">
        <f>[1]Emissions!AY846</f>
        <v>32.663035499999999</v>
      </c>
      <c r="BA396" s="6">
        <f>[1]Emissions!AZ846</f>
        <v>32.67377123</v>
      </c>
      <c r="BB396" s="6">
        <f>[1]Emissions!BA846</f>
        <v>45.68449012</v>
      </c>
      <c r="BC396" s="6">
        <f>[1]Emissions!BB846</f>
        <v>46.492077760000001</v>
      </c>
      <c r="BD396" s="6">
        <f>[1]Emissions!BC846</f>
        <v>47.312222509999998</v>
      </c>
      <c r="BE396" s="6">
        <f>[1]Emissions!BD846</f>
        <v>48.1450423</v>
      </c>
      <c r="BF396" s="6">
        <f>[1]Emissions!BE846</f>
        <v>48.99065882</v>
      </c>
    </row>
    <row r="397" spans="1:58" x14ac:dyDescent="0.35">
      <c r="B397" s="6" t="str">
        <f>[1]Emissions!A848</f>
        <v>ems_ci_co2_sigo_2</v>
      </c>
      <c r="C397" s="6">
        <f>[1]Emissions!B848</f>
        <v>1.1642858869999999</v>
      </c>
      <c r="D397" s="6">
        <f>[1]Emissions!C848</f>
        <v>1.163447235</v>
      </c>
      <c r="E397" s="6">
        <f>[1]Emissions!D848</f>
        <v>1.1702641899999999</v>
      </c>
      <c r="F397" s="6">
        <f>[1]Emissions!E848</f>
        <v>1.1809832979999999</v>
      </c>
      <c r="G397" s="6">
        <f>[1]Emissions!F848</f>
        <v>1.1958607290000001</v>
      </c>
      <c r="H397" s="6">
        <f>[1]Emissions!G848</f>
        <v>1.214890676</v>
      </c>
      <c r="I397" s="6">
        <f>[1]Emissions!H848</f>
        <v>1.2366015589999999</v>
      </c>
      <c r="J397" s="6">
        <f>[1]Emissions!I848</f>
        <v>1.2607525530000001</v>
      </c>
      <c r="K397" s="6">
        <f>[1]Emissions!J848</f>
        <v>1.286507367</v>
      </c>
      <c r="L397" s="6">
        <f>[1]Emissions!K848</f>
        <v>1.3129609120000001</v>
      </c>
      <c r="M397" s="6">
        <f>[1]Emissions!L848</f>
        <v>1.340903017</v>
      </c>
      <c r="N397" s="6">
        <f>[1]Emissions!M848</f>
        <v>1.3668627</v>
      </c>
      <c r="O397" s="6">
        <f>[1]Emissions!N848</f>
        <v>1.3913827569999999</v>
      </c>
      <c r="P397" s="6">
        <f>[1]Emissions!O848</f>
        <v>1.414385129</v>
      </c>
      <c r="Q397" s="6">
        <f>[1]Emissions!P848</f>
        <v>1.4357892560000001</v>
      </c>
      <c r="R397" s="6">
        <f>[1]Emissions!Q848</f>
        <v>1.455611945</v>
      </c>
      <c r="S397" s="6">
        <f>[1]Emissions!R848</f>
        <v>1.4737512180000001</v>
      </c>
      <c r="T397" s="6">
        <f>[1]Emissions!S848</f>
        <v>1.4905858940000001</v>
      </c>
      <c r="U397" s="6">
        <f>[1]Emissions!T848</f>
        <v>1.506374283</v>
      </c>
      <c r="V397" s="6">
        <f>[1]Emissions!U848</f>
        <v>1.521372256</v>
      </c>
      <c r="W397" s="6">
        <f>[1]Emissions!V848</f>
        <v>1.534659142</v>
      </c>
      <c r="X397" s="6">
        <f>[1]Emissions!W848</f>
        <v>1.5484389169999999</v>
      </c>
      <c r="Y397" s="6">
        <f>[1]Emissions!X848</f>
        <v>1.562301755</v>
      </c>
      <c r="Z397" s="6">
        <f>[1]Emissions!Y848</f>
        <v>1.5763138969999999</v>
      </c>
      <c r="AA397" s="6">
        <f>[1]Emissions!Z848</f>
        <v>1.5906157359999999</v>
      </c>
      <c r="AB397" s="6">
        <f>[1]Emissions!AA848</f>
        <v>1.6020446909999999</v>
      </c>
      <c r="AC397" s="6">
        <f>[1]Emissions!AB848</f>
        <v>1.6147482630000001</v>
      </c>
      <c r="AD397" s="6">
        <f>[1]Emissions!AC848</f>
        <v>1.627994758</v>
      </c>
      <c r="AE397" s="6">
        <f>[1]Emissions!AD848</f>
        <v>1.6417012559999999</v>
      </c>
      <c r="AF397" s="6">
        <f>[1]Emissions!AE848</f>
        <v>1.6559092870000001</v>
      </c>
      <c r="AG397" s="6">
        <f>[1]Emissions!AF848</f>
        <v>1.6706872230000001</v>
      </c>
      <c r="AH397" s="6">
        <f>[1]Emissions!AG848</f>
        <v>1.6861411799999999</v>
      </c>
      <c r="AI397" s="6">
        <f>[1]Emissions!AH848</f>
        <v>1.702278419</v>
      </c>
      <c r="AJ397" s="6">
        <f>[1]Emissions!AI848</f>
        <v>1.7191165269999999</v>
      </c>
      <c r="AK397" s="6">
        <f>[1]Emissions!AJ848</f>
        <v>1.7366529589999999</v>
      </c>
      <c r="AL397" s="6">
        <f>[1]Emissions!AK848</f>
        <v>1.754863697</v>
      </c>
      <c r="AM397" s="6">
        <f>[1]Emissions!AL848</f>
        <v>1.773299124</v>
      </c>
      <c r="AN397" s="6">
        <f>[1]Emissions!AM848</f>
        <v>1.79208466</v>
      </c>
      <c r="AO397" s="6">
        <f>[1]Emissions!AN848</f>
        <v>1.811238997</v>
      </c>
      <c r="AP397" s="6">
        <f>[1]Emissions!AO848</f>
        <v>1.8307436619999999</v>
      </c>
      <c r="AQ397" s="6">
        <f>[1]Emissions!AP848</f>
        <v>1.8505739210000001</v>
      </c>
      <c r="AR397" s="6">
        <f>[1]Emissions!AQ848</f>
        <v>1.870764372</v>
      </c>
      <c r="AS397" s="6">
        <f>[1]Emissions!AR848</f>
        <v>1.8912514949999999</v>
      </c>
      <c r="AT397" s="6">
        <f>[1]Emissions!AS848</f>
        <v>1.9120229559999999</v>
      </c>
      <c r="AU397" s="6">
        <f>[1]Emissions!AT848</f>
        <v>1.933073944</v>
      </c>
      <c r="AV397" s="6">
        <f>[1]Emissions!AU848</f>
        <v>1.9543983410000001</v>
      </c>
      <c r="AW397" s="6">
        <f>[1]Emissions!AV848</f>
        <v>1.9762312070000001</v>
      </c>
      <c r="AX397" s="6">
        <f>[1]Emissions!AW848</f>
        <v>1.998347702</v>
      </c>
      <c r="AY397" s="6">
        <f>[1]Emissions!AX848</f>
        <v>2.01464832</v>
      </c>
      <c r="AZ397" s="6">
        <f>[1]Emissions!AY848</f>
        <v>2.0554514940000002</v>
      </c>
      <c r="BA397" s="6">
        <f>[1]Emissions!AZ848</f>
        <v>2.0604041880000001</v>
      </c>
      <c r="BB397" s="6">
        <f>[1]Emissions!BA848</f>
        <v>2.8515174139999999</v>
      </c>
      <c r="BC397" s="6">
        <f>[1]Emissions!BB848</f>
        <v>2.9011489689999999</v>
      </c>
      <c r="BD397" s="6">
        <f>[1]Emissions!BC848</f>
        <v>2.9516550380000002</v>
      </c>
      <c r="BE397" s="6">
        <f>[1]Emissions!BD848</f>
        <v>3.0030616079999999</v>
      </c>
      <c r="BF397" s="6">
        <f>[1]Emissions!BE848</f>
        <v>3.0553923369999998</v>
      </c>
    </row>
    <row r="398" spans="1:58" x14ac:dyDescent="0.35">
      <c r="B398" s="6" t="str">
        <f>[1]Emissions!A850</f>
        <v>ems_ci_co2_scgo_2</v>
      </c>
      <c r="C398" s="6">
        <f>[1]Emissions!B850</f>
        <v>2.2250687180000002</v>
      </c>
      <c r="D398" s="6">
        <f>[1]Emissions!C850</f>
        <v>2.2148104540000002</v>
      </c>
      <c r="E398" s="6">
        <f>[1]Emissions!D850</f>
        <v>2.2169686409999998</v>
      </c>
      <c r="F398" s="6">
        <f>[1]Emissions!E850</f>
        <v>2.2293618149999999</v>
      </c>
      <c r="G398" s="6">
        <f>[1]Emissions!F850</f>
        <v>2.2514672509999998</v>
      </c>
      <c r="H398" s="6">
        <f>[1]Emissions!G850</f>
        <v>2.2821847119999998</v>
      </c>
      <c r="I398" s="6">
        <f>[1]Emissions!H850</f>
        <v>2.3186408159999998</v>
      </c>
      <c r="J398" s="6">
        <f>[1]Emissions!I850</f>
        <v>2.3595077180000001</v>
      </c>
      <c r="K398" s="6">
        <f>[1]Emissions!J850</f>
        <v>2.4033321569999999</v>
      </c>
      <c r="L398" s="6">
        <f>[1]Emissions!K850</f>
        <v>2.4487345519999999</v>
      </c>
      <c r="M398" s="6">
        <f>[1]Emissions!L850</f>
        <v>2.4967418860000001</v>
      </c>
      <c r="N398" s="6">
        <f>[1]Emissions!M850</f>
        <v>2.5433134530000001</v>
      </c>
      <c r="O398" s="6">
        <f>[1]Emissions!N850</f>
        <v>2.5882679899999999</v>
      </c>
      <c r="P398" s="6">
        <f>[1]Emissions!O850</f>
        <v>2.6314707359999998</v>
      </c>
      <c r="Q398" s="6">
        <f>[1]Emissions!P850</f>
        <v>2.6728140269999998</v>
      </c>
      <c r="R398" s="6">
        <f>[1]Emissions!Q850</f>
        <v>2.7122967010000001</v>
      </c>
      <c r="S398" s="6">
        <f>[1]Emissions!R850</f>
        <v>2.7498183809999999</v>
      </c>
      <c r="T398" s="6">
        <f>[1]Emissions!S850</f>
        <v>2.7856969939999998</v>
      </c>
      <c r="U398" s="6">
        <f>[1]Emissions!T850</f>
        <v>2.8202348819999998</v>
      </c>
      <c r="V398" s="6">
        <f>[1]Emissions!U850</f>
        <v>2.8537484850000001</v>
      </c>
      <c r="W398" s="6">
        <f>[1]Emissions!V850</f>
        <v>2.8849459230000001</v>
      </c>
      <c r="X398" s="6">
        <f>[1]Emissions!W850</f>
        <v>2.9163401430000002</v>
      </c>
      <c r="Y398" s="6">
        <f>[1]Emissions!X850</f>
        <v>2.9479443700000001</v>
      </c>
      <c r="Z398" s="6">
        <f>[1]Emissions!Y850</f>
        <v>2.9798513619999998</v>
      </c>
      <c r="AA398" s="6">
        <f>[1]Emissions!Z850</f>
        <v>3.012230406</v>
      </c>
      <c r="AB398" s="6">
        <f>[1]Emissions!AA850</f>
        <v>3.0407073840000001</v>
      </c>
      <c r="AC398" s="6">
        <f>[1]Emissions!AB850</f>
        <v>3.0695719889999999</v>
      </c>
      <c r="AD398" s="6">
        <f>[1]Emissions!AC850</f>
        <v>3.0988968130000001</v>
      </c>
      <c r="AE398" s="6">
        <f>[1]Emissions!AD850</f>
        <v>3.1287206250000001</v>
      </c>
      <c r="AF398" s="6">
        <f>[1]Emissions!AE850</f>
        <v>3.1591730070000001</v>
      </c>
      <c r="AG398" s="6">
        <f>[1]Emissions!AF850</f>
        <v>3.1904037129999998</v>
      </c>
      <c r="AH398" s="6">
        <f>[1]Emissions!AG850</f>
        <v>3.222583057</v>
      </c>
      <c r="AI398" s="6">
        <f>[1]Emissions!AH850</f>
        <v>3.2557819549999998</v>
      </c>
      <c r="AJ398" s="6">
        <f>[1]Emissions!AI850</f>
        <v>3.2900411059999999</v>
      </c>
      <c r="AK398" s="6">
        <f>[1]Emissions!AJ850</f>
        <v>3.325363796</v>
      </c>
      <c r="AL398" s="6">
        <f>[1]Emissions!AK850</f>
        <v>3.3617203039999999</v>
      </c>
      <c r="AM398" s="6">
        <f>[1]Emissions!AL850</f>
        <v>3.3983569</v>
      </c>
      <c r="AN398" s="6">
        <f>[1]Emissions!AM850</f>
        <v>3.435428248</v>
      </c>
      <c r="AO398" s="6">
        <f>[1]Emissions!AN850</f>
        <v>3.4730143510000002</v>
      </c>
      <c r="AP398" s="6">
        <f>[1]Emissions!AO850</f>
        <v>3.5111169699999998</v>
      </c>
      <c r="AQ398" s="6">
        <f>[1]Emissions!AP850</f>
        <v>3.5497170210000002</v>
      </c>
      <c r="AR398" s="6">
        <f>[1]Emissions!AQ850</f>
        <v>3.588852562</v>
      </c>
      <c r="AS398" s="6">
        <f>[1]Emissions!AR850</f>
        <v>3.6284908659999999</v>
      </c>
      <c r="AT398" s="6">
        <f>[1]Emissions!AS850</f>
        <v>3.6686158249999998</v>
      </c>
      <c r="AU398" s="6">
        <f>[1]Emissions!AT850</f>
        <v>3.7092125149999999</v>
      </c>
      <c r="AV398" s="6">
        <f>[1]Emissions!AU850</f>
        <v>3.750261778</v>
      </c>
      <c r="AW398" s="6">
        <f>[1]Emissions!AV850</f>
        <v>3.7920143089999998</v>
      </c>
      <c r="AX398" s="6">
        <f>[1]Emissions!AW850</f>
        <v>3.8343437929999999</v>
      </c>
      <c r="AY398" s="6">
        <f>[1]Emissions!AX850</f>
        <v>3.8881017870000001</v>
      </c>
      <c r="AZ398" s="6">
        <f>[1]Emissions!AY850</f>
        <v>4.0606500920000004</v>
      </c>
      <c r="BA398" s="6">
        <f>[1]Emissions!AZ850</f>
        <v>4.0805403250000003</v>
      </c>
      <c r="BB398" s="6">
        <f>[1]Emissions!BA850</f>
        <v>5.2745794760000004</v>
      </c>
      <c r="BC398" s="6">
        <f>[1]Emissions!BB850</f>
        <v>5.3645123290000001</v>
      </c>
      <c r="BD398" s="6">
        <f>[1]Emissions!BC850</f>
        <v>5.4558339399999998</v>
      </c>
      <c r="BE398" s="6">
        <f>[1]Emissions!BD850</f>
        <v>5.5485816579999998</v>
      </c>
      <c r="BF398" s="6">
        <f>[1]Emissions!BE850</f>
        <v>5.642790593</v>
      </c>
    </row>
    <row r="399" spans="1:58" x14ac:dyDescent="0.35">
      <c r="B399" s="6" t="str">
        <f>[1]Emissions!A852</f>
        <v>ems_ci_co2_scon_2</v>
      </c>
      <c r="C399" s="6">
        <f>[1]Emissions!B852</f>
        <v>7.4919130960000002</v>
      </c>
      <c r="D399" s="6">
        <f>[1]Emissions!C852</f>
        <v>7.330907442</v>
      </c>
      <c r="E399" s="6">
        <f>[1]Emissions!D852</f>
        <v>7.1809615879999997</v>
      </c>
      <c r="F399" s="6">
        <f>[1]Emissions!E852</f>
        <v>7.0931753369999999</v>
      </c>
      <c r="G399" s="6">
        <f>[1]Emissions!F852</f>
        <v>7.0911645099999996</v>
      </c>
      <c r="H399" s="6">
        <f>[1]Emissions!G852</f>
        <v>7.1783717759999996</v>
      </c>
      <c r="I399" s="6">
        <f>[1]Emissions!H852</f>
        <v>7.3460816900000001</v>
      </c>
      <c r="J399" s="6">
        <f>[1]Emissions!I852</f>
        <v>7.5765685700000001</v>
      </c>
      <c r="K399" s="6">
        <f>[1]Emissions!J852</f>
        <v>7.8547612920000001</v>
      </c>
      <c r="L399" s="6">
        <f>[1]Emissions!K852</f>
        <v>8.1654149260000004</v>
      </c>
      <c r="M399" s="6">
        <f>[1]Emissions!L852</f>
        <v>8.4964482609999994</v>
      </c>
      <c r="N399" s="6">
        <f>[1]Emissions!M852</f>
        <v>8.8421643630000002</v>
      </c>
      <c r="O399" s="6">
        <f>[1]Emissions!N852</f>
        <v>9.1837913489999998</v>
      </c>
      <c r="P399" s="6">
        <f>[1]Emissions!O852</f>
        <v>9.5142519910000001</v>
      </c>
      <c r="Q399" s="6">
        <f>[1]Emissions!P852</f>
        <v>9.8290788039999999</v>
      </c>
      <c r="R399" s="6">
        <f>[1]Emissions!Q852</f>
        <v>10.12584934</v>
      </c>
      <c r="S399" s="6">
        <f>[1]Emissions!R852</f>
        <v>10.40469395</v>
      </c>
      <c r="T399" s="6">
        <f>[1]Emissions!S852</f>
        <v>10.666015740000001</v>
      </c>
      <c r="U399" s="6">
        <f>[1]Emissions!T852</f>
        <v>10.91210568</v>
      </c>
      <c r="V399" s="6">
        <f>[1]Emissions!U852</f>
        <v>11.146066279999999</v>
      </c>
      <c r="W399" s="6">
        <f>[1]Emissions!V852</f>
        <v>11.369228120000001</v>
      </c>
      <c r="X399" s="6">
        <f>[1]Emissions!W852</f>
        <v>11.5809835</v>
      </c>
      <c r="Y399" s="6">
        <f>[1]Emissions!X852</f>
        <v>11.791422409999999</v>
      </c>
      <c r="Z399" s="6">
        <f>[1]Emissions!Y852</f>
        <v>12.003522909999999</v>
      </c>
      <c r="AA399" s="6">
        <f>[1]Emissions!Z852</f>
        <v>12.21999392</v>
      </c>
      <c r="AB399" s="6">
        <f>[1]Emissions!AA852</f>
        <v>12.43703741</v>
      </c>
      <c r="AC399" s="6">
        <f>[1]Emissions!AB852</f>
        <v>12.64183403</v>
      </c>
      <c r="AD399" s="6">
        <f>[1]Emissions!AC852</f>
        <v>12.847237079999999</v>
      </c>
      <c r="AE399" s="6">
        <f>[1]Emissions!AD852</f>
        <v>13.05473886</v>
      </c>
      <c r="AF399" s="6">
        <f>[1]Emissions!AE852</f>
        <v>13.265622349999999</v>
      </c>
      <c r="AG399" s="6">
        <f>[1]Emissions!AF852</f>
        <v>13.481704179999999</v>
      </c>
      <c r="AH399" s="6">
        <f>[1]Emissions!AG852</f>
        <v>13.704684950000001</v>
      </c>
      <c r="AI399" s="6">
        <f>[1]Emissions!AH852</f>
        <v>13.93657264</v>
      </c>
      <c r="AJ399" s="6">
        <f>[1]Emissions!AI852</f>
        <v>14.178752039999999</v>
      </c>
      <c r="AK399" s="6">
        <f>[1]Emissions!AJ852</f>
        <v>14.432060140000001</v>
      </c>
      <c r="AL399" s="6">
        <f>[1]Emissions!AK852</f>
        <v>14.6967921</v>
      </c>
      <c r="AM399" s="6">
        <f>[1]Emissions!AL852</f>
        <v>14.968204950000001</v>
      </c>
      <c r="AN399" s="6">
        <f>[1]Emissions!AM852</f>
        <v>15.2435837</v>
      </c>
      <c r="AO399" s="6">
        <f>[1]Emissions!AN852</f>
        <v>15.52292198</v>
      </c>
      <c r="AP399" s="6">
        <f>[1]Emissions!AO852</f>
        <v>15.805894410000001</v>
      </c>
      <c r="AQ399" s="6">
        <f>[1]Emissions!AP852</f>
        <v>16.09205678</v>
      </c>
      <c r="AR399" s="6">
        <f>[1]Emissions!AQ852</f>
        <v>16.380557199999998</v>
      </c>
      <c r="AS399" s="6">
        <f>[1]Emissions!AR852</f>
        <v>16.671679529999999</v>
      </c>
      <c r="AT399" s="6">
        <f>[1]Emissions!AS852</f>
        <v>16.965565460000001</v>
      </c>
      <c r="AU399" s="6">
        <f>[1]Emissions!AT852</f>
        <v>17.262396410000001</v>
      </c>
      <c r="AV399" s="6">
        <f>[1]Emissions!AU852</f>
        <v>17.562307839999999</v>
      </c>
      <c r="AW399" s="6">
        <f>[1]Emissions!AV852</f>
        <v>17.863405279999998</v>
      </c>
      <c r="AX399" s="6">
        <f>[1]Emissions!AW852</f>
        <v>18.167423960000001</v>
      </c>
      <c r="AY399" s="6">
        <f>[1]Emissions!AX852</f>
        <v>18.227909050000001</v>
      </c>
      <c r="AZ399" s="6">
        <f>[1]Emissions!AY852</f>
        <v>18.375187069999999</v>
      </c>
      <c r="BA399" s="6">
        <f>[1]Emissions!AZ852</f>
        <v>18.39173868</v>
      </c>
      <c r="BB399" s="6">
        <f>[1]Emissions!BA852</f>
        <v>23.246582029999999</v>
      </c>
      <c r="BC399" s="6">
        <f>[1]Emissions!BB852</f>
        <v>23.652213870000001</v>
      </c>
      <c r="BD399" s="6">
        <f>[1]Emissions!BC852</f>
        <v>24.054386350000001</v>
      </c>
      <c r="BE399" s="6">
        <f>[1]Emissions!BD852</f>
        <v>24.453275439999999</v>
      </c>
      <c r="BF399" s="6">
        <f>[1]Emissions!BE852</f>
        <v>24.84906221</v>
      </c>
    </row>
    <row r="400" spans="1:58" x14ac:dyDescent="0.35">
      <c r="B400" s="6" t="str">
        <f>[1]Emissions!A854</f>
        <v>ems_ci_co2_srai_2</v>
      </c>
      <c r="C400" s="6">
        <f>[1]Emissions!B854</f>
        <v>1.709079512</v>
      </c>
      <c r="D400" s="6">
        <f>[1]Emissions!C854</f>
        <v>1.717519727</v>
      </c>
      <c r="E400" s="6">
        <f>[1]Emissions!D854</f>
        <v>1.7308265300000001</v>
      </c>
      <c r="F400" s="6">
        <f>[1]Emissions!E854</f>
        <v>1.746806992</v>
      </c>
      <c r="G400" s="6">
        <f>[1]Emissions!F854</f>
        <v>1.764954149</v>
      </c>
      <c r="H400" s="6">
        <f>[1]Emissions!G854</f>
        <v>1.7849440940000001</v>
      </c>
      <c r="I400" s="6">
        <f>[1]Emissions!H854</f>
        <v>1.8054631889999999</v>
      </c>
      <c r="J400" s="6">
        <f>[1]Emissions!I854</f>
        <v>1.8267675249999999</v>
      </c>
      <c r="K400" s="6">
        <f>[1]Emissions!J854</f>
        <v>1.8487741559999999</v>
      </c>
      <c r="L400" s="6">
        <f>[1]Emissions!K854</f>
        <v>1.871334874</v>
      </c>
      <c r="M400" s="6">
        <f>[1]Emissions!L854</f>
        <v>1.8959639960000001</v>
      </c>
      <c r="N400" s="6">
        <f>[1]Emissions!M854</f>
        <v>1.9197961809999999</v>
      </c>
      <c r="O400" s="6">
        <f>[1]Emissions!N854</f>
        <v>1.943436095</v>
      </c>
      <c r="P400" s="6">
        <f>[1]Emissions!O854</f>
        <v>1.9669723349999999</v>
      </c>
      <c r="Q400" s="6">
        <f>[1]Emissions!P854</f>
        <v>1.990375931</v>
      </c>
      <c r="R400" s="6">
        <f>[1]Emissions!Q854</f>
        <v>2.0136111579999998</v>
      </c>
      <c r="S400" s="6">
        <f>[1]Emissions!R854</f>
        <v>2.0365336150000002</v>
      </c>
      <c r="T400" s="6">
        <f>[1]Emissions!S854</f>
        <v>2.0592375820000002</v>
      </c>
      <c r="U400" s="6">
        <f>[1]Emissions!T854</f>
        <v>2.0817681060000002</v>
      </c>
      <c r="V400" s="6">
        <f>[1]Emissions!U854</f>
        <v>2.1041729020000002</v>
      </c>
      <c r="W400" s="6">
        <f>[1]Emissions!V854</f>
        <v>2.1253222969999999</v>
      </c>
      <c r="X400" s="6">
        <f>[1]Emissions!W854</f>
        <v>2.147146212</v>
      </c>
      <c r="Y400" s="6">
        <f>[1]Emissions!X854</f>
        <v>2.1692593009999999</v>
      </c>
      <c r="Z400" s="6">
        <f>[1]Emissions!Y854</f>
        <v>2.1916090110000002</v>
      </c>
      <c r="AA400" s="6">
        <f>[1]Emissions!Z854</f>
        <v>2.2142234219999999</v>
      </c>
      <c r="AB400" s="6">
        <f>[1]Emissions!AA854</f>
        <v>2.2337927350000002</v>
      </c>
      <c r="AC400" s="6">
        <f>[1]Emissions!AB854</f>
        <v>2.2540730369999999</v>
      </c>
      <c r="AD400" s="6">
        <f>[1]Emissions!AC854</f>
        <v>2.2746677790000001</v>
      </c>
      <c r="AE400" s="6">
        <f>[1]Emissions!AD854</f>
        <v>2.2955487579999998</v>
      </c>
      <c r="AF400" s="6">
        <f>[1]Emissions!AE854</f>
        <v>2.3167698259999998</v>
      </c>
      <c r="AG400" s="6">
        <f>[1]Emissions!AF854</f>
        <v>2.338382417</v>
      </c>
      <c r="AH400" s="6">
        <f>[1]Emissions!AG854</f>
        <v>2.3604460459999999</v>
      </c>
      <c r="AI400" s="6">
        <f>[1]Emissions!AH854</f>
        <v>2.3829572209999998</v>
      </c>
      <c r="AJ400" s="6">
        <f>[1]Emissions!AI854</f>
        <v>2.4059133099999999</v>
      </c>
      <c r="AK400" s="6">
        <f>[1]Emissions!AJ854</f>
        <v>2.429305464</v>
      </c>
      <c r="AL400" s="6">
        <f>[1]Emissions!AK854</f>
        <v>2.453119649</v>
      </c>
      <c r="AM400" s="6">
        <f>[1]Emissions!AL854</f>
        <v>2.4767956359999999</v>
      </c>
      <c r="AN400" s="6">
        <f>[1]Emissions!AM854</f>
        <v>2.500589449</v>
      </c>
      <c r="AO400" s="6">
        <f>[1]Emissions!AN854</f>
        <v>2.524588783</v>
      </c>
      <c r="AP400" s="6">
        <f>[1]Emissions!AO854</f>
        <v>2.5488303779999999</v>
      </c>
      <c r="AQ400" s="6">
        <f>[1]Emissions!AP854</f>
        <v>2.5733349950000002</v>
      </c>
      <c r="AR400" s="6">
        <f>[1]Emissions!AQ854</f>
        <v>2.5981517190000001</v>
      </c>
      <c r="AS400" s="6">
        <f>[1]Emissions!AR854</f>
        <v>2.623261313</v>
      </c>
      <c r="AT400" s="6">
        <f>[1]Emissions!AS854</f>
        <v>2.6486579560000001</v>
      </c>
      <c r="AU400" s="6">
        <f>[1]Emissions!AT854</f>
        <v>2.6743356120000001</v>
      </c>
      <c r="AV400" s="6">
        <f>[1]Emissions!AU854</f>
        <v>2.7002865410000001</v>
      </c>
      <c r="AW400" s="6">
        <f>[1]Emissions!AV854</f>
        <v>2.7266934950000001</v>
      </c>
      <c r="AX400" s="6">
        <f>[1]Emissions!AW854</f>
        <v>2.7534283039999998</v>
      </c>
      <c r="AY400" s="6">
        <f>[1]Emissions!AX854</f>
        <v>2.7639216520000001</v>
      </c>
      <c r="AZ400" s="6">
        <f>[1]Emissions!AY854</f>
        <v>2.7943457700000001</v>
      </c>
      <c r="BA400" s="6">
        <f>[1]Emissions!AZ854</f>
        <v>2.797969465</v>
      </c>
      <c r="BB400" s="6">
        <f>[1]Emissions!BA854</f>
        <v>3.575424505</v>
      </c>
      <c r="BC400" s="6">
        <f>[1]Emissions!BB854</f>
        <v>3.6299902319999999</v>
      </c>
      <c r="BD400" s="6">
        <f>[1]Emissions!BC854</f>
        <v>3.6854330360000001</v>
      </c>
      <c r="BE400" s="6">
        <f>[1]Emissions!BD854</f>
        <v>3.7417713899999998</v>
      </c>
      <c r="BF400" s="6">
        <f>[1]Emissions!BE854</f>
        <v>3.7990240829999999</v>
      </c>
    </row>
    <row r="401" spans="2:58" x14ac:dyDescent="0.35">
      <c r="B401" s="6" t="str">
        <f>[1]Emissions!A856</f>
        <v>ems_ci_co2_sroa_2</v>
      </c>
      <c r="C401" s="6">
        <f>[1]Emissions!B856</f>
        <v>17.067713950000002</v>
      </c>
      <c r="D401" s="6">
        <f>[1]Emissions!C856</f>
        <v>17.156962279999998</v>
      </c>
      <c r="E401" s="6">
        <f>[1]Emissions!D856</f>
        <v>17.294910770000001</v>
      </c>
      <c r="F401" s="6">
        <f>[1]Emissions!E856</f>
        <v>17.45833154</v>
      </c>
      <c r="G401" s="6">
        <f>[1]Emissions!F856</f>
        <v>17.641426549999998</v>
      </c>
      <c r="H401" s="6">
        <f>[1]Emissions!G856</f>
        <v>17.840787670000001</v>
      </c>
      <c r="I401" s="6">
        <f>[1]Emissions!H856</f>
        <v>18.043459510000002</v>
      </c>
      <c r="J401" s="6">
        <f>[1]Emissions!I856</f>
        <v>18.252546519999999</v>
      </c>
      <c r="K401" s="6">
        <f>[1]Emissions!J856</f>
        <v>18.467717319999998</v>
      </c>
      <c r="L401" s="6">
        <f>[1]Emissions!K856</f>
        <v>18.687968340000001</v>
      </c>
      <c r="M401" s="6">
        <f>[1]Emissions!L856</f>
        <v>18.928880299999999</v>
      </c>
      <c r="N401" s="6">
        <f>[1]Emissions!M856</f>
        <v>19.161884929999999</v>
      </c>
      <c r="O401" s="6">
        <f>[1]Emissions!N856</f>
        <v>19.393444479999999</v>
      </c>
      <c r="P401" s="6">
        <f>[1]Emissions!O856</f>
        <v>19.624570039999998</v>
      </c>
      <c r="Q401" s="6">
        <f>[1]Emissions!P856</f>
        <v>19.855022389999998</v>
      </c>
      <c r="R401" s="6">
        <f>[1]Emissions!Q856</f>
        <v>20.084443239999999</v>
      </c>
      <c r="S401" s="6">
        <f>[1]Emissions!R856</f>
        <v>20.311332499999999</v>
      </c>
      <c r="T401" s="6">
        <f>[1]Emissions!S856</f>
        <v>20.536576920000002</v>
      </c>
      <c r="U401" s="6">
        <f>[1]Emissions!T856</f>
        <v>20.760542510000001</v>
      </c>
      <c r="V401" s="6">
        <f>[1]Emissions!U856</f>
        <v>20.983614750000001</v>
      </c>
      <c r="W401" s="6">
        <f>[1]Emissions!V856</f>
        <v>21.194405750000001</v>
      </c>
      <c r="X401" s="6">
        <f>[1]Emissions!W856</f>
        <v>21.41223755</v>
      </c>
      <c r="Y401" s="6">
        <f>[1]Emissions!X856</f>
        <v>21.63306725</v>
      </c>
      <c r="Z401" s="6">
        <f>[1]Emissions!Y856</f>
        <v>21.856306459999999</v>
      </c>
      <c r="AA401" s="6">
        <f>[1]Emissions!Z856</f>
        <v>22.082180910000002</v>
      </c>
      <c r="AB401" s="6">
        <f>[1]Emissions!AA856</f>
        <v>22.27754264</v>
      </c>
      <c r="AC401" s="6">
        <f>[1]Emissions!AB856</f>
        <v>22.480212680000001</v>
      </c>
      <c r="AD401" s="6">
        <f>[1]Emissions!AC856</f>
        <v>22.686014180000001</v>
      </c>
      <c r="AE401" s="6">
        <f>[1]Emissions!AD856</f>
        <v>22.894640209999999</v>
      </c>
      <c r="AF401" s="6">
        <f>[1]Emissions!AE856</f>
        <v>23.106605800000001</v>
      </c>
      <c r="AG401" s="6">
        <f>[1]Emissions!AF856</f>
        <v>23.322392780000001</v>
      </c>
      <c r="AH401" s="6">
        <f>[1]Emissions!AG856</f>
        <v>23.542567300000002</v>
      </c>
      <c r="AI401" s="6">
        <f>[1]Emissions!AH856</f>
        <v>23.76706124</v>
      </c>
      <c r="AJ401" s="6">
        <f>[1]Emissions!AI856</f>
        <v>23.99582672</v>
      </c>
      <c r="AK401" s="6">
        <f>[1]Emissions!AJ856</f>
        <v>24.22876424</v>
      </c>
      <c r="AL401" s="6">
        <f>[1]Emissions!AK856</f>
        <v>24.46573261</v>
      </c>
      <c r="AM401" s="6">
        <f>[1]Emissions!AL856</f>
        <v>24.701190799999999</v>
      </c>
      <c r="AN401" s="6">
        <f>[1]Emissions!AM856</f>
        <v>24.937743390000001</v>
      </c>
      <c r="AO401" s="6">
        <f>[1]Emissions!AN856</f>
        <v>25.176269959999999</v>
      </c>
      <c r="AP401" s="6">
        <f>[1]Emissions!AO856</f>
        <v>25.417144669999999</v>
      </c>
      <c r="AQ401" s="6">
        <f>[1]Emissions!AP856</f>
        <v>25.66058271</v>
      </c>
      <c r="AR401" s="6">
        <f>[1]Emissions!AQ856</f>
        <v>25.907088860000002</v>
      </c>
      <c r="AS401" s="6">
        <f>[1]Emissions!AR856</f>
        <v>26.156466170000002</v>
      </c>
      <c r="AT401" s="6">
        <f>[1]Emissions!AS856</f>
        <v>26.408653399999999</v>
      </c>
      <c r="AU401" s="6">
        <f>[1]Emissions!AT856</f>
        <v>26.663586639999998</v>
      </c>
      <c r="AV401" s="6">
        <f>[1]Emissions!AU856</f>
        <v>26.921186030000001</v>
      </c>
      <c r="AW401" s="6">
        <f>[1]Emissions!AV856</f>
        <v>27.18331195</v>
      </c>
      <c r="AX401" s="6">
        <f>[1]Emissions!AW856</f>
        <v>27.448659330000002</v>
      </c>
      <c r="AY401" s="6">
        <f>[1]Emissions!AX856</f>
        <v>27.47939594</v>
      </c>
      <c r="AZ401" s="6">
        <f>[1]Emissions!AY856</f>
        <v>27.553412510000001</v>
      </c>
      <c r="BA401" s="6">
        <f>[1]Emissions!AZ856</f>
        <v>27.561689510000001</v>
      </c>
      <c r="BB401" s="6">
        <f>[1]Emissions!BA856</f>
        <v>35.672975299999997</v>
      </c>
      <c r="BC401" s="6">
        <f>[1]Emissions!BB856</f>
        <v>36.217518470000002</v>
      </c>
      <c r="BD401" s="6">
        <f>[1]Emissions!BC856</f>
        <v>36.770833889999999</v>
      </c>
      <c r="BE401" s="6">
        <f>[1]Emissions!BD856</f>
        <v>37.33310058</v>
      </c>
      <c r="BF401" s="6">
        <f>[1]Emissions!BE856</f>
        <v>37.904501580000002</v>
      </c>
    </row>
    <row r="402" spans="2:58" x14ac:dyDescent="0.35">
      <c r="B402" s="6" t="str">
        <f>[1]Emissions!A858</f>
        <v>ems_ci_co2_swat_2</v>
      </c>
      <c r="C402" s="6">
        <f>[1]Emissions!B858</f>
        <v>3.6239060099999998</v>
      </c>
      <c r="D402" s="6">
        <f>[1]Emissions!C858</f>
        <v>3.6488680800000002</v>
      </c>
      <c r="E402" s="6">
        <f>[1]Emissions!D858</f>
        <v>3.7014877749999999</v>
      </c>
      <c r="F402" s="6">
        <f>[1]Emissions!E858</f>
        <v>3.760613099</v>
      </c>
      <c r="G402" s="6">
        <f>[1]Emissions!F858</f>
        <v>3.8229962080000002</v>
      </c>
      <c r="H402" s="6">
        <f>[1]Emissions!G858</f>
        <v>3.887109084</v>
      </c>
      <c r="I402" s="6">
        <f>[1]Emissions!H858</f>
        <v>3.9479742440000001</v>
      </c>
      <c r="J402" s="6">
        <f>[1]Emissions!I858</f>
        <v>4.0075274780000001</v>
      </c>
      <c r="K402" s="6">
        <f>[1]Emissions!J858</f>
        <v>4.065277912</v>
      </c>
      <c r="L402" s="6">
        <f>[1]Emissions!K858</f>
        <v>4.1206693750000003</v>
      </c>
      <c r="M402" s="6">
        <f>[1]Emissions!L858</f>
        <v>4.1792264469999996</v>
      </c>
      <c r="N402" s="6">
        <f>[1]Emissions!M858</f>
        <v>4.2288826679999998</v>
      </c>
      <c r="O402" s="6">
        <f>[1]Emissions!N858</f>
        <v>4.2749810229999996</v>
      </c>
      <c r="P402" s="6">
        <f>[1]Emissions!O858</f>
        <v>4.3183896969999997</v>
      </c>
      <c r="Q402" s="6">
        <f>[1]Emissions!P858</f>
        <v>4.3594962009999998</v>
      </c>
      <c r="R402" s="6">
        <f>[1]Emissions!Q858</f>
        <v>4.3986837599999999</v>
      </c>
      <c r="S402" s="6">
        <f>[1]Emissions!R858</f>
        <v>4.4354710830000004</v>
      </c>
      <c r="T402" s="6">
        <f>[1]Emissions!S858</f>
        <v>4.4711272290000004</v>
      </c>
      <c r="U402" s="6">
        <f>[1]Emissions!T858</f>
        <v>4.5061844569999998</v>
      </c>
      <c r="V402" s="6">
        <f>[1]Emissions!U858</f>
        <v>4.5410650539999997</v>
      </c>
      <c r="W402" s="6">
        <f>[1]Emissions!V858</f>
        <v>4.5720311730000001</v>
      </c>
      <c r="X402" s="6">
        <f>[1]Emissions!W858</f>
        <v>4.6071963550000001</v>
      </c>
      <c r="Y402" s="6">
        <f>[1]Emissions!X858</f>
        <v>4.6436464690000001</v>
      </c>
      <c r="Z402" s="6">
        <f>[1]Emissions!Y858</f>
        <v>4.6811924579999999</v>
      </c>
      <c r="AA402" s="6">
        <f>[1]Emissions!Z858</f>
        <v>4.7199414989999999</v>
      </c>
      <c r="AB402" s="6">
        <f>[1]Emissions!AA858</f>
        <v>4.7485025780000001</v>
      </c>
      <c r="AC402" s="6">
        <f>[1]Emissions!AB858</f>
        <v>4.7835911050000002</v>
      </c>
      <c r="AD402" s="6">
        <f>[1]Emissions!AC858</f>
        <v>4.8207858359999998</v>
      </c>
      <c r="AE402" s="6">
        <f>[1]Emissions!AD858</f>
        <v>4.859549533</v>
      </c>
      <c r="AF402" s="6">
        <f>[1]Emissions!AE858</f>
        <v>4.8998078249999999</v>
      </c>
      <c r="AG402" s="6">
        <f>[1]Emissions!AF858</f>
        <v>4.9415281929999999</v>
      </c>
      <c r="AH402" s="6">
        <f>[1]Emissions!AG858</f>
        <v>4.984850711</v>
      </c>
      <c r="AI402" s="6">
        <f>[1]Emissions!AH858</f>
        <v>5.0295274479999996</v>
      </c>
      <c r="AJ402" s="6">
        <f>[1]Emissions!AI858</f>
        <v>5.0754393840000001</v>
      </c>
      <c r="AK402" s="6">
        <f>[1]Emissions!AJ858</f>
        <v>5.1224681639999998</v>
      </c>
      <c r="AL402" s="6">
        <f>[1]Emissions!AK858</f>
        <v>5.1704879420000003</v>
      </c>
      <c r="AM402" s="6">
        <f>[1]Emissions!AL858</f>
        <v>5.2183849430000002</v>
      </c>
      <c r="AN402" s="6">
        <f>[1]Emissions!AM858</f>
        <v>5.2668749740000003</v>
      </c>
      <c r="AO402" s="6">
        <f>[1]Emissions!AN858</f>
        <v>5.3160009070000003</v>
      </c>
      <c r="AP402" s="6">
        <f>[1]Emissions!AO858</f>
        <v>5.3657162039999999</v>
      </c>
      <c r="AQ402" s="6">
        <f>[1]Emissions!AP858</f>
        <v>5.4159679900000004</v>
      </c>
      <c r="AR402" s="6">
        <f>[1]Emissions!AQ858</f>
        <v>5.4669717130000004</v>
      </c>
      <c r="AS402" s="6">
        <f>[1]Emissions!AR858</f>
        <v>5.5184587399999998</v>
      </c>
      <c r="AT402" s="6">
        <f>[1]Emissions!AS858</f>
        <v>5.5703716119999998</v>
      </c>
      <c r="AU402" s="6">
        <f>[1]Emissions!AT858</f>
        <v>5.6226786750000004</v>
      </c>
      <c r="AV402" s="6">
        <f>[1]Emissions!AU858</f>
        <v>5.6753510790000004</v>
      </c>
      <c r="AW402" s="6">
        <f>[1]Emissions!AV858</f>
        <v>5.7294638930000001</v>
      </c>
      <c r="AX402" s="6">
        <f>[1]Emissions!AW858</f>
        <v>5.7840243940000002</v>
      </c>
      <c r="AY402" s="6">
        <f>[1]Emissions!AX858</f>
        <v>5.8222943479999998</v>
      </c>
      <c r="AZ402" s="6">
        <f>[1]Emissions!AY858</f>
        <v>5.9160024389999997</v>
      </c>
      <c r="BA402" s="6">
        <f>[1]Emissions!AZ858</f>
        <v>5.9264848790000002</v>
      </c>
      <c r="BB402" s="6">
        <f>[1]Emissions!BA858</f>
        <v>8.6662657089999993</v>
      </c>
      <c r="BC402" s="6">
        <f>[1]Emissions!BB858</f>
        <v>8.818578381</v>
      </c>
      <c r="BD402" s="6">
        <f>[1]Emissions!BC858</f>
        <v>8.9739205159999997</v>
      </c>
      <c r="BE402" s="6">
        <f>[1]Emissions!BD858</f>
        <v>9.1323441750000001</v>
      </c>
      <c r="BF402" s="6">
        <f>[1]Emissions!BE858</f>
        <v>9.2938972399999997</v>
      </c>
    </row>
    <row r="403" spans="2:58" x14ac:dyDescent="0.35">
      <c r="B403" s="6" t="str">
        <f>[1]Emissions!A860</f>
        <v>ems_ci_co2_sair_2</v>
      </c>
      <c r="C403" s="6">
        <f>[1]Emissions!B860</f>
        <v>18.70970672</v>
      </c>
      <c r="D403" s="6">
        <f>[1]Emissions!C860</f>
        <v>18.841069409999999</v>
      </c>
      <c r="E403" s="6">
        <f>[1]Emissions!D860</f>
        <v>19.063214299999999</v>
      </c>
      <c r="F403" s="6">
        <f>[1]Emissions!E860</f>
        <v>19.320519879999999</v>
      </c>
      <c r="G403" s="6">
        <f>[1]Emissions!F860</f>
        <v>19.605726170000001</v>
      </c>
      <c r="H403" s="6">
        <f>[1]Emissions!G860</f>
        <v>19.91664127</v>
      </c>
      <c r="I403" s="6">
        <f>[1]Emissions!H860</f>
        <v>20.235206479999999</v>
      </c>
      <c r="J403" s="6">
        <f>[1]Emissions!I860</f>
        <v>20.56801016</v>
      </c>
      <c r="K403" s="6">
        <f>[1]Emissions!J860</f>
        <v>20.913935469999998</v>
      </c>
      <c r="L403" s="6">
        <f>[1]Emissions!K860</f>
        <v>21.270558860000001</v>
      </c>
      <c r="M403" s="6">
        <f>[1]Emissions!L860</f>
        <v>21.66127328</v>
      </c>
      <c r="N403" s="6">
        <f>[1]Emissions!M860</f>
        <v>22.038704540000001</v>
      </c>
      <c r="O403" s="6">
        <f>[1]Emissions!N860</f>
        <v>22.415028450000001</v>
      </c>
      <c r="P403" s="6">
        <f>[1]Emissions!O860</f>
        <v>22.790578379999999</v>
      </c>
      <c r="Q403" s="6">
        <f>[1]Emissions!P860</f>
        <v>23.164182449999998</v>
      </c>
      <c r="R403" s="6">
        <f>[1]Emissions!Q860</f>
        <v>23.534873439999998</v>
      </c>
      <c r="S403" s="6">
        <f>[1]Emissions!R860</f>
        <v>23.899342730000001</v>
      </c>
      <c r="T403" s="6">
        <f>[1]Emissions!S860</f>
        <v>24.259801929999998</v>
      </c>
      <c r="U403" s="6">
        <f>[1]Emissions!T860</f>
        <v>24.617034570000001</v>
      </c>
      <c r="V403" s="6">
        <f>[1]Emissions!U860</f>
        <v>24.971937019999999</v>
      </c>
      <c r="W403" s="6">
        <f>[1]Emissions!V860</f>
        <v>25.306405569999999</v>
      </c>
      <c r="X403" s="6">
        <f>[1]Emissions!W860</f>
        <v>25.652539409999999</v>
      </c>
      <c r="Y403" s="6">
        <f>[1]Emissions!X860</f>
        <v>26.002982639999999</v>
      </c>
      <c r="Z403" s="6">
        <f>[1]Emissions!Y860</f>
        <v>26.35761961</v>
      </c>
      <c r="AA403" s="6">
        <f>[1]Emissions!Z860</f>
        <v>26.717371029999999</v>
      </c>
      <c r="AB403" s="6">
        <f>[1]Emissions!AA860</f>
        <v>27.028236620000001</v>
      </c>
      <c r="AC403" s="6">
        <f>[1]Emissions!AB860</f>
        <v>27.353590860000001</v>
      </c>
      <c r="AD403" s="6">
        <f>[1]Emissions!AC860</f>
        <v>27.683982950000001</v>
      </c>
      <c r="AE403" s="6">
        <f>[1]Emissions!AD860</f>
        <v>28.019486199999999</v>
      </c>
      <c r="AF403" s="6">
        <f>[1]Emissions!AE860</f>
        <v>28.36138849</v>
      </c>
      <c r="AG403" s="6">
        <f>[1]Emissions!AF860</f>
        <v>28.7108059</v>
      </c>
      <c r="AH403" s="6">
        <f>[1]Emissions!AG860</f>
        <v>29.069115830000001</v>
      </c>
      <c r="AI403" s="6">
        <f>[1]Emissions!AH860</f>
        <v>29.43629971</v>
      </c>
      <c r="AJ403" s="6">
        <f>[1]Emissions!AI860</f>
        <v>29.812488989999999</v>
      </c>
      <c r="AK403" s="6">
        <f>[1]Emissions!AJ860</f>
        <v>30.197697089999998</v>
      </c>
      <c r="AL403" s="6">
        <f>[1]Emissions!AK860</f>
        <v>30.591829270000002</v>
      </c>
      <c r="AM403" s="6">
        <f>[1]Emissions!AL860</f>
        <v>30.987100030000001</v>
      </c>
      <c r="AN403" s="6">
        <f>[1]Emissions!AM860</f>
        <v>31.386648860000001</v>
      </c>
      <c r="AO403" s="6">
        <f>[1]Emissions!AN860</f>
        <v>31.791478479999999</v>
      </c>
      <c r="AP403" s="6">
        <f>[1]Emissions!AO860</f>
        <v>32.202095790000001</v>
      </c>
      <c r="AQ403" s="6">
        <f>[1]Emissions!AP860</f>
        <v>32.618869930000002</v>
      </c>
      <c r="AR403" s="6">
        <f>[1]Emissions!AQ860</f>
        <v>33.042949139999997</v>
      </c>
      <c r="AS403" s="6">
        <f>[1]Emissions!AR860</f>
        <v>33.473886149999998</v>
      </c>
      <c r="AT403" s="6">
        <f>[1]Emissions!AS860</f>
        <v>33.911669580000002</v>
      </c>
      <c r="AU403" s="6">
        <f>[1]Emissions!AT860</f>
        <v>34.356288239999998</v>
      </c>
      <c r="AV403" s="6">
        <f>[1]Emissions!AU860</f>
        <v>34.807696530000001</v>
      </c>
      <c r="AW403" s="6">
        <f>[1]Emissions!AV860</f>
        <v>35.269953090000001</v>
      </c>
      <c r="AX403" s="6">
        <f>[1]Emissions!AW860</f>
        <v>35.740227009999998</v>
      </c>
      <c r="AY403" s="6">
        <f>[1]Emissions!AX860</f>
        <v>35.869393260000002</v>
      </c>
      <c r="AZ403" s="6">
        <f>[1]Emissions!AY860</f>
        <v>36.178747319999999</v>
      </c>
      <c r="BA403" s="6">
        <f>[1]Emissions!AZ860</f>
        <v>36.213249380000001</v>
      </c>
      <c r="BB403" s="6">
        <f>[1]Emissions!BA860</f>
        <v>48.979044649999999</v>
      </c>
      <c r="BC403" s="6">
        <f>[1]Emissions!BB860</f>
        <v>49.925197480000001</v>
      </c>
      <c r="BD403" s="6">
        <f>[1]Emissions!BC860</f>
        <v>50.890454120000001</v>
      </c>
      <c r="BE403" s="6">
        <f>[1]Emissions!BD860</f>
        <v>51.87530229</v>
      </c>
      <c r="BF403" s="6">
        <f>[1]Emissions!BE860</f>
        <v>52.880249550000002</v>
      </c>
    </row>
    <row r="404" spans="2:58" x14ac:dyDescent="0.35">
      <c r="B404" s="6" t="str">
        <f>[1]Emissions!A862</f>
        <v>ems_ci_co2_spri_2</v>
      </c>
      <c r="C404" s="6">
        <f>[1]Emissions!B862</f>
        <v>30.73582974</v>
      </c>
      <c r="D404" s="6">
        <f>[1]Emissions!C862</f>
        <v>30.742890859999999</v>
      </c>
      <c r="E404" s="6">
        <f>[1]Emissions!D862</f>
        <v>30.84069289</v>
      </c>
      <c r="F404" s="6">
        <f>[1]Emissions!E862</f>
        <v>31.039079449999999</v>
      </c>
      <c r="G404" s="6">
        <f>[1]Emissions!F862</f>
        <v>31.351861830000001</v>
      </c>
      <c r="H404" s="6">
        <f>[1]Emissions!G862</f>
        <v>31.780359900000001</v>
      </c>
      <c r="I404" s="6">
        <f>[1]Emissions!H862</f>
        <v>32.299971970000001</v>
      </c>
      <c r="J404" s="6">
        <f>[1]Emissions!I862</f>
        <v>32.899031950000001</v>
      </c>
      <c r="K404" s="6">
        <f>[1]Emissions!J862</f>
        <v>33.563134740000002</v>
      </c>
      <c r="L404" s="6">
        <f>[1]Emissions!K862</f>
        <v>34.27667391</v>
      </c>
      <c r="M404" s="6">
        <f>[1]Emissions!L862</f>
        <v>35.053560779999998</v>
      </c>
      <c r="N404" s="6">
        <f>[1]Emissions!M862</f>
        <v>35.847868490000003</v>
      </c>
      <c r="O404" s="6">
        <f>[1]Emissions!N862</f>
        <v>36.648911179999999</v>
      </c>
      <c r="P404" s="6">
        <f>[1]Emissions!O862</f>
        <v>37.450899800000002</v>
      </c>
      <c r="Q404" s="6">
        <f>[1]Emissions!P862</f>
        <v>38.248812340000001</v>
      </c>
      <c r="R404" s="6">
        <f>[1]Emissions!Q862</f>
        <v>39.039083810000001</v>
      </c>
      <c r="S404" s="6">
        <f>[1]Emissions!R862</f>
        <v>39.822349379999999</v>
      </c>
      <c r="T404" s="6">
        <f>[1]Emissions!S862</f>
        <v>40.595447059999998</v>
      </c>
      <c r="U404" s="6">
        <f>[1]Emissions!T862</f>
        <v>41.359063120000002</v>
      </c>
      <c r="V404" s="6">
        <f>[1]Emissions!U862</f>
        <v>42.114983840000001</v>
      </c>
      <c r="W404" s="6">
        <f>[1]Emissions!V862</f>
        <v>42.843337660000003</v>
      </c>
      <c r="X404" s="6">
        <f>[1]Emissions!W862</f>
        <v>43.574615610000002</v>
      </c>
      <c r="Y404" s="6">
        <f>[1]Emissions!X862</f>
        <v>44.310172309999999</v>
      </c>
      <c r="Z404" s="6">
        <f>[1]Emissions!Y862</f>
        <v>45.051257290000002</v>
      </c>
      <c r="AA404" s="6">
        <f>[1]Emissions!Z862</f>
        <v>45.800142649999998</v>
      </c>
      <c r="AB404" s="6">
        <f>[1]Emissions!AA862</f>
        <v>46.494586660000003</v>
      </c>
      <c r="AC404" s="6">
        <f>[1]Emissions!AB862</f>
        <v>47.185450850000002</v>
      </c>
      <c r="AD404" s="6">
        <f>[1]Emissions!AC862</f>
        <v>47.878968479999997</v>
      </c>
      <c r="AE404" s="6">
        <f>[1]Emissions!AD862</f>
        <v>48.577333119999999</v>
      </c>
      <c r="AF404" s="6">
        <f>[1]Emissions!AE862</f>
        <v>49.283491689999998</v>
      </c>
      <c r="AG404" s="6">
        <f>[1]Emissions!AF862</f>
        <v>50.000582889999997</v>
      </c>
      <c r="AH404" s="6">
        <f>[1]Emissions!AG862</f>
        <v>50.73047356</v>
      </c>
      <c r="AI404" s="6">
        <f>[1]Emissions!AH862</f>
        <v>51.4764008</v>
      </c>
      <c r="AJ404" s="6">
        <f>[1]Emissions!AI862</f>
        <v>52.240168820000001</v>
      </c>
      <c r="AK404" s="6">
        <f>[1]Emissions!AJ862</f>
        <v>53.022939530000002</v>
      </c>
      <c r="AL404" s="6">
        <f>[1]Emissions!AK862</f>
        <v>53.825361010000002</v>
      </c>
      <c r="AM404" s="6">
        <f>[1]Emissions!AL862</f>
        <v>54.622343389999997</v>
      </c>
      <c r="AN404" s="6">
        <f>[1]Emissions!AM862</f>
        <v>55.426592290000002</v>
      </c>
      <c r="AO404" s="6">
        <f>[1]Emissions!AN862</f>
        <v>56.241363720000003</v>
      </c>
      <c r="AP404" s="6">
        <f>[1]Emissions!AO862</f>
        <v>57.067933859999997</v>
      </c>
      <c r="AQ404" s="6">
        <f>[1]Emissions!AP862</f>
        <v>57.907090599999997</v>
      </c>
      <c r="AR404" s="6">
        <f>[1]Emissions!AQ862</f>
        <v>58.757796630000001</v>
      </c>
      <c r="AS404" s="6">
        <f>[1]Emissions!AR862</f>
        <v>59.62214788</v>
      </c>
      <c r="AT404" s="6">
        <f>[1]Emissions!AS862</f>
        <v>60.500759719999998</v>
      </c>
      <c r="AU404" s="6">
        <f>[1]Emissions!AT862</f>
        <v>61.394008220000003</v>
      </c>
      <c r="AV404" s="6">
        <f>[1]Emissions!AU862</f>
        <v>62.30212453</v>
      </c>
      <c r="AW404" s="6">
        <f>[1]Emissions!AV862</f>
        <v>63.220472200000003</v>
      </c>
      <c r="AX404" s="6">
        <f>[1]Emissions!AW862</f>
        <v>64.154242150000002</v>
      </c>
      <c r="AY404" s="6">
        <f>[1]Emissions!AX862</f>
        <v>64.229937789999994</v>
      </c>
      <c r="AZ404" s="6">
        <f>[1]Emissions!AY862</f>
        <v>64.412526009999993</v>
      </c>
      <c r="BA404" s="6">
        <f>[1]Emissions!AZ862</f>
        <v>64.432723060000001</v>
      </c>
      <c r="BB404" s="6">
        <f>[1]Emissions!BA862</f>
        <v>72.575607649999995</v>
      </c>
      <c r="BC404" s="6">
        <f>[1]Emissions!BB862</f>
        <v>73.768639559999997</v>
      </c>
      <c r="BD404" s="6">
        <f>[1]Emissions!BC862</f>
        <v>74.977568120000001</v>
      </c>
      <c r="BE404" s="6">
        <f>[1]Emissions!BD862</f>
        <v>76.2029991</v>
      </c>
      <c r="BF404" s="6">
        <f>[1]Emissions!BE862</f>
        <v>77.445539460000006</v>
      </c>
    </row>
    <row r="405" spans="2:58" x14ac:dyDescent="0.35">
      <c r="B405" s="6" t="str">
        <f>[1]Emissions!A864</f>
        <v>ems_ci_co2_spub_2</v>
      </c>
      <c r="C405" s="6">
        <f>[1]Emissions!B864</f>
        <v>14.246792299999999</v>
      </c>
      <c r="D405" s="6">
        <f>[1]Emissions!C864</f>
        <v>14.36413342</v>
      </c>
      <c r="E405" s="6">
        <f>[1]Emissions!D864</f>
        <v>14.49613866</v>
      </c>
      <c r="F405" s="6">
        <f>[1]Emissions!E864</f>
        <v>14.647475910000001</v>
      </c>
      <c r="G405" s="6">
        <f>[1]Emissions!F864</f>
        <v>14.827918179999999</v>
      </c>
      <c r="H405" s="6">
        <f>[1]Emissions!G864</f>
        <v>15.04218861</v>
      </c>
      <c r="I405" s="6">
        <f>[1]Emissions!H864</f>
        <v>15.27876477</v>
      </c>
      <c r="J405" s="6">
        <f>[1]Emissions!I864</f>
        <v>15.54273873</v>
      </c>
      <c r="K405" s="6">
        <f>[1]Emissions!J864</f>
        <v>15.83073313</v>
      </c>
      <c r="L405" s="6">
        <f>[1]Emissions!K864</f>
        <v>16.13785429</v>
      </c>
      <c r="M405" s="6">
        <f>[1]Emissions!L864</f>
        <v>16.479831699999998</v>
      </c>
      <c r="N405" s="6">
        <f>[1]Emissions!M864</f>
        <v>16.817425960000001</v>
      </c>
      <c r="O405" s="6">
        <f>[1]Emissions!N864</f>
        <v>17.159600829999999</v>
      </c>
      <c r="P405" s="6">
        <f>[1]Emissions!O864</f>
        <v>17.505582319999998</v>
      </c>
      <c r="Q405" s="6">
        <f>[1]Emissions!P864</f>
        <v>17.853734670000001</v>
      </c>
      <c r="R405" s="6">
        <f>[1]Emissions!Q864</f>
        <v>18.2028316</v>
      </c>
      <c r="S405" s="6">
        <f>[1]Emissions!R864</f>
        <v>18.552343329999999</v>
      </c>
      <c r="T405" s="6">
        <f>[1]Emissions!S864</f>
        <v>18.901965279999999</v>
      </c>
      <c r="U405" s="6">
        <f>[1]Emissions!T864</f>
        <v>19.25184673</v>
      </c>
      <c r="V405" s="6">
        <f>[1]Emissions!U864</f>
        <v>19.60239215</v>
      </c>
      <c r="W405" s="6">
        <f>[1]Emissions!V864</f>
        <v>19.938180190000001</v>
      </c>
      <c r="X405" s="6">
        <f>[1]Emissions!W864</f>
        <v>20.287341609999999</v>
      </c>
      <c r="Y405" s="6">
        <f>[1]Emissions!X864</f>
        <v>20.640772999999999</v>
      </c>
      <c r="Z405" s="6">
        <f>[1]Emissions!Y864</f>
        <v>20.99779418</v>
      </c>
      <c r="AA405" s="6">
        <f>[1]Emissions!Z864</f>
        <v>21.358972430000001</v>
      </c>
      <c r="AB405" s="6">
        <f>[1]Emissions!AA864</f>
        <v>21.67822765</v>
      </c>
      <c r="AC405" s="6">
        <f>[1]Emissions!AB864</f>
        <v>22.014419279999998</v>
      </c>
      <c r="AD405" s="6">
        <f>[1]Emissions!AC864</f>
        <v>22.355066709999999</v>
      </c>
      <c r="AE405" s="6">
        <f>[1]Emissions!AD864</f>
        <v>22.698857319999998</v>
      </c>
      <c r="AF405" s="6">
        <f>[1]Emissions!AE864</f>
        <v>23.046209600000001</v>
      </c>
      <c r="AG405" s="6">
        <f>[1]Emissions!AF864</f>
        <v>23.397910469999999</v>
      </c>
      <c r="AH405" s="6">
        <f>[1]Emissions!AG864</f>
        <v>23.754733340000001</v>
      </c>
      <c r="AI405" s="6">
        <f>[1]Emissions!AH864</f>
        <v>24.117515449999999</v>
      </c>
      <c r="AJ405" s="6">
        <f>[1]Emissions!AI864</f>
        <v>24.486956339999999</v>
      </c>
      <c r="AK405" s="6">
        <f>[1]Emissions!AJ864</f>
        <v>24.8636126</v>
      </c>
      <c r="AL405" s="6">
        <f>[1]Emissions!AK864</f>
        <v>25.24788981</v>
      </c>
      <c r="AM405" s="6">
        <f>[1]Emissions!AL864</f>
        <v>25.627611770000001</v>
      </c>
      <c r="AN405" s="6">
        <f>[1]Emissions!AM864</f>
        <v>26.011502620000002</v>
      </c>
      <c r="AO405" s="6">
        <f>[1]Emissions!AN864</f>
        <v>26.400945419999999</v>
      </c>
      <c r="AP405" s="6">
        <f>[1]Emissions!AO864</f>
        <v>26.796285619999999</v>
      </c>
      <c r="AQ405" s="6">
        <f>[1]Emissions!AP864</f>
        <v>27.197715970000001</v>
      </c>
      <c r="AR405" s="6">
        <f>[1]Emissions!AQ864</f>
        <v>27.605263699999998</v>
      </c>
      <c r="AS405" s="6">
        <f>[1]Emissions!AR864</f>
        <v>28.019192650000001</v>
      </c>
      <c r="AT405" s="6">
        <f>[1]Emissions!AS864</f>
        <v>28.43974141</v>
      </c>
      <c r="AU405" s="6">
        <f>[1]Emissions!AT864</f>
        <v>28.867143089999999</v>
      </c>
      <c r="AV405" s="6">
        <f>[1]Emissions!AU864</f>
        <v>29.301601399999999</v>
      </c>
      <c r="AW405" s="6">
        <f>[1]Emissions!AV864</f>
        <v>29.743729470000002</v>
      </c>
      <c r="AX405" s="6">
        <f>[1]Emissions!AW864</f>
        <v>30.19309368</v>
      </c>
      <c r="AY405" s="6">
        <f>[1]Emissions!AX864</f>
        <v>30.28179007</v>
      </c>
      <c r="AZ405" s="6">
        <f>[1]Emissions!AY864</f>
        <v>30.499800260000001</v>
      </c>
      <c r="BA405" s="6">
        <f>[1]Emissions!AZ864</f>
        <v>30.5247031</v>
      </c>
      <c r="BB405" s="6">
        <f>[1]Emissions!BA864</f>
        <v>33.704159480000001</v>
      </c>
      <c r="BC405" s="6">
        <f>[1]Emissions!BB864</f>
        <v>34.277441899999999</v>
      </c>
      <c r="BD405" s="6">
        <f>[1]Emissions!BC864</f>
        <v>34.858916180000001</v>
      </c>
      <c r="BE405" s="6">
        <f>[1]Emissions!BD864</f>
        <v>35.448836919999998</v>
      </c>
      <c r="BF405" s="6">
        <f>[1]Emissions!BE864</f>
        <v>36.047462230000001</v>
      </c>
    </row>
    <row r="406" spans="2:58" x14ac:dyDescent="0.35">
      <c r="B406" s="6" t="str">
        <f>[1]Emissions!A866</f>
        <v>ems_ci_co2_smin_2</v>
      </c>
      <c r="C406" s="6">
        <f>[1]Emissions!B866</f>
        <v>1.0278857850000001</v>
      </c>
      <c r="D406" s="6">
        <f>[1]Emissions!C866</f>
        <v>1.0309227809999999</v>
      </c>
      <c r="E406" s="6">
        <f>[1]Emissions!D866</f>
        <v>1.039609818</v>
      </c>
      <c r="F406" s="6">
        <f>[1]Emissions!E866</f>
        <v>1.051144286</v>
      </c>
      <c r="G406" s="6">
        <f>[1]Emissions!F866</f>
        <v>1.064467748</v>
      </c>
      <c r="H406" s="6">
        <f>[1]Emissions!G866</f>
        <v>1.078941583</v>
      </c>
      <c r="I406" s="6">
        <f>[1]Emissions!H866</f>
        <v>1.093459736</v>
      </c>
      <c r="J406" s="6">
        <f>[1]Emissions!I866</f>
        <v>1.1080302230000001</v>
      </c>
      <c r="K406" s="6">
        <f>[1]Emissions!J866</f>
        <v>1.1225652589999999</v>
      </c>
      <c r="L406" s="6">
        <f>[1]Emissions!K866</f>
        <v>1.136987328</v>
      </c>
      <c r="M406" s="6">
        <f>[1]Emissions!L866</f>
        <v>1.152309663</v>
      </c>
      <c r="N406" s="6">
        <f>[1]Emissions!M866</f>
        <v>1.1667653549999999</v>
      </c>
      <c r="O406" s="6">
        <f>[1]Emissions!N866</f>
        <v>1.180765064</v>
      </c>
      <c r="P406" s="6">
        <f>[1]Emissions!O866</f>
        <v>1.1944510509999999</v>
      </c>
      <c r="Q406" s="6">
        <f>[1]Emissions!P866</f>
        <v>1.2078772209999999</v>
      </c>
      <c r="R406" s="6">
        <f>[1]Emissions!Q866</f>
        <v>1.221080089</v>
      </c>
      <c r="S406" s="6">
        <f>[1]Emissions!R866</f>
        <v>1.2339898199999999</v>
      </c>
      <c r="T406" s="6">
        <f>[1]Emissions!S866</f>
        <v>1.246722683</v>
      </c>
      <c r="U406" s="6">
        <f>[1]Emissions!T866</f>
        <v>1.259348082</v>
      </c>
      <c r="V406" s="6">
        <f>[1]Emissions!U866</f>
        <v>1.2719261500000001</v>
      </c>
      <c r="W406" s="6">
        <f>[1]Emissions!V866</f>
        <v>1.283768587</v>
      </c>
      <c r="X406" s="6">
        <f>[1]Emissions!W866</f>
        <v>1.2960885879999999</v>
      </c>
      <c r="Y406" s="6">
        <f>[1]Emissions!X866</f>
        <v>1.3086966179999999</v>
      </c>
      <c r="Z406" s="6">
        <f>[1]Emissions!Y866</f>
        <v>1.321557176</v>
      </c>
      <c r="AA406" s="6">
        <f>[1]Emissions!Z866</f>
        <v>1.3346834970000001</v>
      </c>
      <c r="AB406" s="6">
        <f>[1]Emissions!AA866</f>
        <v>1.3460005390000001</v>
      </c>
      <c r="AC406" s="6">
        <f>[1]Emissions!AB866</f>
        <v>1.357806278</v>
      </c>
      <c r="AD406" s="6">
        <f>[1]Emissions!AC866</f>
        <v>1.369931813</v>
      </c>
      <c r="AE406" s="6">
        <f>[1]Emissions!AD866</f>
        <v>1.3823521059999999</v>
      </c>
      <c r="AF406" s="6">
        <f>[1]Emissions!AE866</f>
        <v>1.3950881580000001</v>
      </c>
      <c r="AG406" s="6">
        <f>[1]Emissions!AF866</f>
        <v>1.408158308</v>
      </c>
      <c r="AH406" s="6">
        <f>[1]Emissions!AG866</f>
        <v>1.421589733</v>
      </c>
      <c r="AI406" s="6">
        <f>[1]Emissions!AH866</f>
        <v>1.4353586359999999</v>
      </c>
      <c r="AJ406" s="6">
        <f>[1]Emissions!AI866</f>
        <v>1.4494419300000001</v>
      </c>
      <c r="AK406" s="6">
        <f>[1]Emissions!AJ866</f>
        <v>1.463813397</v>
      </c>
      <c r="AL406" s="6">
        <f>[1]Emissions!AK866</f>
        <v>1.4784449820000001</v>
      </c>
      <c r="AM406" s="6">
        <f>[1]Emissions!AL866</f>
        <v>1.493029875</v>
      </c>
      <c r="AN406" s="6">
        <f>[1]Emissions!AM866</f>
        <v>1.5076739379999999</v>
      </c>
      <c r="AO406" s="6">
        <f>[1]Emissions!AN866</f>
        <v>1.522422459</v>
      </c>
      <c r="AP406" s="6">
        <f>[1]Emissions!AO866</f>
        <v>1.5372917530000001</v>
      </c>
      <c r="AQ406" s="6">
        <f>[1]Emissions!AP866</f>
        <v>1.552287714</v>
      </c>
      <c r="AR406" s="6">
        <f>[1]Emissions!AQ866</f>
        <v>1.5674433759999999</v>
      </c>
      <c r="AS406" s="6">
        <f>[1]Emissions!AR866</f>
        <v>1.5827369200000001</v>
      </c>
      <c r="AT406" s="6">
        <f>[1]Emissions!AS866</f>
        <v>1.5981568150000001</v>
      </c>
      <c r="AU406" s="6">
        <f>[1]Emissions!AT866</f>
        <v>1.613692409</v>
      </c>
      <c r="AV406" s="6">
        <f>[1]Emissions!AU866</f>
        <v>1.629332606</v>
      </c>
      <c r="AW406" s="6">
        <f>[1]Emissions!AV866</f>
        <v>1.645217141</v>
      </c>
      <c r="AX406" s="6">
        <f>[1]Emissions!AW866</f>
        <v>1.6612528129999999</v>
      </c>
      <c r="AY406" s="6">
        <f>[1]Emissions!AX866</f>
        <v>1.7046169790000001</v>
      </c>
      <c r="AZ406" s="6">
        <f>[1]Emissions!AY866</f>
        <v>1.8132123040000001</v>
      </c>
      <c r="BA406" s="6">
        <f>[1]Emissions!AZ866</f>
        <v>1.8298396990000001</v>
      </c>
      <c r="BB406" s="6">
        <f>[1]Emissions!BA866</f>
        <v>2.3194195799999999</v>
      </c>
      <c r="BC406" s="6">
        <f>[1]Emissions!BB866</f>
        <v>2.3587256729999999</v>
      </c>
      <c r="BD406" s="6">
        <f>[1]Emissions!BC866</f>
        <v>2.398702202</v>
      </c>
      <c r="BE406" s="6">
        <f>[1]Emissions!BD866</f>
        <v>2.4393586269999998</v>
      </c>
      <c r="BF406" s="6">
        <f>[1]Emissions!BE866</f>
        <v>2.4807043590000002</v>
      </c>
    </row>
    <row r="407" spans="2:58" x14ac:dyDescent="0.35">
      <c r="B407" s="6" t="str">
        <f>[1]Emissions!A868</f>
        <v>ems_ci_co2_soil_2</v>
      </c>
      <c r="C407" s="6">
        <f>[1]Emissions!B868</f>
        <v>16.257918929999999</v>
      </c>
      <c r="D407" s="6">
        <f>[1]Emissions!C868</f>
        <v>16.27206043</v>
      </c>
      <c r="E407" s="6">
        <f>[1]Emissions!D868</f>
        <v>16.32207125</v>
      </c>
      <c r="F407" s="6">
        <f>[1]Emissions!E868</f>
        <v>16.394373980000001</v>
      </c>
      <c r="G407" s="6">
        <f>[1]Emissions!F868</f>
        <v>16.492076619999999</v>
      </c>
      <c r="H407" s="6">
        <f>[1]Emissions!G868</f>
        <v>16.614604490000001</v>
      </c>
      <c r="I407" s="6">
        <f>[1]Emissions!H868</f>
        <v>16.749804839999999</v>
      </c>
      <c r="J407" s="6">
        <f>[1]Emissions!I868</f>
        <v>16.89864889</v>
      </c>
      <c r="K407" s="6">
        <f>[1]Emissions!J868</f>
        <v>17.058793210000001</v>
      </c>
      <c r="L407" s="6">
        <f>[1]Emissions!K868</f>
        <v>17.22766128</v>
      </c>
      <c r="M407" s="6">
        <f>[1]Emissions!L868</f>
        <v>17.417528570000002</v>
      </c>
      <c r="N407" s="6">
        <f>[1]Emissions!M868</f>
        <v>17.602056520000001</v>
      </c>
      <c r="O407" s="6">
        <f>[1]Emissions!N868</f>
        <v>17.787077490000001</v>
      </c>
      <c r="P407" s="6">
        <f>[1]Emissions!O868</f>
        <v>17.973401679999998</v>
      </c>
      <c r="Q407" s="6">
        <f>[1]Emissions!P868</f>
        <v>18.16070895</v>
      </c>
      <c r="R407" s="6">
        <f>[1]Emissions!Q868</f>
        <v>18.348551789999998</v>
      </c>
      <c r="S407" s="6">
        <f>[1]Emissions!R868</f>
        <v>18.535084170000001</v>
      </c>
      <c r="T407" s="6">
        <f>[1]Emissions!S868</f>
        <v>18.721286970000001</v>
      </c>
      <c r="U407" s="6">
        <f>[1]Emissions!T868</f>
        <v>18.907374130000001</v>
      </c>
      <c r="V407" s="6">
        <f>[1]Emissions!U868</f>
        <v>19.09350744</v>
      </c>
      <c r="W407" s="6">
        <f>[1]Emissions!V868</f>
        <v>19.269610530000001</v>
      </c>
      <c r="X407" s="6">
        <f>[1]Emissions!W868</f>
        <v>19.45252103</v>
      </c>
      <c r="Y407" s="6">
        <f>[1]Emissions!X868</f>
        <v>19.638273389999998</v>
      </c>
      <c r="Z407" s="6">
        <f>[1]Emissions!Y868</f>
        <v>19.826093350000001</v>
      </c>
      <c r="AA407" s="6">
        <f>[1]Emissions!Z868</f>
        <v>20.01603695</v>
      </c>
      <c r="AB407" s="6">
        <f>[1]Emissions!AA868</f>
        <v>20.179228030000001</v>
      </c>
      <c r="AC407" s="6">
        <f>[1]Emissions!AB868</f>
        <v>20.349420779999999</v>
      </c>
      <c r="AD407" s="6">
        <f>[1]Emissions!AC868</f>
        <v>20.522334520000001</v>
      </c>
      <c r="AE407" s="6">
        <f>[1]Emissions!AD868</f>
        <v>20.6973463</v>
      </c>
      <c r="AF407" s="6">
        <f>[1]Emissions!AE868</f>
        <v>20.874703570000001</v>
      </c>
      <c r="AG407" s="6">
        <f>[1]Emissions!AF868</f>
        <v>21.054784770000001</v>
      </c>
      <c r="AH407" s="6">
        <f>[1]Emissions!AG868</f>
        <v>21.238225719999999</v>
      </c>
      <c r="AI407" s="6">
        <f>[1]Emissions!AH868</f>
        <v>21.425022240000001</v>
      </c>
      <c r="AJ407" s="6">
        <f>[1]Emissions!AI868</f>
        <v>21.615274249999999</v>
      </c>
      <c r="AK407" s="6">
        <f>[1]Emissions!AJ868</f>
        <v>21.809047549999999</v>
      </c>
      <c r="AL407" s="6">
        <f>[1]Emissions!AK868</f>
        <v>22.006361930000001</v>
      </c>
      <c r="AM407" s="6">
        <f>[1]Emissions!AL868</f>
        <v>22.203114920000001</v>
      </c>
      <c r="AN407" s="6">
        <f>[1]Emissions!AM868</f>
        <v>22.401249849999999</v>
      </c>
      <c r="AO407" s="6">
        <f>[1]Emissions!AN868</f>
        <v>22.601534860000001</v>
      </c>
      <c r="AP407" s="6">
        <f>[1]Emissions!AO868</f>
        <v>22.804304739999999</v>
      </c>
      <c r="AQ407" s="6">
        <f>[1]Emissions!AP868</f>
        <v>23.009742920000001</v>
      </c>
      <c r="AR407" s="6">
        <f>[1]Emissions!AQ868</f>
        <v>23.218386379999998</v>
      </c>
      <c r="AS407" s="6">
        <f>[1]Emissions!AR868</f>
        <v>23.430003150000001</v>
      </c>
      <c r="AT407" s="6">
        <f>[1]Emissions!AS868</f>
        <v>23.64459033</v>
      </c>
      <c r="AU407" s="6">
        <f>[1]Emissions!AT868</f>
        <v>23.862171830000001</v>
      </c>
      <c r="AV407" s="6">
        <f>[1]Emissions!AU868</f>
        <v>24.082765999999999</v>
      </c>
      <c r="AW407" s="6">
        <f>[1]Emissions!AV868</f>
        <v>24.308361349999998</v>
      </c>
      <c r="AX407" s="6">
        <f>[1]Emissions!AW868</f>
        <v>24.537582799999999</v>
      </c>
      <c r="AY407" s="6">
        <f>[1]Emissions!AX868</f>
        <v>24.556553109999999</v>
      </c>
      <c r="AZ407" s="6">
        <f>[1]Emissions!AY868</f>
        <v>24.601947299999999</v>
      </c>
      <c r="BA407" s="6">
        <f>[1]Emissions!AZ868</f>
        <v>24.607015050000001</v>
      </c>
      <c r="BB407" s="6">
        <f>[1]Emissions!BA868</f>
        <v>31.883603999999998</v>
      </c>
      <c r="BC407" s="6">
        <f>[1]Emissions!BB868</f>
        <v>32.347674509999997</v>
      </c>
      <c r="BD407" s="6">
        <f>[1]Emissions!BC868</f>
        <v>32.819326539999999</v>
      </c>
      <c r="BE407" s="6">
        <f>[1]Emissions!BD868</f>
        <v>33.298744659999997</v>
      </c>
      <c r="BF407" s="6">
        <f>[1]Emissions!BE868</f>
        <v>33.786124770000001</v>
      </c>
    </row>
    <row r="408" spans="2:58" x14ac:dyDescent="0.35">
      <c r="B408" s="6" t="str">
        <f>[1]Emissions!A870</f>
        <v>ems_ci_co2_sbfu_2</v>
      </c>
      <c r="C408" s="6">
        <f>[1]Emissions!B870</f>
        <v>3.7951125069999998</v>
      </c>
      <c r="D408" s="6">
        <f>[1]Emissions!C870</f>
        <v>3.7940902570000001</v>
      </c>
      <c r="E408" s="6">
        <f>[1]Emissions!D870</f>
        <v>3.7974665230000002</v>
      </c>
      <c r="F408" s="6">
        <f>[1]Emissions!E870</f>
        <v>3.8064687660000001</v>
      </c>
      <c r="G408" s="6">
        <f>[1]Emissions!F870</f>
        <v>3.822820187</v>
      </c>
      <c r="H408" s="6">
        <f>[1]Emissions!G870</f>
        <v>3.8463377209999998</v>
      </c>
      <c r="I408" s="6">
        <f>[1]Emissions!H870</f>
        <v>3.874252056</v>
      </c>
      <c r="J408" s="6">
        <f>[1]Emissions!I870</f>
        <v>3.9064773260000001</v>
      </c>
      <c r="K408" s="6">
        <f>[1]Emissions!J870</f>
        <v>3.9423059789999999</v>
      </c>
      <c r="L408" s="6">
        <f>[1]Emissions!K870</f>
        <v>3.9810547180000002</v>
      </c>
      <c r="M408" s="6">
        <f>[1]Emissions!L870</f>
        <v>4.0250629179999997</v>
      </c>
      <c r="N408" s="6">
        <f>[1]Emissions!M870</f>
        <v>4.0689446150000004</v>
      </c>
      <c r="O408" s="6">
        <f>[1]Emissions!N870</f>
        <v>4.1137944849999997</v>
      </c>
      <c r="P408" s="6">
        <f>[1]Emissions!O870</f>
        <v>4.1595818309999997</v>
      </c>
      <c r="Q408" s="6">
        <f>[1]Emissions!P870</f>
        <v>4.2060813110000002</v>
      </c>
      <c r="R408" s="6">
        <f>[1]Emissions!Q870</f>
        <v>4.2530621450000003</v>
      </c>
      <c r="S408" s="6">
        <f>[1]Emissions!R870</f>
        <v>4.3000327199999999</v>
      </c>
      <c r="T408" s="6">
        <f>[1]Emissions!S870</f>
        <v>4.3470849850000004</v>
      </c>
      <c r="U408" s="6">
        <f>[1]Emissions!T870</f>
        <v>4.3941621560000002</v>
      </c>
      <c r="V408" s="6">
        <f>[1]Emissions!U870</f>
        <v>4.4412216740000003</v>
      </c>
      <c r="W408" s="6">
        <f>[1]Emissions!V870</f>
        <v>4.4861634080000004</v>
      </c>
      <c r="X408" s="6">
        <f>[1]Emissions!W870</f>
        <v>4.5323376480000004</v>
      </c>
      <c r="Y408" s="6">
        <f>[1]Emissions!X870</f>
        <v>4.5788907239999999</v>
      </c>
      <c r="Z408" s="6">
        <f>[1]Emissions!Y870</f>
        <v>4.6256931870000004</v>
      </c>
      <c r="AA408" s="6">
        <f>[1]Emissions!Z870</f>
        <v>4.6727737879999998</v>
      </c>
      <c r="AB408" s="6">
        <f>[1]Emissions!AA870</f>
        <v>4.7142672040000004</v>
      </c>
      <c r="AC408" s="6">
        <f>[1]Emissions!AB870</f>
        <v>4.7569841239999997</v>
      </c>
      <c r="AD408" s="6">
        <f>[1]Emissions!AC870</f>
        <v>4.7999622950000003</v>
      </c>
      <c r="AE408" s="6">
        <f>[1]Emissions!AD870</f>
        <v>4.8431362260000004</v>
      </c>
      <c r="AF408" s="6">
        <f>[1]Emissions!AE870</f>
        <v>4.8866073319999996</v>
      </c>
      <c r="AG408" s="6">
        <f>[1]Emissions!AF870</f>
        <v>4.9304980680000003</v>
      </c>
      <c r="AH408" s="6">
        <f>[1]Emissions!AG870</f>
        <v>4.9749788600000002</v>
      </c>
      <c r="AI408" s="6">
        <f>[1]Emissions!AH870</f>
        <v>5.0200891529999998</v>
      </c>
      <c r="AJ408" s="6">
        <f>[1]Emissions!AI870</f>
        <v>5.0658896090000001</v>
      </c>
      <c r="AK408" s="6">
        <f>[1]Emissions!AJ870</f>
        <v>5.1124299740000003</v>
      </c>
      <c r="AL408" s="6">
        <f>[1]Emissions!AK870</f>
        <v>5.1597473110000003</v>
      </c>
      <c r="AM408" s="6">
        <f>[1]Emissions!AL870</f>
        <v>5.2070104270000002</v>
      </c>
      <c r="AN408" s="6">
        <f>[1]Emissions!AM870</f>
        <v>5.2546254299999999</v>
      </c>
      <c r="AO408" s="6">
        <f>[1]Emissions!AN870</f>
        <v>5.3027554290000003</v>
      </c>
      <c r="AP408" s="6">
        <f>[1]Emissions!AO870</f>
        <v>5.3514830010000001</v>
      </c>
      <c r="AQ408" s="6">
        <f>[1]Emissions!AP870</f>
        <v>5.4008632639999998</v>
      </c>
      <c r="AR408" s="6">
        <f>[1]Emissions!AQ870</f>
        <v>5.4510218129999997</v>
      </c>
      <c r="AS408" s="6">
        <f>[1]Emissions!AR870</f>
        <v>5.501929606</v>
      </c>
      <c r="AT408" s="6">
        <f>[1]Emissions!AS870</f>
        <v>5.5536070940000002</v>
      </c>
      <c r="AU408" s="6">
        <f>[1]Emissions!AT870</f>
        <v>5.6060775520000004</v>
      </c>
      <c r="AV408" s="6">
        <f>[1]Emissions!AU870</f>
        <v>5.6593616840000003</v>
      </c>
      <c r="AW408" s="6">
        <f>[1]Emissions!AV870</f>
        <v>5.7138725780000001</v>
      </c>
      <c r="AX408" s="6">
        <f>[1]Emissions!AW870</f>
        <v>5.7693427890000004</v>
      </c>
      <c r="AY408" s="6">
        <f>[1]Emissions!AX870</f>
        <v>5.7715271899999996</v>
      </c>
      <c r="AZ408" s="6">
        <f>[1]Emissions!AY870</f>
        <v>5.7768704829999997</v>
      </c>
      <c r="BA408" s="6">
        <f>[1]Emissions!AZ870</f>
        <v>5.7774794060000003</v>
      </c>
      <c r="BB408" s="6">
        <f>[1]Emissions!BA870</f>
        <v>7.2498662630000004</v>
      </c>
      <c r="BC408" s="6">
        <f>[1]Emissions!BB870</f>
        <v>7.3506676459999998</v>
      </c>
      <c r="BD408" s="6">
        <f>[1]Emissions!BC870</f>
        <v>7.4530505619999996</v>
      </c>
      <c r="BE408" s="6">
        <f>[1]Emissions!BD870</f>
        <v>7.5570639120000003</v>
      </c>
      <c r="BF408" s="6">
        <f>[1]Emissions!BE870</f>
        <v>7.662759103</v>
      </c>
    </row>
    <row r="409" spans="2:58" x14ac:dyDescent="0.35">
      <c r="B409" s="6" t="str">
        <f>[1]Emissions!A872</f>
        <v>ems_ci_co2_seoi_2</v>
      </c>
      <c r="C409" s="6">
        <f>[1]Emissions!B872</f>
        <v>3.0574699070000002</v>
      </c>
      <c r="D409" s="6">
        <f>[1]Emissions!C872</f>
        <v>3.0681844539999998</v>
      </c>
      <c r="E409" s="6">
        <f>[1]Emissions!D872</f>
        <v>3.0776015590000001</v>
      </c>
      <c r="F409" s="6">
        <f>[1]Emissions!E872</f>
        <v>3.090601296</v>
      </c>
      <c r="G409" s="6">
        <f>[1]Emissions!F872</f>
        <v>3.1091182000000002</v>
      </c>
      <c r="H409" s="6">
        <f>[1]Emissions!G872</f>
        <v>3.1333031039999999</v>
      </c>
      <c r="I409" s="6">
        <f>[1]Emissions!H872</f>
        <v>3.1608924940000001</v>
      </c>
      <c r="J409" s="6">
        <f>[1]Emissions!I872</f>
        <v>3.1910431400000001</v>
      </c>
      <c r="K409" s="6">
        <f>[1]Emissions!J872</f>
        <v>3.2227261600000001</v>
      </c>
      <c r="L409" s="6">
        <f>[1]Emissions!K872</f>
        <v>3.2549358719999999</v>
      </c>
      <c r="M409" s="6">
        <f>[1]Emissions!L872</f>
        <v>3.2892647149999998</v>
      </c>
      <c r="N409" s="6">
        <f>[1]Emissions!M872</f>
        <v>3.3219060699999998</v>
      </c>
      <c r="O409" s="6">
        <f>[1]Emissions!N872</f>
        <v>3.352619008</v>
      </c>
      <c r="P409" s="6">
        <f>[1]Emissions!O872</f>
        <v>3.3815207350000001</v>
      </c>
      <c r="Q409" s="6">
        <f>[1]Emissions!P872</f>
        <v>3.4087211449999999</v>
      </c>
      <c r="R409" s="6">
        <f>[1]Emissions!Q872</f>
        <v>3.4343671360000001</v>
      </c>
      <c r="S409" s="6">
        <f>[1]Emissions!R872</f>
        <v>3.4589593949999999</v>
      </c>
      <c r="T409" s="6">
        <f>[1]Emissions!S872</f>
        <v>3.4823852629999998</v>
      </c>
      <c r="U409" s="6">
        <f>[1]Emissions!T872</f>
        <v>3.5049200150000002</v>
      </c>
      <c r="V409" s="6">
        <f>[1]Emissions!U872</f>
        <v>3.5268806069999998</v>
      </c>
      <c r="W409" s="6">
        <f>[1]Emissions!V872</f>
        <v>3.5468498660000001</v>
      </c>
      <c r="X409" s="6">
        <f>[1]Emissions!W872</f>
        <v>3.5675699820000002</v>
      </c>
      <c r="Y409" s="6">
        <f>[1]Emissions!X872</f>
        <v>3.5889902400000002</v>
      </c>
      <c r="Z409" s="6">
        <f>[1]Emissions!Y872</f>
        <v>3.6110929669999998</v>
      </c>
      <c r="AA409" s="6">
        <f>[1]Emissions!Z872</f>
        <v>3.6339509040000002</v>
      </c>
      <c r="AB409" s="6">
        <f>[1]Emissions!AA872</f>
        <v>3.6528210460000001</v>
      </c>
      <c r="AC409" s="6">
        <f>[1]Emissions!AB872</f>
        <v>3.6722693990000002</v>
      </c>
      <c r="AD409" s="6">
        <f>[1]Emissions!AC872</f>
        <v>3.6926763079999998</v>
      </c>
      <c r="AE409" s="6">
        <f>[1]Emissions!AD872</f>
        <v>3.714030647</v>
      </c>
      <c r="AF409" s="6">
        <f>[1]Emissions!AE872</f>
        <v>3.7363511850000002</v>
      </c>
      <c r="AG409" s="6">
        <f>[1]Emissions!AF872</f>
        <v>3.7596751080000002</v>
      </c>
      <c r="AH409" s="6">
        <f>[1]Emissions!AG872</f>
        <v>3.7839305809999999</v>
      </c>
      <c r="AI409" s="6">
        <f>[1]Emissions!AH872</f>
        <v>3.8092299870000002</v>
      </c>
      <c r="AJ409" s="6">
        <f>[1]Emissions!AI872</f>
        <v>3.8355552770000001</v>
      </c>
      <c r="AK409" s="6">
        <f>[1]Emissions!AJ872</f>
        <v>3.8628535770000001</v>
      </c>
      <c r="AL409" s="6">
        <f>[1]Emissions!AK872</f>
        <v>3.8910548399999998</v>
      </c>
      <c r="AM409" s="6">
        <f>[1]Emissions!AL872</f>
        <v>3.9180225690000001</v>
      </c>
      <c r="AN409" s="6">
        <f>[1]Emissions!AM872</f>
        <v>3.9451981530000002</v>
      </c>
      <c r="AO409" s="6">
        <f>[1]Emissions!AN872</f>
        <v>3.9728481699999998</v>
      </c>
      <c r="AP409" s="6">
        <f>[1]Emissions!AO872</f>
        <v>4.000987555</v>
      </c>
      <c r="AQ409" s="6">
        <f>[1]Emissions!AP872</f>
        <v>4.0295797440000003</v>
      </c>
      <c r="AR409" s="6">
        <f>[1]Emissions!AQ872</f>
        <v>4.0584226609999998</v>
      </c>
      <c r="AS409" s="6">
        <f>[1]Emissions!AR872</f>
        <v>4.0876591839999996</v>
      </c>
      <c r="AT409" s="6">
        <f>[1]Emissions!AS872</f>
        <v>4.1172729930000003</v>
      </c>
      <c r="AU409" s="6">
        <f>[1]Emissions!AT872</f>
        <v>4.1472288470000001</v>
      </c>
      <c r="AV409" s="6">
        <f>[1]Emissions!AU872</f>
        <v>4.177489724</v>
      </c>
      <c r="AW409" s="6">
        <f>[1]Emissions!AV872</f>
        <v>4.2075319020000004</v>
      </c>
      <c r="AX409" s="6">
        <f>[1]Emissions!AW872</f>
        <v>4.2379059330000004</v>
      </c>
      <c r="AY409" s="6">
        <f>[1]Emissions!AX872</f>
        <v>4.2901456519999996</v>
      </c>
      <c r="AZ409" s="6">
        <f>[1]Emissions!AY872</f>
        <v>4.4151974000000003</v>
      </c>
      <c r="BA409" s="6">
        <f>[1]Emissions!AZ872</f>
        <v>4.4291688110000003</v>
      </c>
      <c r="BB409" s="6">
        <f>[1]Emissions!BA872</f>
        <v>4.9407715779999997</v>
      </c>
      <c r="BC409" s="6">
        <f>[1]Emissions!BB872</f>
        <v>5.0032921830000001</v>
      </c>
      <c r="BD409" s="6">
        <f>[1]Emissions!BC872</f>
        <v>5.0669809370000003</v>
      </c>
      <c r="BE409" s="6">
        <f>[1]Emissions!BD872</f>
        <v>5.1318433590000003</v>
      </c>
      <c r="BF409" s="6">
        <f>[1]Emissions!BE872</f>
        <v>5.197886574</v>
      </c>
    </row>
    <row r="410" spans="2:58" x14ac:dyDescent="0.35">
      <c r="B410" s="6" t="str">
        <f>[1]Emissions!A874</f>
        <v>ems_ci_co2_sega_2</v>
      </c>
      <c r="C410" s="6">
        <f>[1]Emissions!B874</f>
        <v>3.617524279</v>
      </c>
      <c r="D410" s="6">
        <f>[1]Emissions!C874</f>
        <v>3.6302023750000001</v>
      </c>
      <c r="E410" s="6">
        <f>[1]Emissions!D874</f>
        <v>3.641345276</v>
      </c>
      <c r="F410" s="6">
        <f>[1]Emissions!E874</f>
        <v>3.656726736</v>
      </c>
      <c r="G410" s="6">
        <f>[1]Emissions!F874</f>
        <v>3.678635501</v>
      </c>
      <c r="H410" s="6">
        <f>[1]Emissions!G874</f>
        <v>3.707249993</v>
      </c>
      <c r="I410" s="6">
        <f>[1]Emissions!H874</f>
        <v>3.739892137</v>
      </c>
      <c r="J410" s="6">
        <f>[1]Emissions!I874</f>
        <v>3.7755643810000001</v>
      </c>
      <c r="K410" s="6">
        <f>[1]Emissions!J874</f>
        <v>3.813049543</v>
      </c>
      <c r="L410" s="6">
        <f>[1]Emissions!K874</f>
        <v>3.8511578819999999</v>
      </c>
      <c r="M410" s="6">
        <f>[1]Emissions!L874</f>
        <v>3.8917736619999999</v>
      </c>
      <c r="N410" s="6">
        <f>[1]Emissions!M874</f>
        <v>3.9303930770000002</v>
      </c>
      <c r="O410" s="6">
        <f>[1]Emissions!N874</f>
        <v>3.9667311590000001</v>
      </c>
      <c r="P410" s="6">
        <f>[1]Emissions!O874</f>
        <v>4.0009266270000001</v>
      </c>
      <c r="Q410" s="6">
        <f>[1]Emissions!P874</f>
        <v>4.033109509</v>
      </c>
      <c r="R410" s="6">
        <f>[1]Emissions!Q874</f>
        <v>4.0634535920000001</v>
      </c>
      <c r="S410" s="6">
        <f>[1]Emissions!R874</f>
        <v>4.0925512389999996</v>
      </c>
      <c r="T410" s="6">
        <f>[1]Emissions!S874</f>
        <v>4.1202691099999997</v>
      </c>
      <c r="U410" s="6">
        <f>[1]Emissions!T874</f>
        <v>4.1469328540000001</v>
      </c>
      <c r="V410" s="6">
        <f>[1]Emissions!U874</f>
        <v>4.1729174379999998</v>
      </c>
      <c r="W410" s="6">
        <f>[1]Emissions!V874</f>
        <v>4.1965460630000004</v>
      </c>
      <c r="X410" s="6">
        <f>[1]Emissions!W874</f>
        <v>4.2210631850000002</v>
      </c>
      <c r="Y410" s="6">
        <f>[1]Emissions!X874</f>
        <v>4.246408755</v>
      </c>
      <c r="Z410" s="6">
        <f>[1]Emissions!Y874</f>
        <v>4.272561831</v>
      </c>
      <c r="AA410" s="6">
        <f>[1]Emissions!Z874</f>
        <v>4.2996084559999996</v>
      </c>
      <c r="AB410" s="6">
        <f>[1]Emissions!AA874</f>
        <v>4.3219368249999999</v>
      </c>
      <c r="AC410" s="6">
        <f>[1]Emissions!AB874</f>
        <v>4.3449493500000003</v>
      </c>
      <c r="AD410" s="6">
        <f>[1]Emissions!AC874</f>
        <v>4.3690960199999997</v>
      </c>
      <c r="AE410" s="6">
        <f>[1]Emissions!AD874</f>
        <v>4.3943636550000003</v>
      </c>
      <c r="AF410" s="6">
        <f>[1]Emissions!AE874</f>
        <v>4.4207744509999998</v>
      </c>
      <c r="AG410" s="6">
        <f>[1]Emissions!AF874</f>
        <v>4.4483723990000001</v>
      </c>
      <c r="AH410" s="6">
        <f>[1]Emissions!AG874</f>
        <v>4.4770724990000001</v>
      </c>
      <c r="AI410" s="6">
        <f>[1]Emissions!AH874</f>
        <v>4.507007722</v>
      </c>
      <c r="AJ410" s="6">
        <f>[1]Emissions!AI874</f>
        <v>4.5381567150000004</v>
      </c>
      <c r="AK410" s="6">
        <f>[1]Emissions!AJ874</f>
        <v>4.5704569240000001</v>
      </c>
      <c r="AL410" s="6">
        <f>[1]Emissions!AK874</f>
        <v>4.6038254820000004</v>
      </c>
      <c r="AM410" s="6">
        <f>[1]Emissions!AL874</f>
        <v>4.6357345460000001</v>
      </c>
      <c r="AN410" s="6">
        <f>[1]Emissions!AM874</f>
        <v>4.6678895589999998</v>
      </c>
      <c r="AO410" s="6">
        <f>[1]Emissions!AN874</f>
        <v>4.7006059459999996</v>
      </c>
      <c r="AP410" s="6">
        <f>[1]Emissions!AO874</f>
        <v>4.733901382</v>
      </c>
      <c r="AQ410" s="6">
        <f>[1]Emissions!AP874</f>
        <v>4.7677326149999999</v>
      </c>
      <c r="AR410" s="6">
        <f>[1]Emissions!AQ874</f>
        <v>4.801860553</v>
      </c>
      <c r="AS410" s="6">
        <f>[1]Emissions!AR874</f>
        <v>4.8364542540000004</v>
      </c>
      <c r="AT410" s="6">
        <f>[1]Emissions!AS874</f>
        <v>4.8714944100000004</v>
      </c>
      <c r="AU410" s="6">
        <f>[1]Emissions!AT874</f>
        <v>4.906939328</v>
      </c>
      <c r="AV410" s="6">
        <f>[1]Emissions!AU874</f>
        <v>4.9427452110000001</v>
      </c>
      <c r="AW410" s="6">
        <f>[1]Emissions!AV874</f>
        <v>4.9782924020000001</v>
      </c>
      <c r="AX410" s="6">
        <f>[1]Emissions!AW874</f>
        <v>5.0142323109999998</v>
      </c>
      <c r="AY410" s="6">
        <f>[1]Emissions!AX874</f>
        <v>5.0252239650000003</v>
      </c>
      <c r="AZ410" s="6">
        <f>[1]Emissions!AY874</f>
        <v>5.0512915070000002</v>
      </c>
      <c r="BA410" s="6">
        <f>[1]Emissions!AZ874</f>
        <v>5.0541758220000004</v>
      </c>
      <c r="BB410" s="6">
        <f>[1]Emissions!BA874</f>
        <v>5.8457940060000002</v>
      </c>
      <c r="BC410" s="6">
        <f>[1]Emissions!BB874</f>
        <v>5.9197668380000001</v>
      </c>
      <c r="BD410" s="6">
        <f>[1]Emissions!BC874</f>
        <v>5.9951217950000002</v>
      </c>
      <c r="BE410" s="6">
        <f>[1]Emissions!BD874</f>
        <v>6.0718654030000003</v>
      </c>
      <c r="BF410" s="6">
        <f>[1]Emissions!BE874</f>
        <v>6.150006093</v>
      </c>
    </row>
    <row r="411" spans="2:58" x14ac:dyDescent="0.35">
      <c r="B411" s="6" t="str">
        <f>[1]Emissions!A876</f>
        <v>ems_ci_co2_seco_2</v>
      </c>
      <c r="C411" s="6">
        <f>[1]Emissions!B876</f>
        <v>7.4567112519999998</v>
      </c>
      <c r="D411" s="6">
        <f>[1]Emissions!C876</f>
        <v>7.4828442910000001</v>
      </c>
      <c r="E411" s="6">
        <f>[1]Emissions!D876</f>
        <v>7.5058128699999997</v>
      </c>
      <c r="F411" s="6">
        <f>[1]Emissions!E876</f>
        <v>7.5375182839999999</v>
      </c>
      <c r="G411" s="6">
        <f>[1]Emissions!F876</f>
        <v>7.5826782689999996</v>
      </c>
      <c r="H411" s="6">
        <f>[1]Emissions!G876</f>
        <v>7.6416605970000004</v>
      </c>
      <c r="I411" s="6">
        <f>[1]Emissions!H876</f>
        <v>7.7089450209999999</v>
      </c>
      <c r="J411" s="6">
        <f>[1]Emissions!I876</f>
        <v>7.7824753160000002</v>
      </c>
      <c r="K411" s="6">
        <f>[1]Emissions!J876</f>
        <v>7.8597425310000002</v>
      </c>
      <c r="L411" s="6">
        <f>[1]Emissions!K876</f>
        <v>7.9382942859999996</v>
      </c>
      <c r="M411" s="6">
        <f>[1]Emissions!L876</f>
        <v>8.0220145649999992</v>
      </c>
      <c r="N411" s="6">
        <f>[1]Emissions!M876</f>
        <v>8.1016197890000008</v>
      </c>
      <c r="O411" s="6">
        <f>[1]Emissions!N876</f>
        <v>8.1765225580000003</v>
      </c>
      <c r="P411" s="6">
        <f>[1]Emissions!O876</f>
        <v>8.2470088110000006</v>
      </c>
      <c r="Q411" s="6">
        <f>[1]Emissions!P876</f>
        <v>8.3133465710000003</v>
      </c>
      <c r="R411" s="6">
        <f>[1]Emissions!Q876</f>
        <v>8.3758940610000003</v>
      </c>
      <c r="S411" s="6">
        <f>[1]Emissions!R876</f>
        <v>8.4358723040000001</v>
      </c>
      <c r="T411" s="6">
        <f>[1]Emissions!S876</f>
        <v>8.4930064499999993</v>
      </c>
      <c r="U411" s="6">
        <f>[1]Emissions!T876</f>
        <v>8.5479677519999999</v>
      </c>
      <c r="V411" s="6">
        <f>[1]Emissions!U876</f>
        <v>8.6015291170000001</v>
      </c>
      <c r="W411" s="6">
        <f>[1]Emissions!V876</f>
        <v>8.6502342030000001</v>
      </c>
      <c r="X411" s="6">
        <f>[1]Emissions!W876</f>
        <v>8.700770726</v>
      </c>
      <c r="Y411" s="6">
        <f>[1]Emissions!X876</f>
        <v>8.7530149080000008</v>
      </c>
      <c r="Z411" s="6">
        <f>[1]Emissions!Y876</f>
        <v>8.8069235829999997</v>
      </c>
      <c r="AA411" s="6">
        <f>[1]Emissions!Z876</f>
        <v>8.8626741070000001</v>
      </c>
      <c r="AB411" s="6">
        <f>[1]Emissions!AA876</f>
        <v>8.9086990089999993</v>
      </c>
      <c r="AC411" s="6">
        <f>[1]Emissions!AB876</f>
        <v>8.9561341429999999</v>
      </c>
      <c r="AD411" s="6">
        <f>[1]Emissions!AC876</f>
        <v>9.0059070630000004</v>
      </c>
      <c r="AE411" s="6">
        <f>[1]Emissions!AD876</f>
        <v>9.0579906010000002</v>
      </c>
      <c r="AF411" s="6">
        <f>[1]Emissions!AE876</f>
        <v>9.1124305060000008</v>
      </c>
      <c r="AG411" s="6">
        <f>[1]Emissions!AF876</f>
        <v>9.1693174580000001</v>
      </c>
      <c r="AH411" s="6">
        <f>[1]Emissions!AG876</f>
        <v>9.2284762479999998</v>
      </c>
      <c r="AI411" s="6">
        <f>[1]Emissions!AH876</f>
        <v>9.2901809649999993</v>
      </c>
      <c r="AJ411" s="6">
        <f>[1]Emissions!AI876</f>
        <v>9.3543875960000005</v>
      </c>
      <c r="AK411" s="6">
        <f>[1]Emissions!AJ876</f>
        <v>9.4209671979999996</v>
      </c>
      <c r="AL411" s="6">
        <f>[1]Emissions!AK876</f>
        <v>9.4897489640000003</v>
      </c>
      <c r="AM411" s="6">
        <f>[1]Emissions!AL876</f>
        <v>9.5555223090000005</v>
      </c>
      <c r="AN411" s="6">
        <f>[1]Emissions!AM876</f>
        <v>9.6218026240000007</v>
      </c>
      <c r="AO411" s="6">
        <f>[1]Emissions!AN876</f>
        <v>9.6892400849999998</v>
      </c>
      <c r="AP411" s="6">
        <f>[1]Emissions!AO876</f>
        <v>9.7578711249999994</v>
      </c>
      <c r="AQ411" s="6">
        <f>[1]Emissions!AP876</f>
        <v>9.8276065880000001</v>
      </c>
      <c r="AR411" s="6">
        <f>[1]Emissions!AQ876</f>
        <v>9.8979536449999994</v>
      </c>
      <c r="AS411" s="6">
        <f>[1]Emissions!AR876</f>
        <v>9.9692607639999995</v>
      </c>
      <c r="AT411" s="6">
        <f>[1]Emissions!AS876</f>
        <v>10.041488149999999</v>
      </c>
      <c r="AU411" s="6">
        <f>[1]Emissions!AT876</f>
        <v>10.11454986</v>
      </c>
      <c r="AV411" s="6">
        <f>[1]Emissions!AU876</f>
        <v>10.188355619999999</v>
      </c>
      <c r="AW411" s="6">
        <f>[1]Emissions!AV876</f>
        <v>10.26162815</v>
      </c>
      <c r="AX411" s="6">
        <f>[1]Emissions!AW876</f>
        <v>10.33571018</v>
      </c>
      <c r="AY411" s="6">
        <f>[1]Emissions!AX876</f>
        <v>10.36927801</v>
      </c>
      <c r="AZ411" s="6">
        <f>[1]Emissions!AY876</f>
        <v>10.44959231</v>
      </c>
      <c r="BA411" s="6">
        <f>[1]Emissions!AZ876</f>
        <v>10.45855177</v>
      </c>
      <c r="BB411" s="6">
        <f>[1]Emissions!BA876</f>
        <v>12.04978725</v>
      </c>
      <c r="BC411" s="6">
        <f>[1]Emissions!BB876</f>
        <v>12.202265580000001</v>
      </c>
      <c r="BD411" s="6">
        <f>[1]Emissions!BC876</f>
        <v>12.35759285</v>
      </c>
      <c r="BE411" s="6">
        <f>[1]Emissions!BD876</f>
        <v>12.5157825</v>
      </c>
      <c r="BF411" s="6">
        <f>[1]Emissions!BE876</f>
        <v>12.67685193</v>
      </c>
    </row>
    <row r="412" spans="2:58" x14ac:dyDescent="0.35">
      <c r="B412" s="6" t="str">
        <f>[1]Emissions!A878</f>
        <v>ems_ci_co2_sech_2</v>
      </c>
      <c r="C412" s="6">
        <f>[1]Emissions!B878</f>
        <v>9.7660726029999996</v>
      </c>
      <c r="D412" s="6">
        <f>[1]Emissions!C878</f>
        <v>9.8479715900000002</v>
      </c>
      <c r="E412" s="6">
        <f>[1]Emissions!D878</f>
        <v>9.9253999230000005</v>
      </c>
      <c r="F412" s="6">
        <f>[1]Emissions!E878</f>
        <v>10.013445040000001</v>
      </c>
      <c r="G412" s="6">
        <f>[1]Emissions!F878</f>
        <v>10.11432215</v>
      </c>
      <c r="H412" s="6">
        <f>[1]Emissions!G878</f>
        <v>10.22692247</v>
      </c>
      <c r="I412" s="6">
        <f>[1]Emissions!H878</f>
        <v>10.34201912</v>
      </c>
      <c r="J412" s="6">
        <f>[1]Emissions!I878</f>
        <v>10.45973959</v>
      </c>
      <c r="K412" s="6">
        <f>[1]Emissions!J878</f>
        <v>10.57960746</v>
      </c>
      <c r="L412" s="6">
        <f>[1]Emissions!K878</f>
        <v>10.700524919999999</v>
      </c>
      <c r="M412" s="6">
        <f>[1]Emissions!L878</f>
        <v>10.832861660000001</v>
      </c>
      <c r="N412" s="6">
        <f>[1]Emissions!M878</f>
        <v>10.95947776</v>
      </c>
      <c r="O412" s="6">
        <f>[1]Emissions!N878</f>
        <v>11.08068913</v>
      </c>
      <c r="P412" s="6">
        <f>[1]Emissions!O878</f>
        <v>11.19786248</v>
      </c>
      <c r="Q412" s="6">
        <f>[1]Emissions!P878</f>
        <v>11.31173581</v>
      </c>
      <c r="R412" s="6">
        <f>[1]Emissions!Q878</f>
        <v>11.422765849999999</v>
      </c>
      <c r="S412" s="6">
        <f>[1]Emissions!R878</f>
        <v>11.532244499999999</v>
      </c>
      <c r="T412" s="6">
        <f>[1]Emissions!S878</f>
        <v>11.6395386</v>
      </c>
      <c r="U412" s="6">
        <f>[1]Emissions!T878</f>
        <v>11.74518202</v>
      </c>
      <c r="V412" s="6">
        <f>[1]Emissions!U878</f>
        <v>11.84979598</v>
      </c>
      <c r="W412" s="6">
        <f>[1]Emissions!V878</f>
        <v>11.945985009999999</v>
      </c>
      <c r="X412" s="6">
        <f>[1]Emissions!W878</f>
        <v>12.0459209</v>
      </c>
      <c r="Y412" s="6">
        <f>[1]Emissions!X878</f>
        <v>12.148738059999999</v>
      </c>
      <c r="Z412" s="6">
        <f>[1]Emissions!Y878</f>
        <v>12.25361816</v>
      </c>
      <c r="AA412" s="6">
        <f>[1]Emissions!Z878</f>
        <v>12.36032241</v>
      </c>
      <c r="AB412" s="6">
        <f>[1]Emissions!AA878</f>
        <v>12.44670065</v>
      </c>
      <c r="AC412" s="6">
        <f>[1]Emissions!AB878</f>
        <v>12.534298039999999</v>
      </c>
      <c r="AD412" s="6">
        <f>[1]Emissions!AC878</f>
        <v>12.62476019</v>
      </c>
      <c r="AE412" s="6">
        <f>[1]Emissions!AD878</f>
        <v>12.71772722</v>
      </c>
      <c r="AF412" s="6">
        <f>[1]Emissions!AE878</f>
        <v>12.81298834</v>
      </c>
      <c r="AG412" s="6">
        <f>[1]Emissions!AF878</f>
        <v>12.91045679</v>
      </c>
      <c r="AH412" s="6">
        <f>[1]Emissions!AG878</f>
        <v>13.0098486</v>
      </c>
      <c r="AI412" s="6">
        <f>[1]Emissions!AH878</f>
        <v>13.111491490000001</v>
      </c>
      <c r="AJ412" s="6">
        <f>[1]Emissions!AI878</f>
        <v>13.21535542</v>
      </c>
      <c r="AK412" s="6">
        <f>[1]Emissions!AJ878</f>
        <v>13.321352109999999</v>
      </c>
      <c r="AL412" s="6">
        <f>[1]Emissions!AK878</f>
        <v>13.429368719999999</v>
      </c>
      <c r="AM412" s="6">
        <f>[1]Emissions!AL878</f>
        <v>13.531741650000001</v>
      </c>
      <c r="AN412" s="6">
        <f>[1]Emissions!AM878</f>
        <v>13.633624040000001</v>
      </c>
      <c r="AO412" s="6">
        <f>[1]Emissions!AN878</f>
        <v>13.736279769999999</v>
      </c>
      <c r="AP412" s="6">
        <f>[1]Emissions!AO878</f>
        <v>13.84003006</v>
      </c>
      <c r="AQ412" s="6">
        <f>[1]Emissions!AP878</f>
        <v>13.944925420000001</v>
      </c>
      <c r="AR412" s="6">
        <f>[1]Emissions!AQ878</f>
        <v>14.050476979999999</v>
      </c>
      <c r="AS412" s="6">
        <f>[1]Emissions!AR878</f>
        <v>14.157163600000001</v>
      </c>
      <c r="AT412" s="6">
        <f>[1]Emissions!AS878</f>
        <v>14.264955609999999</v>
      </c>
      <c r="AU412" s="6">
        <f>[1]Emissions!AT878</f>
        <v>14.37378535</v>
      </c>
      <c r="AV412" s="6">
        <f>[1]Emissions!AU878</f>
        <v>14.483591029999999</v>
      </c>
      <c r="AW412" s="6">
        <f>[1]Emissions!AV878</f>
        <v>14.593069720000001</v>
      </c>
      <c r="AX412" s="6">
        <f>[1]Emissions!AW878</f>
        <v>14.70382096</v>
      </c>
      <c r="AY412" s="6">
        <f>[1]Emissions!AX878</f>
        <v>14.79520235</v>
      </c>
      <c r="AZ412" s="6">
        <f>[1]Emissions!AY878</f>
        <v>15.013477229999999</v>
      </c>
      <c r="BA412" s="6">
        <f>[1]Emissions!AZ878</f>
        <v>15.03780098</v>
      </c>
      <c r="BB412" s="6">
        <f>[1]Emissions!BA878</f>
        <v>14.959048920000001</v>
      </c>
      <c r="BC412" s="6">
        <f>[1]Emissions!BB878</f>
        <v>15.108809000000001</v>
      </c>
      <c r="BD412" s="6">
        <f>[1]Emissions!BC878</f>
        <v>15.2610198</v>
      </c>
      <c r="BE412" s="6">
        <f>[1]Emissions!BD878</f>
        <v>15.41566873</v>
      </c>
      <c r="BF412" s="6">
        <f>[1]Emissions!BE878</f>
        <v>15.57277088</v>
      </c>
    </row>
    <row r="413" spans="2:58" x14ac:dyDescent="0.35">
      <c r="B413" s="6" t="str">
        <f>[1]Emissions!A880</f>
        <v>ems_ci_co2_seot_2</v>
      </c>
      <c r="C413" s="6">
        <f>[1]Emissions!B880</f>
        <v>1.326946824</v>
      </c>
      <c r="D413" s="6">
        <f>[1]Emissions!C880</f>
        <v>1.331765163</v>
      </c>
      <c r="E413" s="6">
        <f>[1]Emissions!D880</f>
        <v>1.3356617719999999</v>
      </c>
      <c r="F413" s="6">
        <f>[1]Emissions!E880</f>
        <v>1.340788614</v>
      </c>
      <c r="G413" s="6">
        <f>[1]Emissions!F880</f>
        <v>1.348118454</v>
      </c>
      <c r="H413" s="6">
        <f>[1]Emissions!G880</f>
        <v>1.357867113</v>
      </c>
      <c r="I413" s="6">
        <f>[1]Emissions!H880</f>
        <v>1.3691839050000001</v>
      </c>
      <c r="J413" s="6">
        <f>[1]Emissions!I880</f>
        <v>1.381790345</v>
      </c>
      <c r="K413" s="6">
        <f>[1]Emissions!J880</f>
        <v>1.395291896</v>
      </c>
      <c r="L413" s="6">
        <f>[1]Emissions!K880</f>
        <v>1.4092744109999999</v>
      </c>
      <c r="M413" s="6">
        <f>[1]Emissions!L880</f>
        <v>1.424425601</v>
      </c>
      <c r="N413" s="6">
        <f>[1]Emissions!M880</f>
        <v>1.439098982</v>
      </c>
      <c r="O413" s="6">
        <f>[1]Emissions!N880</f>
        <v>1.4531645719999999</v>
      </c>
      <c r="P413" s="6">
        <f>[1]Emissions!O880</f>
        <v>1.4666419669999999</v>
      </c>
      <c r="Q413" s="6">
        <f>[1]Emissions!P880</f>
        <v>1.479545812</v>
      </c>
      <c r="R413" s="6">
        <f>[1]Emissions!Q880</f>
        <v>1.4919074919999999</v>
      </c>
      <c r="S413" s="6">
        <f>[1]Emissions!R880</f>
        <v>1.503921211</v>
      </c>
      <c r="T413" s="6">
        <f>[1]Emissions!S880</f>
        <v>1.515511593</v>
      </c>
      <c r="U413" s="6">
        <f>[1]Emissions!T880</f>
        <v>1.52677292</v>
      </c>
      <c r="V413" s="6">
        <f>[1]Emissions!U880</f>
        <v>1.5378208339999999</v>
      </c>
      <c r="W413" s="6">
        <f>[1]Emissions!V880</f>
        <v>1.5480188269999999</v>
      </c>
      <c r="X413" s="6">
        <f>[1]Emissions!W880</f>
        <v>1.5585413960000001</v>
      </c>
      <c r="Y413" s="6">
        <f>[1]Emissions!X880</f>
        <v>1.569358281</v>
      </c>
      <c r="Z413" s="6">
        <f>[1]Emissions!Y880</f>
        <v>1.5804561909999999</v>
      </c>
      <c r="AA413" s="6">
        <f>[1]Emissions!Z880</f>
        <v>1.5918640829999999</v>
      </c>
      <c r="AB413" s="6">
        <f>[1]Emissions!AA880</f>
        <v>1.6015035129999999</v>
      </c>
      <c r="AC413" s="6">
        <f>[1]Emissions!AB880</f>
        <v>1.611353458</v>
      </c>
      <c r="AD413" s="6">
        <f>[1]Emissions!AC880</f>
        <v>1.6215803049999999</v>
      </c>
      <c r="AE413" s="6">
        <f>[1]Emissions!AD880</f>
        <v>1.632181576</v>
      </c>
      <c r="AF413" s="6">
        <f>[1]Emissions!AE880</f>
        <v>1.643169831</v>
      </c>
      <c r="AG413" s="6">
        <f>[1]Emissions!AF880</f>
        <v>1.6545671829999999</v>
      </c>
      <c r="AH413" s="6">
        <f>[1]Emissions!AG880</f>
        <v>1.66634689</v>
      </c>
      <c r="AI413" s="6">
        <f>[1]Emissions!AH880</f>
        <v>1.678565804</v>
      </c>
      <c r="AJ413" s="6">
        <f>[1]Emissions!AI880</f>
        <v>1.6912244729999999</v>
      </c>
      <c r="AK413" s="6">
        <f>[1]Emissions!AJ880</f>
        <v>1.7043082789999999</v>
      </c>
      <c r="AL413" s="6">
        <f>[1]Emissions!AK880</f>
        <v>1.717794614</v>
      </c>
      <c r="AM413" s="6">
        <f>[1]Emissions!AL880</f>
        <v>1.7307287</v>
      </c>
      <c r="AN413" s="6">
        <f>[1]Emissions!AM880</f>
        <v>1.74374618</v>
      </c>
      <c r="AO413" s="6">
        <f>[1]Emissions!AN880</f>
        <v>1.7569709630000001</v>
      </c>
      <c r="AP413" s="6">
        <f>[1]Emissions!AO880</f>
        <v>1.7704172460000001</v>
      </c>
      <c r="AQ413" s="6">
        <f>[1]Emissions!AP880</f>
        <v>1.7840755509999999</v>
      </c>
      <c r="AR413" s="6">
        <f>[1]Emissions!AQ880</f>
        <v>1.7978583299999999</v>
      </c>
      <c r="AS413" s="6">
        <f>[1]Emissions!AR880</f>
        <v>1.8118320020000001</v>
      </c>
      <c r="AT413" s="6">
        <f>[1]Emissions!AS880</f>
        <v>1.8259925699999999</v>
      </c>
      <c r="AU413" s="6">
        <f>[1]Emissions!AT880</f>
        <v>1.84032726</v>
      </c>
      <c r="AV413" s="6">
        <f>[1]Emissions!AU880</f>
        <v>1.854821974</v>
      </c>
      <c r="AW413" s="6">
        <f>[1]Emissions!AV880</f>
        <v>1.869234531</v>
      </c>
      <c r="AX413" s="6">
        <f>[1]Emissions!AW880</f>
        <v>1.883809048</v>
      </c>
      <c r="AY413" s="6">
        <f>[1]Emissions!AX880</f>
        <v>1.8893676370000001</v>
      </c>
      <c r="AZ413" s="6">
        <f>[1]Emissions!AY880</f>
        <v>1.903085795</v>
      </c>
      <c r="BA413" s="6">
        <f>[1]Emissions!AZ880</f>
        <v>1.904660614</v>
      </c>
      <c r="BB413" s="6">
        <f>[1]Emissions!BA880</f>
        <v>2.1598708860000002</v>
      </c>
      <c r="BC413" s="6">
        <f>[1]Emissions!BB880</f>
        <v>2.187238834</v>
      </c>
      <c r="BD413" s="6">
        <f>[1]Emissions!BC880</f>
        <v>2.2150941770000001</v>
      </c>
      <c r="BE413" s="6">
        <f>[1]Emissions!BD880</f>
        <v>2.2434400540000001</v>
      </c>
      <c r="BF413" s="6">
        <f>[1]Emissions!BE880</f>
        <v>2.272280496</v>
      </c>
    </row>
    <row r="414" spans="2:58" x14ac:dyDescent="0.35">
      <c r="B414" s="6" t="str">
        <f>[1]Emissions!A882</f>
        <v>ems_y_co2_sagr_2</v>
      </c>
      <c r="C414" s="6">
        <f>[1]Emissions!B882</f>
        <v>2.7047184799999999E-2</v>
      </c>
      <c r="D414" s="6">
        <f>[1]Emissions!C882</f>
        <v>2.72398773E-2</v>
      </c>
      <c r="E414" s="6">
        <f>[1]Emissions!D882</f>
        <v>2.75072879E-2</v>
      </c>
      <c r="F414" s="6">
        <f>[1]Emissions!E882</f>
        <v>2.7795796300000002E-2</v>
      </c>
      <c r="G414" s="6">
        <f>[1]Emissions!F882</f>
        <v>2.80702174E-2</v>
      </c>
      <c r="H414" s="6">
        <f>[1]Emissions!G882</f>
        <v>2.83060802E-2</v>
      </c>
      <c r="I414" s="6">
        <f>[1]Emissions!H882</f>
        <v>2.8467064399999999E-2</v>
      </c>
      <c r="J414" s="6">
        <f>[1]Emissions!I882</f>
        <v>2.8563257000000002E-2</v>
      </c>
      <c r="K414" s="6">
        <f>[1]Emissions!J882</f>
        <v>2.8605469500000001E-2</v>
      </c>
      <c r="L414" s="6">
        <f>[1]Emissions!K882</f>
        <v>2.8607620399999999E-2</v>
      </c>
      <c r="M414" s="6">
        <f>[1]Emissions!L882</f>
        <v>2.86212351E-2</v>
      </c>
      <c r="N414" s="6">
        <f>[1]Emissions!M882</f>
        <v>2.8599825999999998E-2</v>
      </c>
      <c r="O414" s="6">
        <f>[1]Emissions!N882</f>
        <v>2.8568845200000002E-2</v>
      </c>
      <c r="P414" s="6">
        <f>[1]Emissions!O882</f>
        <v>2.8541026300000001E-2</v>
      </c>
      <c r="Q414" s="6">
        <f>[1]Emissions!P882</f>
        <v>2.85246548E-2</v>
      </c>
      <c r="R414" s="6">
        <f>[1]Emissions!Q882</f>
        <v>2.8524324199999999E-2</v>
      </c>
      <c r="S414" s="6">
        <f>[1]Emissions!R882</f>
        <v>2.8539938399999999E-2</v>
      </c>
      <c r="T414" s="6">
        <f>[1]Emissions!S882</f>
        <v>2.8571922499999999E-2</v>
      </c>
      <c r="U414" s="6">
        <f>[1]Emissions!T882</f>
        <v>2.86180503E-2</v>
      </c>
      <c r="V414" s="6">
        <f>[1]Emissions!U882</f>
        <v>2.8675263699999998E-2</v>
      </c>
      <c r="W414" s="6">
        <f>[1]Emissions!V882</f>
        <v>2.8716900900000002E-2</v>
      </c>
      <c r="X414" s="6">
        <f>[1]Emissions!W882</f>
        <v>2.8776747700000001E-2</v>
      </c>
      <c r="Y414" s="6">
        <f>[1]Emissions!X882</f>
        <v>2.8844392199999999E-2</v>
      </c>
      <c r="Z414" s="6">
        <f>[1]Emissions!Y882</f>
        <v>2.8914923499999998E-2</v>
      </c>
      <c r="AA414" s="6">
        <f>[1]Emissions!Z882</f>
        <v>2.89847895E-2</v>
      </c>
      <c r="AB414" s="6">
        <f>[1]Emissions!AA882</f>
        <v>2.8988545300000002E-2</v>
      </c>
      <c r="AC414" s="6">
        <f>[1]Emissions!AB882</f>
        <v>2.8995825999999999E-2</v>
      </c>
      <c r="AD414" s="6">
        <f>[1]Emissions!AC882</f>
        <v>2.9003025000000002E-2</v>
      </c>
      <c r="AE414" s="6">
        <f>[1]Emissions!AD882</f>
        <v>2.9011392E-2</v>
      </c>
      <c r="AF414" s="6">
        <f>[1]Emissions!AE882</f>
        <v>2.90214744E-2</v>
      </c>
      <c r="AG414" s="6">
        <f>[1]Emissions!AF882</f>
        <v>2.9033164300000001E-2</v>
      </c>
      <c r="AH414" s="6">
        <f>[1]Emissions!AG882</f>
        <v>2.9046240099999999E-2</v>
      </c>
      <c r="AI414" s="6">
        <f>[1]Emissions!AH882</f>
        <v>2.9059917599999999E-2</v>
      </c>
      <c r="AJ414" s="6">
        <f>[1]Emissions!AI882</f>
        <v>2.90736022E-2</v>
      </c>
      <c r="AK414" s="6">
        <f>[1]Emissions!AJ882</f>
        <v>2.9086852400000002E-2</v>
      </c>
      <c r="AL414" s="6">
        <f>[1]Emissions!AK882</f>
        <v>2.90994431E-2</v>
      </c>
      <c r="AM414" s="6">
        <f>[1]Emissions!AL882</f>
        <v>2.9100688600000001E-2</v>
      </c>
      <c r="AN414" s="6">
        <f>[1]Emissions!AM882</f>
        <v>2.9097562899999999E-2</v>
      </c>
      <c r="AO414" s="6">
        <f>[1]Emissions!AN882</f>
        <v>2.9093925699999999E-2</v>
      </c>
      <c r="AP414" s="6">
        <f>[1]Emissions!AO882</f>
        <v>2.9091943299999999E-2</v>
      </c>
      <c r="AQ414" s="6">
        <f>[1]Emissions!AP882</f>
        <v>2.90926317E-2</v>
      </c>
      <c r="AR414" s="6">
        <f>[1]Emissions!AQ882</f>
        <v>2.9096547600000001E-2</v>
      </c>
      <c r="AS414" s="6">
        <f>[1]Emissions!AR882</f>
        <v>2.9103269099999999E-2</v>
      </c>
      <c r="AT414" s="6">
        <f>[1]Emissions!AS882</f>
        <v>2.9112151999999999E-2</v>
      </c>
      <c r="AU414" s="6">
        <f>[1]Emissions!AT882</f>
        <v>2.9122368900000001E-2</v>
      </c>
      <c r="AV414" s="6">
        <f>[1]Emissions!AU882</f>
        <v>2.9133083800000001E-2</v>
      </c>
      <c r="AW414" s="6">
        <f>[1]Emissions!AV882</f>
        <v>2.9145690700000001E-2</v>
      </c>
      <c r="AX414" s="6">
        <f>[1]Emissions!AW882</f>
        <v>2.9158887800000002E-2</v>
      </c>
      <c r="AY414" s="6">
        <f>[1]Emissions!AX882</f>
        <v>2.9158648999999998E-2</v>
      </c>
      <c r="AZ414" s="6">
        <f>[1]Emissions!AY882</f>
        <v>2.91580561E-2</v>
      </c>
      <c r="BA414" s="6">
        <f>[1]Emissions!AZ882</f>
        <v>2.9157987900000001E-2</v>
      </c>
      <c r="BB414" s="6">
        <f>[1]Emissions!BA882</f>
        <v>6.0330790299999999E-2</v>
      </c>
      <c r="BC414" s="6">
        <f>[1]Emissions!BB882</f>
        <v>6.1318025399999997E-2</v>
      </c>
      <c r="BD414" s="6">
        <f>[1]Emissions!BC882</f>
        <v>6.2321753899999999E-2</v>
      </c>
      <c r="BE414" s="6">
        <f>[1]Emissions!BD882</f>
        <v>6.3342322300000004E-2</v>
      </c>
      <c r="BF414" s="6">
        <f>[1]Emissions!BE882</f>
        <v>6.4380092700000002E-2</v>
      </c>
    </row>
    <row r="415" spans="2:58" x14ac:dyDescent="0.35">
      <c r="B415" s="6" t="str">
        <f>[1]Emissions!A883</f>
        <v>ems_mat_co2_spub_2</v>
      </c>
      <c r="C415" s="6">
        <f>[1]Emissions!B883</f>
        <v>4.2732184740000001</v>
      </c>
      <c r="D415" s="6">
        <f>[1]Emissions!C883</f>
        <v>4.3286716350000001</v>
      </c>
      <c r="E415" s="6">
        <f>[1]Emissions!D883</f>
        <v>4.3916949470000004</v>
      </c>
      <c r="F415" s="6">
        <f>[1]Emissions!E883</f>
        <v>4.4581698019999996</v>
      </c>
      <c r="G415" s="6">
        <f>[1]Emissions!F883</f>
        <v>4.5272741959999996</v>
      </c>
      <c r="H415" s="6">
        <f>[1]Emissions!G883</f>
        <v>4.5986720559999998</v>
      </c>
      <c r="I415" s="6">
        <f>[1]Emissions!H883</f>
        <v>4.6684447459999996</v>
      </c>
      <c r="J415" s="6">
        <f>[1]Emissions!I883</f>
        <v>4.739449917</v>
      </c>
      <c r="K415" s="6">
        <f>[1]Emissions!J883</f>
        <v>4.8120222650000004</v>
      </c>
      <c r="L415" s="6">
        <f>[1]Emissions!K883</f>
        <v>4.8861989159999997</v>
      </c>
      <c r="M415" s="6">
        <f>[1]Emissions!L883</f>
        <v>4.9684248220000002</v>
      </c>
      <c r="N415" s="6">
        <f>[1]Emissions!M883</f>
        <v>5.046892422</v>
      </c>
      <c r="O415" s="6">
        <f>[1]Emissions!N883</f>
        <v>5.1261358330000002</v>
      </c>
      <c r="P415" s="6">
        <f>[1]Emissions!O883</f>
        <v>5.2066469619999998</v>
      </c>
      <c r="Q415" s="6">
        <f>[1]Emissions!P883</f>
        <v>5.288411054</v>
      </c>
      <c r="R415" s="6">
        <f>[1]Emissions!Q883</f>
        <v>5.3713553679999997</v>
      </c>
      <c r="S415" s="6">
        <f>[1]Emissions!R883</f>
        <v>5.4553453789999997</v>
      </c>
      <c r="T415" s="6">
        <f>[1]Emissions!S883</f>
        <v>5.5403619409999996</v>
      </c>
      <c r="U415" s="6">
        <f>[1]Emissions!T883</f>
        <v>5.6263833219999997</v>
      </c>
      <c r="V415" s="6">
        <f>[1]Emissions!U883</f>
        <v>5.7134034150000002</v>
      </c>
      <c r="W415" s="6">
        <f>[1]Emissions!V883</f>
        <v>5.7966258850000001</v>
      </c>
      <c r="X415" s="6">
        <f>[1]Emissions!W883</f>
        <v>5.8848013889999997</v>
      </c>
      <c r="Y415" s="6">
        <f>[1]Emissions!X883</f>
        <v>5.9745800459999998</v>
      </c>
      <c r="Z415" s="6">
        <f>[1]Emissions!Y883</f>
        <v>6.0655951650000004</v>
      </c>
      <c r="AA415" s="6">
        <f>[1]Emissions!Z883</f>
        <v>6.1578454989999996</v>
      </c>
      <c r="AB415" s="6">
        <f>[1]Emissions!AA883</f>
        <v>6.2374600830000002</v>
      </c>
      <c r="AC415" s="6">
        <f>[1]Emissions!AB883</f>
        <v>6.3231470720000003</v>
      </c>
      <c r="AD415" s="6">
        <f>[1]Emissions!AC883</f>
        <v>6.4104203970000002</v>
      </c>
      <c r="AE415" s="6">
        <f>[1]Emissions!AD883</f>
        <v>6.4988263919999998</v>
      </c>
      <c r="AF415" s="6">
        <f>[1]Emissions!AE883</f>
        <v>6.5883949839999998</v>
      </c>
      <c r="AG415" s="6">
        <f>[1]Emissions!AF883</f>
        <v>6.679195762</v>
      </c>
      <c r="AH415" s="6">
        <f>[1]Emissions!AG883</f>
        <v>6.7712991489999999</v>
      </c>
      <c r="AI415" s="6">
        <f>[1]Emissions!AH883</f>
        <v>6.8647360490000002</v>
      </c>
      <c r="AJ415" s="6">
        <f>[1]Emissions!AI883</f>
        <v>6.9595308779999998</v>
      </c>
      <c r="AK415" s="6">
        <f>[1]Emissions!AJ883</f>
        <v>7.0557025949999996</v>
      </c>
      <c r="AL415" s="6">
        <f>[1]Emissions!AK883</f>
        <v>7.1532674050000002</v>
      </c>
      <c r="AM415" s="6">
        <f>[1]Emissions!AL883</f>
        <v>7.2490073959999997</v>
      </c>
      <c r="AN415" s="6">
        <f>[1]Emissions!AM883</f>
        <v>7.3455836530000003</v>
      </c>
      <c r="AO415" s="6">
        <f>[1]Emissions!AN883</f>
        <v>7.4433486540000002</v>
      </c>
      <c r="AP415" s="6">
        <f>[1]Emissions!AO883</f>
        <v>7.5423751960000001</v>
      </c>
      <c r="AQ415" s="6">
        <f>[1]Emissions!AP883</f>
        <v>7.6427027430000001</v>
      </c>
      <c r="AR415" s="6">
        <f>[1]Emissions!AQ883</f>
        <v>7.7443870449999999</v>
      </c>
      <c r="AS415" s="6">
        <f>[1]Emissions!AR883</f>
        <v>7.8474441549999998</v>
      </c>
      <c r="AT415" s="6">
        <f>[1]Emissions!AS883</f>
        <v>7.9518903969999997</v>
      </c>
      <c r="AU415" s="6">
        <f>[1]Emissions!AT883</f>
        <v>8.0577385489999998</v>
      </c>
      <c r="AV415" s="6">
        <f>[1]Emissions!AU883</f>
        <v>8.1649990779999992</v>
      </c>
      <c r="AW415" s="6">
        <f>[1]Emissions!AV883</f>
        <v>8.2740680819999994</v>
      </c>
      <c r="AX415" s="6">
        <f>[1]Emissions!AW883</f>
        <v>8.3846741890000001</v>
      </c>
      <c r="AY415" s="6">
        <f>[1]Emissions!AX883</f>
        <v>8.3936668730000008</v>
      </c>
      <c r="AZ415" s="6">
        <f>[1]Emissions!AY883</f>
        <v>8.3921448919999992</v>
      </c>
      <c r="BA415" s="6">
        <f>[1]Emissions!AZ883</f>
        <v>8.3900881090000006</v>
      </c>
      <c r="BB415" s="6">
        <f>[1]Emissions!BA883</f>
        <v>9.7775559039999997</v>
      </c>
      <c r="BC415" s="6">
        <f>[1]Emissions!BB883</f>
        <v>9.9451361689999995</v>
      </c>
      <c r="BD415" s="6">
        <f>[1]Emissions!BC883</f>
        <v>10.115565180000001</v>
      </c>
      <c r="BE415" s="6">
        <f>[1]Emissions!BD883</f>
        <v>10.288894020000001</v>
      </c>
      <c r="BF415" s="6">
        <f>[1]Emissions!BE883</f>
        <v>10.46517543</v>
      </c>
    </row>
    <row r="416" spans="2:58" x14ac:dyDescent="0.35">
      <c r="B416" s="6" t="str">
        <f>[1]Emissions!A884</f>
        <v>ems_mat_co2_sgla_2</v>
      </c>
      <c r="C416" s="6">
        <f>[1]Emissions!B884</f>
        <v>10.77556467</v>
      </c>
      <c r="D416" s="6">
        <f>[1]Emissions!C884</f>
        <v>10.84676999</v>
      </c>
      <c r="E416" s="6">
        <f>[1]Emissions!D884</f>
        <v>10.96356265</v>
      </c>
      <c r="F416" s="6">
        <f>[1]Emissions!E884</f>
        <v>11.10271462</v>
      </c>
      <c r="G416" s="6">
        <f>[1]Emissions!F884</f>
        <v>11.25368632</v>
      </c>
      <c r="H416" s="6">
        <f>[1]Emissions!G884</f>
        <v>11.409981910000001</v>
      </c>
      <c r="I416" s="6">
        <f>[1]Emissions!H884</f>
        <v>11.56187753</v>
      </c>
      <c r="J416" s="6">
        <f>[1]Emissions!I884</f>
        <v>11.710435520000001</v>
      </c>
      <c r="K416" s="6">
        <f>[1]Emissions!J884</f>
        <v>11.85637726</v>
      </c>
      <c r="L416" s="6">
        <f>[1]Emissions!K884</f>
        <v>12.00078862</v>
      </c>
      <c r="M416" s="6">
        <f>[1]Emissions!L884</f>
        <v>12.154636760000001</v>
      </c>
      <c r="N416" s="6">
        <f>[1]Emissions!M884</f>
        <v>12.30366912</v>
      </c>
      <c r="O416" s="6">
        <f>[1]Emissions!N884</f>
        <v>12.452404769999999</v>
      </c>
      <c r="P416" s="6">
        <f>[1]Emissions!O884</f>
        <v>12.6024393</v>
      </c>
      <c r="Q416" s="6">
        <f>[1]Emissions!P884</f>
        <v>12.754523649999999</v>
      </c>
      <c r="R416" s="6">
        <f>[1]Emissions!Q884</f>
        <v>12.90907208</v>
      </c>
      <c r="S416" s="6">
        <f>[1]Emissions!R884</f>
        <v>13.06537501</v>
      </c>
      <c r="T416" s="6">
        <f>[1]Emissions!S884</f>
        <v>13.224162870000001</v>
      </c>
      <c r="U416" s="6">
        <f>[1]Emissions!T884</f>
        <v>13.38568502</v>
      </c>
      <c r="V416" s="6">
        <f>[1]Emissions!U884</f>
        <v>13.550100329999999</v>
      </c>
      <c r="W416" s="6">
        <f>[1]Emissions!V884</f>
        <v>13.710652380000001</v>
      </c>
      <c r="X416" s="6">
        <f>[1]Emissions!W884</f>
        <v>13.87775263</v>
      </c>
      <c r="Y416" s="6">
        <f>[1]Emissions!X884</f>
        <v>14.04947907</v>
      </c>
      <c r="Z416" s="6">
        <f>[1]Emissions!Y884</f>
        <v>14.225442449999999</v>
      </c>
      <c r="AA416" s="6">
        <f>[1]Emissions!Z884</f>
        <v>14.405568069999999</v>
      </c>
      <c r="AB416" s="6">
        <f>[1]Emissions!AA884</f>
        <v>14.57029393</v>
      </c>
      <c r="AC416" s="6">
        <f>[1]Emissions!AB884</f>
        <v>14.73957538</v>
      </c>
      <c r="AD416" s="6">
        <f>[1]Emissions!AC884</f>
        <v>14.91167901</v>
      </c>
      <c r="AE416" s="6">
        <f>[1]Emissions!AD884</f>
        <v>15.086611</v>
      </c>
      <c r="AF416" s="6">
        <f>[1]Emissions!AE884</f>
        <v>15.26461713</v>
      </c>
      <c r="AG416" s="6">
        <f>[1]Emissions!AF884</f>
        <v>15.445838609999999</v>
      </c>
      <c r="AH416" s="6">
        <f>[1]Emissions!AG884</f>
        <v>15.630470900000001</v>
      </c>
      <c r="AI416" s="6">
        <f>[1]Emissions!AH884</f>
        <v>15.818251679999999</v>
      </c>
      <c r="AJ416" s="6">
        <f>[1]Emissions!AI884</f>
        <v>16.008926169999999</v>
      </c>
      <c r="AK416" s="6">
        <f>[1]Emissions!AJ884</f>
        <v>16.20222089</v>
      </c>
      <c r="AL416" s="6">
        <f>[1]Emissions!AK884</f>
        <v>16.397866960000002</v>
      </c>
      <c r="AM416" s="6">
        <f>[1]Emissions!AL884</f>
        <v>16.592946999999999</v>
      </c>
      <c r="AN416" s="6">
        <f>[1]Emissions!AM884</f>
        <v>16.788347770000001</v>
      </c>
      <c r="AO416" s="6">
        <f>[1]Emissions!AN884</f>
        <v>16.984446120000001</v>
      </c>
      <c r="AP416" s="6">
        <f>[1]Emissions!AO884</f>
        <v>17.181424799999998</v>
      </c>
      <c r="AQ416" s="6">
        <f>[1]Emissions!AP884</f>
        <v>17.379386879999998</v>
      </c>
      <c r="AR416" s="6">
        <f>[1]Emissions!AQ884</f>
        <v>17.57868766</v>
      </c>
      <c r="AS416" s="6">
        <f>[1]Emissions!AR884</f>
        <v>17.77917618</v>
      </c>
      <c r="AT416" s="6">
        <f>[1]Emissions!AS884</f>
        <v>17.980771480000001</v>
      </c>
      <c r="AU416" s="6">
        <f>[1]Emissions!AT884</f>
        <v>18.183378919999999</v>
      </c>
      <c r="AV416" s="6">
        <f>[1]Emissions!AU884</f>
        <v>18.386893319999999</v>
      </c>
      <c r="AW416" s="6">
        <f>[1]Emissions!AV884</f>
        <v>18.592657639999999</v>
      </c>
      <c r="AX416" s="6">
        <f>[1]Emissions!AW884</f>
        <v>18.799905420000002</v>
      </c>
      <c r="AY416" s="6">
        <f>[1]Emissions!AX884</f>
        <v>18.820244710000001</v>
      </c>
      <c r="AZ416" s="6">
        <f>[1]Emissions!AY884</f>
        <v>18.825952170000001</v>
      </c>
      <c r="BA416" s="6">
        <f>[1]Emissions!AZ884</f>
        <v>18.823671529999999</v>
      </c>
      <c r="BB416" s="6">
        <f>[1]Emissions!BA884</f>
        <v>26.151007839999998</v>
      </c>
      <c r="BC416" s="6">
        <f>[1]Emissions!BB884</f>
        <v>26.62064466</v>
      </c>
      <c r="BD416" s="6">
        <f>[1]Emissions!BC884</f>
        <v>27.0963384</v>
      </c>
      <c r="BE416" s="6">
        <f>[1]Emissions!BD884</f>
        <v>27.578048559999999</v>
      </c>
      <c r="BF416" s="6">
        <f>[1]Emissions!BE884</f>
        <v>28.065744420000001</v>
      </c>
    </row>
    <row r="418" spans="1:58" x14ac:dyDescent="0.35">
      <c r="A418" s="12" t="s">
        <v>92</v>
      </c>
      <c r="B418" t="s">
        <v>7</v>
      </c>
      <c r="C418" s="6">
        <f>C388+C389+C414</f>
        <v>14.641072951600002</v>
      </c>
      <c r="D418" s="6">
        <f t="shared" ref="D418:AL418" si="228">D388+D389+D414</f>
        <v>14.706651620899999</v>
      </c>
      <c r="E418" s="6">
        <f t="shared" si="228"/>
        <v>14.809389275999999</v>
      </c>
      <c r="F418" s="6">
        <f t="shared" si="228"/>
        <v>14.932962267299999</v>
      </c>
      <c r="G418" s="6">
        <f t="shared" si="228"/>
        <v>15.0656501119</v>
      </c>
      <c r="H418" s="6">
        <f t="shared" si="228"/>
        <v>15.1973334019</v>
      </c>
      <c r="I418" s="6">
        <f t="shared" si="228"/>
        <v>15.3098619862</v>
      </c>
      <c r="J418" s="6">
        <f t="shared" si="228"/>
        <v>15.402497540000001</v>
      </c>
      <c r="K418" s="6">
        <f t="shared" si="228"/>
        <v>15.4772467616</v>
      </c>
      <c r="L418" s="6">
        <f t="shared" si="228"/>
        <v>15.537602254100001</v>
      </c>
      <c r="M418" s="6">
        <f t="shared" si="228"/>
        <v>15.6055944548</v>
      </c>
      <c r="N418" s="6">
        <f t="shared" si="228"/>
        <v>15.6619682863</v>
      </c>
      <c r="O418" s="6">
        <f t="shared" si="228"/>
        <v>15.711754449999999</v>
      </c>
      <c r="P418" s="6">
        <f t="shared" si="228"/>
        <v>15.760753116499998</v>
      </c>
      <c r="Q418" s="6">
        <f t="shared" si="228"/>
        <v>15.813008503600001</v>
      </c>
      <c r="R418" s="6">
        <f t="shared" si="228"/>
        <v>15.870915737999999</v>
      </c>
      <c r="S418" s="6">
        <f t="shared" si="228"/>
        <v>15.936557525</v>
      </c>
      <c r="T418" s="6">
        <f t="shared" si="228"/>
        <v>16.0087239864</v>
      </c>
      <c r="U418" s="6">
        <f t="shared" si="228"/>
        <v>16.086496274800002</v>
      </c>
      <c r="V418" s="6">
        <f t="shared" si="228"/>
        <v>16.168637965599999</v>
      </c>
      <c r="W418" s="6">
        <f t="shared" si="228"/>
        <v>16.242056981200001</v>
      </c>
      <c r="X418" s="6">
        <f t="shared" si="228"/>
        <v>16.321820720200002</v>
      </c>
      <c r="Y418" s="6">
        <f t="shared" si="228"/>
        <v>16.4057346371</v>
      </c>
      <c r="Z418" s="6">
        <f t="shared" si="228"/>
        <v>16.4912940922</v>
      </c>
      <c r="AA418" s="6">
        <f t="shared" si="228"/>
        <v>16.576739616899999</v>
      </c>
      <c r="AB418" s="6">
        <f t="shared" si="228"/>
        <v>16.628835186</v>
      </c>
      <c r="AC418" s="6">
        <f t="shared" si="228"/>
        <v>16.676574885499999</v>
      </c>
      <c r="AD418" s="6">
        <f t="shared" si="228"/>
        <v>16.723957826300001</v>
      </c>
      <c r="AE418" s="6">
        <f t="shared" si="228"/>
        <v>16.772002518200001</v>
      </c>
      <c r="AF418" s="6">
        <f t="shared" si="228"/>
        <v>16.821205435800003</v>
      </c>
      <c r="AG418" s="6">
        <f t="shared" si="228"/>
        <v>16.871763872700001</v>
      </c>
      <c r="AH418" s="6">
        <f t="shared" si="228"/>
        <v>16.923309733499998</v>
      </c>
      <c r="AI418" s="6">
        <f t="shared" si="228"/>
        <v>16.976094552200003</v>
      </c>
      <c r="AJ418" s="6">
        <f t="shared" si="228"/>
        <v>17.030012449899999</v>
      </c>
      <c r="AK418" s="6">
        <f t="shared" si="228"/>
        <v>17.084941068499997</v>
      </c>
      <c r="AL418" s="6">
        <f t="shared" si="228"/>
        <v>17.140809864500003</v>
      </c>
      <c r="AM418" s="6">
        <f t="shared" ref="AM418:BC418" si="229">AM388+AM389+AM414</f>
        <v>17.1873913419</v>
      </c>
      <c r="AN418" s="6">
        <f t="shared" si="229"/>
        <v>17.231172813299999</v>
      </c>
      <c r="AO418" s="6">
        <f t="shared" si="229"/>
        <v>17.274962410099999</v>
      </c>
      <c r="AP418" s="6">
        <f t="shared" si="229"/>
        <v>17.3201908592</v>
      </c>
      <c r="AQ418" s="6">
        <f t="shared" si="229"/>
        <v>17.367519098100001</v>
      </c>
      <c r="AR418" s="6">
        <f t="shared" si="229"/>
        <v>17.416543703299997</v>
      </c>
      <c r="AS418" s="6">
        <f t="shared" si="229"/>
        <v>17.467709296399999</v>
      </c>
      <c r="AT418" s="6">
        <f t="shared" si="229"/>
        <v>17.520743650900002</v>
      </c>
      <c r="AU418" s="6">
        <f t="shared" si="229"/>
        <v>17.575203398600003</v>
      </c>
      <c r="AV418" s="6">
        <f t="shared" si="229"/>
        <v>17.630616433099998</v>
      </c>
      <c r="AW418" s="6">
        <f t="shared" si="229"/>
        <v>17.685112384099998</v>
      </c>
      <c r="AX418" s="6">
        <f t="shared" si="229"/>
        <v>17.740266495900002</v>
      </c>
      <c r="AY418" s="6">
        <f t="shared" si="229"/>
        <v>17.8103061242</v>
      </c>
      <c r="AZ418" s="6">
        <f t="shared" si="229"/>
        <v>17.9875296602</v>
      </c>
      <c r="BA418" s="6">
        <f t="shared" si="229"/>
        <v>18.0086974357</v>
      </c>
      <c r="BB418" s="6">
        <f t="shared" si="229"/>
        <v>33.038369309300002</v>
      </c>
      <c r="BC418" s="6">
        <f t="shared" si="229"/>
        <v>33.580844579100003</v>
      </c>
      <c r="BD418" s="6">
        <f t="shared" ref="BD418:BF418" si="230">BD388+BD389+BD414</f>
        <v>34.1316481677</v>
      </c>
      <c r="BE418" s="6">
        <f t="shared" si="230"/>
        <v>34.691060451600002</v>
      </c>
      <c r="BF418" s="6">
        <f t="shared" si="230"/>
        <v>35.2593594744</v>
      </c>
    </row>
    <row r="419" spans="1:58" x14ac:dyDescent="0.35">
      <c r="A419" t="s">
        <v>39</v>
      </c>
      <c r="B419" t="s">
        <v>64</v>
      </c>
      <c r="C419" s="6">
        <f>C390</f>
        <v>8.595684382</v>
      </c>
      <c r="D419" s="6">
        <f t="shared" ref="D419:AL419" si="231">D390</f>
        <v>8.6036418470000005</v>
      </c>
      <c r="E419" s="6">
        <f t="shared" si="231"/>
        <v>8.6260107680000004</v>
      </c>
      <c r="F419" s="6">
        <f t="shared" si="231"/>
        <v>8.6588455129999993</v>
      </c>
      <c r="G419" s="6">
        <f t="shared" si="231"/>
        <v>8.7016161519999997</v>
      </c>
      <c r="H419" s="6">
        <f t="shared" si="231"/>
        <v>8.7521886169999998</v>
      </c>
      <c r="I419" s="6">
        <f t="shared" si="231"/>
        <v>8.8012161090000003</v>
      </c>
      <c r="J419" s="6">
        <f t="shared" si="231"/>
        <v>8.8482298830000001</v>
      </c>
      <c r="K419" s="6">
        <f t="shared" si="231"/>
        <v>8.8929850049999999</v>
      </c>
      <c r="L419" s="6">
        <f t="shared" si="231"/>
        <v>8.9353663440000002</v>
      </c>
      <c r="M419" s="6">
        <f t="shared" si="231"/>
        <v>8.9859675649999993</v>
      </c>
      <c r="N419" s="6">
        <f t="shared" si="231"/>
        <v>9.0303521339999993</v>
      </c>
      <c r="O419" s="6">
        <f t="shared" si="231"/>
        <v>9.0703213030000001</v>
      </c>
      <c r="P419" s="6">
        <f t="shared" si="231"/>
        <v>9.1078199259999995</v>
      </c>
      <c r="Q419" s="6">
        <f t="shared" si="231"/>
        <v>9.1440737179999996</v>
      </c>
      <c r="R419" s="6">
        <f t="shared" si="231"/>
        <v>9.1797959050000006</v>
      </c>
      <c r="S419" s="6">
        <f t="shared" si="231"/>
        <v>9.2149756249999992</v>
      </c>
      <c r="T419" s="6">
        <f t="shared" si="231"/>
        <v>9.2499284339999992</v>
      </c>
      <c r="U419" s="6">
        <f t="shared" si="231"/>
        <v>9.284660637</v>
      </c>
      <c r="V419" s="6">
        <f t="shared" si="231"/>
        <v>9.3191043929999999</v>
      </c>
      <c r="W419" s="6">
        <f t="shared" si="231"/>
        <v>9.3463020500000002</v>
      </c>
      <c r="X419" s="6">
        <f t="shared" si="231"/>
        <v>9.3759546670000002</v>
      </c>
      <c r="Y419" s="6">
        <f t="shared" si="231"/>
        <v>9.4073556010000008</v>
      </c>
      <c r="Z419" s="6">
        <f t="shared" si="231"/>
        <v>9.4396794019999994</v>
      </c>
      <c r="AA419" s="6">
        <f t="shared" si="231"/>
        <v>9.4724989040000001</v>
      </c>
      <c r="AB419" s="6">
        <f t="shared" si="231"/>
        <v>9.4868968729999992</v>
      </c>
      <c r="AC419" s="6">
        <f t="shared" si="231"/>
        <v>9.5006428150000009</v>
      </c>
      <c r="AD419" s="6">
        <f t="shared" si="231"/>
        <v>9.5153287990000006</v>
      </c>
      <c r="AE419" s="6">
        <f t="shared" si="231"/>
        <v>9.5312812529999995</v>
      </c>
      <c r="AF419" s="6">
        <f t="shared" si="231"/>
        <v>9.5486597700000004</v>
      </c>
      <c r="AG419" s="6">
        <f t="shared" si="231"/>
        <v>9.5674960920000007</v>
      </c>
      <c r="AH419" s="6">
        <f t="shared" si="231"/>
        <v>9.5877732130000002</v>
      </c>
      <c r="AI419" s="6">
        <f t="shared" si="231"/>
        <v>9.6093218930000006</v>
      </c>
      <c r="AJ419" s="6">
        <f t="shared" si="231"/>
        <v>9.6319650679999995</v>
      </c>
      <c r="AK419" s="6">
        <f t="shared" si="231"/>
        <v>9.6555258909999999</v>
      </c>
      <c r="AL419" s="6">
        <f t="shared" si="231"/>
        <v>9.6798469279999999</v>
      </c>
      <c r="AM419" s="6">
        <f t="shared" ref="AM419:BC419" si="232">AM390</f>
        <v>9.7013161189999995</v>
      </c>
      <c r="AN419" s="6">
        <f t="shared" si="232"/>
        <v>9.7213257629999994</v>
      </c>
      <c r="AO419" s="6">
        <f t="shared" si="232"/>
        <v>9.7410241129999999</v>
      </c>
      <c r="AP419" s="6">
        <f t="shared" si="232"/>
        <v>9.7610461710000003</v>
      </c>
      <c r="AQ419" s="6">
        <f t="shared" si="232"/>
        <v>9.7816976570000005</v>
      </c>
      <c r="AR419" s="6">
        <f t="shared" si="232"/>
        <v>9.8031547529999994</v>
      </c>
      <c r="AS419" s="6">
        <f t="shared" si="232"/>
        <v>9.8253927870000002</v>
      </c>
      <c r="AT419" s="6">
        <f t="shared" si="232"/>
        <v>9.8483448239999998</v>
      </c>
      <c r="AU419" s="6">
        <f t="shared" si="232"/>
        <v>9.8719132530000007</v>
      </c>
      <c r="AV419" s="6">
        <f t="shared" si="232"/>
        <v>9.89599327</v>
      </c>
      <c r="AW419" s="6">
        <f t="shared" si="232"/>
        <v>9.9210151</v>
      </c>
      <c r="AX419" s="6">
        <f t="shared" si="232"/>
        <v>9.9467370069999994</v>
      </c>
      <c r="AY419" s="6">
        <f t="shared" si="232"/>
        <v>10.23461513</v>
      </c>
      <c r="AZ419" s="6">
        <f t="shared" si="232"/>
        <v>10.94418806</v>
      </c>
      <c r="BA419" s="6">
        <f t="shared" si="232"/>
        <v>11.02530741</v>
      </c>
      <c r="BB419" s="6">
        <f t="shared" si="232"/>
        <v>19.880422360000001</v>
      </c>
      <c r="BC419" s="6">
        <f t="shared" si="232"/>
        <v>20.200756160000001</v>
      </c>
      <c r="BD419" s="6">
        <f t="shared" ref="BD419:BF419" si="233">BD390</f>
        <v>20.52564692</v>
      </c>
      <c r="BE419" s="6">
        <f t="shared" si="233"/>
        <v>20.855267479999998</v>
      </c>
      <c r="BF419" s="6">
        <f t="shared" si="233"/>
        <v>21.189792629999999</v>
      </c>
    </row>
    <row r="420" spans="1:58" x14ac:dyDescent="0.35">
      <c r="B420" t="s">
        <v>65</v>
      </c>
      <c r="C420" s="6">
        <f>C392+C416</f>
        <v>18.459930095000001</v>
      </c>
      <c r="D420" s="6">
        <f t="shared" ref="D420:AL420" si="234">D392+D416</f>
        <v>18.564900094000002</v>
      </c>
      <c r="E420" s="6">
        <f t="shared" si="234"/>
        <v>18.745529172000001</v>
      </c>
      <c r="F420" s="6">
        <f t="shared" si="234"/>
        <v>18.966464852000001</v>
      </c>
      <c r="G420" s="6">
        <f t="shared" si="234"/>
        <v>19.212650701999998</v>
      </c>
      <c r="H420" s="6">
        <f t="shared" si="234"/>
        <v>19.474331601000003</v>
      </c>
      <c r="I420" s="6">
        <f t="shared" si="234"/>
        <v>19.735145750000001</v>
      </c>
      <c r="J420" s="6">
        <f t="shared" si="234"/>
        <v>19.995785843</v>
      </c>
      <c r="K420" s="6">
        <f t="shared" si="234"/>
        <v>20.256324654</v>
      </c>
      <c r="L420" s="6">
        <f t="shared" si="234"/>
        <v>20.517351509999997</v>
      </c>
      <c r="M420" s="6">
        <f t="shared" si="234"/>
        <v>20.796238934000002</v>
      </c>
      <c r="N420" s="6">
        <f t="shared" si="234"/>
        <v>21.068582707000001</v>
      </c>
      <c r="O420" s="6">
        <f t="shared" si="234"/>
        <v>21.340701359000001</v>
      </c>
      <c r="P420" s="6">
        <f t="shared" si="234"/>
        <v>21.614799306000002</v>
      </c>
      <c r="Q420" s="6">
        <f t="shared" si="234"/>
        <v>21.891836339999998</v>
      </c>
      <c r="R420" s="6">
        <f t="shared" si="234"/>
        <v>22.172336852000001</v>
      </c>
      <c r="S420" s="6">
        <f t="shared" si="234"/>
        <v>22.45509637</v>
      </c>
      <c r="T420" s="6">
        <f t="shared" si="234"/>
        <v>22.741339621000002</v>
      </c>
      <c r="U420" s="6">
        <f t="shared" si="234"/>
        <v>23.031565098000002</v>
      </c>
      <c r="V420" s="6">
        <f t="shared" si="234"/>
        <v>23.326153959999999</v>
      </c>
      <c r="W420" s="6">
        <f t="shared" si="234"/>
        <v>23.613725316</v>
      </c>
      <c r="X420" s="6">
        <f t="shared" si="234"/>
        <v>23.91176145</v>
      </c>
      <c r="Y420" s="6">
        <f t="shared" si="234"/>
        <v>24.217493050000002</v>
      </c>
      <c r="Z420" s="6">
        <f t="shared" si="234"/>
        <v>24.53037518</v>
      </c>
      <c r="AA420" s="6">
        <f t="shared" si="234"/>
        <v>24.850402209999999</v>
      </c>
      <c r="AB420" s="6">
        <f t="shared" si="234"/>
        <v>25.144306650000001</v>
      </c>
      <c r="AC420" s="6">
        <f t="shared" si="234"/>
        <v>25.445155630000002</v>
      </c>
      <c r="AD420" s="6">
        <f t="shared" si="234"/>
        <v>25.75064484</v>
      </c>
      <c r="AE420" s="6">
        <f t="shared" si="234"/>
        <v>26.06084143</v>
      </c>
      <c r="AF420" s="6">
        <f t="shared" si="234"/>
        <v>26.37623988</v>
      </c>
      <c r="AG420" s="6">
        <f t="shared" si="234"/>
        <v>26.697205779999997</v>
      </c>
      <c r="AH420" s="6">
        <f t="shared" si="234"/>
        <v>27.024195550000002</v>
      </c>
      <c r="AI420" s="6">
        <f t="shared" si="234"/>
        <v>27.356916519999999</v>
      </c>
      <c r="AJ420" s="6">
        <f t="shared" si="234"/>
        <v>27.695061849999998</v>
      </c>
      <c r="AK420" s="6">
        <f t="shared" si="234"/>
        <v>28.03826381</v>
      </c>
      <c r="AL420" s="6">
        <f t="shared" si="234"/>
        <v>28.386130830000003</v>
      </c>
      <c r="AM420" s="6">
        <f t="shared" ref="AM420:BC420" si="235">AM392+AM416</f>
        <v>28.733449739999998</v>
      </c>
      <c r="AN420" s="6">
        <f t="shared" si="235"/>
        <v>29.081613879999999</v>
      </c>
      <c r="AO420" s="6">
        <f t="shared" si="235"/>
        <v>29.431303509999999</v>
      </c>
      <c r="AP420" s="6">
        <f t="shared" si="235"/>
        <v>29.782851229999999</v>
      </c>
      <c r="AQ420" s="6">
        <f t="shared" si="235"/>
        <v>30.136444429999997</v>
      </c>
      <c r="AR420" s="6">
        <f t="shared" si="235"/>
        <v>30.492661890000001</v>
      </c>
      <c r="AS420" s="6">
        <f t="shared" si="235"/>
        <v>30.851284409999998</v>
      </c>
      <c r="AT420" s="6">
        <f t="shared" si="235"/>
        <v>31.212207110000001</v>
      </c>
      <c r="AU420" s="6">
        <f t="shared" si="235"/>
        <v>31.575301709999998</v>
      </c>
      <c r="AV420" s="6">
        <f t="shared" si="235"/>
        <v>31.940415979999997</v>
      </c>
      <c r="AW420" s="6">
        <f t="shared" si="235"/>
        <v>32.309711019999995</v>
      </c>
      <c r="AX420" s="6">
        <f t="shared" si="235"/>
        <v>32.681966190000004</v>
      </c>
      <c r="AY420" s="6">
        <f t="shared" si="235"/>
        <v>32.744630690000001</v>
      </c>
      <c r="AZ420" s="6">
        <f t="shared" si="235"/>
        <v>32.854087530000001</v>
      </c>
      <c r="BA420" s="6">
        <f t="shared" si="235"/>
        <v>32.863622379999995</v>
      </c>
      <c r="BB420" s="6">
        <f t="shared" si="235"/>
        <v>45.053697990000003</v>
      </c>
      <c r="BC420" s="6">
        <f t="shared" si="235"/>
        <v>45.861893809999998</v>
      </c>
      <c r="BD420" s="6">
        <f t="shared" ref="BD420:BF420" si="236">BD392+BD416</f>
        <v>46.680153180000005</v>
      </c>
      <c r="BE420" s="6">
        <f t="shared" si="236"/>
        <v>47.508423809999996</v>
      </c>
      <c r="BF420" s="6">
        <f t="shared" si="236"/>
        <v>48.346669680000005</v>
      </c>
    </row>
    <row r="421" spans="1:58" x14ac:dyDescent="0.35">
      <c r="B421" t="s">
        <v>66</v>
      </c>
      <c r="C421" s="6">
        <f>C394</f>
        <v>13.13195664</v>
      </c>
      <c r="D421" s="6">
        <f t="shared" ref="D421:AL421" si="237">D394</f>
        <v>13.189390700000001</v>
      </c>
      <c r="E421" s="6">
        <f t="shared" si="237"/>
        <v>13.32932993</v>
      </c>
      <c r="F421" s="6">
        <f t="shared" si="237"/>
        <v>13.49807171</v>
      </c>
      <c r="G421" s="6">
        <f t="shared" si="237"/>
        <v>13.683960109999999</v>
      </c>
      <c r="H421" s="6">
        <f t="shared" si="237"/>
        <v>13.88136832</v>
      </c>
      <c r="I421" s="6">
        <f t="shared" si="237"/>
        <v>14.075183839999999</v>
      </c>
      <c r="J421" s="6">
        <f t="shared" si="237"/>
        <v>14.269902999999999</v>
      </c>
      <c r="K421" s="6">
        <f t="shared" si="237"/>
        <v>14.46435524</v>
      </c>
      <c r="L421" s="6">
        <f t="shared" si="237"/>
        <v>14.657084830000001</v>
      </c>
      <c r="M421" s="6">
        <f t="shared" si="237"/>
        <v>14.86478631</v>
      </c>
      <c r="N421" s="6">
        <f t="shared" si="237"/>
        <v>15.053649829999999</v>
      </c>
      <c r="O421" s="6">
        <f t="shared" si="237"/>
        <v>15.23604053</v>
      </c>
      <c r="P421" s="6">
        <f t="shared" si="237"/>
        <v>15.413950549999999</v>
      </c>
      <c r="Q421" s="6">
        <f t="shared" si="237"/>
        <v>15.58801525</v>
      </c>
      <c r="R421" s="6">
        <f t="shared" si="237"/>
        <v>15.758809490000001</v>
      </c>
      <c r="S421" s="6">
        <f t="shared" si="237"/>
        <v>15.924855579999999</v>
      </c>
      <c r="T421" s="6">
        <f t="shared" si="237"/>
        <v>16.088737640000002</v>
      </c>
      <c r="U421" s="6">
        <f t="shared" si="237"/>
        <v>16.251518969999999</v>
      </c>
      <c r="V421" s="6">
        <f t="shared" si="237"/>
        <v>16.414054069999999</v>
      </c>
      <c r="W421" s="6">
        <f t="shared" si="237"/>
        <v>16.564608419999999</v>
      </c>
      <c r="X421" s="6">
        <f t="shared" si="237"/>
        <v>16.725940120000001</v>
      </c>
      <c r="Y421" s="6">
        <f t="shared" si="237"/>
        <v>16.89105919</v>
      </c>
      <c r="Z421" s="6">
        <f t="shared" si="237"/>
        <v>17.059366780000001</v>
      </c>
      <c r="AA421" s="6">
        <f t="shared" si="237"/>
        <v>17.231102440000001</v>
      </c>
      <c r="AB421" s="6">
        <f t="shared" si="237"/>
        <v>17.371330929999999</v>
      </c>
      <c r="AC421" s="6">
        <f t="shared" si="237"/>
        <v>17.526114639999999</v>
      </c>
      <c r="AD421" s="6">
        <f t="shared" si="237"/>
        <v>17.685778339999999</v>
      </c>
      <c r="AE421" s="6">
        <f t="shared" si="237"/>
        <v>17.84935832</v>
      </c>
      <c r="AF421" s="6">
        <f t="shared" si="237"/>
        <v>18.017017760000002</v>
      </c>
      <c r="AG421" s="6">
        <f t="shared" si="237"/>
        <v>18.188934369999998</v>
      </c>
      <c r="AH421" s="6">
        <f t="shared" si="237"/>
        <v>18.365596579999998</v>
      </c>
      <c r="AI421" s="6">
        <f t="shared" si="237"/>
        <v>18.54651934</v>
      </c>
      <c r="AJ421" s="6">
        <f t="shared" si="237"/>
        <v>18.731435990000001</v>
      </c>
      <c r="AK421" s="6">
        <f t="shared" si="237"/>
        <v>18.92005567</v>
      </c>
      <c r="AL421" s="6">
        <f t="shared" si="237"/>
        <v>19.11205867</v>
      </c>
      <c r="AM421" s="6">
        <f t="shared" ref="AM421:BC421" si="238">AM394</f>
        <v>19.302976959999999</v>
      </c>
      <c r="AN421" s="6">
        <f t="shared" si="238"/>
        <v>19.495261490000001</v>
      </c>
      <c r="AO421" s="6">
        <f t="shared" si="238"/>
        <v>19.689348800000001</v>
      </c>
      <c r="AP421" s="6">
        <f t="shared" si="238"/>
        <v>19.885325720000001</v>
      </c>
      <c r="AQ421" s="6">
        <f t="shared" si="238"/>
        <v>20.083202230000001</v>
      </c>
      <c r="AR421" s="6">
        <f t="shared" si="238"/>
        <v>20.283584749999999</v>
      </c>
      <c r="AS421" s="6">
        <f t="shared" si="238"/>
        <v>20.485913979999999</v>
      </c>
      <c r="AT421" s="6">
        <f t="shared" si="238"/>
        <v>20.690038149999999</v>
      </c>
      <c r="AU421" s="6">
        <f t="shared" si="238"/>
        <v>20.895839949999999</v>
      </c>
      <c r="AV421" s="6">
        <f t="shared" si="238"/>
        <v>21.103196409999999</v>
      </c>
      <c r="AW421" s="6">
        <f t="shared" si="238"/>
        <v>21.314814429999998</v>
      </c>
      <c r="AX421" s="6">
        <f t="shared" si="238"/>
        <v>21.528391119999998</v>
      </c>
      <c r="AY421" s="6">
        <f t="shared" si="238"/>
        <v>21.55362307</v>
      </c>
      <c r="AZ421" s="6">
        <f t="shared" si="238"/>
        <v>21.615562619999999</v>
      </c>
      <c r="BA421" s="6">
        <f t="shared" si="238"/>
        <v>21.622618899999999</v>
      </c>
      <c r="BB421" s="6">
        <f t="shared" si="238"/>
        <v>30.561713749999999</v>
      </c>
      <c r="BC421" s="6">
        <f t="shared" si="238"/>
        <v>31.087305239999999</v>
      </c>
      <c r="BD421" s="6">
        <f t="shared" ref="BD421:BF421" si="239">BD394</f>
        <v>31.622493739999999</v>
      </c>
      <c r="BE421" s="6">
        <f t="shared" si="239"/>
        <v>32.167449670000003</v>
      </c>
      <c r="BF421" s="6">
        <f t="shared" si="239"/>
        <v>32.722338440000001</v>
      </c>
    </row>
    <row r="422" spans="1:58" x14ac:dyDescent="0.35">
      <c r="B422" t="s">
        <v>67</v>
      </c>
      <c r="C422" s="6">
        <f>C396</f>
        <v>19.101965249999999</v>
      </c>
      <c r="D422" s="6">
        <f t="shared" ref="D422:AL422" si="240">D396</f>
        <v>19.182245680000001</v>
      </c>
      <c r="E422" s="6">
        <f t="shared" si="240"/>
        <v>19.385530599999999</v>
      </c>
      <c r="F422" s="6">
        <f t="shared" si="240"/>
        <v>19.627749779999998</v>
      </c>
      <c r="G422" s="6">
        <f t="shared" si="240"/>
        <v>19.887091290000001</v>
      </c>
      <c r="H422" s="6">
        <f t="shared" si="240"/>
        <v>20.15570331</v>
      </c>
      <c r="I422" s="6">
        <f t="shared" si="240"/>
        <v>20.416229269999999</v>
      </c>
      <c r="J422" s="6">
        <f t="shared" si="240"/>
        <v>20.675851300000001</v>
      </c>
      <c r="K422" s="6">
        <f t="shared" si="240"/>
        <v>20.935889960000001</v>
      </c>
      <c r="L422" s="6">
        <f t="shared" si="240"/>
        <v>21.196521539999999</v>
      </c>
      <c r="M422" s="6">
        <f t="shared" si="240"/>
        <v>21.48016269</v>
      </c>
      <c r="N422" s="6">
        <f t="shared" si="240"/>
        <v>21.746569619999999</v>
      </c>
      <c r="O422" s="6">
        <f t="shared" si="240"/>
        <v>22.00915741</v>
      </c>
      <c r="P422" s="6">
        <f t="shared" si="240"/>
        <v>22.27104881</v>
      </c>
      <c r="Q422" s="6">
        <f t="shared" si="240"/>
        <v>22.533065300000001</v>
      </c>
      <c r="R422" s="6">
        <f t="shared" si="240"/>
        <v>22.7956307</v>
      </c>
      <c r="S422" s="6">
        <f t="shared" si="240"/>
        <v>23.0564529</v>
      </c>
      <c r="T422" s="6">
        <f t="shared" si="240"/>
        <v>23.318331279999999</v>
      </c>
      <c r="U422" s="6">
        <f t="shared" si="240"/>
        <v>23.582319819999999</v>
      </c>
      <c r="V422" s="6">
        <f t="shared" si="240"/>
        <v>23.8491702</v>
      </c>
      <c r="W422" s="6">
        <f t="shared" si="240"/>
        <v>24.103622040000001</v>
      </c>
      <c r="X422" s="6">
        <f t="shared" si="240"/>
        <v>24.373170089999999</v>
      </c>
      <c r="Y422" s="6">
        <f t="shared" si="240"/>
        <v>24.65046255</v>
      </c>
      <c r="Z422" s="6">
        <f t="shared" si="240"/>
        <v>24.93423301</v>
      </c>
      <c r="AA422" s="6">
        <f t="shared" si="240"/>
        <v>25.224535039999999</v>
      </c>
      <c r="AB422" s="6">
        <f t="shared" si="240"/>
        <v>25.47645687</v>
      </c>
      <c r="AC422" s="6">
        <f t="shared" si="240"/>
        <v>25.745411499999999</v>
      </c>
      <c r="AD422" s="6">
        <f t="shared" si="240"/>
        <v>26.022202870000001</v>
      </c>
      <c r="AE422" s="6">
        <f t="shared" si="240"/>
        <v>26.305152849999999</v>
      </c>
      <c r="AF422" s="6">
        <f t="shared" si="240"/>
        <v>26.594201649999999</v>
      </c>
      <c r="AG422" s="6">
        <f t="shared" si="240"/>
        <v>26.889474100000001</v>
      </c>
      <c r="AH422" s="6">
        <f t="shared" si="240"/>
        <v>27.191557750000001</v>
      </c>
      <c r="AI422" s="6">
        <f t="shared" si="240"/>
        <v>27.499828480000001</v>
      </c>
      <c r="AJ422" s="6">
        <f t="shared" si="240"/>
        <v>27.813930930000001</v>
      </c>
      <c r="AK422" s="6">
        <f t="shared" si="240"/>
        <v>28.133510739999998</v>
      </c>
      <c r="AL422" s="6">
        <f t="shared" si="240"/>
        <v>28.458192990000001</v>
      </c>
      <c r="AM422" s="6">
        <f t="shared" ref="AM422:BC422" si="241">AM396</f>
        <v>28.782136789999999</v>
      </c>
      <c r="AN422" s="6">
        <f t="shared" si="241"/>
        <v>29.107818829999999</v>
      </c>
      <c r="AO422" s="6">
        <f t="shared" si="241"/>
        <v>29.436008789999999</v>
      </c>
      <c r="AP422" s="6">
        <f t="shared" si="241"/>
        <v>29.76696579</v>
      </c>
      <c r="AQ422" s="6">
        <f t="shared" si="241"/>
        <v>30.100793079999999</v>
      </c>
      <c r="AR422" s="6">
        <f t="shared" si="241"/>
        <v>30.438328519999999</v>
      </c>
      <c r="AS422" s="6">
        <f t="shared" si="241"/>
        <v>30.778911529999998</v>
      </c>
      <c r="AT422" s="6">
        <f t="shared" si="241"/>
        <v>31.122367310000001</v>
      </c>
      <c r="AU422" s="6">
        <f t="shared" si="241"/>
        <v>31.468587920000001</v>
      </c>
      <c r="AV422" s="6">
        <f t="shared" si="241"/>
        <v>31.81746193</v>
      </c>
      <c r="AW422" s="6">
        <f t="shared" si="241"/>
        <v>32.17251031</v>
      </c>
      <c r="AX422" s="6">
        <f t="shared" si="241"/>
        <v>32.530893059999997</v>
      </c>
      <c r="AY422" s="6">
        <f t="shared" si="241"/>
        <v>32.56909632</v>
      </c>
      <c r="AZ422" s="6">
        <f t="shared" si="241"/>
        <v>32.663035499999999</v>
      </c>
      <c r="BA422" s="6">
        <f t="shared" si="241"/>
        <v>32.67377123</v>
      </c>
      <c r="BB422" s="6">
        <f t="shared" si="241"/>
        <v>45.68449012</v>
      </c>
      <c r="BC422" s="6">
        <f t="shared" si="241"/>
        <v>46.492077760000001</v>
      </c>
      <c r="BD422" s="6">
        <f t="shared" ref="BD422:BF422" si="242">BD396</f>
        <v>47.312222509999998</v>
      </c>
      <c r="BE422" s="6">
        <f t="shared" si="242"/>
        <v>48.1450423</v>
      </c>
      <c r="BF422" s="6">
        <f t="shared" si="242"/>
        <v>48.99065882</v>
      </c>
    </row>
    <row r="423" spans="1:58" x14ac:dyDescent="0.35">
      <c r="B423" t="s">
        <v>71</v>
      </c>
      <c r="C423" s="6">
        <f>C391+C393+C395+C397+C398+C399</f>
        <v>15.857577312</v>
      </c>
      <c r="D423" s="6">
        <f t="shared" ref="D423:AL423" si="243">D391+D393+D395+D397+D398+D399</f>
        <v>15.660344443</v>
      </c>
      <c r="E423" s="6">
        <f t="shared" si="243"/>
        <v>15.526624367</v>
      </c>
      <c r="F423" s="6">
        <f t="shared" si="243"/>
        <v>15.493321523499999</v>
      </c>
      <c r="G423" s="6">
        <f t="shared" si="243"/>
        <v>15.584296081199998</v>
      </c>
      <c r="H423" s="6">
        <f t="shared" si="243"/>
        <v>15.800617501999998</v>
      </c>
      <c r="I423" s="6">
        <f t="shared" si="243"/>
        <v>16.122675633</v>
      </c>
      <c r="J423" s="6">
        <f t="shared" si="243"/>
        <v>16.528299423</v>
      </c>
      <c r="K423" s="6">
        <f t="shared" si="243"/>
        <v>16.995933544</v>
      </c>
      <c r="L423" s="6">
        <f t="shared" si="243"/>
        <v>17.503413741000003</v>
      </c>
      <c r="M423" s="6">
        <f t="shared" si="243"/>
        <v>18.041805854000003</v>
      </c>
      <c r="N423" s="6">
        <f t="shared" si="243"/>
        <v>18.585275013</v>
      </c>
      <c r="O423" s="6">
        <f t="shared" si="243"/>
        <v>19.114023971000002</v>
      </c>
      <c r="P423" s="6">
        <f t="shared" si="243"/>
        <v>19.619393950000003</v>
      </c>
      <c r="Q423" s="6">
        <f t="shared" si="243"/>
        <v>20.095761094</v>
      </c>
      <c r="R423" s="6">
        <f t="shared" si="243"/>
        <v>20.540480201000001</v>
      </c>
      <c r="S423" s="6">
        <f t="shared" si="243"/>
        <v>20.953311147000001</v>
      </c>
      <c r="T423" s="6">
        <f t="shared" si="243"/>
        <v>21.336829031000001</v>
      </c>
      <c r="U423" s="6">
        <f t="shared" si="243"/>
        <v>21.695385605999999</v>
      </c>
      <c r="V423" s="6">
        <f t="shared" si="243"/>
        <v>22.034264649000001</v>
      </c>
      <c r="W423" s="6">
        <f t="shared" si="243"/>
        <v>22.349920512000001</v>
      </c>
      <c r="X423" s="6">
        <f t="shared" si="243"/>
        <v>22.654135613999998</v>
      </c>
      <c r="Y423" s="6">
        <f t="shared" si="243"/>
        <v>22.956943570999996</v>
      </c>
      <c r="Z423" s="6">
        <f t="shared" si="243"/>
        <v>23.262121772</v>
      </c>
      <c r="AA423" s="6">
        <f t="shared" si="243"/>
        <v>23.573508680000003</v>
      </c>
      <c r="AB423" s="6">
        <f t="shared" si="243"/>
        <v>23.868610920000002</v>
      </c>
      <c r="AC423" s="6">
        <f t="shared" si="243"/>
        <v>24.155525181000002</v>
      </c>
      <c r="AD423" s="6">
        <f t="shared" si="243"/>
        <v>24.446179645000001</v>
      </c>
      <c r="AE423" s="6">
        <f t="shared" si="243"/>
        <v>24.741981782</v>
      </c>
      <c r="AF423" s="6">
        <f t="shared" si="243"/>
        <v>25.044687881999998</v>
      </c>
      <c r="AG423" s="6">
        <f t="shared" si="243"/>
        <v>25.356706698</v>
      </c>
      <c r="AH423" s="6">
        <f t="shared" si="243"/>
        <v>25.680449041000003</v>
      </c>
      <c r="AI423" s="6">
        <f t="shared" si="243"/>
        <v>26.018121763</v>
      </c>
      <c r="AJ423" s="6">
        <f t="shared" si="243"/>
        <v>26.371220459</v>
      </c>
      <c r="AK423" s="6">
        <f t="shared" si="243"/>
        <v>26.740520513</v>
      </c>
      <c r="AL423" s="6">
        <f t="shared" si="243"/>
        <v>27.126097047000002</v>
      </c>
      <c r="AM423" s="6">
        <f t="shared" ref="AM423:BC423" si="244">AM391+AM393+AM395+AM397+AM398+AM399</f>
        <v>27.52004127</v>
      </c>
      <c r="AN423" s="6">
        <f t="shared" si="244"/>
        <v>27.920216977000003</v>
      </c>
      <c r="AO423" s="6">
        <f t="shared" si="244"/>
        <v>28.326829652999997</v>
      </c>
      <c r="AP423" s="6">
        <f t="shared" si="244"/>
        <v>28.739452374999999</v>
      </c>
      <c r="AQ423" s="6">
        <f t="shared" si="244"/>
        <v>29.157469838000001</v>
      </c>
      <c r="AR423" s="6">
        <f t="shared" si="244"/>
        <v>29.580144742999998</v>
      </c>
      <c r="AS423" s="6">
        <f t="shared" si="244"/>
        <v>30.007491701999999</v>
      </c>
      <c r="AT423" s="6">
        <f t="shared" si="244"/>
        <v>30.439556105999998</v>
      </c>
      <c r="AU423" s="6">
        <f t="shared" si="244"/>
        <v>30.876451710000001</v>
      </c>
      <c r="AV423" s="6">
        <f t="shared" si="244"/>
        <v>31.318233997</v>
      </c>
      <c r="AW423" s="6">
        <f t="shared" si="244"/>
        <v>31.764140075999997</v>
      </c>
      <c r="AX423" s="6">
        <f t="shared" si="244"/>
        <v>32.215047552000001</v>
      </c>
      <c r="AY423" s="6">
        <f t="shared" si="244"/>
        <v>32.503615832000001</v>
      </c>
      <c r="AZ423" s="6">
        <f t="shared" si="244"/>
        <v>33.268077953999999</v>
      </c>
      <c r="BA423" s="6">
        <f t="shared" si="244"/>
        <v>33.359483615999999</v>
      </c>
      <c r="BB423" s="6">
        <f t="shared" si="244"/>
        <v>43.074880526999998</v>
      </c>
      <c r="BC423" s="6">
        <f t="shared" si="244"/>
        <v>43.816420633999996</v>
      </c>
      <c r="BD423" s="6">
        <f t="shared" ref="BD423:BF423" si="245">BD391+BD393+BD395+BD397+BD398+BD399</f>
        <v>44.560348927999996</v>
      </c>
      <c r="BE423" s="6">
        <f t="shared" si="245"/>
        <v>45.307026461999996</v>
      </c>
      <c r="BF423" s="6">
        <f t="shared" si="245"/>
        <v>46.056801929999999</v>
      </c>
    </row>
    <row r="424" spans="1:58" x14ac:dyDescent="0.35">
      <c r="B424" t="s">
        <v>68</v>
      </c>
      <c r="C424" s="6">
        <f>C401</f>
        <v>17.067713950000002</v>
      </c>
      <c r="D424" s="6">
        <f t="shared" ref="D424:AL424" si="246">D401</f>
        <v>17.156962279999998</v>
      </c>
      <c r="E424" s="6">
        <f t="shared" si="246"/>
        <v>17.294910770000001</v>
      </c>
      <c r="F424" s="6">
        <f t="shared" si="246"/>
        <v>17.45833154</v>
      </c>
      <c r="G424" s="6">
        <f t="shared" si="246"/>
        <v>17.641426549999998</v>
      </c>
      <c r="H424" s="6">
        <f t="shared" si="246"/>
        <v>17.840787670000001</v>
      </c>
      <c r="I424" s="6">
        <f t="shared" si="246"/>
        <v>18.043459510000002</v>
      </c>
      <c r="J424" s="6">
        <f t="shared" si="246"/>
        <v>18.252546519999999</v>
      </c>
      <c r="K424" s="6">
        <f t="shared" si="246"/>
        <v>18.467717319999998</v>
      </c>
      <c r="L424" s="6">
        <f t="shared" si="246"/>
        <v>18.687968340000001</v>
      </c>
      <c r="M424" s="6">
        <f t="shared" si="246"/>
        <v>18.928880299999999</v>
      </c>
      <c r="N424" s="6">
        <f t="shared" si="246"/>
        <v>19.161884929999999</v>
      </c>
      <c r="O424" s="6">
        <f t="shared" si="246"/>
        <v>19.393444479999999</v>
      </c>
      <c r="P424" s="6">
        <f t="shared" si="246"/>
        <v>19.624570039999998</v>
      </c>
      <c r="Q424" s="6">
        <f t="shared" si="246"/>
        <v>19.855022389999998</v>
      </c>
      <c r="R424" s="6">
        <f t="shared" si="246"/>
        <v>20.084443239999999</v>
      </c>
      <c r="S424" s="6">
        <f t="shared" si="246"/>
        <v>20.311332499999999</v>
      </c>
      <c r="T424" s="6">
        <f t="shared" si="246"/>
        <v>20.536576920000002</v>
      </c>
      <c r="U424" s="6">
        <f t="shared" si="246"/>
        <v>20.760542510000001</v>
      </c>
      <c r="V424" s="6">
        <f t="shared" si="246"/>
        <v>20.983614750000001</v>
      </c>
      <c r="W424" s="6">
        <f t="shared" si="246"/>
        <v>21.194405750000001</v>
      </c>
      <c r="X424" s="6">
        <f t="shared" si="246"/>
        <v>21.41223755</v>
      </c>
      <c r="Y424" s="6">
        <f t="shared" si="246"/>
        <v>21.63306725</v>
      </c>
      <c r="Z424" s="6">
        <f t="shared" si="246"/>
        <v>21.856306459999999</v>
      </c>
      <c r="AA424" s="6">
        <f t="shared" si="246"/>
        <v>22.082180910000002</v>
      </c>
      <c r="AB424" s="6">
        <f t="shared" si="246"/>
        <v>22.27754264</v>
      </c>
      <c r="AC424" s="6">
        <f t="shared" si="246"/>
        <v>22.480212680000001</v>
      </c>
      <c r="AD424" s="6">
        <f t="shared" si="246"/>
        <v>22.686014180000001</v>
      </c>
      <c r="AE424" s="6">
        <f t="shared" si="246"/>
        <v>22.894640209999999</v>
      </c>
      <c r="AF424" s="6">
        <f t="shared" si="246"/>
        <v>23.106605800000001</v>
      </c>
      <c r="AG424" s="6">
        <f t="shared" si="246"/>
        <v>23.322392780000001</v>
      </c>
      <c r="AH424" s="6">
        <f t="shared" si="246"/>
        <v>23.542567300000002</v>
      </c>
      <c r="AI424" s="6">
        <f t="shared" si="246"/>
        <v>23.76706124</v>
      </c>
      <c r="AJ424" s="6">
        <f t="shared" si="246"/>
        <v>23.99582672</v>
      </c>
      <c r="AK424" s="6">
        <f t="shared" si="246"/>
        <v>24.22876424</v>
      </c>
      <c r="AL424" s="6">
        <f t="shared" si="246"/>
        <v>24.46573261</v>
      </c>
      <c r="AM424" s="6">
        <f t="shared" ref="AM424:BC424" si="247">AM401</f>
        <v>24.701190799999999</v>
      </c>
      <c r="AN424" s="6">
        <f t="shared" si="247"/>
        <v>24.937743390000001</v>
      </c>
      <c r="AO424" s="6">
        <f t="shared" si="247"/>
        <v>25.176269959999999</v>
      </c>
      <c r="AP424" s="6">
        <f t="shared" si="247"/>
        <v>25.417144669999999</v>
      </c>
      <c r="AQ424" s="6">
        <f t="shared" si="247"/>
        <v>25.66058271</v>
      </c>
      <c r="AR424" s="6">
        <f t="shared" si="247"/>
        <v>25.907088860000002</v>
      </c>
      <c r="AS424" s="6">
        <f t="shared" si="247"/>
        <v>26.156466170000002</v>
      </c>
      <c r="AT424" s="6">
        <f t="shared" si="247"/>
        <v>26.408653399999999</v>
      </c>
      <c r="AU424" s="6">
        <f t="shared" si="247"/>
        <v>26.663586639999998</v>
      </c>
      <c r="AV424" s="6">
        <f t="shared" si="247"/>
        <v>26.921186030000001</v>
      </c>
      <c r="AW424" s="6">
        <f t="shared" si="247"/>
        <v>27.18331195</v>
      </c>
      <c r="AX424" s="6">
        <f t="shared" si="247"/>
        <v>27.448659330000002</v>
      </c>
      <c r="AY424" s="6">
        <f t="shared" si="247"/>
        <v>27.47939594</v>
      </c>
      <c r="AZ424" s="6">
        <f t="shared" si="247"/>
        <v>27.553412510000001</v>
      </c>
      <c r="BA424" s="6">
        <f t="shared" si="247"/>
        <v>27.561689510000001</v>
      </c>
      <c r="BB424" s="6">
        <f t="shared" si="247"/>
        <v>35.672975299999997</v>
      </c>
      <c r="BC424" s="6">
        <f t="shared" si="247"/>
        <v>36.217518470000002</v>
      </c>
      <c r="BD424" s="6">
        <f t="shared" ref="BD424:BF424" si="248">BD401</f>
        <v>36.770833889999999</v>
      </c>
      <c r="BE424" s="6">
        <f t="shared" si="248"/>
        <v>37.33310058</v>
      </c>
      <c r="BF424" s="6">
        <f t="shared" si="248"/>
        <v>37.904501580000002</v>
      </c>
    </row>
    <row r="425" spans="1:58" x14ac:dyDescent="0.35">
      <c r="B425" t="s">
        <v>69</v>
      </c>
      <c r="C425" s="6">
        <f>C403</f>
        <v>18.70970672</v>
      </c>
      <c r="D425" s="6">
        <f t="shared" ref="D425:AL425" si="249">D403</f>
        <v>18.841069409999999</v>
      </c>
      <c r="E425" s="6">
        <f t="shared" si="249"/>
        <v>19.063214299999999</v>
      </c>
      <c r="F425" s="6">
        <f t="shared" si="249"/>
        <v>19.320519879999999</v>
      </c>
      <c r="G425" s="6">
        <f t="shared" si="249"/>
        <v>19.605726170000001</v>
      </c>
      <c r="H425" s="6">
        <f t="shared" si="249"/>
        <v>19.91664127</v>
      </c>
      <c r="I425" s="6">
        <f t="shared" si="249"/>
        <v>20.235206479999999</v>
      </c>
      <c r="J425" s="6">
        <f t="shared" si="249"/>
        <v>20.56801016</v>
      </c>
      <c r="K425" s="6">
        <f t="shared" si="249"/>
        <v>20.913935469999998</v>
      </c>
      <c r="L425" s="6">
        <f t="shared" si="249"/>
        <v>21.270558860000001</v>
      </c>
      <c r="M425" s="6">
        <f t="shared" si="249"/>
        <v>21.66127328</v>
      </c>
      <c r="N425" s="6">
        <f t="shared" si="249"/>
        <v>22.038704540000001</v>
      </c>
      <c r="O425" s="6">
        <f t="shared" si="249"/>
        <v>22.415028450000001</v>
      </c>
      <c r="P425" s="6">
        <f t="shared" si="249"/>
        <v>22.790578379999999</v>
      </c>
      <c r="Q425" s="6">
        <f t="shared" si="249"/>
        <v>23.164182449999998</v>
      </c>
      <c r="R425" s="6">
        <f t="shared" si="249"/>
        <v>23.534873439999998</v>
      </c>
      <c r="S425" s="6">
        <f t="shared" si="249"/>
        <v>23.899342730000001</v>
      </c>
      <c r="T425" s="6">
        <f t="shared" si="249"/>
        <v>24.259801929999998</v>
      </c>
      <c r="U425" s="6">
        <f t="shared" si="249"/>
        <v>24.617034570000001</v>
      </c>
      <c r="V425" s="6">
        <f t="shared" si="249"/>
        <v>24.971937019999999</v>
      </c>
      <c r="W425" s="6">
        <f t="shared" si="249"/>
        <v>25.306405569999999</v>
      </c>
      <c r="X425" s="6">
        <f t="shared" si="249"/>
        <v>25.652539409999999</v>
      </c>
      <c r="Y425" s="6">
        <f t="shared" si="249"/>
        <v>26.002982639999999</v>
      </c>
      <c r="Z425" s="6">
        <f t="shared" si="249"/>
        <v>26.35761961</v>
      </c>
      <c r="AA425" s="6">
        <f t="shared" si="249"/>
        <v>26.717371029999999</v>
      </c>
      <c r="AB425" s="6">
        <f t="shared" si="249"/>
        <v>27.028236620000001</v>
      </c>
      <c r="AC425" s="6">
        <f t="shared" si="249"/>
        <v>27.353590860000001</v>
      </c>
      <c r="AD425" s="6">
        <f t="shared" si="249"/>
        <v>27.683982950000001</v>
      </c>
      <c r="AE425" s="6">
        <f t="shared" si="249"/>
        <v>28.019486199999999</v>
      </c>
      <c r="AF425" s="6">
        <f t="shared" si="249"/>
        <v>28.36138849</v>
      </c>
      <c r="AG425" s="6">
        <f t="shared" si="249"/>
        <v>28.7108059</v>
      </c>
      <c r="AH425" s="6">
        <f t="shared" si="249"/>
        <v>29.069115830000001</v>
      </c>
      <c r="AI425" s="6">
        <f t="shared" si="249"/>
        <v>29.43629971</v>
      </c>
      <c r="AJ425" s="6">
        <f t="shared" si="249"/>
        <v>29.812488989999999</v>
      </c>
      <c r="AK425" s="6">
        <f t="shared" si="249"/>
        <v>30.197697089999998</v>
      </c>
      <c r="AL425" s="6">
        <f t="shared" si="249"/>
        <v>30.591829270000002</v>
      </c>
      <c r="AM425" s="6">
        <f t="shared" ref="AM425:BC425" si="250">AM403</f>
        <v>30.987100030000001</v>
      </c>
      <c r="AN425" s="6">
        <f t="shared" si="250"/>
        <v>31.386648860000001</v>
      </c>
      <c r="AO425" s="6">
        <f t="shared" si="250"/>
        <v>31.791478479999999</v>
      </c>
      <c r="AP425" s="6">
        <f t="shared" si="250"/>
        <v>32.202095790000001</v>
      </c>
      <c r="AQ425" s="6">
        <f t="shared" si="250"/>
        <v>32.618869930000002</v>
      </c>
      <c r="AR425" s="6">
        <f t="shared" si="250"/>
        <v>33.042949139999997</v>
      </c>
      <c r="AS425" s="6">
        <f t="shared" si="250"/>
        <v>33.473886149999998</v>
      </c>
      <c r="AT425" s="6">
        <f t="shared" si="250"/>
        <v>33.911669580000002</v>
      </c>
      <c r="AU425" s="6">
        <f t="shared" si="250"/>
        <v>34.356288239999998</v>
      </c>
      <c r="AV425" s="6">
        <f t="shared" si="250"/>
        <v>34.807696530000001</v>
      </c>
      <c r="AW425" s="6">
        <f t="shared" si="250"/>
        <v>35.269953090000001</v>
      </c>
      <c r="AX425" s="6">
        <f t="shared" si="250"/>
        <v>35.740227009999998</v>
      </c>
      <c r="AY425" s="6">
        <f t="shared" si="250"/>
        <v>35.869393260000002</v>
      </c>
      <c r="AZ425" s="6">
        <f t="shared" si="250"/>
        <v>36.178747319999999</v>
      </c>
      <c r="BA425" s="6">
        <f t="shared" si="250"/>
        <v>36.213249380000001</v>
      </c>
      <c r="BB425" s="6">
        <f t="shared" si="250"/>
        <v>48.979044649999999</v>
      </c>
      <c r="BC425" s="6">
        <f t="shared" si="250"/>
        <v>49.925197480000001</v>
      </c>
      <c r="BD425" s="6">
        <f t="shared" ref="BD425:BF425" si="251">BD403</f>
        <v>50.890454120000001</v>
      </c>
      <c r="BE425" s="6">
        <f t="shared" si="251"/>
        <v>51.87530229</v>
      </c>
      <c r="BF425" s="6">
        <f t="shared" si="251"/>
        <v>52.880249550000002</v>
      </c>
    </row>
    <row r="426" spans="1:58" x14ac:dyDescent="0.35">
      <c r="B426" t="s">
        <v>70</v>
      </c>
      <c r="C426" s="6">
        <f>C402+C400</f>
        <v>5.3329855219999995</v>
      </c>
      <c r="D426" s="6">
        <f t="shared" ref="D426:AL426" si="252">D402+D400</f>
        <v>5.3663878070000006</v>
      </c>
      <c r="E426" s="6">
        <f t="shared" si="252"/>
        <v>5.4323143050000002</v>
      </c>
      <c r="F426" s="6">
        <f t="shared" si="252"/>
        <v>5.5074200910000002</v>
      </c>
      <c r="G426" s="6">
        <f t="shared" si="252"/>
        <v>5.5879503570000004</v>
      </c>
      <c r="H426" s="6">
        <f t="shared" si="252"/>
        <v>5.6720531780000005</v>
      </c>
      <c r="I426" s="6">
        <f t="shared" si="252"/>
        <v>5.7534374330000002</v>
      </c>
      <c r="J426" s="6">
        <f t="shared" si="252"/>
        <v>5.8342950030000003</v>
      </c>
      <c r="K426" s="6">
        <f t="shared" si="252"/>
        <v>5.9140520680000002</v>
      </c>
      <c r="L426" s="6">
        <f t="shared" si="252"/>
        <v>5.9920042490000007</v>
      </c>
      <c r="M426" s="6">
        <f t="shared" si="252"/>
        <v>6.0751904429999994</v>
      </c>
      <c r="N426" s="6">
        <f t="shared" si="252"/>
        <v>6.1486788489999995</v>
      </c>
      <c r="O426" s="6">
        <f t="shared" si="252"/>
        <v>6.2184171179999996</v>
      </c>
      <c r="P426" s="6">
        <f t="shared" si="252"/>
        <v>6.2853620320000001</v>
      </c>
      <c r="Q426" s="6">
        <f t="shared" si="252"/>
        <v>6.3498721319999998</v>
      </c>
      <c r="R426" s="6">
        <f t="shared" si="252"/>
        <v>6.4122949179999997</v>
      </c>
      <c r="S426" s="6">
        <f t="shared" si="252"/>
        <v>6.472004698000001</v>
      </c>
      <c r="T426" s="6">
        <f t="shared" si="252"/>
        <v>6.5303648110000001</v>
      </c>
      <c r="U426" s="6">
        <f t="shared" si="252"/>
        <v>6.587952563</v>
      </c>
      <c r="V426" s="6">
        <f t="shared" si="252"/>
        <v>6.6452379559999999</v>
      </c>
      <c r="W426" s="6">
        <f t="shared" si="252"/>
        <v>6.6973534699999995</v>
      </c>
      <c r="X426" s="6">
        <f t="shared" si="252"/>
        <v>6.7543425670000001</v>
      </c>
      <c r="Y426" s="6">
        <f t="shared" si="252"/>
        <v>6.8129057700000004</v>
      </c>
      <c r="Z426" s="6">
        <f t="shared" si="252"/>
        <v>6.8728014690000006</v>
      </c>
      <c r="AA426" s="6">
        <f t="shared" si="252"/>
        <v>6.9341649209999998</v>
      </c>
      <c r="AB426" s="6">
        <f t="shared" si="252"/>
        <v>6.9822953129999998</v>
      </c>
      <c r="AC426" s="6">
        <f t="shared" si="252"/>
        <v>7.0376641420000006</v>
      </c>
      <c r="AD426" s="6">
        <f t="shared" si="252"/>
        <v>7.0954536150000003</v>
      </c>
      <c r="AE426" s="6">
        <f t="shared" si="252"/>
        <v>7.1550982909999998</v>
      </c>
      <c r="AF426" s="6">
        <f t="shared" si="252"/>
        <v>7.2165776509999997</v>
      </c>
      <c r="AG426" s="6">
        <f t="shared" si="252"/>
        <v>7.2799106099999999</v>
      </c>
      <c r="AH426" s="6">
        <f t="shared" si="252"/>
        <v>7.3452967569999998</v>
      </c>
      <c r="AI426" s="6">
        <f t="shared" si="252"/>
        <v>7.4124846689999995</v>
      </c>
      <c r="AJ426" s="6">
        <f t="shared" si="252"/>
        <v>7.4813526939999999</v>
      </c>
      <c r="AK426" s="6">
        <f t="shared" si="252"/>
        <v>7.5517736279999994</v>
      </c>
      <c r="AL426" s="6">
        <f t="shared" si="252"/>
        <v>7.6236075910000007</v>
      </c>
      <c r="AM426" s="6">
        <f t="shared" ref="AM426:BC426" si="253">AM402+AM400</f>
        <v>7.6951805790000005</v>
      </c>
      <c r="AN426" s="6">
        <f t="shared" si="253"/>
        <v>7.7674644229999998</v>
      </c>
      <c r="AO426" s="6">
        <f t="shared" si="253"/>
        <v>7.8405896899999998</v>
      </c>
      <c r="AP426" s="6">
        <f t="shared" si="253"/>
        <v>7.9145465819999998</v>
      </c>
      <c r="AQ426" s="6">
        <f t="shared" si="253"/>
        <v>7.9893029850000001</v>
      </c>
      <c r="AR426" s="6">
        <f t="shared" si="253"/>
        <v>8.065123432</v>
      </c>
      <c r="AS426" s="6">
        <f t="shared" si="253"/>
        <v>8.1417200530000002</v>
      </c>
      <c r="AT426" s="6">
        <f t="shared" si="253"/>
        <v>8.2190295679999998</v>
      </c>
      <c r="AU426" s="6">
        <f t="shared" si="253"/>
        <v>8.2970142869999997</v>
      </c>
      <c r="AV426" s="6">
        <f t="shared" si="253"/>
        <v>8.3756376200000009</v>
      </c>
      <c r="AW426" s="6">
        <f t="shared" si="253"/>
        <v>8.4561573880000012</v>
      </c>
      <c r="AX426" s="6">
        <f t="shared" si="253"/>
        <v>8.5374526979999992</v>
      </c>
      <c r="AY426" s="6">
        <f t="shared" si="253"/>
        <v>8.5862160000000003</v>
      </c>
      <c r="AZ426" s="6">
        <f t="shared" si="253"/>
        <v>8.7103482089999993</v>
      </c>
      <c r="BA426" s="6">
        <f t="shared" si="253"/>
        <v>8.7244543439999998</v>
      </c>
      <c r="BB426" s="6">
        <f t="shared" si="253"/>
        <v>12.241690213999998</v>
      </c>
      <c r="BC426" s="6">
        <f t="shared" si="253"/>
        <v>12.448568612999999</v>
      </c>
      <c r="BD426" s="6">
        <f t="shared" ref="BD426:BF426" si="254">BD402+BD400</f>
        <v>12.659353551999999</v>
      </c>
      <c r="BE426" s="6">
        <f t="shared" si="254"/>
        <v>12.874115565</v>
      </c>
      <c r="BF426" s="6">
        <f t="shared" si="254"/>
        <v>13.092921322999999</v>
      </c>
    </row>
    <row r="427" spans="1:58" x14ac:dyDescent="0.35">
      <c r="B427" t="s">
        <v>10</v>
      </c>
      <c r="C427" s="6">
        <f>C404+C405+C415</f>
        <v>49.255840513999999</v>
      </c>
      <c r="D427" s="6">
        <f t="shared" ref="D427:AL427" si="255">D404+D405+D415</f>
        <v>49.435695914999997</v>
      </c>
      <c r="E427" s="6">
        <f t="shared" si="255"/>
        <v>49.728526496999997</v>
      </c>
      <c r="F427" s="6">
        <f t="shared" si="255"/>
        <v>50.144725162</v>
      </c>
      <c r="G427" s="6">
        <f t="shared" si="255"/>
        <v>50.707054206000002</v>
      </c>
      <c r="H427" s="6">
        <f t="shared" si="255"/>
        <v>51.421220566000002</v>
      </c>
      <c r="I427" s="6">
        <f t="shared" si="255"/>
        <v>52.247181486000002</v>
      </c>
      <c r="J427" s="6">
        <f t="shared" si="255"/>
        <v>53.181220597000006</v>
      </c>
      <c r="K427" s="6">
        <f t="shared" si="255"/>
        <v>54.205890135000004</v>
      </c>
      <c r="L427" s="6">
        <f t="shared" si="255"/>
        <v>55.300727115999997</v>
      </c>
      <c r="M427" s="6">
        <f t="shared" si="255"/>
        <v>56.501817301999999</v>
      </c>
      <c r="N427" s="6">
        <f t="shared" si="255"/>
        <v>57.712186872000004</v>
      </c>
      <c r="O427" s="6">
        <f t="shared" si="255"/>
        <v>58.934647843</v>
      </c>
      <c r="P427" s="6">
        <f t="shared" si="255"/>
        <v>60.163129082000005</v>
      </c>
      <c r="Q427" s="6">
        <f t="shared" si="255"/>
        <v>61.390958064000003</v>
      </c>
      <c r="R427" s="6">
        <f t="shared" si="255"/>
        <v>62.613270778</v>
      </c>
      <c r="S427" s="6">
        <f t="shared" si="255"/>
        <v>63.830038088999999</v>
      </c>
      <c r="T427" s="6">
        <f t="shared" si="255"/>
        <v>65.037774280999997</v>
      </c>
      <c r="U427" s="6">
        <f t="shared" si="255"/>
        <v>66.237293171999994</v>
      </c>
      <c r="V427" s="6">
        <f t="shared" si="255"/>
        <v>67.430779404999996</v>
      </c>
      <c r="W427" s="6">
        <f t="shared" si="255"/>
        <v>68.578143734999998</v>
      </c>
      <c r="X427" s="6">
        <f t="shared" si="255"/>
        <v>69.746758608999997</v>
      </c>
      <c r="Y427" s="6">
        <f t="shared" si="255"/>
        <v>70.925525355999994</v>
      </c>
      <c r="Z427" s="6">
        <f t="shared" si="255"/>
        <v>72.114646635</v>
      </c>
      <c r="AA427" s="6">
        <f t="shared" si="255"/>
        <v>73.316960578999996</v>
      </c>
      <c r="AB427" s="6">
        <f t="shared" si="255"/>
        <v>74.410274393000009</v>
      </c>
      <c r="AC427" s="6">
        <f t="shared" si="255"/>
        <v>75.523017201999991</v>
      </c>
      <c r="AD427" s="6">
        <f t="shared" si="255"/>
        <v>76.644455586999996</v>
      </c>
      <c r="AE427" s="6">
        <f t="shared" si="255"/>
        <v>77.775016831999991</v>
      </c>
      <c r="AF427" s="6">
        <f t="shared" si="255"/>
        <v>78.918096274000007</v>
      </c>
      <c r="AG427" s="6">
        <f t="shared" si="255"/>
        <v>80.07768912200001</v>
      </c>
      <c r="AH427" s="6">
        <f t="shared" si="255"/>
        <v>81.256506049000009</v>
      </c>
      <c r="AI427" s="6">
        <f t="shared" si="255"/>
        <v>82.458652299000008</v>
      </c>
      <c r="AJ427" s="6">
        <f t="shared" si="255"/>
        <v>83.686656037999995</v>
      </c>
      <c r="AK427" s="6">
        <f t="shared" si="255"/>
        <v>84.942254724999998</v>
      </c>
      <c r="AL427" s="6">
        <f t="shared" si="255"/>
        <v>86.226518224999992</v>
      </c>
      <c r="AM427" s="6">
        <f t="shared" ref="AM427:BC427" si="256">AM404+AM405+AM415</f>
        <v>87.498962555999995</v>
      </c>
      <c r="AN427" s="6">
        <f t="shared" si="256"/>
        <v>88.783678563000009</v>
      </c>
      <c r="AO427" s="6">
        <f t="shared" si="256"/>
        <v>90.085657794000014</v>
      </c>
      <c r="AP427" s="6">
        <f t="shared" si="256"/>
        <v>91.406594675999997</v>
      </c>
      <c r="AQ427" s="6">
        <f t="shared" si="256"/>
        <v>92.747509312999995</v>
      </c>
      <c r="AR427" s="6">
        <f t="shared" si="256"/>
        <v>94.107447374999992</v>
      </c>
      <c r="AS427" s="6">
        <f t="shared" si="256"/>
        <v>95.488784685000013</v>
      </c>
      <c r="AT427" s="6">
        <f t="shared" si="256"/>
        <v>96.892391527000001</v>
      </c>
      <c r="AU427" s="6">
        <f t="shared" si="256"/>
        <v>98.318889858999995</v>
      </c>
      <c r="AV427" s="6">
        <f t="shared" si="256"/>
        <v>99.76872500799999</v>
      </c>
      <c r="AW427" s="6">
        <f t="shared" si="256"/>
        <v>101.23826975200001</v>
      </c>
      <c r="AX427" s="6">
        <f t="shared" si="256"/>
        <v>102.732010019</v>
      </c>
      <c r="AY427" s="6">
        <f t="shared" si="256"/>
        <v>102.90539473299999</v>
      </c>
      <c r="AZ427" s="6">
        <f t="shared" si="256"/>
        <v>103.304471162</v>
      </c>
      <c r="BA427" s="6">
        <f t="shared" si="256"/>
        <v>103.347514269</v>
      </c>
      <c r="BB427" s="6">
        <f t="shared" si="256"/>
        <v>116.05732303399999</v>
      </c>
      <c r="BC427" s="6">
        <f t="shared" si="256"/>
        <v>117.99121762899999</v>
      </c>
      <c r="BD427" s="6">
        <f t="shared" ref="BD427:BF427" si="257">BD404+BD405+BD415</f>
        <v>119.95204948</v>
      </c>
      <c r="BE427" s="6">
        <f t="shared" si="257"/>
        <v>121.94073003999999</v>
      </c>
      <c r="BF427" s="6">
        <f t="shared" si="257"/>
        <v>123.95817712</v>
      </c>
    </row>
    <row r="428" spans="1:58" x14ac:dyDescent="0.35">
      <c r="B428" t="s">
        <v>29</v>
      </c>
      <c r="C428" s="6">
        <f>C407+C408+C406</f>
        <v>21.080917221999997</v>
      </c>
      <c r="D428" s="6">
        <f t="shared" ref="D428:AL428" si="258">D407+D408+D406</f>
        <v>21.097073468000001</v>
      </c>
      <c r="E428" s="6">
        <f t="shared" si="258"/>
        <v>21.159147591</v>
      </c>
      <c r="F428" s="6">
        <f t="shared" si="258"/>
        <v>21.251987031999999</v>
      </c>
      <c r="G428" s="6">
        <f t="shared" si="258"/>
        <v>21.379364554999999</v>
      </c>
      <c r="H428" s="6">
        <f t="shared" si="258"/>
        <v>21.539883794000001</v>
      </c>
      <c r="I428" s="6">
        <f t="shared" si="258"/>
        <v>21.717516631999999</v>
      </c>
      <c r="J428" s="6">
        <f t="shared" si="258"/>
        <v>21.913156439000002</v>
      </c>
      <c r="K428" s="6">
        <f t="shared" si="258"/>
        <v>22.123664448</v>
      </c>
      <c r="L428" s="6">
        <f t="shared" si="258"/>
        <v>22.345703325999999</v>
      </c>
      <c r="M428" s="6">
        <f t="shared" si="258"/>
        <v>22.594901151000002</v>
      </c>
      <c r="N428" s="6">
        <f t="shared" si="258"/>
        <v>22.83776649</v>
      </c>
      <c r="O428" s="6">
        <f t="shared" si="258"/>
        <v>23.081637039</v>
      </c>
      <c r="P428" s="6">
        <f t="shared" si="258"/>
        <v>23.327434562000001</v>
      </c>
      <c r="Q428" s="6">
        <f t="shared" si="258"/>
        <v>23.574667481999999</v>
      </c>
      <c r="R428" s="6">
        <f t="shared" si="258"/>
        <v>23.822694024</v>
      </c>
      <c r="S428" s="6">
        <f t="shared" si="258"/>
        <v>24.069106710000003</v>
      </c>
      <c r="T428" s="6">
        <f t="shared" si="258"/>
        <v>24.315094638000005</v>
      </c>
      <c r="U428" s="6">
        <f t="shared" si="258"/>
        <v>24.560884368</v>
      </c>
      <c r="V428" s="6">
        <f t="shared" si="258"/>
        <v>24.806655264</v>
      </c>
      <c r="W428" s="6">
        <f t="shared" si="258"/>
        <v>25.039542525000002</v>
      </c>
      <c r="X428" s="6">
        <f t="shared" si="258"/>
        <v>25.280947266000002</v>
      </c>
      <c r="Y428" s="6">
        <f t="shared" si="258"/>
        <v>25.525860731999998</v>
      </c>
      <c r="Z428" s="6">
        <f t="shared" si="258"/>
        <v>25.773343712999999</v>
      </c>
      <c r="AA428" s="6">
        <f t="shared" si="258"/>
        <v>26.023494235000001</v>
      </c>
      <c r="AB428" s="6">
        <f t="shared" si="258"/>
        <v>26.239495772999998</v>
      </c>
      <c r="AC428" s="6">
        <f t="shared" si="258"/>
        <v>26.464211182</v>
      </c>
      <c r="AD428" s="6">
        <f t="shared" si="258"/>
        <v>26.692228628000002</v>
      </c>
      <c r="AE428" s="6">
        <f t="shared" si="258"/>
        <v>26.922834631999997</v>
      </c>
      <c r="AF428" s="6">
        <f t="shared" si="258"/>
        <v>27.156399060000002</v>
      </c>
      <c r="AG428" s="6">
        <f t="shared" si="258"/>
        <v>27.393441146000004</v>
      </c>
      <c r="AH428" s="6">
        <f t="shared" si="258"/>
        <v>27.634794313</v>
      </c>
      <c r="AI428" s="6">
        <f t="shared" si="258"/>
        <v>27.880470029000001</v>
      </c>
      <c r="AJ428" s="6">
        <f t="shared" si="258"/>
        <v>28.130605788999997</v>
      </c>
      <c r="AK428" s="6">
        <f t="shared" si="258"/>
        <v>28.385290920999999</v>
      </c>
      <c r="AL428" s="6">
        <f t="shared" si="258"/>
        <v>28.644554223</v>
      </c>
      <c r="AM428" s="6">
        <f t="shared" ref="AM428:BC428" si="259">AM407+AM408+AM406</f>
        <v>28.903155222000002</v>
      </c>
      <c r="AN428" s="6">
        <f t="shared" si="259"/>
        <v>29.163549218</v>
      </c>
      <c r="AO428" s="6">
        <f t="shared" si="259"/>
        <v>29.426712748000003</v>
      </c>
      <c r="AP428" s="6">
        <f t="shared" si="259"/>
        <v>29.693079493999999</v>
      </c>
      <c r="AQ428" s="6">
        <f t="shared" si="259"/>
        <v>29.962893898000001</v>
      </c>
      <c r="AR428" s="6">
        <f t="shared" si="259"/>
        <v>30.236851568999999</v>
      </c>
      <c r="AS428" s="6">
        <f t="shared" si="259"/>
        <v>30.514669676</v>
      </c>
      <c r="AT428" s="6">
        <f t="shared" si="259"/>
        <v>30.796354238999999</v>
      </c>
      <c r="AU428" s="6">
        <f t="shared" si="259"/>
        <v>31.081941791000002</v>
      </c>
      <c r="AV428" s="6">
        <f t="shared" si="259"/>
        <v>31.371460289999998</v>
      </c>
      <c r="AW428" s="6">
        <f t="shared" si="259"/>
        <v>31.667451068999998</v>
      </c>
      <c r="AX428" s="6">
        <f t="shared" si="259"/>
        <v>31.968178401999999</v>
      </c>
      <c r="AY428" s="6">
        <f t="shared" si="259"/>
        <v>32.032697278999997</v>
      </c>
      <c r="AZ428" s="6">
        <f t="shared" si="259"/>
        <v>32.192030086999999</v>
      </c>
      <c r="BA428" s="6">
        <f t="shared" si="259"/>
        <v>32.214334155000003</v>
      </c>
      <c r="BB428" s="6">
        <f t="shared" si="259"/>
        <v>41.452889843000001</v>
      </c>
      <c r="BC428" s="6">
        <f t="shared" si="259"/>
        <v>42.057067828999998</v>
      </c>
      <c r="BD428" s="6">
        <f t="shared" ref="BD428:BF428" si="260">BD407+BD408+BD406</f>
        <v>42.671079304000003</v>
      </c>
      <c r="BE428" s="6">
        <f t="shared" si="260"/>
        <v>43.295167198999998</v>
      </c>
      <c r="BF428" s="6">
        <f t="shared" si="260"/>
        <v>43.929588232</v>
      </c>
    </row>
    <row r="429" spans="1:58" x14ac:dyDescent="0.35">
      <c r="B429" t="s">
        <v>33</v>
      </c>
      <c r="C429" s="6">
        <f>SUM(C409:C413)</f>
        <v>25.224724865000002</v>
      </c>
      <c r="D429" s="6">
        <f t="shared" ref="D429:AL429" si="261">SUM(D409:D413)</f>
        <v>25.360967873</v>
      </c>
      <c r="E429" s="6">
        <f t="shared" si="261"/>
        <v>25.485821399999999</v>
      </c>
      <c r="F429" s="6">
        <f t="shared" si="261"/>
        <v>25.639079970000001</v>
      </c>
      <c r="G429" s="6">
        <f t="shared" si="261"/>
        <v>25.832872574</v>
      </c>
      <c r="H429" s="6">
        <f t="shared" si="261"/>
        <v>26.067003277000001</v>
      </c>
      <c r="I429" s="6">
        <f t="shared" si="261"/>
        <v>26.320932677000002</v>
      </c>
      <c r="J429" s="6">
        <f t="shared" si="261"/>
        <v>26.590612772</v>
      </c>
      <c r="K429" s="6">
        <f t="shared" si="261"/>
        <v>26.870417589999999</v>
      </c>
      <c r="L429" s="6">
        <f t="shared" si="261"/>
        <v>27.154187370999999</v>
      </c>
      <c r="M429" s="6">
        <f t="shared" si="261"/>
        <v>27.460340202999998</v>
      </c>
      <c r="N429" s="6">
        <f t="shared" si="261"/>
        <v>27.752495678000002</v>
      </c>
      <c r="O429" s="6">
        <f t="shared" si="261"/>
        <v>28.029726427</v>
      </c>
      <c r="P429" s="6">
        <f t="shared" si="261"/>
        <v>28.29396062</v>
      </c>
      <c r="Q429" s="6">
        <f t="shared" si="261"/>
        <v>28.546458847</v>
      </c>
      <c r="R429" s="6">
        <f t="shared" si="261"/>
        <v>28.788388131000001</v>
      </c>
      <c r="S429" s="6">
        <f t="shared" si="261"/>
        <v>29.023548649000002</v>
      </c>
      <c r="T429" s="6">
        <f t="shared" si="261"/>
        <v>29.250711015999997</v>
      </c>
      <c r="U429" s="6">
        <f t="shared" si="261"/>
        <v>29.471775561000001</v>
      </c>
      <c r="V429" s="6">
        <f t="shared" si="261"/>
        <v>29.688943976000001</v>
      </c>
      <c r="W429" s="6">
        <f t="shared" si="261"/>
        <v>29.887633968999999</v>
      </c>
      <c r="X429" s="6">
        <f t="shared" si="261"/>
        <v>30.093866189</v>
      </c>
      <c r="Y429" s="6">
        <f t="shared" si="261"/>
        <v>30.306510244000002</v>
      </c>
      <c r="Z429" s="6">
        <f t="shared" si="261"/>
        <v>30.524652732000003</v>
      </c>
      <c r="AA429" s="6">
        <f t="shared" si="261"/>
        <v>30.748419960000003</v>
      </c>
      <c r="AB429" s="6">
        <f t="shared" si="261"/>
        <v>30.931661042999998</v>
      </c>
      <c r="AC429" s="6">
        <f t="shared" si="261"/>
        <v>31.119004390000001</v>
      </c>
      <c r="AD429" s="6">
        <f t="shared" si="261"/>
        <v>31.314019885999997</v>
      </c>
      <c r="AE429" s="6">
        <f t="shared" si="261"/>
        <v>31.516293699000002</v>
      </c>
      <c r="AF429" s="6">
        <f t="shared" si="261"/>
        <v>31.725714313000001</v>
      </c>
      <c r="AG429" s="6">
        <f t="shared" si="261"/>
        <v>31.942388937999997</v>
      </c>
      <c r="AH429" s="6">
        <f t="shared" si="261"/>
        <v>32.165674817999999</v>
      </c>
      <c r="AI429" s="6">
        <f t="shared" si="261"/>
        <v>32.396475967999997</v>
      </c>
      <c r="AJ429" s="6">
        <f t="shared" si="261"/>
        <v>32.634679480999999</v>
      </c>
      <c r="AK429" s="6">
        <f t="shared" si="261"/>
        <v>32.879938088000003</v>
      </c>
      <c r="AL429" s="6">
        <f t="shared" si="261"/>
        <v>33.131792619999999</v>
      </c>
      <c r="AM429" s="6">
        <f t="shared" ref="AM429:BC429" si="262">SUM(AM409:AM413)</f>
        <v>33.371749774000001</v>
      </c>
      <c r="AN429" s="6">
        <f t="shared" si="262"/>
        <v>33.612260556000003</v>
      </c>
      <c r="AO429" s="6">
        <f t="shared" si="262"/>
        <v>33.855944933999993</v>
      </c>
      <c r="AP429" s="6">
        <f t="shared" si="262"/>
        <v>34.103207368000007</v>
      </c>
      <c r="AQ429" s="6">
        <f t="shared" si="262"/>
        <v>34.353919918000003</v>
      </c>
      <c r="AR429" s="6">
        <f t="shared" si="262"/>
        <v>34.606572168999996</v>
      </c>
      <c r="AS429" s="6">
        <f t="shared" si="262"/>
        <v>34.862369803999997</v>
      </c>
      <c r="AT429" s="6">
        <f t="shared" si="262"/>
        <v>35.121203732999994</v>
      </c>
      <c r="AU429" s="6">
        <f t="shared" si="262"/>
        <v>35.382830645000006</v>
      </c>
      <c r="AV429" s="6">
        <f t="shared" si="262"/>
        <v>35.647003558999998</v>
      </c>
      <c r="AW429" s="6">
        <f t="shared" si="262"/>
        <v>35.909756705000007</v>
      </c>
      <c r="AX429" s="6">
        <f t="shared" si="262"/>
        <v>36.175478432000006</v>
      </c>
      <c r="AY429" s="6">
        <f t="shared" si="262"/>
        <v>36.369217614</v>
      </c>
      <c r="AZ429" s="6">
        <f t="shared" si="262"/>
        <v>36.832644242000001</v>
      </c>
      <c r="BA429" s="6">
        <f t="shared" si="262"/>
        <v>36.884357997000002</v>
      </c>
      <c r="BB429" s="6">
        <f t="shared" si="262"/>
        <v>39.955272639999997</v>
      </c>
      <c r="BC429" s="6">
        <f t="shared" si="262"/>
        <v>40.421372435000002</v>
      </c>
      <c r="BD429" s="6">
        <f t="shared" ref="BD429:BF429" si="263">SUM(BD409:BD413)</f>
        <v>40.895809559</v>
      </c>
      <c r="BE429" s="6">
        <f t="shared" si="263"/>
        <v>41.378600045999995</v>
      </c>
      <c r="BF429" s="6">
        <f t="shared" si="263"/>
        <v>41.869795973000002</v>
      </c>
    </row>
    <row r="431" spans="1:58" x14ac:dyDescent="0.35">
      <c r="A431" s="12" t="s">
        <v>92</v>
      </c>
      <c r="C431" s="7" t="s">
        <v>72</v>
      </c>
      <c r="D431" s="7" t="s">
        <v>15</v>
      </c>
      <c r="E431" s="7" t="s">
        <v>16</v>
      </c>
      <c r="F431" s="7" t="s">
        <v>17</v>
      </c>
    </row>
    <row r="432" spans="1:58" x14ac:dyDescent="0.35">
      <c r="A432" t="s">
        <v>39</v>
      </c>
      <c r="B432" t="s">
        <v>7</v>
      </c>
      <c r="C432" s="6">
        <f>H418</f>
        <v>15.1973334019</v>
      </c>
      <c r="D432" s="6">
        <f>R418</f>
        <v>15.870915737999999</v>
      </c>
      <c r="E432" s="6">
        <f>AB418</f>
        <v>16.628835186</v>
      </c>
      <c r="F432" s="6">
        <f>AL418</f>
        <v>17.140809864500003</v>
      </c>
    </row>
    <row r="433" spans="1:58" x14ac:dyDescent="0.35">
      <c r="B433" t="s">
        <v>64</v>
      </c>
      <c r="C433" s="6">
        <f t="shared" ref="C433:C443" si="264">H419</f>
        <v>8.7521886169999998</v>
      </c>
      <c r="D433" s="6">
        <f t="shared" ref="D433:D443" si="265">R419</f>
        <v>9.1797959050000006</v>
      </c>
      <c r="E433" s="6">
        <f t="shared" ref="E433:E443" si="266">AB419</f>
        <v>9.4868968729999992</v>
      </c>
      <c r="F433" s="6">
        <f t="shared" ref="F433:F443" si="267">AL419</f>
        <v>9.6798469279999999</v>
      </c>
    </row>
    <row r="434" spans="1:58" x14ac:dyDescent="0.35">
      <c r="B434" t="s">
        <v>65</v>
      </c>
      <c r="C434" s="6">
        <f t="shared" si="264"/>
        <v>19.474331601000003</v>
      </c>
      <c r="D434" s="6">
        <f t="shared" si="265"/>
        <v>22.172336852000001</v>
      </c>
      <c r="E434" s="6">
        <f t="shared" si="266"/>
        <v>25.144306650000001</v>
      </c>
      <c r="F434" s="6">
        <f t="shared" si="267"/>
        <v>28.386130830000003</v>
      </c>
    </row>
    <row r="435" spans="1:58" x14ac:dyDescent="0.35">
      <c r="B435" t="s">
        <v>66</v>
      </c>
      <c r="C435" s="6">
        <f t="shared" si="264"/>
        <v>13.88136832</v>
      </c>
      <c r="D435" s="6">
        <f t="shared" si="265"/>
        <v>15.758809490000001</v>
      </c>
      <c r="E435" s="6">
        <f t="shared" si="266"/>
        <v>17.371330929999999</v>
      </c>
      <c r="F435" s="6">
        <f t="shared" si="267"/>
        <v>19.11205867</v>
      </c>
    </row>
    <row r="436" spans="1:58" x14ac:dyDescent="0.35">
      <c r="B436" t="s">
        <v>67</v>
      </c>
      <c r="C436" s="6">
        <f t="shared" si="264"/>
        <v>20.15570331</v>
      </c>
      <c r="D436" s="6">
        <f t="shared" si="265"/>
        <v>22.7956307</v>
      </c>
      <c r="E436" s="6">
        <f t="shared" si="266"/>
        <v>25.47645687</v>
      </c>
      <c r="F436" s="6">
        <f t="shared" si="267"/>
        <v>28.458192990000001</v>
      </c>
    </row>
    <row r="437" spans="1:58" x14ac:dyDescent="0.35">
      <c r="B437" t="s">
        <v>71</v>
      </c>
      <c r="C437" s="6">
        <f t="shared" si="264"/>
        <v>15.800617501999998</v>
      </c>
      <c r="D437" s="6">
        <f t="shared" si="265"/>
        <v>20.540480201000001</v>
      </c>
      <c r="E437" s="6">
        <f t="shared" si="266"/>
        <v>23.868610920000002</v>
      </c>
      <c r="F437" s="6">
        <f t="shared" si="267"/>
        <v>27.126097047000002</v>
      </c>
    </row>
    <row r="438" spans="1:58" x14ac:dyDescent="0.35">
      <c r="B438" t="s">
        <v>68</v>
      </c>
      <c r="C438" s="6">
        <f t="shared" si="264"/>
        <v>17.840787670000001</v>
      </c>
      <c r="D438" s="6">
        <f t="shared" si="265"/>
        <v>20.084443239999999</v>
      </c>
      <c r="E438" s="6">
        <f t="shared" si="266"/>
        <v>22.27754264</v>
      </c>
      <c r="F438" s="6">
        <f t="shared" si="267"/>
        <v>24.46573261</v>
      </c>
    </row>
    <row r="439" spans="1:58" x14ac:dyDescent="0.35">
      <c r="B439" t="s">
        <v>69</v>
      </c>
      <c r="C439" s="6">
        <f t="shared" si="264"/>
        <v>19.91664127</v>
      </c>
      <c r="D439" s="6">
        <f t="shared" si="265"/>
        <v>23.534873439999998</v>
      </c>
      <c r="E439" s="6">
        <f t="shared" si="266"/>
        <v>27.028236620000001</v>
      </c>
      <c r="F439" s="6">
        <f t="shared" si="267"/>
        <v>30.591829270000002</v>
      </c>
    </row>
    <row r="440" spans="1:58" x14ac:dyDescent="0.35">
      <c r="B440" t="s">
        <v>70</v>
      </c>
      <c r="C440" s="6">
        <f t="shared" si="264"/>
        <v>5.6720531780000005</v>
      </c>
      <c r="D440" s="6">
        <f t="shared" si="265"/>
        <v>6.4122949179999997</v>
      </c>
      <c r="E440" s="6">
        <f t="shared" si="266"/>
        <v>6.9822953129999998</v>
      </c>
      <c r="F440" s="6">
        <f t="shared" si="267"/>
        <v>7.6236075910000007</v>
      </c>
    </row>
    <row r="441" spans="1:58" x14ac:dyDescent="0.35">
      <c r="B441" t="s">
        <v>10</v>
      </c>
      <c r="C441" s="6">
        <f t="shared" si="264"/>
        <v>51.421220566000002</v>
      </c>
      <c r="D441" s="6">
        <f t="shared" si="265"/>
        <v>62.613270778</v>
      </c>
      <c r="E441" s="6">
        <f t="shared" si="266"/>
        <v>74.410274393000009</v>
      </c>
      <c r="F441" s="6">
        <f t="shared" si="267"/>
        <v>86.226518224999992</v>
      </c>
    </row>
    <row r="442" spans="1:58" x14ac:dyDescent="0.35">
      <c r="B442" t="s">
        <v>29</v>
      </c>
      <c r="C442" s="6">
        <f t="shared" si="264"/>
        <v>21.539883794000001</v>
      </c>
      <c r="D442" s="6">
        <f t="shared" si="265"/>
        <v>23.822694024</v>
      </c>
      <c r="E442" s="6">
        <f t="shared" si="266"/>
        <v>26.239495772999998</v>
      </c>
      <c r="F442" s="6">
        <f t="shared" si="267"/>
        <v>28.644554223</v>
      </c>
    </row>
    <row r="443" spans="1:58" x14ac:dyDescent="0.35">
      <c r="B443" t="s">
        <v>33</v>
      </c>
      <c r="C443" s="6">
        <f t="shared" si="264"/>
        <v>26.067003277000001</v>
      </c>
      <c r="D443" s="6">
        <f t="shared" si="265"/>
        <v>28.788388131000001</v>
      </c>
      <c r="E443" s="6">
        <f t="shared" si="266"/>
        <v>30.931661042999998</v>
      </c>
      <c r="F443" s="6">
        <f t="shared" si="267"/>
        <v>33.131792619999999</v>
      </c>
    </row>
    <row r="445" spans="1:58" x14ac:dyDescent="0.35">
      <c r="A445" s="12" t="s">
        <v>93</v>
      </c>
      <c r="B445" t="s">
        <v>73</v>
      </c>
      <c r="C445" s="6">
        <f>[1]Results!F281</f>
        <v>159.91139200000001</v>
      </c>
      <c r="D445" s="6">
        <f>[1]Results!G281</f>
        <v>160.0795641</v>
      </c>
      <c r="E445" s="6">
        <f>[1]Results!H281</f>
        <v>160.32095179999999</v>
      </c>
      <c r="F445" s="6">
        <f>[1]Results!I281</f>
        <v>160.76130079999999</v>
      </c>
      <c r="G445" s="6">
        <f>[1]Results!J281</f>
        <v>161.4766789</v>
      </c>
      <c r="H445" s="6">
        <f>[1]Results!K281</f>
        <v>162.46994309999999</v>
      </c>
      <c r="I445" s="6">
        <f>[1]Results!L281</f>
        <v>163.6243561</v>
      </c>
      <c r="J445" s="6">
        <f>[1]Results!M281</f>
        <v>164.9287563</v>
      </c>
      <c r="K445" s="6">
        <f>[1]Results!N281</f>
        <v>166.34709659999999</v>
      </c>
      <c r="L445" s="6">
        <f>[1]Results!O281</f>
        <v>167.8427489</v>
      </c>
      <c r="M445" s="6">
        <f>[1]Results!P281</f>
        <v>169.51837209999999</v>
      </c>
      <c r="N445" s="6">
        <f>[1]Results!Q281</f>
        <v>171.13573360000001</v>
      </c>
      <c r="O445" s="6">
        <f>[1]Results!R281</f>
        <v>172.7258492</v>
      </c>
      <c r="P445" s="6">
        <f>[1]Results!S281</f>
        <v>174.29226550000001</v>
      </c>
      <c r="Q445" s="6">
        <f>[1]Results!T281</f>
        <v>175.83234160000001</v>
      </c>
      <c r="R445" s="6">
        <f>[1]Results!U281</f>
        <v>177.34409959999999</v>
      </c>
      <c r="S445" s="6">
        <f>[1]Results!V281</f>
        <v>178.81817760000001</v>
      </c>
      <c r="T445" s="6">
        <f>[1]Results!W281</f>
        <v>180.2626339</v>
      </c>
      <c r="U445" s="6">
        <f>[1]Results!X281</f>
        <v>181.68371060000001</v>
      </c>
      <c r="V445" s="6">
        <f>[1]Results!Y281</f>
        <v>183.08785499999999</v>
      </c>
      <c r="W445" s="6">
        <f>[1]Results!Z281</f>
        <v>184.38718499999999</v>
      </c>
      <c r="X445" s="6">
        <f>[1]Results!AA281</f>
        <v>185.73297109999999</v>
      </c>
      <c r="Y445" s="6">
        <f>[1]Results!AB281</f>
        <v>187.10160070000001</v>
      </c>
      <c r="Z445" s="6">
        <f>[1]Results!AC281</f>
        <v>188.489531</v>
      </c>
      <c r="AA445" s="6">
        <f>[1]Results!AD281</f>
        <v>189.89929520000001</v>
      </c>
      <c r="AB445" s="6">
        <f>[1]Results!AE281</f>
        <v>191.0695307</v>
      </c>
      <c r="AC445" s="6">
        <f>[1]Results!AF281</f>
        <v>192.28516550000001</v>
      </c>
      <c r="AD445" s="6">
        <f>[1]Results!AG281</f>
        <v>193.52578249999999</v>
      </c>
      <c r="AE445" s="6">
        <f>[1]Results!AH281</f>
        <v>194.7894378</v>
      </c>
      <c r="AF445" s="6">
        <f>[1]Results!AI281</f>
        <v>196.0796502</v>
      </c>
      <c r="AG445" s="6">
        <f>[1]Results!AJ281</f>
        <v>197.40054689999999</v>
      </c>
      <c r="AH445" s="6">
        <f>[1]Results!AK281</f>
        <v>198.757238</v>
      </c>
      <c r="AI445" s="6">
        <f>[1]Results!AL281</f>
        <v>200.1509642</v>
      </c>
      <c r="AJ445" s="6">
        <f>[1]Results!AM281</f>
        <v>201.58235110000001</v>
      </c>
      <c r="AK445" s="6">
        <f>[1]Results!AN281</f>
        <v>203.05124720000001</v>
      </c>
      <c r="AL445" s="6">
        <f>[1]Results!AO281</f>
        <v>204.55681200000001</v>
      </c>
      <c r="AM445" s="6">
        <f>[1]Results!AP281</f>
        <v>206.05214889999999</v>
      </c>
      <c r="AN445" s="6">
        <f>[1]Results!AQ281</f>
        <v>207.55922269999999</v>
      </c>
      <c r="AO445" s="6">
        <f>[1]Results!AR281</f>
        <v>209.0848489</v>
      </c>
      <c r="AP445" s="6">
        <f>[1]Results!AS281</f>
        <v>210.6313528</v>
      </c>
      <c r="AQ445" s="6">
        <f>[1]Results!AT281</f>
        <v>212.19965289999999</v>
      </c>
      <c r="AR445" s="6">
        <f>[1]Results!AU281</f>
        <v>213.7923649</v>
      </c>
      <c r="AS445" s="6">
        <f>[1]Results!AV281</f>
        <v>215.4086819</v>
      </c>
      <c r="AT445" s="6">
        <f>[1]Results!AW281</f>
        <v>217.04816159999999</v>
      </c>
      <c r="AU445" s="6">
        <f>[1]Results!AX281</f>
        <v>218.7104301</v>
      </c>
      <c r="AV445" s="6">
        <f>[1]Results!AY281</f>
        <v>220.39503759999999</v>
      </c>
      <c r="AW445" s="6">
        <f>[1]Results!AZ281</f>
        <v>222.11358010000001</v>
      </c>
      <c r="AX445" s="6">
        <f>[1]Results!BA281</f>
        <v>223.85993869999999</v>
      </c>
      <c r="AY445" s="6">
        <f>[1]Results!BB281</f>
        <v>224.28220110000001</v>
      </c>
      <c r="AZ445" s="6">
        <f>[1]Results!BC281</f>
        <v>225.42625939999999</v>
      </c>
      <c r="BA445" s="6">
        <f>[1]Results!BD281</f>
        <v>225.55949089999999</v>
      </c>
      <c r="BB445" s="6">
        <f>[1]Results!BE281</f>
        <v>283.96565909999998</v>
      </c>
      <c r="BC445" s="6">
        <f>[1]Results!BF281</f>
        <v>287.72227379999998</v>
      </c>
      <c r="BD445" s="6">
        <f>[1]Results!BG281</f>
        <v>291.5392842</v>
      </c>
      <c r="BE445" s="6">
        <f>[1]Results!BH281</f>
        <v>295.41791599999999</v>
      </c>
      <c r="BF445" s="6">
        <f>[1]Results!BI281</f>
        <v>299.35954529999998</v>
      </c>
    </row>
    <row r="446" spans="1:58" x14ac:dyDescent="0.35">
      <c r="A446" t="s">
        <v>39</v>
      </c>
      <c r="B446" s="6" t="str">
        <f>[1]Results!E282</f>
        <v>CF_toe_ccoa_2</v>
      </c>
      <c r="C446" s="6">
        <f>[1]Results!F282</f>
        <v>5.3126239499999999</v>
      </c>
      <c r="D446" s="6">
        <f>[1]Results!G282</f>
        <v>5.3337106260000002</v>
      </c>
      <c r="E446" s="6">
        <f>[1]Results!H282</f>
        <v>5.3852787500000003</v>
      </c>
      <c r="F446" s="6">
        <f>[1]Results!I282</f>
        <v>5.4475748240000001</v>
      </c>
      <c r="G446" s="6">
        <f>[1]Results!J282</f>
        <v>5.5155935789999999</v>
      </c>
      <c r="H446" s="6">
        <f>[1]Results!K282</f>
        <v>5.5872606119999997</v>
      </c>
      <c r="I446" s="6">
        <f>[1]Results!L282</f>
        <v>5.6575566410000002</v>
      </c>
      <c r="J446" s="6">
        <f>[1]Results!M282</f>
        <v>5.7279938560000003</v>
      </c>
      <c r="K446" s="6">
        <f>[1]Results!N282</f>
        <v>5.7986496289999998</v>
      </c>
      <c r="L446" s="6">
        <f>[1]Results!O282</f>
        <v>5.869377954</v>
      </c>
      <c r="M446" s="6">
        <f>[1]Results!P282</f>
        <v>5.9462333750000003</v>
      </c>
      <c r="N446" s="6">
        <f>[1]Results!Q282</f>
        <v>6.0183140100000001</v>
      </c>
      <c r="O446" s="6">
        <f>[1]Results!R282</f>
        <v>6.0889966930000003</v>
      </c>
      <c r="P446" s="6">
        <f>[1]Results!S282</f>
        <v>6.1591036490000004</v>
      </c>
      <c r="Q446" s="6">
        <f>[1]Results!T282</f>
        <v>6.2288901939999999</v>
      </c>
      <c r="R446" s="6">
        <f>[1]Results!U282</f>
        <v>6.2985109640000001</v>
      </c>
      <c r="S446" s="6">
        <f>[1]Results!V282</f>
        <v>6.3674383079999997</v>
      </c>
      <c r="T446" s="6">
        <f>[1]Results!W282</f>
        <v>6.4364043290000001</v>
      </c>
      <c r="U446" s="6">
        <f>[1]Results!X282</f>
        <v>6.5057081300000004</v>
      </c>
      <c r="V446" s="6">
        <f>[1]Results!Y282</f>
        <v>6.5755761140000004</v>
      </c>
      <c r="W446" s="6">
        <f>[1]Results!Z282</f>
        <v>6.6418431760000001</v>
      </c>
      <c r="X446" s="6">
        <f>[1]Results!AA282</f>
        <v>6.7119412299999999</v>
      </c>
      <c r="Y446" s="6">
        <f>[1]Results!AB282</f>
        <v>6.7840295499999996</v>
      </c>
      <c r="Z446" s="6">
        <f>[1]Results!AC282</f>
        <v>6.8577970700000002</v>
      </c>
      <c r="AA446" s="6">
        <f>[1]Results!AD282</f>
        <v>6.9332652450000003</v>
      </c>
      <c r="AB446" s="6">
        <f>[1]Results!AE282</f>
        <v>6.99816079</v>
      </c>
      <c r="AC446" s="6">
        <f>[1]Results!AF282</f>
        <v>7.0672601330000004</v>
      </c>
      <c r="AD446" s="6">
        <f>[1]Results!AG282</f>
        <v>7.1383526689999997</v>
      </c>
      <c r="AE446" s="6">
        <f>[1]Results!AH282</f>
        <v>7.2110810079999998</v>
      </c>
      <c r="AF446" s="6">
        <f>[1]Results!AI282</f>
        <v>7.2854674069999996</v>
      </c>
      <c r="AG446" s="6">
        <f>[1]Results!AJ282</f>
        <v>7.3615653090000004</v>
      </c>
      <c r="AH446" s="6">
        <f>[1]Results!AK282</f>
        <v>7.4395289370000004</v>
      </c>
      <c r="AI446" s="6">
        <f>[1]Results!AL282</f>
        <v>7.5192090020000002</v>
      </c>
      <c r="AJ446" s="6">
        <f>[1]Results!AM282</f>
        <v>7.6005132289999997</v>
      </c>
      <c r="AK446" s="6">
        <f>[1]Results!AN282</f>
        <v>7.6833438650000003</v>
      </c>
      <c r="AL446" s="6">
        <f>[1]Results!AO282</f>
        <v>7.7675952439999998</v>
      </c>
      <c r="AM446" s="6">
        <f>[1]Results!AP282</f>
        <v>7.8515308629999998</v>
      </c>
      <c r="AN446" s="6">
        <f>[1]Results!AQ282</f>
        <v>7.9358797169999997</v>
      </c>
      <c r="AO446" s="6">
        <f>[1]Results!AR282</f>
        <v>8.0208890119999996</v>
      </c>
      <c r="AP446" s="6">
        <f>[1]Results!AS282</f>
        <v>8.1066520910000008</v>
      </c>
      <c r="AQ446" s="6">
        <f>[1]Results!AT282</f>
        <v>8.1932087169999992</v>
      </c>
      <c r="AR446" s="6">
        <f>[1]Results!AU282</f>
        <v>8.2807663720000004</v>
      </c>
      <c r="AS446" s="6">
        <f>[1]Results!AV282</f>
        <v>8.3691690510000001</v>
      </c>
      <c r="AT446" s="6">
        <f>[1]Results!AW282</f>
        <v>8.4583721310000008</v>
      </c>
      <c r="AU446" s="6">
        <f>[1]Results!AX282</f>
        <v>8.5483435970000006</v>
      </c>
      <c r="AV446" s="6">
        <f>[1]Results!AY282</f>
        <v>8.6390490759999992</v>
      </c>
      <c r="AW446" s="6">
        <f>[1]Results!AZ282</f>
        <v>8.731351708</v>
      </c>
      <c r="AX446" s="6">
        <f>[1]Results!BA282</f>
        <v>8.824563693</v>
      </c>
      <c r="AY446" s="6">
        <f>[1]Results!BB282</f>
        <v>8.8638543940000005</v>
      </c>
      <c r="AZ446" s="6">
        <f>[1]Results!BC282</f>
        <v>8.9755413999999991</v>
      </c>
      <c r="BA446" s="6">
        <f>[1]Results!BD282</f>
        <v>8.9903111800000008</v>
      </c>
      <c r="BB446" s="6">
        <f>[1]Results!BE282</f>
        <v>12.585566829999999</v>
      </c>
      <c r="BC446" s="6">
        <f>[1]Results!BF282</f>
        <v>12.805525859999999</v>
      </c>
      <c r="BD446" s="6">
        <f>[1]Results!BG282</f>
        <v>13.02890981</v>
      </c>
      <c r="BE446" s="6">
        <f>[1]Results!BH282</f>
        <v>13.25575914</v>
      </c>
      <c r="BF446" s="6">
        <f>[1]Results!BI282</f>
        <v>13.48611507</v>
      </c>
    </row>
    <row r="447" spans="1:58" x14ac:dyDescent="0.35">
      <c r="B447" s="6" t="s">
        <v>74</v>
      </c>
      <c r="C447" s="6">
        <f>C448+C449+C450</f>
        <v>61.623444681499997</v>
      </c>
      <c r="D447" s="6">
        <f t="shared" ref="D447:AL447" si="268">D448+D449+D450</f>
        <v>61.633123159899995</v>
      </c>
      <c r="E447" s="6">
        <f t="shared" si="268"/>
        <v>61.620052427399997</v>
      </c>
      <c r="F447" s="6">
        <f t="shared" si="268"/>
        <v>61.685425519399992</v>
      </c>
      <c r="G447" s="6">
        <f t="shared" si="268"/>
        <v>61.867518175099995</v>
      </c>
      <c r="H447" s="6">
        <f t="shared" si="268"/>
        <v>62.166781748399998</v>
      </c>
      <c r="I447" s="6">
        <f t="shared" si="268"/>
        <v>62.544533948499996</v>
      </c>
      <c r="J447" s="6">
        <f t="shared" si="268"/>
        <v>62.993322334399998</v>
      </c>
      <c r="K447" s="6">
        <f t="shared" si="268"/>
        <v>63.500467655400001</v>
      </c>
      <c r="L447" s="6">
        <f t="shared" si="268"/>
        <v>64.054093297999998</v>
      </c>
      <c r="M447" s="6">
        <f t="shared" si="268"/>
        <v>64.685006707499994</v>
      </c>
      <c r="N447" s="6">
        <f t="shared" si="268"/>
        <v>65.322670459500003</v>
      </c>
      <c r="O447" s="6">
        <f t="shared" si="268"/>
        <v>65.972864114299995</v>
      </c>
      <c r="P447" s="6">
        <f t="shared" si="268"/>
        <v>66.6336844649</v>
      </c>
      <c r="Q447" s="6">
        <f t="shared" si="268"/>
        <v>67.30126558820001</v>
      </c>
      <c r="R447" s="6">
        <f t="shared" si="268"/>
        <v>67.971901204900007</v>
      </c>
      <c r="S447" s="6">
        <f t="shared" si="268"/>
        <v>68.640215946500007</v>
      </c>
      <c r="T447" s="6">
        <f t="shared" si="268"/>
        <v>69.305573495299996</v>
      </c>
      <c r="U447" s="6">
        <f t="shared" si="268"/>
        <v>69.967136862900006</v>
      </c>
      <c r="V447" s="6">
        <f t="shared" si="268"/>
        <v>70.624597257000005</v>
      </c>
      <c r="W447" s="6">
        <f t="shared" si="268"/>
        <v>71.249146662499996</v>
      </c>
      <c r="X447" s="6">
        <f t="shared" si="268"/>
        <v>71.884102136400003</v>
      </c>
      <c r="Y447" s="6">
        <f t="shared" si="268"/>
        <v>72.522825417299998</v>
      </c>
      <c r="Z447" s="6">
        <f t="shared" si="268"/>
        <v>73.164204412000004</v>
      </c>
      <c r="AA447" s="6">
        <f t="shared" si="268"/>
        <v>73.809026659099999</v>
      </c>
      <c r="AB447" s="6">
        <f t="shared" si="268"/>
        <v>74.376623311499998</v>
      </c>
      <c r="AC447" s="6">
        <f t="shared" si="268"/>
        <v>74.949743651900008</v>
      </c>
      <c r="AD447" s="6">
        <f t="shared" si="268"/>
        <v>75.524416813800002</v>
      </c>
      <c r="AE447" s="6">
        <f t="shared" si="268"/>
        <v>76.101427561500003</v>
      </c>
      <c r="AF447" s="6">
        <f t="shared" si="268"/>
        <v>76.683072195299999</v>
      </c>
      <c r="AG447" s="6">
        <f t="shared" si="268"/>
        <v>77.271639649500003</v>
      </c>
      <c r="AH447" s="6">
        <f t="shared" si="268"/>
        <v>77.869433054500007</v>
      </c>
      <c r="AI447" s="6">
        <f t="shared" si="268"/>
        <v>78.477629564600008</v>
      </c>
      <c r="AJ447" s="6">
        <f t="shared" si="268"/>
        <v>79.097162124199997</v>
      </c>
      <c r="AK447" s="6">
        <f t="shared" si="268"/>
        <v>79.7286823309</v>
      </c>
      <c r="AL447" s="6">
        <f t="shared" si="268"/>
        <v>80.372596173799991</v>
      </c>
      <c r="AM447" s="6">
        <f t="shared" ref="AM447:BC447" si="269">AM448+AM449+AM450</f>
        <v>81.013789060100009</v>
      </c>
      <c r="AN447" s="6">
        <f t="shared" si="269"/>
        <v>81.658847914000006</v>
      </c>
      <c r="AO447" s="6">
        <f t="shared" si="269"/>
        <v>82.310565970100001</v>
      </c>
      <c r="AP447" s="6">
        <f t="shared" si="269"/>
        <v>82.970409689399986</v>
      </c>
      <c r="AQ447" s="6">
        <f t="shared" si="269"/>
        <v>83.639336212300009</v>
      </c>
      <c r="AR447" s="6">
        <f t="shared" si="269"/>
        <v>84.318544101599997</v>
      </c>
      <c r="AS447" s="6">
        <f t="shared" si="269"/>
        <v>85.008266401399993</v>
      </c>
      <c r="AT447" s="6">
        <f t="shared" si="269"/>
        <v>85.708760090500007</v>
      </c>
      <c r="AU447" s="6">
        <f t="shared" si="269"/>
        <v>86.420229895600002</v>
      </c>
      <c r="AV447" s="6">
        <f t="shared" si="269"/>
        <v>87.142819043399996</v>
      </c>
      <c r="AW447" s="6">
        <f t="shared" si="269"/>
        <v>87.879878050800002</v>
      </c>
      <c r="AX447" s="6">
        <f t="shared" si="269"/>
        <v>88.6300239519</v>
      </c>
      <c r="AY447" s="6">
        <f t="shared" si="269"/>
        <v>88.756771445699997</v>
      </c>
      <c r="AZ447" s="6">
        <f t="shared" si="269"/>
        <v>89.069676886400003</v>
      </c>
      <c r="BA447" s="6">
        <f t="shared" si="269"/>
        <v>89.1051741518</v>
      </c>
      <c r="BB447" s="6">
        <f t="shared" si="269"/>
        <v>109.0311715487</v>
      </c>
      <c r="BC447" s="6">
        <f t="shared" si="269"/>
        <v>110.4310746978</v>
      </c>
      <c r="BD447" s="6">
        <f t="shared" ref="BD447:BF447" si="270">BD448+BD449+BD450</f>
        <v>111.85228779740001</v>
      </c>
      <c r="BE447" s="6">
        <f t="shared" si="270"/>
        <v>113.2955042848</v>
      </c>
      <c r="BF447" s="6">
        <f t="shared" si="270"/>
        <v>114.76147677599999</v>
      </c>
    </row>
    <row r="448" spans="1:58" x14ac:dyDescent="0.35">
      <c r="B448" s="6" t="str">
        <f>[1]Results!E285</f>
        <v>CF_toe_ccoi_2</v>
      </c>
      <c r="C448" s="6">
        <f>[1]Results!F285</f>
        <v>8.2745481499999995E-2</v>
      </c>
      <c r="D448" s="6">
        <f>[1]Results!G285</f>
        <v>8.2839969900000004E-2</v>
      </c>
      <c r="E448" s="6">
        <f>[1]Results!H285</f>
        <v>8.3246597399999997E-2</v>
      </c>
      <c r="F448" s="6">
        <f>[1]Results!I285</f>
        <v>8.3875879400000006E-2</v>
      </c>
      <c r="G448" s="6">
        <f>[1]Results!J285</f>
        <v>8.4733335100000001E-2</v>
      </c>
      <c r="H448" s="6">
        <f>[1]Results!K285</f>
        <v>8.5811738400000004E-2</v>
      </c>
      <c r="I448" s="6">
        <f>[1]Results!L285</f>
        <v>8.7034348499999997E-2</v>
      </c>
      <c r="J448" s="6">
        <f>[1]Results!M285</f>
        <v>8.8392424400000003E-2</v>
      </c>
      <c r="K448" s="6">
        <f>[1]Results!N285</f>
        <v>8.9859925399999999E-2</v>
      </c>
      <c r="L448" s="6">
        <f>[1]Results!O285</f>
        <v>9.1407288000000003E-2</v>
      </c>
      <c r="M448" s="6">
        <f>[1]Results!P285</f>
        <v>9.3097557499999997E-2</v>
      </c>
      <c r="N448" s="6">
        <f>[1]Results!Q285</f>
        <v>9.4771829500000002E-2</v>
      </c>
      <c r="O448" s="6">
        <f>[1]Results!R285</f>
        <v>9.6439284299999997E-2</v>
      </c>
      <c r="P448" s="6">
        <f>[1]Results!S285</f>
        <v>9.8095054900000006E-2</v>
      </c>
      <c r="Q448" s="6">
        <f>[1]Results!T285</f>
        <v>9.9732288200000005E-2</v>
      </c>
      <c r="R448" s="6">
        <f>[1]Results!U285</f>
        <v>0.1013463949</v>
      </c>
      <c r="S448" s="6">
        <f>[1]Results!V285</f>
        <v>0.1029328265</v>
      </c>
      <c r="T448" s="6">
        <f>[1]Results!W285</f>
        <v>0.1044946053</v>
      </c>
      <c r="U448" s="6">
        <f>[1]Results!X285</f>
        <v>0.10603587289999999</v>
      </c>
      <c r="V448" s="6">
        <f>[1]Results!Y285</f>
        <v>0.10756196699999999</v>
      </c>
      <c r="W448" s="6">
        <f>[1]Results!Z285</f>
        <v>0.10901203249999999</v>
      </c>
      <c r="X448" s="6">
        <f>[1]Results!AA285</f>
        <v>0.1104899764</v>
      </c>
      <c r="Y448" s="6">
        <f>[1]Results!AB285</f>
        <v>0.1119839073</v>
      </c>
      <c r="Z448" s="6">
        <f>[1]Results!AC285</f>
        <v>0.113494122</v>
      </c>
      <c r="AA448" s="6">
        <f>[1]Results!AD285</f>
        <v>0.11502479910000001</v>
      </c>
      <c r="AB448" s="6">
        <f>[1]Results!AE285</f>
        <v>0.1163894015</v>
      </c>
      <c r="AC448" s="6">
        <f>[1]Results!AF285</f>
        <v>0.1177794219</v>
      </c>
      <c r="AD448" s="6">
        <f>[1]Results!AG285</f>
        <v>0.11918540380000001</v>
      </c>
      <c r="AE448" s="6">
        <f>[1]Results!AH285</f>
        <v>0.12060821150000001</v>
      </c>
      <c r="AF448" s="6">
        <f>[1]Results!AI285</f>
        <v>0.12205257529999999</v>
      </c>
      <c r="AG448" s="6">
        <f>[1]Results!AJ285</f>
        <v>0.1235238795</v>
      </c>
      <c r="AH448" s="6">
        <f>[1]Results!AK285</f>
        <v>0.12502705450000001</v>
      </c>
      <c r="AI448" s="6">
        <f>[1]Results!AL285</f>
        <v>0.12656586459999999</v>
      </c>
      <c r="AJ448" s="6">
        <f>[1]Results!AM285</f>
        <v>0.12814282420000001</v>
      </c>
      <c r="AK448" s="6">
        <f>[1]Results!AN285</f>
        <v>0.12975936090000001</v>
      </c>
      <c r="AL448" s="6">
        <f>[1]Results!AO285</f>
        <v>0.1314159238</v>
      </c>
      <c r="AM448" s="6">
        <f>[1]Results!AP285</f>
        <v>0.1330667801</v>
      </c>
      <c r="AN448" s="6">
        <f>[1]Results!AQ285</f>
        <v>0.134731934</v>
      </c>
      <c r="AO448" s="6">
        <f>[1]Results!AR285</f>
        <v>0.13641763009999999</v>
      </c>
      <c r="AP448" s="6">
        <f>[1]Results!AS285</f>
        <v>0.1381262194</v>
      </c>
      <c r="AQ448" s="6">
        <f>[1]Results!AT285</f>
        <v>0.13985883230000001</v>
      </c>
      <c r="AR448" s="6">
        <f>[1]Results!AU285</f>
        <v>0.14161594159999999</v>
      </c>
      <c r="AS448" s="6">
        <f>[1]Results!AV285</f>
        <v>0.1433984314</v>
      </c>
      <c r="AT448" s="6">
        <f>[1]Results!AW285</f>
        <v>0.14520669050000001</v>
      </c>
      <c r="AU448" s="6">
        <f>[1]Results!AX285</f>
        <v>0.1470409556</v>
      </c>
      <c r="AV448" s="6">
        <f>[1]Results!AY285</f>
        <v>0.14890125339999999</v>
      </c>
      <c r="AW448" s="6">
        <f>[1]Results!AZ285</f>
        <v>0.15078994079999999</v>
      </c>
      <c r="AX448" s="6">
        <f>[1]Results!BA285</f>
        <v>0.1527066419</v>
      </c>
      <c r="AY448" s="6">
        <f>[1]Results!BB285</f>
        <v>0.18497847570000001</v>
      </c>
      <c r="AZ448" s="6">
        <f>[1]Results!BC285</f>
        <v>0.26960800639999999</v>
      </c>
      <c r="BA448" s="6">
        <f>[1]Results!BD285</f>
        <v>0.27939733179999998</v>
      </c>
      <c r="BB448" s="6">
        <f>[1]Results!BE285</f>
        <v>0.19860557870000001</v>
      </c>
      <c r="BC448" s="6">
        <f>[1]Results!BF285</f>
        <v>0.20196968779999999</v>
      </c>
      <c r="BD448" s="6">
        <f>[1]Results!BG285</f>
        <v>0.20537931740000001</v>
      </c>
      <c r="BE448" s="6">
        <f>[1]Results!BH285</f>
        <v>0.2088358948</v>
      </c>
      <c r="BF448" s="6">
        <f>[1]Results!BI285</f>
        <v>0.21234085599999999</v>
      </c>
    </row>
    <row r="449" spans="1:58" x14ac:dyDescent="0.35">
      <c r="B449" s="6" t="str">
        <f>[1]Results!E288</f>
        <v>CF_toe_cfut_2</v>
      </c>
      <c r="C449" s="6">
        <f>[1]Results!F288</f>
        <v>46.8593093</v>
      </c>
      <c r="D449" s="6">
        <f>[1]Results!G288</f>
        <v>46.825592649999997</v>
      </c>
      <c r="E449" s="6">
        <f>[1]Results!H288</f>
        <v>46.800147750000001</v>
      </c>
      <c r="F449" s="6">
        <f>[1]Results!I288</f>
        <v>46.858457199999997</v>
      </c>
      <c r="G449" s="6">
        <f>[1]Results!J288</f>
        <v>47.02176085</v>
      </c>
      <c r="H449" s="6">
        <f>[1]Results!K288</f>
        <v>47.283445950000001</v>
      </c>
      <c r="I449" s="6">
        <f>[1]Results!L288</f>
        <v>47.611015449999996</v>
      </c>
      <c r="J449" s="6">
        <f>[1]Results!M288</f>
        <v>47.996569260000001</v>
      </c>
      <c r="K449" s="6">
        <f>[1]Results!N288</f>
        <v>48.429980360000002</v>
      </c>
      <c r="L449" s="6">
        <f>[1]Results!O288</f>
        <v>48.902166649999998</v>
      </c>
      <c r="M449" s="6">
        <f>[1]Results!P288</f>
        <v>49.434740249999997</v>
      </c>
      <c r="N449" s="6">
        <f>[1]Results!Q288</f>
        <v>49.977545210000002</v>
      </c>
      <c r="O449" s="6">
        <f>[1]Results!R288</f>
        <v>50.533678289999997</v>
      </c>
      <c r="P449" s="6">
        <f>[1]Results!S288</f>
        <v>51.10074066</v>
      </c>
      <c r="Q449" s="6">
        <f>[1]Results!T288</f>
        <v>51.675013300000003</v>
      </c>
      <c r="R449" s="6">
        <f>[1]Results!U288</f>
        <v>52.253006550000002</v>
      </c>
      <c r="S449" s="6">
        <f>[1]Results!V288</f>
        <v>52.830242329999997</v>
      </c>
      <c r="T449" s="6">
        <f>[1]Results!W288</f>
        <v>53.40559743</v>
      </c>
      <c r="U449" s="6">
        <f>[1]Results!X288</f>
        <v>53.977965529999999</v>
      </c>
      <c r="V449" s="6">
        <f>[1]Results!Y288</f>
        <v>54.546782139999998</v>
      </c>
      <c r="W449" s="6">
        <f>[1]Results!Z288</f>
        <v>55.091061379999999</v>
      </c>
      <c r="X449" s="6">
        <f>[1]Results!AA288</f>
        <v>55.641423660000001</v>
      </c>
      <c r="Y449" s="6">
        <f>[1]Results!AB288</f>
        <v>56.193335810000001</v>
      </c>
      <c r="Z449" s="6">
        <f>[1]Results!AC288</f>
        <v>56.746230679999996</v>
      </c>
      <c r="AA449" s="6">
        <f>[1]Results!AD288</f>
        <v>57.300872599999998</v>
      </c>
      <c r="AB449" s="6">
        <f>[1]Results!AE288</f>
        <v>57.799103770000002</v>
      </c>
      <c r="AC449" s="6">
        <f>[1]Results!AF288</f>
        <v>58.299431689999999</v>
      </c>
      <c r="AD449" s="6">
        <f>[1]Results!AG288</f>
        <v>58.79929637</v>
      </c>
      <c r="AE449" s="6">
        <f>[1]Results!AH288</f>
        <v>59.29968161</v>
      </c>
      <c r="AF449" s="6">
        <f>[1]Results!AI288</f>
        <v>59.80265765</v>
      </c>
      <c r="AG449" s="6">
        <f>[1]Results!AJ288</f>
        <v>60.310225000000003</v>
      </c>
      <c r="AH449" s="6">
        <f>[1]Results!AK288</f>
        <v>60.824305029999998</v>
      </c>
      <c r="AI449" s="6">
        <f>[1]Results!AL288</f>
        <v>61.345994750000003</v>
      </c>
      <c r="AJ449" s="6">
        <f>[1]Results!AM288</f>
        <v>61.876162909999998</v>
      </c>
      <c r="AK449" s="6">
        <f>[1]Results!AN288</f>
        <v>62.41543824</v>
      </c>
      <c r="AL449" s="6">
        <f>[1]Results!AO288</f>
        <v>62.96425035</v>
      </c>
      <c r="AM449" s="6">
        <f>[1]Results!AP288</f>
        <v>63.511528630000001</v>
      </c>
      <c r="AN449" s="6">
        <f>[1]Results!AQ288</f>
        <v>64.062050819999996</v>
      </c>
      <c r="AO449" s="6">
        <f>[1]Results!AR288</f>
        <v>64.617894480000004</v>
      </c>
      <c r="AP449" s="6">
        <f>[1]Results!AS288</f>
        <v>65.180204649999993</v>
      </c>
      <c r="AQ449" s="6">
        <f>[1]Results!AT288</f>
        <v>65.74979021</v>
      </c>
      <c r="AR449" s="6">
        <f>[1]Results!AU288</f>
        <v>66.327623819999999</v>
      </c>
      <c r="AS449" s="6">
        <f>[1]Results!AV288</f>
        <v>66.914033889999999</v>
      </c>
      <c r="AT449" s="6">
        <f>[1]Results!AW288</f>
        <v>67.50934024</v>
      </c>
      <c r="AU449" s="6">
        <f>[1]Results!AX288</f>
        <v>68.113801269999996</v>
      </c>
      <c r="AV449" s="6">
        <f>[1]Results!AY288</f>
        <v>68.72761835</v>
      </c>
      <c r="AW449" s="6">
        <f>[1]Results!AZ288</f>
        <v>69.353242530000003</v>
      </c>
      <c r="AX449" s="6">
        <f>[1]Results!BA288</f>
        <v>69.989875010000006</v>
      </c>
      <c r="AY449" s="6">
        <f>[1]Results!BB288</f>
        <v>70.035440789999996</v>
      </c>
      <c r="AZ449" s="6">
        <f>[1]Results!BC288</f>
        <v>70.145664359999998</v>
      </c>
      <c r="BA449" s="6">
        <f>[1]Results!BD288</f>
        <v>70.158091580000004</v>
      </c>
      <c r="BB449" s="6">
        <f>[1]Results!BE288</f>
        <v>85.552448339999998</v>
      </c>
      <c r="BC449" s="6">
        <f>[1]Results!BF288</f>
        <v>86.679266389999995</v>
      </c>
      <c r="BD449" s="6">
        <f>[1]Results!BG288</f>
        <v>87.82308707</v>
      </c>
      <c r="BE449" s="6">
        <f>[1]Results!BH288</f>
        <v>88.984520930000002</v>
      </c>
      <c r="BF449" s="6">
        <f>[1]Results!BI288</f>
        <v>90.16421339</v>
      </c>
    </row>
    <row r="450" spans="1:58" x14ac:dyDescent="0.35">
      <c r="B450" s="6" t="str">
        <f>[1]Results!E291</f>
        <v>CF_toe_cfuh_2</v>
      </c>
      <c r="C450" s="6">
        <f>[1]Results!F291</f>
        <v>14.681389899999999</v>
      </c>
      <c r="D450" s="6">
        <f>[1]Results!G291</f>
        <v>14.724690539999999</v>
      </c>
      <c r="E450" s="6">
        <f>[1]Results!H291</f>
        <v>14.73665808</v>
      </c>
      <c r="F450" s="6">
        <f>[1]Results!I291</f>
        <v>14.74309244</v>
      </c>
      <c r="G450" s="6">
        <f>[1]Results!J291</f>
        <v>14.76102399</v>
      </c>
      <c r="H450" s="6">
        <f>[1]Results!K291</f>
        <v>14.797524060000001</v>
      </c>
      <c r="I450" s="6">
        <f>[1]Results!L291</f>
        <v>14.84648415</v>
      </c>
      <c r="J450" s="6">
        <f>[1]Results!M291</f>
        <v>14.908360650000001</v>
      </c>
      <c r="K450" s="6">
        <f>[1]Results!N291</f>
        <v>14.980627370000001</v>
      </c>
      <c r="L450" s="6">
        <f>[1]Results!O291</f>
        <v>15.060519360000001</v>
      </c>
      <c r="M450" s="6">
        <f>[1]Results!P291</f>
        <v>15.1571689</v>
      </c>
      <c r="N450" s="6">
        <f>[1]Results!Q291</f>
        <v>15.25035342</v>
      </c>
      <c r="O450" s="6">
        <f>[1]Results!R291</f>
        <v>15.34274654</v>
      </c>
      <c r="P450" s="6">
        <f>[1]Results!S291</f>
        <v>15.43484875</v>
      </c>
      <c r="Q450" s="6">
        <f>[1]Results!T291</f>
        <v>15.52652</v>
      </c>
      <c r="R450" s="6">
        <f>[1]Results!U291</f>
        <v>15.61754826</v>
      </c>
      <c r="S450" s="6">
        <f>[1]Results!V291</f>
        <v>15.707040790000001</v>
      </c>
      <c r="T450" s="6">
        <f>[1]Results!W291</f>
        <v>15.79548146</v>
      </c>
      <c r="U450" s="6">
        <f>[1]Results!X291</f>
        <v>15.88313546</v>
      </c>
      <c r="V450" s="6">
        <f>[1]Results!Y291</f>
        <v>15.97025315</v>
      </c>
      <c r="W450" s="6">
        <f>[1]Results!Z291</f>
        <v>16.049073249999999</v>
      </c>
      <c r="X450" s="6">
        <f>[1]Results!AA291</f>
        <v>16.132188500000002</v>
      </c>
      <c r="Y450" s="6">
        <f>[1]Results!AB291</f>
        <v>16.2175057</v>
      </c>
      <c r="Z450" s="6">
        <f>[1]Results!AC291</f>
        <v>16.304479610000001</v>
      </c>
      <c r="AA450" s="6">
        <f>[1]Results!AD291</f>
        <v>16.393129259999998</v>
      </c>
      <c r="AB450" s="6">
        <f>[1]Results!AE291</f>
        <v>16.461130140000002</v>
      </c>
      <c r="AC450" s="6">
        <f>[1]Results!AF291</f>
        <v>16.532532539999998</v>
      </c>
      <c r="AD450" s="6">
        <f>[1]Results!AG291</f>
        <v>16.605935039999999</v>
      </c>
      <c r="AE450" s="6">
        <f>[1]Results!AH291</f>
        <v>16.68113774</v>
      </c>
      <c r="AF450" s="6">
        <f>[1]Results!AI291</f>
        <v>16.758361969999999</v>
      </c>
      <c r="AG450" s="6">
        <f>[1]Results!AJ291</f>
        <v>16.837890770000001</v>
      </c>
      <c r="AH450" s="6">
        <f>[1]Results!AK291</f>
        <v>16.92010097</v>
      </c>
      <c r="AI450" s="6">
        <f>[1]Results!AL291</f>
        <v>17.005068949999998</v>
      </c>
      <c r="AJ450" s="6">
        <f>[1]Results!AM291</f>
        <v>17.092856390000001</v>
      </c>
      <c r="AK450" s="6">
        <f>[1]Results!AN291</f>
        <v>17.18348473</v>
      </c>
      <c r="AL450" s="6">
        <f>[1]Results!AO291</f>
        <v>17.276929899999999</v>
      </c>
      <c r="AM450" s="6">
        <f>[1]Results!AP291</f>
        <v>17.36919365</v>
      </c>
      <c r="AN450" s="6">
        <f>[1]Results!AQ291</f>
        <v>17.462065160000002</v>
      </c>
      <c r="AO450" s="6">
        <f>[1]Results!AR291</f>
        <v>17.556253860000002</v>
      </c>
      <c r="AP450" s="6">
        <f>[1]Results!AS291</f>
        <v>17.65207882</v>
      </c>
      <c r="AQ450" s="6">
        <f>[1]Results!AT291</f>
        <v>17.749687170000001</v>
      </c>
      <c r="AR450" s="6">
        <f>[1]Results!AU291</f>
        <v>17.84930434</v>
      </c>
      <c r="AS450" s="6">
        <f>[1]Results!AV291</f>
        <v>17.95083408</v>
      </c>
      <c r="AT450" s="6">
        <f>[1]Results!AW291</f>
        <v>18.05421316</v>
      </c>
      <c r="AU450" s="6">
        <f>[1]Results!AX291</f>
        <v>18.159387670000001</v>
      </c>
      <c r="AV450" s="6">
        <f>[1]Results!AY291</f>
        <v>18.266299440000001</v>
      </c>
      <c r="AW450" s="6">
        <f>[1]Results!AZ291</f>
        <v>18.37584558</v>
      </c>
      <c r="AX450" s="6">
        <f>[1]Results!BA291</f>
        <v>18.487442300000001</v>
      </c>
      <c r="AY450" s="6">
        <f>[1]Results!BB291</f>
        <v>18.536352180000002</v>
      </c>
      <c r="AZ450" s="6">
        <f>[1]Results!BC291</f>
        <v>18.65440452</v>
      </c>
      <c r="BA450" s="6">
        <f>[1]Results!BD291</f>
        <v>18.667685240000001</v>
      </c>
      <c r="BB450" s="6">
        <f>[1]Results!BE291</f>
        <v>23.280117629999999</v>
      </c>
      <c r="BC450" s="6">
        <f>[1]Results!BF291</f>
        <v>23.549838619999999</v>
      </c>
      <c r="BD450" s="6">
        <f>[1]Results!BG291</f>
        <v>23.823821410000001</v>
      </c>
      <c r="BE450" s="6">
        <f>[1]Results!BH291</f>
        <v>24.102147460000001</v>
      </c>
      <c r="BF450" s="6">
        <f>[1]Results!BI291</f>
        <v>24.384922530000001</v>
      </c>
    </row>
    <row r="451" spans="1:58" x14ac:dyDescent="0.35">
      <c r="B451" s="6" t="str">
        <f>[1]Results!E293</f>
        <v>CF_toe_cgas_2</v>
      </c>
      <c r="C451" s="6">
        <f>[1]Results!F293</f>
        <v>33.921568090000001</v>
      </c>
      <c r="D451" s="6">
        <f>[1]Results!G293</f>
        <v>34.01828759</v>
      </c>
      <c r="E451" s="6">
        <f>[1]Results!H293</f>
        <v>34.103619360000003</v>
      </c>
      <c r="F451" s="6">
        <f>[1]Results!I293</f>
        <v>34.203973670000003</v>
      </c>
      <c r="G451" s="6">
        <f>[1]Results!J293</f>
        <v>34.347720649999999</v>
      </c>
      <c r="H451" s="6">
        <f>[1]Results!K293</f>
        <v>34.546678489999998</v>
      </c>
      <c r="I451" s="6">
        <f>[1]Results!L293</f>
        <v>34.781278180000001</v>
      </c>
      <c r="J451" s="6">
        <f>[1]Results!M293</f>
        <v>35.053107410000003</v>
      </c>
      <c r="K451" s="6">
        <f>[1]Results!N293</f>
        <v>35.355179589999999</v>
      </c>
      <c r="L451" s="6">
        <f>[1]Results!O293</f>
        <v>35.679392270000001</v>
      </c>
      <c r="M451" s="6">
        <f>[1]Results!P293</f>
        <v>36.050859209999999</v>
      </c>
      <c r="N451" s="6">
        <f>[1]Results!Q293</f>
        <v>36.411758990000003</v>
      </c>
      <c r="O451" s="6">
        <f>[1]Results!R293</f>
        <v>36.769346929999998</v>
      </c>
      <c r="P451" s="6">
        <f>[1]Results!S293</f>
        <v>37.124298570000001</v>
      </c>
      <c r="Q451" s="6">
        <f>[1]Results!T293</f>
        <v>37.475791020000003</v>
      </c>
      <c r="R451" s="6">
        <f>[1]Results!U293</f>
        <v>37.8231027</v>
      </c>
      <c r="S451" s="6">
        <f>[1]Results!V293</f>
        <v>38.164082700000002</v>
      </c>
      <c r="T451" s="6">
        <f>[1]Results!W293</f>
        <v>38.500323620000003</v>
      </c>
      <c r="U451" s="6">
        <f>[1]Results!X293</f>
        <v>38.832960139999997</v>
      </c>
      <c r="V451" s="6">
        <f>[1]Results!Y293</f>
        <v>39.16317008</v>
      </c>
      <c r="W451" s="6">
        <f>[1]Results!Z293</f>
        <v>39.469047789999998</v>
      </c>
      <c r="X451" s="6">
        <f>[1]Results!AA293</f>
        <v>39.787476859999998</v>
      </c>
      <c r="Y451" s="6">
        <f>[1]Results!AB293</f>
        <v>40.112158129999997</v>
      </c>
      <c r="Z451" s="6">
        <f>[1]Results!AC293</f>
        <v>40.441866599999997</v>
      </c>
      <c r="AA451" s="6">
        <f>[1]Results!AD293</f>
        <v>40.776966710000004</v>
      </c>
      <c r="AB451" s="6">
        <f>[1]Results!AE293</f>
        <v>41.053002429999999</v>
      </c>
      <c r="AC451" s="6">
        <f>[1]Results!AF293</f>
        <v>41.34043132</v>
      </c>
      <c r="AD451" s="6">
        <f>[1]Results!AG293</f>
        <v>41.633844359999998</v>
      </c>
      <c r="AE451" s="6">
        <f>[1]Results!AH293</f>
        <v>41.932500660000002</v>
      </c>
      <c r="AF451" s="6">
        <f>[1]Results!AI293</f>
        <v>42.237029720000002</v>
      </c>
      <c r="AG451" s="6">
        <f>[1]Results!AJ293</f>
        <v>42.548360539999997</v>
      </c>
      <c r="AH451" s="6">
        <f>[1]Results!AK293</f>
        <v>42.867685569999999</v>
      </c>
      <c r="AI451" s="6">
        <f>[1]Results!AL293</f>
        <v>43.195463680000003</v>
      </c>
      <c r="AJ451" s="6">
        <f>[1]Results!AM293</f>
        <v>43.53207192</v>
      </c>
      <c r="AK451" s="6">
        <f>[1]Results!AN293</f>
        <v>43.877723619999998</v>
      </c>
      <c r="AL451" s="6">
        <f>[1]Results!AO293</f>
        <v>44.232457590000003</v>
      </c>
      <c r="AM451" s="6">
        <f>[1]Results!AP293</f>
        <v>44.583806619999997</v>
      </c>
      <c r="AN451" s="6">
        <f>[1]Results!AQ293</f>
        <v>44.937655849999999</v>
      </c>
      <c r="AO451" s="6">
        <f>[1]Results!AR293</f>
        <v>45.296027129999999</v>
      </c>
      <c r="AP451" s="6">
        <f>[1]Results!AS293</f>
        <v>45.659781860000002</v>
      </c>
      <c r="AQ451" s="6">
        <f>[1]Results!AT293</f>
        <v>46.029338619999997</v>
      </c>
      <c r="AR451" s="6">
        <f>[1]Results!AU293</f>
        <v>46.405285280000001</v>
      </c>
      <c r="AS451" s="6">
        <f>[1]Results!AV293</f>
        <v>46.787514590000001</v>
      </c>
      <c r="AT451" s="6">
        <f>[1]Results!AW293</f>
        <v>47.176016930000003</v>
      </c>
      <c r="AU451" s="6">
        <f>[1]Results!AX293</f>
        <v>47.57080655</v>
      </c>
      <c r="AV451" s="6">
        <f>[1]Results!AY293</f>
        <v>47.971871649999997</v>
      </c>
      <c r="AW451" s="6">
        <f>[1]Results!AZ293</f>
        <v>48.381534500000001</v>
      </c>
      <c r="AX451" s="6">
        <f>[1]Results!BA293</f>
        <v>48.798363109999997</v>
      </c>
      <c r="AY451" s="6">
        <f>[1]Results!BB293</f>
        <v>48.889329889999999</v>
      </c>
      <c r="AZ451" s="6">
        <f>[1]Results!BC293</f>
        <v>49.108369699999997</v>
      </c>
      <c r="BA451" s="6">
        <f>[1]Results!BD293</f>
        <v>49.132891270000002</v>
      </c>
      <c r="BB451" s="6">
        <f>[1]Results!BE293</f>
        <v>60.448364050000002</v>
      </c>
      <c r="BC451" s="6">
        <f>[1]Results!BF293</f>
        <v>61.25071707</v>
      </c>
      <c r="BD451" s="6">
        <f>[1]Results!BG293</f>
        <v>62.065198590000001</v>
      </c>
      <c r="BE451" s="6">
        <f>[1]Results!BH293</f>
        <v>62.89208069</v>
      </c>
      <c r="BF451" s="6">
        <f>[1]Results!BI293</f>
        <v>63.731686179999997</v>
      </c>
    </row>
    <row r="452" spans="1:58" x14ac:dyDescent="0.35">
      <c r="B452" s="6" t="str">
        <f>[1]Results!E299</f>
        <v>CF_toe_cele_2</v>
      </c>
      <c r="C452" s="6">
        <f>[1]Results!F299</f>
        <v>37.382102500000002</v>
      </c>
      <c r="D452" s="6">
        <f>[1]Results!G299</f>
        <v>37.39584061</v>
      </c>
      <c r="E452" s="6">
        <f>[1]Results!H299</f>
        <v>37.43303092</v>
      </c>
      <c r="F452" s="6">
        <f>[1]Results!I299</f>
        <v>37.531172920000003</v>
      </c>
      <c r="G452" s="6">
        <f>[1]Results!J299</f>
        <v>37.70968998</v>
      </c>
      <c r="H452" s="6">
        <f>[1]Results!K299</f>
        <v>37.966134779999997</v>
      </c>
      <c r="I452" s="6">
        <f>[1]Results!L299</f>
        <v>38.267567870000001</v>
      </c>
      <c r="J452" s="6">
        <f>[1]Results!M299</f>
        <v>38.604008280000002</v>
      </c>
      <c r="K452" s="6">
        <f>[1]Results!N299</f>
        <v>38.961167209999999</v>
      </c>
      <c r="L452" s="6">
        <f>[1]Results!O299</f>
        <v>39.3253378</v>
      </c>
      <c r="M452" s="6">
        <f>[1]Results!P299</f>
        <v>39.716408989999998</v>
      </c>
      <c r="N452" s="6">
        <f>[1]Results!Q299</f>
        <v>40.078115650000001</v>
      </c>
      <c r="O452" s="6">
        <f>[1]Results!R299</f>
        <v>40.414301790000003</v>
      </c>
      <c r="P452" s="6">
        <f>[1]Results!S299</f>
        <v>40.726015429999997</v>
      </c>
      <c r="Q452" s="6">
        <f>[1]Results!T299</f>
        <v>41.013849100000002</v>
      </c>
      <c r="R452" s="6">
        <f>[1]Results!U299</f>
        <v>41.279227720000002</v>
      </c>
      <c r="S452" s="6">
        <f>[1]Results!V299</f>
        <v>41.52244941</v>
      </c>
      <c r="T452" s="6">
        <f>[1]Results!W299</f>
        <v>41.747293910000003</v>
      </c>
      <c r="U452" s="6">
        <f>[1]Results!X299</f>
        <v>41.957955669999997</v>
      </c>
      <c r="V452" s="6">
        <f>[1]Results!Y299</f>
        <v>42.158611270000002</v>
      </c>
      <c r="W452" s="6">
        <f>[1]Results!Z299</f>
        <v>42.3314697</v>
      </c>
      <c r="X452" s="6">
        <f>[1]Results!AA299</f>
        <v>42.512632629999999</v>
      </c>
      <c r="Y452" s="6">
        <f>[1]Results!AB299</f>
        <v>42.699520710000002</v>
      </c>
      <c r="Z452" s="6">
        <f>[1]Results!AC299</f>
        <v>42.892432290000002</v>
      </c>
      <c r="AA452" s="6">
        <f>[1]Results!AD299</f>
        <v>43.092778899999999</v>
      </c>
      <c r="AB452" s="6">
        <f>[1]Results!AE299</f>
        <v>43.241473259999999</v>
      </c>
      <c r="AC452" s="6">
        <f>[1]Results!AF299</f>
        <v>43.4018716</v>
      </c>
      <c r="AD452" s="6">
        <f>[1]Results!AG299</f>
        <v>43.572012690000001</v>
      </c>
      <c r="AE452" s="6">
        <f>[1]Results!AH299</f>
        <v>43.751442189999999</v>
      </c>
      <c r="AF452" s="6">
        <f>[1]Results!AI299</f>
        <v>43.940795119999997</v>
      </c>
      <c r="AG452" s="6">
        <f>[1]Results!AJ299</f>
        <v>44.140850319999998</v>
      </c>
      <c r="AH452" s="6">
        <f>[1]Results!AK299</f>
        <v>44.352479670000001</v>
      </c>
      <c r="AI452" s="6">
        <f>[1]Results!AL299</f>
        <v>44.575833549999999</v>
      </c>
      <c r="AJ452" s="6">
        <f>[1]Results!AM299</f>
        <v>44.810584749999997</v>
      </c>
      <c r="AK452" s="6">
        <f>[1]Results!AN299</f>
        <v>45.056102080000002</v>
      </c>
      <c r="AL452" s="6">
        <f>[1]Results!AO299</f>
        <v>45.311526610000001</v>
      </c>
      <c r="AM452" s="6">
        <f>[1]Results!AP299</f>
        <v>45.564897860000002</v>
      </c>
      <c r="AN452" s="6">
        <f>[1]Results!AQ299</f>
        <v>45.822003299999999</v>
      </c>
      <c r="AO452" s="6">
        <f>[1]Results!AR299</f>
        <v>46.083879670000002</v>
      </c>
      <c r="AP452" s="6">
        <f>[1]Results!AS299</f>
        <v>46.350299219999997</v>
      </c>
      <c r="AQ452" s="6">
        <f>[1]Results!AT299</f>
        <v>46.620783060000001</v>
      </c>
      <c r="AR452" s="6">
        <f>[1]Results!AU299</f>
        <v>46.895266679999999</v>
      </c>
      <c r="AS452" s="6">
        <f>[1]Results!AV299</f>
        <v>47.173493039999997</v>
      </c>
      <c r="AT452" s="6">
        <f>[1]Results!AW299</f>
        <v>47.455035889999998</v>
      </c>
      <c r="AU452" s="6">
        <f>[1]Results!AX299</f>
        <v>47.739489579999997</v>
      </c>
      <c r="AV452" s="6">
        <f>[1]Results!AY299</f>
        <v>48.026445819999999</v>
      </c>
      <c r="AW452" s="6">
        <f>[1]Results!AZ299</f>
        <v>48.317769560000002</v>
      </c>
      <c r="AX452" s="6">
        <f>[1]Results!BA299</f>
        <v>48.61297742</v>
      </c>
      <c r="AY452" s="6">
        <f>[1]Results!BB299</f>
        <v>48.610161099999999</v>
      </c>
      <c r="AZ452" s="6">
        <f>[1]Results!BC299</f>
        <v>48.668990960000002</v>
      </c>
      <c r="BA452" s="6">
        <f>[1]Results!BD299</f>
        <v>48.680274330000003</v>
      </c>
      <c r="BB452" s="6">
        <f>[1]Results!BE299</f>
        <v>64.359417219999997</v>
      </c>
      <c r="BC452" s="6">
        <f>[1]Results!BF299</f>
        <v>65.209907079999994</v>
      </c>
      <c r="BD452" s="6">
        <f>[1]Results!BG299</f>
        <v>66.075298020000005</v>
      </c>
      <c r="BE452" s="6">
        <f>[1]Results!BH299</f>
        <v>66.955731420000006</v>
      </c>
      <c r="BF452" s="6">
        <f>[1]Results!BI299</f>
        <v>67.851352849999998</v>
      </c>
    </row>
    <row r="453" spans="1:58" x14ac:dyDescent="0.35">
      <c r="B453" s="6" t="s">
        <v>75</v>
      </c>
      <c r="C453" s="6">
        <f>SUM(C454:C456)</f>
        <v>21.671652797</v>
      </c>
      <c r="D453" s="6">
        <f t="shared" ref="D453:AL453" si="271">SUM(D454:D456)</f>
        <v>21.698602084000001</v>
      </c>
      <c r="E453" s="6">
        <f t="shared" si="271"/>
        <v>21.778970325</v>
      </c>
      <c r="F453" s="6">
        <f t="shared" si="271"/>
        <v>21.893153837</v>
      </c>
      <c r="G453" s="6">
        <f t="shared" si="271"/>
        <v>22.036156556000002</v>
      </c>
      <c r="H453" s="6">
        <f t="shared" si="271"/>
        <v>22.203087467</v>
      </c>
      <c r="I453" s="6">
        <f t="shared" si="271"/>
        <v>22.373419505000001</v>
      </c>
      <c r="J453" s="6">
        <f t="shared" si="271"/>
        <v>22.550324457000002</v>
      </c>
      <c r="K453" s="6">
        <f t="shared" si="271"/>
        <v>22.731632539000003</v>
      </c>
      <c r="L453" s="6">
        <f t="shared" si="271"/>
        <v>22.914547583000001</v>
      </c>
      <c r="M453" s="6">
        <f t="shared" si="271"/>
        <v>23.119863796000001</v>
      </c>
      <c r="N453" s="6">
        <f t="shared" si="271"/>
        <v>23.304874464000001</v>
      </c>
      <c r="O453" s="6">
        <f t="shared" si="271"/>
        <v>23.480339671999999</v>
      </c>
      <c r="P453" s="6">
        <f t="shared" si="271"/>
        <v>23.649163356000003</v>
      </c>
      <c r="Q453" s="6">
        <f t="shared" si="271"/>
        <v>23.812545720999999</v>
      </c>
      <c r="R453" s="6">
        <f t="shared" si="271"/>
        <v>23.971356981</v>
      </c>
      <c r="S453" s="6">
        <f t="shared" si="271"/>
        <v>24.12399121</v>
      </c>
      <c r="T453" s="6">
        <f t="shared" si="271"/>
        <v>24.273038533000001</v>
      </c>
      <c r="U453" s="6">
        <f t="shared" si="271"/>
        <v>24.419949776999999</v>
      </c>
      <c r="V453" s="6">
        <f t="shared" si="271"/>
        <v>24.565900254999999</v>
      </c>
      <c r="W453" s="6">
        <f t="shared" si="271"/>
        <v>24.695677652000001</v>
      </c>
      <c r="X453" s="6">
        <f t="shared" si="271"/>
        <v>24.836818270999999</v>
      </c>
      <c r="Y453" s="6">
        <f t="shared" si="271"/>
        <v>24.983066899000001</v>
      </c>
      <c r="Z453" s="6">
        <f t="shared" si="271"/>
        <v>25.133230654000002</v>
      </c>
      <c r="AA453" s="6">
        <f t="shared" si="271"/>
        <v>25.287257722999996</v>
      </c>
      <c r="AB453" s="6">
        <f t="shared" si="271"/>
        <v>25.400270894000002</v>
      </c>
      <c r="AC453" s="6">
        <f t="shared" si="271"/>
        <v>25.525858766999999</v>
      </c>
      <c r="AD453" s="6">
        <f t="shared" si="271"/>
        <v>25.657155930999998</v>
      </c>
      <c r="AE453" s="6">
        <f t="shared" si="271"/>
        <v>25.79298635</v>
      </c>
      <c r="AF453" s="6">
        <f t="shared" si="271"/>
        <v>25.933285802</v>
      </c>
      <c r="AG453" s="6">
        <f t="shared" si="271"/>
        <v>26.078131079999999</v>
      </c>
      <c r="AH453" s="6">
        <f t="shared" si="271"/>
        <v>26.228110821999998</v>
      </c>
      <c r="AI453" s="6">
        <f t="shared" si="271"/>
        <v>26.382828386</v>
      </c>
      <c r="AJ453" s="6">
        <f t="shared" si="271"/>
        <v>26.542019061000001</v>
      </c>
      <c r="AK453" s="6">
        <f t="shared" si="271"/>
        <v>26.705395314</v>
      </c>
      <c r="AL453" s="6">
        <f t="shared" si="271"/>
        <v>26.872636433</v>
      </c>
      <c r="AM453" s="6">
        <f t="shared" ref="AM453:BC453" si="272">SUM(AM454:AM456)</f>
        <v>27.038124541999998</v>
      </c>
      <c r="AN453" s="6">
        <f t="shared" si="272"/>
        <v>27.204835922000001</v>
      </c>
      <c r="AO453" s="6">
        <f t="shared" si="272"/>
        <v>27.373487103999999</v>
      </c>
      <c r="AP453" s="6">
        <f t="shared" si="272"/>
        <v>27.544209989000002</v>
      </c>
      <c r="AQ453" s="6">
        <f t="shared" si="272"/>
        <v>27.716986288000001</v>
      </c>
      <c r="AR453" s="6">
        <f t="shared" si="272"/>
        <v>27.892502485999998</v>
      </c>
      <c r="AS453" s="6">
        <f t="shared" si="272"/>
        <v>28.070238832999998</v>
      </c>
      <c r="AT453" s="6">
        <f t="shared" si="272"/>
        <v>28.249976548999999</v>
      </c>
      <c r="AU453" s="6">
        <f t="shared" si="272"/>
        <v>28.431560472000001</v>
      </c>
      <c r="AV453" s="6">
        <f t="shared" si="272"/>
        <v>28.614852012</v>
      </c>
      <c r="AW453" s="6">
        <f t="shared" si="272"/>
        <v>28.803046276</v>
      </c>
      <c r="AX453" s="6">
        <f t="shared" si="272"/>
        <v>28.994010514999999</v>
      </c>
      <c r="AY453" s="6">
        <f t="shared" si="272"/>
        <v>29.162084233999998</v>
      </c>
      <c r="AZ453" s="6">
        <f t="shared" si="272"/>
        <v>29.603680463</v>
      </c>
      <c r="BA453" s="6">
        <f t="shared" si="272"/>
        <v>29.650839947999998</v>
      </c>
      <c r="BB453" s="6">
        <f t="shared" si="272"/>
        <v>37.541139481999998</v>
      </c>
      <c r="BC453" s="6">
        <f t="shared" si="272"/>
        <v>38.025049056999997</v>
      </c>
      <c r="BD453" s="6">
        <f t="shared" ref="BD453:BF453" si="273">SUM(BD454:BD456)</f>
        <v>38.517590014</v>
      </c>
      <c r="BE453" s="6">
        <f t="shared" si="273"/>
        <v>39.018840425</v>
      </c>
      <c r="BF453" s="6">
        <f t="shared" si="273"/>
        <v>39.528914427000004</v>
      </c>
    </row>
    <row r="454" spans="1:58" x14ac:dyDescent="0.35">
      <c r="B454" s="6" t="str">
        <f>[1]Results!E309</f>
        <v>CF_toe_chea_2</v>
      </c>
      <c r="C454" s="6">
        <f>[1]Results!F309</f>
        <v>5.0836003129999998</v>
      </c>
      <c r="D454" s="6">
        <f>[1]Results!G309</f>
        <v>5.1200610470000001</v>
      </c>
      <c r="E454" s="6">
        <f>[1]Results!H309</f>
        <v>5.1698663109999998</v>
      </c>
      <c r="F454" s="6">
        <f>[1]Results!I309</f>
        <v>5.2280476489999996</v>
      </c>
      <c r="G454" s="6">
        <f>[1]Results!J309</f>
        <v>5.2925640129999998</v>
      </c>
      <c r="H454" s="6">
        <f>[1]Results!K309</f>
        <v>5.3618000940000003</v>
      </c>
      <c r="I454" s="6">
        <f>[1]Results!L309</f>
        <v>5.4294696230000001</v>
      </c>
      <c r="J454" s="6">
        <f>[1]Results!M309</f>
        <v>5.4971599959999997</v>
      </c>
      <c r="K454" s="6">
        <f>[1]Results!N309</f>
        <v>5.5651391480000001</v>
      </c>
      <c r="L454" s="6">
        <f>[1]Results!O309</f>
        <v>5.6331814199999997</v>
      </c>
      <c r="M454" s="6">
        <f>[1]Results!P309</f>
        <v>5.7087644739999996</v>
      </c>
      <c r="N454" s="6">
        <f>[1]Results!Q309</f>
        <v>5.7787064170000004</v>
      </c>
      <c r="O454" s="6">
        <f>[1]Results!R309</f>
        <v>5.8456237250000003</v>
      </c>
      <c r="P454" s="6">
        <f>[1]Results!S309</f>
        <v>5.9104969330000001</v>
      </c>
      <c r="Q454" s="6">
        <f>[1]Results!T309</f>
        <v>5.973715458</v>
      </c>
      <c r="R454" s="6">
        <f>[1]Results!U309</f>
        <v>6.0354852980000002</v>
      </c>
      <c r="S454" s="6">
        <f>[1]Results!V309</f>
        <v>6.0955478220000003</v>
      </c>
      <c r="T454" s="6">
        <f>[1]Results!W309</f>
        <v>6.1543355120000003</v>
      </c>
      <c r="U454" s="6">
        <f>[1]Results!X309</f>
        <v>6.2121589669999997</v>
      </c>
      <c r="V454" s="6">
        <f>[1]Results!Y309</f>
        <v>6.2692865219999998</v>
      </c>
      <c r="W454" s="6">
        <f>[1]Results!Z309</f>
        <v>6.3206704030000003</v>
      </c>
      <c r="X454" s="6">
        <f>[1]Results!AA309</f>
        <v>6.3749297560000002</v>
      </c>
      <c r="Y454" s="6">
        <f>[1]Results!AB309</f>
        <v>6.4304308990000001</v>
      </c>
      <c r="Z454" s="6">
        <f>[1]Results!AC309</f>
        <v>6.4866298049999997</v>
      </c>
      <c r="AA454" s="6">
        <f>[1]Results!AD309</f>
        <v>6.5433870440000002</v>
      </c>
      <c r="AB454" s="6">
        <f>[1]Results!AE309</f>
        <v>6.586173864</v>
      </c>
      <c r="AC454" s="6">
        <f>[1]Results!AF309</f>
        <v>6.6313989119999999</v>
      </c>
      <c r="AD454" s="6">
        <f>[1]Results!AG309</f>
        <v>6.6778987089999999</v>
      </c>
      <c r="AE454" s="6">
        <f>[1]Results!AH309</f>
        <v>6.7252843709999999</v>
      </c>
      <c r="AF454" s="6">
        <f>[1]Results!AI309</f>
        <v>6.7734429189999998</v>
      </c>
      <c r="AG454" s="6">
        <f>[1]Results!AJ309</f>
        <v>6.8223287399999997</v>
      </c>
      <c r="AH454" s="6">
        <f>[1]Results!AK309</f>
        <v>6.8720511660000003</v>
      </c>
      <c r="AI454" s="6">
        <f>[1]Results!AL309</f>
        <v>6.9225691630000004</v>
      </c>
      <c r="AJ454" s="6">
        <f>[1]Results!AM309</f>
        <v>6.9738558519999998</v>
      </c>
      <c r="AK454" s="6">
        <f>[1]Results!AN309</f>
        <v>7.0258816619999997</v>
      </c>
      <c r="AL454" s="6">
        <f>[1]Results!AO309</f>
        <v>7.0786077479999996</v>
      </c>
      <c r="AM454" s="6">
        <f>[1]Results!AP309</f>
        <v>7.1297894509999997</v>
      </c>
      <c r="AN454" s="6">
        <f>[1]Results!AQ309</f>
        <v>7.1806802970000003</v>
      </c>
      <c r="AO454" s="6">
        <f>[1]Results!AR309</f>
        <v>7.2317253060000004</v>
      </c>
      <c r="AP454" s="6">
        <f>[1]Results!AS309</f>
        <v>7.2830819099999999</v>
      </c>
      <c r="AQ454" s="6">
        <f>[1]Results!AT309</f>
        <v>7.3347981960000004</v>
      </c>
      <c r="AR454" s="6">
        <f>[1]Results!AU309</f>
        <v>7.3870211890000004</v>
      </c>
      <c r="AS454" s="6">
        <f>[1]Results!AV309</f>
        <v>7.4396757640000004</v>
      </c>
      <c r="AT454" s="6">
        <f>[1]Results!AW309</f>
        <v>7.4927241779999996</v>
      </c>
      <c r="AU454" s="6">
        <f>[1]Results!AX309</f>
        <v>7.5461466340000003</v>
      </c>
      <c r="AV454" s="6">
        <f>[1]Results!AY309</f>
        <v>7.5999294070000003</v>
      </c>
      <c r="AW454" s="6">
        <f>[1]Results!AZ309</f>
        <v>7.6547813140000001</v>
      </c>
      <c r="AX454" s="6">
        <f>[1]Results!BA309</f>
        <v>7.7103004009999996</v>
      </c>
      <c r="AY454" s="6">
        <f>[1]Results!BB309</f>
        <v>7.7421272419999996</v>
      </c>
      <c r="AZ454" s="6">
        <f>[1]Results!BC309</f>
        <v>7.8130978630000003</v>
      </c>
      <c r="BA454" s="6">
        <f>[1]Results!BD309</f>
        <v>7.8153234749999996</v>
      </c>
      <c r="BB454" s="6">
        <f>[1]Results!BE309</f>
        <v>8.5768502299999998</v>
      </c>
      <c r="BC454" s="6">
        <f>[1]Results!BF309</f>
        <v>8.666396185</v>
      </c>
      <c r="BD454" s="6">
        <f>[1]Results!BG309</f>
        <v>8.7572674819999996</v>
      </c>
      <c r="BE454" s="6">
        <f>[1]Results!BH309</f>
        <v>8.8494687390000006</v>
      </c>
      <c r="BF454" s="6">
        <f>[1]Results!BI309</f>
        <v>8.9430200129999999</v>
      </c>
    </row>
    <row r="455" spans="1:58" x14ac:dyDescent="0.35">
      <c r="B455" s="6" t="str">
        <f>[1]Results!E311</f>
        <v>CF_toe_cbio_2</v>
      </c>
      <c r="C455" s="6">
        <f>[1]Results!F311</f>
        <v>8.159423061</v>
      </c>
      <c r="D455" s="6">
        <f>[1]Results!G311</f>
        <v>8.1121245949999992</v>
      </c>
      <c r="E455" s="6">
        <f>[1]Results!H311</f>
        <v>8.0546536890000002</v>
      </c>
      <c r="F455" s="6">
        <f>[1]Results!I311</f>
        <v>8.0034239879999998</v>
      </c>
      <c r="G455" s="6">
        <f>[1]Results!J311</f>
        <v>7.962811125</v>
      </c>
      <c r="H455" s="6">
        <f>[1]Results!K311</f>
        <v>7.9334261699999997</v>
      </c>
      <c r="I455" s="6">
        <f>[1]Results!L311</f>
        <v>7.9105554070000004</v>
      </c>
      <c r="J455" s="6">
        <f>[1]Results!M311</f>
        <v>7.8936101089999999</v>
      </c>
      <c r="K455" s="6">
        <f>[1]Results!N311</f>
        <v>7.8809709000000003</v>
      </c>
      <c r="L455" s="6">
        <f>[1]Results!O311</f>
        <v>7.8709590279999997</v>
      </c>
      <c r="M455" s="6">
        <f>[1]Results!P311</f>
        <v>7.8667784469999997</v>
      </c>
      <c r="N455" s="6">
        <f>[1]Results!Q311</f>
        <v>7.8588129359999996</v>
      </c>
      <c r="O455" s="6">
        <f>[1]Results!R311</f>
        <v>7.8482495060000002</v>
      </c>
      <c r="P455" s="6">
        <f>[1]Results!S311</f>
        <v>7.8357735489999998</v>
      </c>
      <c r="Q455" s="6">
        <f>[1]Results!T311</f>
        <v>7.821757743</v>
      </c>
      <c r="R455" s="6">
        <f>[1]Results!U311</f>
        <v>7.8064812430000003</v>
      </c>
      <c r="S455" s="6">
        <f>[1]Results!V311</f>
        <v>7.7894358979999998</v>
      </c>
      <c r="T455" s="6">
        <f>[1]Results!W311</f>
        <v>7.771257511</v>
      </c>
      <c r="U455" s="6">
        <f>[1]Results!X311</f>
        <v>7.75242086</v>
      </c>
      <c r="V455" s="6">
        <f>[1]Results!Y311</f>
        <v>7.7332881029999996</v>
      </c>
      <c r="W455" s="6">
        <f>[1]Results!Z311</f>
        <v>7.710761229</v>
      </c>
      <c r="X455" s="6">
        <f>[1]Results!AA311</f>
        <v>7.6902860149999999</v>
      </c>
      <c r="Y455" s="6">
        <f>[1]Results!AB311</f>
        <v>7.6710777099999996</v>
      </c>
      <c r="Z455" s="6">
        <f>[1]Results!AC311</f>
        <v>7.6528196289999997</v>
      </c>
      <c r="AA455" s="6">
        <f>[1]Results!AD311</f>
        <v>7.6354479489999996</v>
      </c>
      <c r="AB455" s="6">
        <f>[1]Results!AE311</f>
        <v>7.6097368699999999</v>
      </c>
      <c r="AC455" s="6">
        <f>[1]Results!AF311</f>
        <v>7.5859169050000004</v>
      </c>
      <c r="AD455" s="6">
        <f>[1]Results!AG311</f>
        <v>7.5634978119999996</v>
      </c>
      <c r="AE455" s="6">
        <f>[1]Results!AH311</f>
        <v>7.5421970890000001</v>
      </c>
      <c r="AF455" s="6">
        <f>[1]Results!AI311</f>
        <v>7.5219380329999996</v>
      </c>
      <c r="AG455" s="6">
        <f>[1]Results!AJ311</f>
        <v>7.5027177399999996</v>
      </c>
      <c r="AH455" s="6">
        <f>[1]Results!AK311</f>
        <v>7.4847171460000004</v>
      </c>
      <c r="AI455" s="6">
        <f>[1]Results!AL311</f>
        <v>7.4678605229999997</v>
      </c>
      <c r="AJ455" s="6">
        <f>[1]Results!AM311</f>
        <v>7.4520808389999997</v>
      </c>
      <c r="AK455" s="6">
        <f>[1]Results!AN311</f>
        <v>7.4373123620000001</v>
      </c>
      <c r="AL455" s="6">
        <f>[1]Results!AO311</f>
        <v>7.423485415</v>
      </c>
      <c r="AM455" s="6">
        <f>[1]Results!AP311</f>
        <v>7.4099994210000002</v>
      </c>
      <c r="AN455" s="6">
        <f>[1]Results!AQ311</f>
        <v>7.3971938149999996</v>
      </c>
      <c r="AO455" s="6">
        <f>[1]Results!AR311</f>
        <v>7.3850644379999997</v>
      </c>
      <c r="AP455" s="6">
        <f>[1]Results!AS311</f>
        <v>7.3735275690000002</v>
      </c>
      <c r="AQ455" s="6">
        <f>[1]Results!AT311</f>
        <v>7.3625100620000001</v>
      </c>
      <c r="AR455" s="6">
        <f>[1]Results!AU311</f>
        <v>7.3521915069999997</v>
      </c>
      <c r="AS455" s="6">
        <f>[1]Results!AV311</f>
        <v>7.3424436289999999</v>
      </c>
      <c r="AT455" s="6">
        <f>[1]Results!AW311</f>
        <v>7.333177311</v>
      </c>
      <c r="AU455" s="6">
        <f>[1]Results!AX311</f>
        <v>7.3243315879999997</v>
      </c>
      <c r="AV455" s="6">
        <f>[1]Results!AY311</f>
        <v>7.315860335</v>
      </c>
      <c r="AW455" s="6">
        <f>[1]Results!AZ311</f>
        <v>7.3086394720000003</v>
      </c>
      <c r="AX455" s="6">
        <f>[1]Results!BA311</f>
        <v>7.3022429640000004</v>
      </c>
      <c r="AY455" s="6">
        <f>[1]Results!BB311</f>
        <v>7.4179078020000002</v>
      </c>
      <c r="AZ455" s="6">
        <f>[1]Results!BC311</f>
        <v>7.73294938</v>
      </c>
      <c r="BA455" s="6">
        <f>[1]Results!BD311</f>
        <v>7.7712603229999999</v>
      </c>
      <c r="BB455" s="6">
        <f>[1]Results!BE311</f>
        <v>9.1587507319999997</v>
      </c>
      <c r="BC455" s="6">
        <f>[1]Results!BF311</f>
        <v>9.2090429220000001</v>
      </c>
      <c r="BD455" s="6">
        <f>[1]Results!BG311</f>
        <v>9.2606713220000003</v>
      </c>
      <c r="BE455" s="6">
        <f>[1]Results!BH311</f>
        <v>9.3136211660000008</v>
      </c>
      <c r="BF455" s="6">
        <f>[1]Results!BI311</f>
        <v>9.3679002540000003</v>
      </c>
    </row>
    <row r="456" spans="1:58" x14ac:dyDescent="0.35">
      <c r="B456" s="6" t="str">
        <f>[1]Results!E314</f>
        <v>CF_toe_cote_2</v>
      </c>
      <c r="C456" s="6">
        <f>[1]Results!F314</f>
        <v>8.4286294230000003</v>
      </c>
      <c r="D456" s="6">
        <f>[1]Results!G314</f>
        <v>8.4664164419999999</v>
      </c>
      <c r="E456" s="6">
        <f>[1]Results!H314</f>
        <v>8.5544503249999995</v>
      </c>
      <c r="F456" s="6">
        <f>[1]Results!I314</f>
        <v>8.6616821999999996</v>
      </c>
      <c r="G456" s="6">
        <f>[1]Results!J314</f>
        <v>8.7807814180000001</v>
      </c>
      <c r="H456" s="6">
        <f>[1]Results!K314</f>
        <v>8.9078612029999995</v>
      </c>
      <c r="I456" s="6">
        <f>[1]Results!L314</f>
        <v>9.0333944749999997</v>
      </c>
      <c r="J456" s="6">
        <f>[1]Results!M314</f>
        <v>9.1595543520000007</v>
      </c>
      <c r="K456" s="6">
        <f>[1]Results!N314</f>
        <v>9.285522491</v>
      </c>
      <c r="L456" s="6">
        <f>[1]Results!O314</f>
        <v>9.4104071349999998</v>
      </c>
      <c r="M456" s="6">
        <f>[1]Results!P314</f>
        <v>9.5443208750000004</v>
      </c>
      <c r="N456" s="6">
        <f>[1]Results!Q314</f>
        <v>9.6673551109999991</v>
      </c>
      <c r="O456" s="6">
        <f>[1]Results!R314</f>
        <v>9.786466441</v>
      </c>
      <c r="P456" s="6">
        <f>[1]Results!S314</f>
        <v>9.9028928740000008</v>
      </c>
      <c r="Q456" s="6">
        <f>[1]Results!T314</f>
        <v>10.017072519999999</v>
      </c>
      <c r="R456" s="6">
        <f>[1]Results!U314</f>
        <v>10.12939044</v>
      </c>
      <c r="S456" s="6">
        <f>[1]Results!V314</f>
        <v>10.239007490000001</v>
      </c>
      <c r="T456" s="6">
        <f>[1]Results!W314</f>
        <v>10.34744551</v>
      </c>
      <c r="U456" s="6">
        <f>[1]Results!X314</f>
        <v>10.45536995</v>
      </c>
      <c r="V456" s="6">
        <f>[1]Results!Y314</f>
        <v>10.56332563</v>
      </c>
      <c r="W456" s="6">
        <f>[1]Results!Z314</f>
        <v>10.66424602</v>
      </c>
      <c r="X456" s="6">
        <f>[1]Results!AA314</f>
        <v>10.7716025</v>
      </c>
      <c r="Y456" s="6">
        <f>[1]Results!AB314</f>
        <v>10.881558289999999</v>
      </c>
      <c r="Z456" s="6">
        <f>[1]Results!AC314</f>
        <v>10.993781220000001</v>
      </c>
      <c r="AA456" s="6">
        <f>[1]Results!AD314</f>
        <v>11.108422729999999</v>
      </c>
      <c r="AB456" s="6">
        <f>[1]Results!AE314</f>
        <v>11.20436016</v>
      </c>
      <c r="AC456" s="6">
        <f>[1]Results!AF314</f>
        <v>11.30854295</v>
      </c>
      <c r="AD456" s="6">
        <f>[1]Results!AG314</f>
        <v>11.41575941</v>
      </c>
      <c r="AE456" s="6">
        <f>[1]Results!AH314</f>
        <v>11.525504890000001</v>
      </c>
      <c r="AF456" s="6">
        <f>[1]Results!AI314</f>
        <v>11.63790485</v>
      </c>
      <c r="AG456" s="6">
        <f>[1]Results!AJ314</f>
        <v>11.753084599999999</v>
      </c>
      <c r="AH456" s="6">
        <f>[1]Results!AK314</f>
        <v>11.87134251</v>
      </c>
      <c r="AI456" s="6">
        <f>[1]Results!AL314</f>
        <v>11.992398700000001</v>
      </c>
      <c r="AJ456" s="6">
        <f>[1]Results!AM314</f>
        <v>12.116082370000001</v>
      </c>
      <c r="AK456" s="6">
        <f>[1]Results!AN314</f>
        <v>12.242201290000001</v>
      </c>
      <c r="AL456" s="6">
        <f>[1]Results!AO314</f>
        <v>12.370543270000001</v>
      </c>
      <c r="AM456" s="6">
        <f>[1]Results!AP314</f>
        <v>12.498335669999999</v>
      </c>
      <c r="AN456" s="6">
        <f>[1]Results!AQ314</f>
        <v>12.626961809999999</v>
      </c>
      <c r="AO456" s="6">
        <f>[1]Results!AR314</f>
        <v>12.75669736</v>
      </c>
      <c r="AP456" s="6">
        <f>[1]Results!AS314</f>
        <v>12.88760051</v>
      </c>
      <c r="AQ456" s="6">
        <f>[1]Results!AT314</f>
        <v>13.01967803</v>
      </c>
      <c r="AR456" s="6">
        <f>[1]Results!AU314</f>
        <v>13.153289790000001</v>
      </c>
      <c r="AS456" s="6">
        <f>[1]Results!AV314</f>
        <v>13.288119439999999</v>
      </c>
      <c r="AT456" s="6">
        <f>[1]Results!AW314</f>
        <v>13.42407506</v>
      </c>
      <c r="AU456" s="6">
        <f>[1]Results!AX314</f>
        <v>13.56108225</v>
      </c>
      <c r="AV456" s="6">
        <f>[1]Results!AY314</f>
        <v>13.699062270000001</v>
      </c>
      <c r="AW456" s="6">
        <f>[1]Results!AZ314</f>
        <v>13.83962549</v>
      </c>
      <c r="AX456" s="6">
        <f>[1]Results!BA314</f>
        <v>13.98146715</v>
      </c>
      <c r="AY456" s="6">
        <f>[1]Results!BB314</f>
        <v>14.002049189999999</v>
      </c>
      <c r="AZ456" s="6">
        <f>[1]Results!BC314</f>
        <v>14.05763322</v>
      </c>
      <c r="BA456" s="6">
        <f>[1]Results!BD314</f>
        <v>14.06425615</v>
      </c>
      <c r="BB456" s="6">
        <f>[1]Results!BE314</f>
        <v>19.805538519999999</v>
      </c>
      <c r="BC456" s="6">
        <f>[1]Results!BF314</f>
        <v>20.149609949999999</v>
      </c>
      <c r="BD456" s="6">
        <f>[1]Results!BG314</f>
        <v>20.49965121</v>
      </c>
      <c r="BE456" s="6">
        <f>[1]Results!BH314</f>
        <v>20.855750520000001</v>
      </c>
      <c r="BF456" s="6">
        <f>[1]Results!BI314</f>
        <v>21.21799416</v>
      </c>
    </row>
    <row r="457" spans="1:58" x14ac:dyDescent="0.35"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</row>
    <row r="458" spans="1:58" x14ac:dyDescent="0.35">
      <c r="A458" s="12" t="s">
        <v>93</v>
      </c>
      <c r="B458" s="6" t="str">
        <f>[1]Results!E317</f>
        <v>CF_toe_0</v>
      </c>
      <c r="C458" s="6">
        <f>[1]Results!F317</f>
        <v>162.31701000000001</v>
      </c>
      <c r="D458" s="6">
        <f>[1]Results!G317</f>
        <v>163.41058849999999</v>
      </c>
      <c r="E458" s="6">
        <f>[1]Results!H317</f>
        <v>164.374787</v>
      </c>
      <c r="F458" s="6">
        <f>[1]Results!I317</f>
        <v>165.44412500000001</v>
      </c>
      <c r="G458" s="6">
        <f>[1]Results!J317</f>
        <v>166.68592860000001</v>
      </c>
      <c r="H458" s="6">
        <f>[1]Results!K317</f>
        <v>168.0986465</v>
      </c>
      <c r="I458" s="6">
        <f>[1]Results!L317</f>
        <v>169.57577989999999</v>
      </c>
      <c r="J458" s="6">
        <f>[1]Results!M317</f>
        <v>171.12820830000001</v>
      </c>
      <c r="K458" s="6">
        <f>[1]Results!N317</f>
        <v>172.74325880000001</v>
      </c>
      <c r="L458" s="6">
        <f>[1]Results!O317</f>
        <v>174.4042479</v>
      </c>
      <c r="M458" s="6">
        <f>[1]Results!P317</f>
        <v>176.2362378</v>
      </c>
      <c r="N458" s="6">
        <f>[1]Results!Q317</f>
        <v>178.01502009999999</v>
      </c>
      <c r="O458" s="6">
        <f>[1]Results!R317</f>
        <v>179.77789240000001</v>
      </c>
      <c r="P458" s="6">
        <f>[1]Results!S317</f>
        <v>181.53396799999999</v>
      </c>
      <c r="Q458" s="6">
        <f>[1]Results!T317</f>
        <v>183.2847725</v>
      </c>
      <c r="R458" s="6">
        <f>[1]Results!U317</f>
        <v>185.0309092</v>
      </c>
      <c r="S458" s="6">
        <f>[1]Results!V317</f>
        <v>186.77383520000001</v>
      </c>
      <c r="T458" s="6">
        <f>[1]Results!W317</f>
        <v>188.5160434</v>
      </c>
      <c r="U458" s="6">
        <f>[1]Results!X317</f>
        <v>190.2609563</v>
      </c>
      <c r="V458" s="6">
        <f>[1]Results!Y317</f>
        <v>192.01257509999999</v>
      </c>
      <c r="W458" s="6">
        <f>[1]Results!Z317</f>
        <v>193.67524789999999</v>
      </c>
      <c r="X458" s="6">
        <f>[1]Results!AA317</f>
        <v>195.4053103</v>
      </c>
      <c r="Y458" s="6">
        <f>[1]Results!AB317</f>
        <v>197.1739604</v>
      </c>
      <c r="Z458" s="6">
        <f>[1]Results!AC317</f>
        <v>198.9745666</v>
      </c>
      <c r="AA458" s="6">
        <f>[1]Results!AD317</f>
        <v>200.80702020000001</v>
      </c>
      <c r="AB458" s="6">
        <f>[1]Results!AE317</f>
        <v>202.3899686</v>
      </c>
      <c r="AC458" s="6">
        <f>[1]Results!AF317</f>
        <v>204.02151230000001</v>
      </c>
      <c r="AD458" s="6">
        <f>[1]Results!AG317</f>
        <v>205.67794570000001</v>
      </c>
      <c r="AE458" s="6">
        <f>[1]Results!AH317</f>
        <v>207.3560947</v>
      </c>
      <c r="AF458" s="6">
        <f>[1]Results!AI317</f>
        <v>209.058696</v>
      </c>
      <c r="AG458" s="6">
        <f>[1]Results!AJ317</f>
        <v>210.7894149</v>
      </c>
      <c r="AH458" s="6">
        <f>[1]Results!AK317</f>
        <v>212.55128199999999</v>
      </c>
      <c r="AI458" s="6">
        <f>[1]Results!AL317</f>
        <v>214.3462968</v>
      </c>
      <c r="AJ458" s="6">
        <f>[1]Results!AM317</f>
        <v>216.1753947</v>
      </c>
      <c r="AK458" s="6">
        <f>[1]Results!AN317</f>
        <v>218.03859059999999</v>
      </c>
      <c r="AL458" s="6">
        <f>[1]Results!AO317</f>
        <v>219.93518739999999</v>
      </c>
      <c r="AM458" s="6">
        <f>[1]Results!AP317</f>
        <v>221.79833970000001</v>
      </c>
      <c r="AN458" s="6">
        <f>[1]Results!AQ317</f>
        <v>223.6604681</v>
      </c>
      <c r="AO458" s="6">
        <f>[1]Results!AR317</f>
        <v>225.5322237</v>
      </c>
      <c r="AP458" s="6">
        <f>[1]Results!AS317</f>
        <v>227.41777809999999</v>
      </c>
      <c r="AQ458" s="6">
        <f>[1]Results!AT317</f>
        <v>229.319413</v>
      </c>
      <c r="AR458" s="6">
        <f>[1]Results!AU317</f>
        <v>231.23880500000001</v>
      </c>
      <c r="AS458" s="6">
        <f>[1]Results!AV317</f>
        <v>233.1773365</v>
      </c>
      <c r="AT458" s="6">
        <f>[1]Results!AW317</f>
        <v>235.13613570000001</v>
      </c>
      <c r="AU458" s="6">
        <f>[1]Results!AX317</f>
        <v>237.11606760000001</v>
      </c>
      <c r="AV458" s="6">
        <f>[1]Results!AY317</f>
        <v>239.117739</v>
      </c>
      <c r="AW458" s="6">
        <f>[1]Results!AZ317</f>
        <v>241.14727400000001</v>
      </c>
      <c r="AX458" s="6">
        <f>[1]Results!BA317</f>
        <v>243.2018937</v>
      </c>
      <c r="AY458" s="6">
        <f>[1]Results!BB317</f>
        <v>245.2806224</v>
      </c>
      <c r="AZ458" s="6">
        <f>[1]Results!BC317</f>
        <v>247.38298829999999</v>
      </c>
      <c r="BA458" s="6">
        <f>[1]Results!BD317</f>
        <v>249.5086805</v>
      </c>
      <c r="BB458" s="6">
        <f>[1]Results!BE317</f>
        <v>285.81156920000001</v>
      </c>
      <c r="BC458" s="6">
        <f>[1]Results!BF317</f>
        <v>289.59841449999999</v>
      </c>
      <c r="BD458" s="6">
        <f>[1]Results!BG317</f>
        <v>293.44403879999999</v>
      </c>
      <c r="BE458" s="6">
        <f>[1]Results!BH317</f>
        <v>297.34999809999999</v>
      </c>
      <c r="BF458" s="6">
        <f>[1]Results!BI317</f>
        <v>301.31780850000001</v>
      </c>
    </row>
    <row r="459" spans="1:58" x14ac:dyDescent="0.35">
      <c r="A459" t="s">
        <v>38</v>
      </c>
      <c r="B459" s="6" t="str">
        <f>[1]Results!E318</f>
        <v>CF_toe_ccoa_0</v>
      </c>
      <c r="C459" s="6">
        <f>[1]Results!F318</f>
        <v>5.4832466399999999</v>
      </c>
      <c r="D459" s="6">
        <f>[1]Results!G318</f>
        <v>5.5485428140000002</v>
      </c>
      <c r="E459" s="6">
        <f>[1]Results!H318</f>
        <v>5.6193811069999997</v>
      </c>
      <c r="F459" s="6">
        <f>[1]Results!I318</f>
        <v>5.6947455800000002</v>
      </c>
      <c r="G459" s="6">
        <f>[1]Results!J318</f>
        <v>5.7738198919999997</v>
      </c>
      <c r="H459" s="6">
        <f>[1]Results!K318</f>
        <v>5.8559711999999999</v>
      </c>
      <c r="I459" s="6">
        <f>[1]Results!L318</f>
        <v>5.9369110450000004</v>
      </c>
      <c r="J459" s="6">
        <f>[1]Results!M318</f>
        <v>6.018573774</v>
      </c>
      <c r="K459" s="6">
        <f>[1]Results!N318</f>
        <v>6.1012478159999999</v>
      </c>
      <c r="L459" s="6">
        <f>[1]Results!O318</f>
        <v>6.184867036</v>
      </c>
      <c r="M459" s="6">
        <f>[1]Results!P318</f>
        <v>6.2758586059999999</v>
      </c>
      <c r="N459" s="6">
        <f>[1]Results!Q318</f>
        <v>6.3633860010000003</v>
      </c>
      <c r="O459" s="6">
        <f>[1]Results!R318</f>
        <v>6.4504549210000004</v>
      </c>
      <c r="P459" s="6">
        <f>[1]Results!S318</f>
        <v>6.5378074719999999</v>
      </c>
      <c r="Q459" s="6">
        <f>[1]Results!T318</f>
        <v>6.6256878060000002</v>
      </c>
      <c r="R459" s="6">
        <f>[1]Results!U318</f>
        <v>6.7142558020000003</v>
      </c>
      <c r="S459" s="6">
        <f>[1]Results!V318</f>
        <v>6.8036708450000001</v>
      </c>
      <c r="T459" s="6">
        <f>[1]Results!W318</f>
        <v>6.8940991189999998</v>
      </c>
      <c r="U459" s="6">
        <f>[1]Results!X318</f>
        <v>6.9857053609999999</v>
      </c>
      <c r="V459" s="6">
        <f>[1]Results!Y318</f>
        <v>7.0786440910000001</v>
      </c>
      <c r="W459" s="6">
        <f>[1]Results!Z318</f>
        <v>7.1683091579999996</v>
      </c>
      <c r="X459" s="6">
        <f>[1]Results!AA318</f>
        <v>7.2626308570000004</v>
      </c>
      <c r="Y459" s="6">
        <f>[1]Results!AB318</f>
        <v>7.3594854639999996</v>
      </c>
      <c r="Z459" s="6">
        <f>[1]Results!AC318</f>
        <v>7.4584287959999997</v>
      </c>
      <c r="AA459" s="6">
        <f>[1]Results!AD318</f>
        <v>7.5593814640000003</v>
      </c>
      <c r="AB459" s="6">
        <f>[1]Results!AE318</f>
        <v>7.6487628430000001</v>
      </c>
      <c r="AC459" s="6">
        <f>[1]Results!AF318</f>
        <v>7.7424405250000001</v>
      </c>
      <c r="AD459" s="6">
        <f>[1]Results!AG318</f>
        <v>7.8381017489999998</v>
      </c>
      <c r="AE459" s="6">
        <f>[1]Results!AH318</f>
        <v>7.9353373310000004</v>
      </c>
      <c r="AF459" s="6">
        <f>[1]Results!AI318</f>
        <v>8.0341425910000002</v>
      </c>
      <c r="AG459" s="6">
        <f>[1]Results!AJ318</f>
        <v>8.1345596259999997</v>
      </c>
      <c r="AH459" s="6">
        <f>[1]Results!AK318</f>
        <v>8.2365981179999999</v>
      </c>
      <c r="AI459" s="6">
        <f>[1]Results!AL318</f>
        <v>8.3402257790000007</v>
      </c>
      <c r="AJ459" s="6">
        <f>[1]Results!AM318</f>
        <v>8.4453774470000003</v>
      </c>
      <c r="AK459" s="6">
        <f>[1]Results!AN318</f>
        <v>8.5519680999999999</v>
      </c>
      <c r="AL459" s="6">
        <f>[1]Results!AO318</f>
        <v>8.6599046840000007</v>
      </c>
      <c r="AM459" s="6">
        <f>[1]Results!AP318</f>
        <v>8.7658695800000004</v>
      </c>
      <c r="AN459" s="6">
        <f>[1]Results!AQ318</f>
        <v>8.8718261199999997</v>
      </c>
      <c r="AO459" s="6">
        <f>[1]Results!AR318</f>
        <v>8.9782527049999992</v>
      </c>
      <c r="AP459" s="6">
        <f>[1]Results!AS318</f>
        <v>9.0852971189999998</v>
      </c>
      <c r="AQ459" s="6">
        <f>[1]Results!AT318</f>
        <v>9.1930334370000004</v>
      </c>
      <c r="AR459" s="6">
        <f>[1]Results!AU318</f>
        <v>9.3015127979999992</v>
      </c>
      <c r="AS459" s="6">
        <f>[1]Results!AV318</f>
        <v>9.4107704529999996</v>
      </c>
      <c r="AT459" s="6">
        <f>[1]Results!AW318</f>
        <v>9.5208262749999992</v>
      </c>
      <c r="AU459" s="6">
        <f>[1]Results!AX318</f>
        <v>9.6316865329999999</v>
      </c>
      <c r="AV459" s="6">
        <f>[1]Results!AY318</f>
        <v>9.7433474770000004</v>
      </c>
      <c r="AW459" s="6">
        <f>[1]Results!AZ318</f>
        <v>9.8560872320000001</v>
      </c>
      <c r="AX459" s="6">
        <f>[1]Results!BA318</f>
        <v>9.9697114300000003</v>
      </c>
      <c r="AY459" s="6">
        <f>[1]Results!BB318</f>
        <v>10.084161740000001</v>
      </c>
      <c r="AZ459" s="6">
        <f>[1]Results!BC318</f>
        <v>10.199414040000001</v>
      </c>
      <c r="BA459" s="6">
        <f>[1]Results!BD318</f>
        <v>10.315456620000001</v>
      </c>
      <c r="BB459" s="6">
        <f>[1]Results!BE318</f>
        <v>12.5681329</v>
      </c>
      <c r="BC459" s="6">
        <f>[1]Results!BF318</f>
        <v>12.78677233</v>
      </c>
      <c r="BD459" s="6">
        <f>[1]Results!BG318</f>
        <v>13.00876092</v>
      </c>
      <c r="BE459" s="6">
        <f>[1]Results!BH318</f>
        <v>13.23413545</v>
      </c>
      <c r="BF459" s="6">
        <f>[1]Results!BI318</f>
        <v>13.462935549999999</v>
      </c>
    </row>
    <row r="460" spans="1:58" x14ac:dyDescent="0.35">
      <c r="B460" s="6" t="s">
        <v>74</v>
      </c>
      <c r="C460" s="6">
        <f>C461+C462+C463</f>
        <v>62.314339628400006</v>
      </c>
      <c r="D460" s="6">
        <f t="shared" ref="D460:AI460" si="274">D461+D462+D463</f>
        <v>62.577484626699999</v>
      </c>
      <c r="E460" s="6">
        <f t="shared" si="274"/>
        <v>62.774622518699999</v>
      </c>
      <c r="F460" s="6">
        <f t="shared" si="274"/>
        <v>63.042512751899991</v>
      </c>
      <c r="G460" s="6">
        <f t="shared" si="274"/>
        <v>63.413664232999999</v>
      </c>
      <c r="H460" s="6">
        <f t="shared" si="274"/>
        <v>63.882380551599994</v>
      </c>
      <c r="I460" s="6">
        <f t="shared" si="274"/>
        <v>64.407601735200004</v>
      </c>
      <c r="J460" s="6">
        <f t="shared" si="274"/>
        <v>64.983103642800003</v>
      </c>
      <c r="K460" s="6">
        <f t="shared" si="274"/>
        <v>65.59845013040001</v>
      </c>
      <c r="L460" s="6">
        <f t="shared" si="274"/>
        <v>66.243946365900001</v>
      </c>
      <c r="M460" s="6">
        <f t="shared" si="274"/>
        <v>66.954143233799996</v>
      </c>
      <c r="N460" s="6">
        <f t="shared" si="274"/>
        <v>67.661180189699991</v>
      </c>
      <c r="O460" s="6">
        <f t="shared" si="274"/>
        <v>68.372248390700008</v>
      </c>
      <c r="P460" s="6">
        <f t="shared" si="274"/>
        <v>69.087716705600002</v>
      </c>
      <c r="Q460" s="6">
        <f t="shared" si="274"/>
        <v>69.806216469999995</v>
      </c>
      <c r="R460" s="6">
        <f t="shared" si="274"/>
        <v>70.526477835999998</v>
      </c>
      <c r="S460" s="6">
        <f t="shared" si="274"/>
        <v>71.247731594200005</v>
      </c>
      <c r="T460" s="6">
        <f t="shared" si="274"/>
        <v>71.969712430599998</v>
      </c>
      <c r="U460" s="6">
        <f t="shared" si="274"/>
        <v>72.692573098799997</v>
      </c>
      <c r="V460" s="6">
        <f t="shared" si="274"/>
        <v>73.416788302900002</v>
      </c>
      <c r="W460" s="6">
        <f t="shared" si="274"/>
        <v>74.112628924199996</v>
      </c>
      <c r="X460" s="6">
        <f t="shared" si="274"/>
        <v>74.825403793000007</v>
      </c>
      <c r="Y460" s="6">
        <f t="shared" si="274"/>
        <v>75.547666762200009</v>
      </c>
      <c r="Z460" s="6">
        <f t="shared" si="274"/>
        <v>76.277748665800004</v>
      </c>
      <c r="AA460" s="6">
        <f t="shared" si="274"/>
        <v>77.015823833200002</v>
      </c>
      <c r="AB460" s="6">
        <f t="shared" si="274"/>
        <v>77.676103909000005</v>
      </c>
      <c r="AC460" s="6">
        <f t="shared" si="274"/>
        <v>78.344331903700009</v>
      </c>
      <c r="AD460" s="6">
        <f t="shared" si="274"/>
        <v>79.015490474100005</v>
      </c>
      <c r="AE460" s="6">
        <f t="shared" si="274"/>
        <v>79.689693555399998</v>
      </c>
      <c r="AF460" s="6">
        <f t="shared" si="274"/>
        <v>80.368699204500004</v>
      </c>
      <c r="AG460" s="6">
        <f t="shared" si="274"/>
        <v>81.054356137900001</v>
      </c>
      <c r="AH460" s="6">
        <f t="shared" si="274"/>
        <v>81.748171539499992</v>
      </c>
      <c r="AI460" s="6">
        <f t="shared" si="274"/>
        <v>82.451241210099994</v>
      </c>
      <c r="AJ460" s="6">
        <f>AJ461+AJ462+AJ463</f>
        <v>83.164292265599997</v>
      </c>
      <c r="AK460" s="6">
        <f t="shared" ref="AK460" si="275">AK461+AK462+AK463</f>
        <v>83.887755184399992</v>
      </c>
      <c r="AL460" s="6">
        <f t="shared" ref="AL460:BC460" si="276">AL461+AL462+AL463</f>
        <v>84.621836098199992</v>
      </c>
      <c r="AM460" s="6">
        <f t="shared" si="276"/>
        <v>85.346431472199981</v>
      </c>
      <c r="AN460" s="6">
        <f t="shared" si="276"/>
        <v>86.070578120100009</v>
      </c>
      <c r="AO460" s="6">
        <f t="shared" si="276"/>
        <v>86.7977006773</v>
      </c>
      <c r="AP460" s="6">
        <f t="shared" si="276"/>
        <v>87.529465731300007</v>
      </c>
      <c r="AQ460" s="6">
        <f t="shared" si="276"/>
        <v>88.267011368799999</v>
      </c>
      <c r="AR460" s="6">
        <f t="shared" si="276"/>
        <v>89.011246390599993</v>
      </c>
      <c r="AS460" s="6">
        <f t="shared" si="276"/>
        <v>89.762911456400005</v>
      </c>
      <c r="AT460" s="6">
        <f t="shared" si="276"/>
        <v>90.5225954565</v>
      </c>
      <c r="AU460" s="6">
        <f t="shared" si="276"/>
        <v>91.290753615100002</v>
      </c>
      <c r="AV460" s="6">
        <f t="shared" si="276"/>
        <v>92.067732958000008</v>
      </c>
      <c r="AW460" s="6">
        <f t="shared" si="276"/>
        <v>92.855570049999983</v>
      </c>
      <c r="AX460" s="6">
        <f t="shared" si="276"/>
        <v>93.653675968300007</v>
      </c>
      <c r="AY460" s="6">
        <f t="shared" si="276"/>
        <v>94.461928173499984</v>
      </c>
      <c r="AZ460" s="6">
        <f t="shared" si="276"/>
        <v>95.28034600010001</v>
      </c>
      <c r="BA460" s="6">
        <f t="shared" si="276"/>
        <v>96.108998702700006</v>
      </c>
      <c r="BB460" s="6">
        <f t="shared" si="276"/>
        <v>108.96271776330001</v>
      </c>
      <c r="BC460" s="6">
        <f t="shared" si="276"/>
        <v>110.34745505659998</v>
      </c>
      <c r="BD460" s="6">
        <f t="shared" ref="BD460:BF460" si="277">BD461+BD462+BD463</f>
        <v>111.7525966617</v>
      </c>
      <c r="BE460" s="6">
        <f t="shared" si="277"/>
        <v>113.1788236631</v>
      </c>
      <c r="BF460" s="6">
        <f t="shared" si="277"/>
        <v>114.6268495106</v>
      </c>
    </row>
    <row r="461" spans="1:58" x14ac:dyDescent="0.35">
      <c r="B461" s="6" t="str">
        <f>[1]Results!E321</f>
        <v>CF_toe_ccoi_0</v>
      </c>
      <c r="C461" s="6">
        <f>[1]Results!F321</f>
        <v>8.4900638400000006E-2</v>
      </c>
      <c r="D461" s="6">
        <f>[1]Results!G321</f>
        <v>8.5914406700000001E-2</v>
      </c>
      <c r="E461" s="6">
        <f>[1]Results!H321</f>
        <v>8.70004687E-2</v>
      </c>
      <c r="F461" s="6">
        <f>[1]Results!I321</f>
        <v>8.8190531899999994E-2</v>
      </c>
      <c r="G461" s="6">
        <f>[1]Results!J321</f>
        <v>8.9495643E-2</v>
      </c>
      <c r="H461" s="6">
        <f>[1]Results!K321</f>
        <v>9.0912641599999997E-2</v>
      </c>
      <c r="I461" s="6">
        <f>[1]Results!L321</f>
        <v>9.2376275199999996E-2</v>
      </c>
      <c r="J461" s="6">
        <f>[1]Results!M321</f>
        <v>9.3896822800000002E-2</v>
      </c>
      <c r="K461" s="6">
        <f>[1]Results!N321</f>
        <v>9.5468410399999995E-2</v>
      </c>
      <c r="L461" s="6">
        <f>[1]Results!O321</f>
        <v>9.7080585900000002E-2</v>
      </c>
      <c r="M461" s="6">
        <f>[1]Results!P321</f>
        <v>9.8818513799999994E-2</v>
      </c>
      <c r="N461" s="6">
        <f>[1]Results!Q321</f>
        <v>0.1005336597</v>
      </c>
      <c r="O461" s="6">
        <f>[1]Results!R321</f>
        <v>0.1022460207</v>
      </c>
      <c r="P461" s="6">
        <f>[1]Results!S321</f>
        <v>0.10395891559999999</v>
      </c>
      <c r="Q461" s="6">
        <f>[1]Results!T321</f>
        <v>0.10567103999999999</v>
      </c>
      <c r="R461" s="6">
        <f>[1]Results!U321</f>
        <v>0.107381026</v>
      </c>
      <c r="S461" s="6">
        <f>[1]Results!V321</f>
        <v>0.1090887742</v>
      </c>
      <c r="T461" s="6">
        <f>[1]Results!W321</f>
        <v>0.11079562060000001</v>
      </c>
      <c r="U461" s="6">
        <f>[1]Results!X321</f>
        <v>0.11250409879999999</v>
      </c>
      <c r="V461" s="6">
        <f>[1]Results!Y321</f>
        <v>0.1142175829</v>
      </c>
      <c r="W461" s="6">
        <f>[1]Results!Z321</f>
        <v>0.1158688942</v>
      </c>
      <c r="X461" s="6">
        <f>[1]Results!AA321</f>
        <v>0.11756541299999999</v>
      </c>
      <c r="Y461" s="6">
        <f>[1]Results!AB321</f>
        <v>0.1192909322</v>
      </c>
      <c r="Z461" s="6">
        <f>[1]Results!AC321</f>
        <v>0.1210428558</v>
      </c>
      <c r="AA461" s="6">
        <f>[1]Results!AD321</f>
        <v>0.12282289320000001</v>
      </c>
      <c r="AB461" s="6">
        <f>[1]Results!AE321</f>
        <v>0.124429319</v>
      </c>
      <c r="AC461" s="6">
        <f>[1]Results!AF321</f>
        <v>0.1260643437</v>
      </c>
      <c r="AD461" s="6">
        <f>[1]Results!AG321</f>
        <v>0.12771438409999999</v>
      </c>
      <c r="AE461" s="6">
        <f>[1]Results!AH321</f>
        <v>0.1293782154</v>
      </c>
      <c r="AF461" s="6">
        <f>[1]Results!AI321</f>
        <v>0.13105916449999999</v>
      </c>
      <c r="AG461" s="6">
        <f>[1]Results!AJ321</f>
        <v>0.1327616479</v>
      </c>
      <c r="AH461" s="6">
        <f>[1]Results!AK321</f>
        <v>0.13448978950000001</v>
      </c>
      <c r="AI461" s="6">
        <f>[1]Results!AL321</f>
        <v>0.13624685010000001</v>
      </c>
      <c r="AJ461" s="6">
        <f>[1]Results!AM321</f>
        <v>0.1380350256</v>
      </c>
      <c r="AK461" s="6">
        <f>[1]Results!AN321</f>
        <v>0.1398554544</v>
      </c>
      <c r="AL461" s="6">
        <f>[1]Results!AO321</f>
        <v>0.1417083482</v>
      </c>
      <c r="AM461" s="6">
        <f>[1]Results!AP321</f>
        <v>0.14354426219999999</v>
      </c>
      <c r="AN461" s="6">
        <f>[1]Results!AQ321</f>
        <v>0.14538380009999999</v>
      </c>
      <c r="AO461" s="6">
        <f>[1]Results!AR321</f>
        <v>0.14723361730000001</v>
      </c>
      <c r="AP461" s="6">
        <f>[1]Results!AS321</f>
        <v>0.1490960513</v>
      </c>
      <c r="AQ461" s="6">
        <f>[1]Results!AT321</f>
        <v>0.15097241880000001</v>
      </c>
      <c r="AR461" s="6">
        <f>[1]Results!AU321</f>
        <v>0.15286397060000001</v>
      </c>
      <c r="AS461" s="6">
        <f>[1]Results!AV321</f>
        <v>0.15477206639999999</v>
      </c>
      <c r="AT461" s="6">
        <f>[1]Results!AW321</f>
        <v>0.15669810649999999</v>
      </c>
      <c r="AU461" s="6">
        <f>[1]Results!AX321</f>
        <v>0.15864341509999999</v>
      </c>
      <c r="AV461" s="6">
        <f>[1]Results!AY321</f>
        <v>0.16060914800000001</v>
      </c>
      <c r="AW461" s="6">
        <f>[1]Results!AZ321</f>
        <v>0.16260063999999999</v>
      </c>
      <c r="AX461" s="6">
        <f>[1]Results!BA321</f>
        <v>0.1646166583</v>
      </c>
      <c r="AY461" s="6">
        <f>[1]Results!BB321</f>
        <v>0.1666570235</v>
      </c>
      <c r="AZ461" s="6">
        <f>[1]Results!BC321</f>
        <v>0.16872180010000001</v>
      </c>
      <c r="BA461" s="6">
        <f>[1]Results!BD321</f>
        <v>0.17081107270000001</v>
      </c>
      <c r="BB461" s="6">
        <f>[1]Results!BE321</f>
        <v>0.1973296433</v>
      </c>
      <c r="BC461" s="6">
        <f>[1]Results!BF321</f>
        <v>0.2006222366</v>
      </c>
      <c r="BD461" s="6">
        <f>[1]Results!BG321</f>
        <v>0.2039584817</v>
      </c>
      <c r="BE461" s="6">
        <f>[1]Results!BH321</f>
        <v>0.20733960309999999</v>
      </c>
      <c r="BF461" s="6">
        <f>[1]Results!BI321</f>
        <v>0.21076692059999999</v>
      </c>
    </row>
    <row r="462" spans="1:58" x14ac:dyDescent="0.35">
      <c r="B462" s="6" t="str">
        <f>[1]Results!E324</f>
        <v>CF_toe_cfut_0</v>
      </c>
      <c r="C462" s="6">
        <f>[1]Results!F324</f>
        <v>47.395460210000003</v>
      </c>
      <c r="D462" s="6">
        <f>[1]Results!G324</f>
        <v>47.568293529999998</v>
      </c>
      <c r="E462" s="6">
        <f>[1]Results!H324</f>
        <v>47.699264409999998</v>
      </c>
      <c r="F462" s="6">
        <f>[1]Results!I324</f>
        <v>47.902494259999997</v>
      </c>
      <c r="G462" s="6">
        <f>[1]Results!J324</f>
        <v>48.2014815</v>
      </c>
      <c r="H462" s="6">
        <f>[1]Results!K324</f>
        <v>48.587912009999997</v>
      </c>
      <c r="I462" s="6">
        <f>[1]Results!L324</f>
        <v>49.027945809999999</v>
      </c>
      <c r="J462" s="6">
        <f>[1]Results!M324</f>
        <v>49.513114160000001</v>
      </c>
      <c r="K462" s="6">
        <f>[1]Results!N324</f>
        <v>50.033142650000002</v>
      </c>
      <c r="L462" s="6">
        <f>[1]Results!O324</f>
        <v>50.579219049999999</v>
      </c>
      <c r="M462" s="6">
        <f>[1]Results!P324</f>
        <v>51.174882199999999</v>
      </c>
      <c r="N462" s="6">
        <f>[1]Results!Q324</f>
        <v>51.77129815</v>
      </c>
      <c r="O462" s="6">
        <f>[1]Results!R324</f>
        <v>52.372615330000002</v>
      </c>
      <c r="P462" s="6">
        <f>[1]Results!S324</f>
        <v>52.978299560000004</v>
      </c>
      <c r="Q462" s="6">
        <f>[1]Results!T324</f>
        <v>53.586782370000002</v>
      </c>
      <c r="R462" s="6">
        <f>[1]Results!U324</f>
        <v>54.196746400000002</v>
      </c>
      <c r="S462" s="6">
        <f>[1]Results!V324</f>
        <v>54.807361219999997</v>
      </c>
      <c r="T462" s="6">
        <f>[1]Results!W324</f>
        <v>55.418246949999997</v>
      </c>
      <c r="U462" s="6">
        <f>[1]Results!X324</f>
        <v>56.029387919999998</v>
      </c>
      <c r="V462" s="6">
        <f>[1]Results!Y324</f>
        <v>56.641049160000001</v>
      </c>
      <c r="W462" s="6">
        <f>[1]Results!Z324</f>
        <v>57.231721329999999</v>
      </c>
      <c r="X462" s="6">
        <f>[1]Results!AA324</f>
        <v>57.833635870000002</v>
      </c>
      <c r="Y462" s="6">
        <f>[1]Results!AB324</f>
        <v>58.441698330000001</v>
      </c>
      <c r="Z462" s="6">
        <f>[1]Results!AC324</f>
        <v>59.05495664</v>
      </c>
      <c r="AA462" s="6">
        <f>[1]Results!AD324</f>
        <v>59.673721950000001</v>
      </c>
      <c r="AB462" s="6">
        <f>[1]Results!AE324</f>
        <v>60.235985169999999</v>
      </c>
      <c r="AC462" s="6">
        <f>[1]Results!AF324</f>
        <v>60.802567850000003</v>
      </c>
      <c r="AD462" s="6">
        <f>[1]Results!AG324</f>
        <v>61.369981770000003</v>
      </c>
      <c r="AE462" s="6">
        <f>[1]Results!AH324</f>
        <v>61.938644789999998</v>
      </c>
      <c r="AF462" s="6">
        <f>[1]Results!AI324</f>
        <v>62.510187270000003</v>
      </c>
      <c r="AG462" s="6">
        <f>[1]Results!AJ324</f>
        <v>63.086249760000001</v>
      </c>
      <c r="AH462" s="6">
        <f>[1]Results!AK324</f>
        <v>63.668160469999997</v>
      </c>
      <c r="AI462" s="6">
        <f>[1]Results!AL324</f>
        <v>64.25689457</v>
      </c>
      <c r="AJ462" s="6">
        <f>[1]Results!AM324</f>
        <v>64.853119579999998</v>
      </c>
      <c r="AK462" s="6">
        <f>[1]Results!AN324</f>
        <v>65.457260469999994</v>
      </c>
      <c r="AL462" s="6">
        <f>[1]Results!AO324</f>
        <v>66.069560999999993</v>
      </c>
      <c r="AM462" s="6">
        <f>[1]Results!AP324</f>
        <v>66.675451929999994</v>
      </c>
      <c r="AN462" s="6">
        <f>[1]Results!AQ324</f>
        <v>67.281286170000001</v>
      </c>
      <c r="AO462" s="6">
        <f>[1]Results!AR324</f>
        <v>67.889473969999997</v>
      </c>
      <c r="AP462" s="6">
        <f>[1]Results!AS324</f>
        <v>68.501263890000004</v>
      </c>
      <c r="AQ462" s="6">
        <f>[1]Results!AT324</f>
        <v>69.117582900000002</v>
      </c>
      <c r="AR462" s="6">
        <f>[1]Results!AU324</f>
        <v>69.739208829999995</v>
      </c>
      <c r="AS462" s="6">
        <f>[1]Results!AV324</f>
        <v>70.366789780000005</v>
      </c>
      <c r="AT462" s="6">
        <f>[1]Results!AW324</f>
        <v>71.000846319999994</v>
      </c>
      <c r="AU462" s="6">
        <f>[1]Results!AX324</f>
        <v>71.641783939999996</v>
      </c>
      <c r="AV462" s="6">
        <f>[1]Results!AY324</f>
        <v>72.28991517</v>
      </c>
      <c r="AW462" s="6">
        <f>[1]Results!AZ324</f>
        <v>72.946781459999997</v>
      </c>
      <c r="AX462" s="6">
        <f>[1]Results!BA324</f>
        <v>73.612020259999994</v>
      </c>
      <c r="AY462" s="6">
        <f>[1]Results!BB324</f>
        <v>74.285595779999994</v>
      </c>
      <c r="AZ462" s="6">
        <f>[1]Results!BC324</f>
        <v>74.967564960000004</v>
      </c>
      <c r="BA462" s="6">
        <f>[1]Results!BD324</f>
        <v>75.658015840000004</v>
      </c>
      <c r="BB462" s="6">
        <f>[1]Results!BE324</f>
        <v>85.312169370000007</v>
      </c>
      <c r="BC462" s="6">
        <f>[1]Results!BF324</f>
        <v>86.423256069999994</v>
      </c>
      <c r="BD462" s="6">
        <f>[1]Results!BG324</f>
        <v>87.550619229999995</v>
      </c>
      <c r="BE462" s="6">
        <f>[1]Results!BH324</f>
        <v>88.694809750000005</v>
      </c>
      <c r="BF462" s="6">
        <f>[1]Results!BI324</f>
        <v>89.856421949999998</v>
      </c>
    </row>
    <row r="463" spans="1:58" x14ac:dyDescent="0.35">
      <c r="B463" s="6" t="str">
        <f>[1]Results!E327</f>
        <v>CF_toe_cfuh_0</v>
      </c>
      <c r="C463" s="6">
        <f>[1]Results!F327</f>
        <v>14.833978780000001</v>
      </c>
      <c r="D463" s="6">
        <f>[1]Results!G327</f>
        <v>14.92327669</v>
      </c>
      <c r="E463" s="6">
        <f>[1]Results!H327</f>
        <v>14.98835764</v>
      </c>
      <c r="F463" s="6">
        <f>[1]Results!I327</f>
        <v>15.051827960000001</v>
      </c>
      <c r="G463" s="6">
        <f>[1]Results!J327</f>
        <v>15.122687089999999</v>
      </c>
      <c r="H463" s="6">
        <f>[1]Results!K327</f>
        <v>15.2035559</v>
      </c>
      <c r="I463" s="6">
        <f>[1]Results!L327</f>
        <v>15.28727965</v>
      </c>
      <c r="J463" s="6">
        <f>[1]Results!M327</f>
        <v>15.376092659999999</v>
      </c>
      <c r="K463" s="6">
        <f>[1]Results!N327</f>
        <v>15.469839070000001</v>
      </c>
      <c r="L463" s="6">
        <f>[1]Results!O327</f>
        <v>15.56764673</v>
      </c>
      <c r="M463" s="6">
        <f>[1]Results!P327</f>
        <v>15.68044252</v>
      </c>
      <c r="N463" s="6">
        <f>[1]Results!Q327</f>
        <v>15.78934838</v>
      </c>
      <c r="O463" s="6">
        <f>[1]Results!R327</f>
        <v>15.89738704</v>
      </c>
      <c r="P463" s="6">
        <f>[1]Results!S327</f>
        <v>16.005458229999999</v>
      </c>
      <c r="Q463" s="6">
        <f>[1]Results!T327</f>
        <v>16.11376306</v>
      </c>
      <c r="R463" s="6">
        <f>[1]Results!U327</f>
        <v>16.222350410000001</v>
      </c>
      <c r="S463" s="6">
        <f>[1]Results!V327</f>
        <v>16.331281600000001</v>
      </c>
      <c r="T463" s="6">
        <f>[1]Results!W327</f>
        <v>16.44066986</v>
      </c>
      <c r="U463" s="6">
        <f>[1]Results!X327</f>
        <v>16.55068108</v>
      </c>
      <c r="V463" s="6">
        <f>[1]Results!Y327</f>
        <v>16.661521560000001</v>
      </c>
      <c r="W463" s="6">
        <f>[1]Results!Z327</f>
        <v>16.765038700000002</v>
      </c>
      <c r="X463" s="6">
        <f>[1]Results!AA327</f>
        <v>16.87420251</v>
      </c>
      <c r="Y463" s="6">
        <f>[1]Results!AB327</f>
        <v>16.986677499999999</v>
      </c>
      <c r="Z463" s="6">
        <f>[1]Results!AC327</f>
        <v>17.101749170000001</v>
      </c>
      <c r="AA463" s="6">
        <f>[1]Results!AD327</f>
        <v>17.219278989999999</v>
      </c>
      <c r="AB463" s="6">
        <f>[1]Results!AE327</f>
        <v>17.315689420000002</v>
      </c>
      <c r="AC463" s="6">
        <f>[1]Results!AF327</f>
        <v>17.415699709999998</v>
      </c>
      <c r="AD463" s="6">
        <f>[1]Results!AG327</f>
        <v>17.51779432</v>
      </c>
      <c r="AE463" s="6">
        <f>[1]Results!AH327</f>
        <v>17.621670550000001</v>
      </c>
      <c r="AF463" s="6">
        <f>[1]Results!AI327</f>
        <v>17.727452769999999</v>
      </c>
      <c r="AG463" s="6">
        <f>[1]Results!AJ327</f>
        <v>17.835344729999999</v>
      </c>
      <c r="AH463" s="6">
        <f>[1]Results!AK327</f>
        <v>17.945521280000001</v>
      </c>
      <c r="AI463" s="6">
        <f>[1]Results!AL327</f>
        <v>18.05809979</v>
      </c>
      <c r="AJ463" s="6">
        <f>[1]Results!AM327</f>
        <v>18.173137659999998</v>
      </c>
      <c r="AK463" s="6">
        <f>[1]Results!AN327</f>
        <v>18.290639259999999</v>
      </c>
      <c r="AL463" s="6">
        <f>[1]Results!AO327</f>
        <v>18.410566750000001</v>
      </c>
      <c r="AM463" s="6">
        <f>[1]Results!AP327</f>
        <v>18.527435279999999</v>
      </c>
      <c r="AN463" s="6">
        <f>[1]Results!AQ327</f>
        <v>18.643908150000001</v>
      </c>
      <c r="AO463" s="6">
        <f>[1]Results!AR327</f>
        <v>18.760993089999999</v>
      </c>
      <c r="AP463" s="6">
        <f>[1]Results!AS327</f>
        <v>18.879105790000001</v>
      </c>
      <c r="AQ463" s="6">
        <f>[1]Results!AT327</f>
        <v>18.998456050000001</v>
      </c>
      <c r="AR463" s="6">
        <f>[1]Results!AU327</f>
        <v>19.119173589999999</v>
      </c>
      <c r="AS463" s="6">
        <f>[1]Results!AV327</f>
        <v>19.24134961</v>
      </c>
      <c r="AT463" s="6">
        <f>[1]Results!AW327</f>
        <v>19.36505103</v>
      </c>
      <c r="AU463" s="6">
        <f>[1]Results!AX327</f>
        <v>19.49032626</v>
      </c>
      <c r="AV463" s="6">
        <f>[1]Results!AY327</f>
        <v>19.617208640000001</v>
      </c>
      <c r="AW463" s="6">
        <f>[1]Results!AZ327</f>
        <v>19.746187949999999</v>
      </c>
      <c r="AX463" s="6">
        <f>[1]Results!BA327</f>
        <v>19.87703905</v>
      </c>
      <c r="AY463" s="6">
        <f>[1]Results!BB327</f>
        <v>20.00967537</v>
      </c>
      <c r="AZ463" s="6">
        <f>[1]Results!BC327</f>
        <v>20.144059240000001</v>
      </c>
      <c r="BA463" s="6">
        <f>[1]Results!BD327</f>
        <v>20.280171790000001</v>
      </c>
      <c r="BB463" s="6">
        <f>[1]Results!BE327</f>
        <v>23.453218750000001</v>
      </c>
      <c r="BC463" s="6">
        <f>[1]Results!BF327</f>
        <v>23.723576749999999</v>
      </c>
      <c r="BD463" s="6">
        <f>[1]Results!BG327</f>
        <v>23.998018949999999</v>
      </c>
      <c r="BE463" s="6">
        <f>[1]Results!BH327</f>
        <v>24.276674310000001</v>
      </c>
      <c r="BF463" s="6">
        <f>[1]Results!BI327</f>
        <v>24.559660640000001</v>
      </c>
    </row>
    <row r="464" spans="1:58" x14ac:dyDescent="0.35">
      <c r="B464" s="6" t="str">
        <f>[1]Results!E329</f>
        <v>CF_toe_cgas_0</v>
      </c>
      <c r="C464" s="6">
        <f>[1]Results!F329</f>
        <v>34.452673830000002</v>
      </c>
      <c r="D464" s="6">
        <f>[1]Results!G329</f>
        <v>34.73509919</v>
      </c>
      <c r="E464" s="6">
        <f>[1]Results!H329</f>
        <v>34.992509099999999</v>
      </c>
      <c r="F464" s="6">
        <f>[1]Results!I329</f>
        <v>35.259800310000003</v>
      </c>
      <c r="G464" s="6">
        <f>[1]Results!J329</f>
        <v>35.551225160000001</v>
      </c>
      <c r="H464" s="6">
        <f>[1]Results!K329</f>
        <v>35.870444810000002</v>
      </c>
      <c r="I464" s="6">
        <f>[1]Results!L329</f>
        <v>36.196357450000001</v>
      </c>
      <c r="J464" s="6">
        <f>[1]Results!M329</f>
        <v>36.535698969999999</v>
      </c>
      <c r="K464" s="6">
        <f>[1]Results!N329</f>
        <v>36.888251969999999</v>
      </c>
      <c r="L464" s="6">
        <f>[1]Results!O329</f>
        <v>37.251715519999998</v>
      </c>
      <c r="M464" s="6">
        <f>[1]Results!P329</f>
        <v>37.657501340000003</v>
      </c>
      <c r="N464" s="6">
        <f>[1]Results!Q329</f>
        <v>38.05132837</v>
      </c>
      <c r="O464" s="6">
        <f>[1]Results!R329</f>
        <v>38.442572869999999</v>
      </c>
      <c r="P464" s="6">
        <f>[1]Results!S329</f>
        <v>38.833681400000003</v>
      </c>
      <c r="Q464" s="6">
        <f>[1]Results!T329</f>
        <v>39.225057620000001</v>
      </c>
      <c r="R464" s="6">
        <f>[1]Results!U329</f>
        <v>39.616692010000001</v>
      </c>
      <c r="S464" s="6">
        <f>[1]Results!V329</f>
        <v>40.008678639999999</v>
      </c>
      <c r="T464" s="6">
        <f>[1]Results!W329</f>
        <v>40.401343079999997</v>
      </c>
      <c r="U464" s="6">
        <f>[1]Results!X329</f>
        <v>40.795230349999997</v>
      </c>
      <c r="V464" s="6">
        <f>[1]Results!Y329</f>
        <v>41.191045500000001</v>
      </c>
      <c r="W464" s="6">
        <f>[1]Results!Z329</f>
        <v>41.565155070000003</v>
      </c>
      <c r="X464" s="6">
        <f>[1]Results!AA329</f>
        <v>41.955786420000003</v>
      </c>
      <c r="Y464" s="6">
        <f>[1]Results!AB329</f>
        <v>42.355554320000003</v>
      </c>
      <c r="Z464" s="6">
        <f>[1]Results!AC329</f>
        <v>42.762567900000001</v>
      </c>
      <c r="AA464" s="6">
        <f>[1]Results!AD329</f>
        <v>43.176634329999999</v>
      </c>
      <c r="AB464" s="6">
        <f>[1]Results!AE329</f>
        <v>43.528791980000001</v>
      </c>
      <c r="AC464" s="6">
        <f>[1]Results!AF329</f>
        <v>43.892693899999998</v>
      </c>
      <c r="AD464" s="6">
        <f>[1]Results!AG329</f>
        <v>44.262315649999998</v>
      </c>
      <c r="AE464" s="6">
        <f>[1]Results!AH329</f>
        <v>44.636586489999999</v>
      </c>
      <c r="AF464" s="6">
        <f>[1]Results!AI329</f>
        <v>45.015886829999999</v>
      </c>
      <c r="AG464" s="6">
        <f>[1]Results!AJ329</f>
        <v>45.400969240000002</v>
      </c>
      <c r="AH464" s="6">
        <f>[1]Results!AK329</f>
        <v>45.792583100000002</v>
      </c>
      <c r="AI464" s="6">
        <f>[1]Results!AL329</f>
        <v>46.191328400000003</v>
      </c>
      <c r="AJ464" s="6">
        <f>[1]Results!AM329</f>
        <v>46.597604609999998</v>
      </c>
      <c r="AK464" s="6">
        <f>[1]Results!AN329</f>
        <v>47.011609110000002</v>
      </c>
      <c r="AL464" s="6">
        <f>[1]Results!AO329</f>
        <v>47.433362870000003</v>
      </c>
      <c r="AM464" s="6">
        <f>[1]Results!AP329</f>
        <v>47.846661079999997</v>
      </c>
      <c r="AN464" s="6">
        <f>[1]Results!AQ329</f>
        <v>48.259741679999998</v>
      </c>
      <c r="AO464" s="6">
        <f>[1]Results!AR329</f>
        <v>48.67533779</v>
      </c>
      <c r="AP464" s="6">
        <f>[1]Results!AS329</f>
        <v>49.094479849999999</v>
      </c>
      <c r="AQ464" s="6">
        <f>[1]Results!AT329</f>
        <v>49.517668159999999</v>
      </c>
      <c r="AR464" s="6">
        <f>[1]Results!AU329</f>
        <v>49.945246410000003</v>
      </c>
      <c r="AS464" s="6">
        <f>[1]Results!AV329</f>
        <v>50.37751256</v>
      </c>
      <c r="AT464" s="6">
        <f>[1]Results!AW329</f>
        <v>50.814739789999997</v>
      </c>
      <c r="AU464" s="6">
        <f>[1]Results!AX329</f>
        <v>51.257170139999999</v>
      </c>
      <c r="AV464" s="6">
        <f>[1]Results!AY329</f>
        <v>51.705005210000003</v>
      </c>
      <c r="AW464" s="6">
        <f>[1]Results!AZ329</f>
        <v>52.159809269999997</v>
      </c>
      <c r="AX464" s="6">
        <f>[1]Results!BA329</f>
        <v>52.620954609999998</v>
      </c>
      <c r="AY464" s="6">
        <f>[1]Results!BB329</f>
        <v>53.088263699999999</v>
      </c>
      <c r="AZ464" s="6">
        <f>[1]Results!BC329</f>
        <v>53.561681299999996</v>
      </c>
      <c r="BA464" s="6">
        <f>[1]Results!BD329</f>
        <v>54.041185820000003</v>
      </c>
      <c r="BB464" s="6">
        <f>[1]Results!BE329</f>
        <v>60.695917489999999</v>
      </c>
      <c r="BC464" s="6">
        <f>[1]Results!BF329</f>
        <v>61.493967240000003</v>
      </c>
      <c r="BD464" s="6">
        <f>[1]Results!BG329</f>
        <v>62.303657729999998</v>
      </c>
      <c r="BE464" s="6">
        <f>[1]Results!BH329</f>
        <v>63.125339080000003</v>
      </c>
      <c r="BF464" s="6">
        <f>[1]Results!BI329</f>
        <v>63.959341160000001</v>
      </c>
    </row>
    <row r="465" spans="1:58" x14ac:dyDescent="0.35">
      <c r="B465" s="6" t="str">
        <f>[1]Results!E335</f>
        <v>CF_toe_cele_0</v>
      </c>
      <c r="C465" s="6">
        <f>[1]Results!F335</f>
        <v>37.988338089999999</v>
      </c>
      <c r="D465" s="6">
        <f>[1]Results!G335</f>
        <v>38.278872870000001</v>
      </c>
      <c r="E465" s="6">
        <f>[1]Results!H335</f>
        <v>38.53299054</v>
      </c>
      <c r="F465" s="6">
        <f>[1]Results!I335</f>
        <v>38.800651350000003</v>
      </c>
      <c r="G465" s="6">
        <f>[1]Results!J335</f>
        <v>39.098465359999999</v>
      </c>
      <c r="H465" s="6">
        <f>[1]Results!K335</f>
        <v>39.427428310000003</v>
      </c>
      <c r="I465" s="6">
        <f>[1]Results!L335</f>
        <v>39.763673560000001</v>
      </c>
      <c r="J465" s="6">
        <f>[1]Results!M335</f>
        <v>40.108876610000003</v>
      </c>
      <c r="K465" s="6">
        <f>[1]Results!N335</f>
        <v>40.460036930000001</v>
      </c>
      <c r="L465" s="6">
        <f>[1]Results!O335</f>
        <v>40.813153589999999</v>
      </c>
      <c r="M465" s="6">
        <f>[1]Results!P335</f>
        <v>41.196955029999998</v>
      </c>
      <c r="N465" s="6">
        <f>[1]Results!Q335</f>
        <v>41.561191719999997</v>
      </c>
      <c r="O465" s="6">
        <f>[1]Results!R335</f>
        <v>41.913127379999999</v>
      </c>
      <c r="P465" s="6">
        <f>[1]Results!S335</f>
        <v>42.255598749999997</v>
      </c>
      <c r="Q465" s="6">
        <f>[1]Results!T335</f>
        <v>42.58983353</v>
      </c>
      <c r="R465" s="6">
        <f>[1]Results!U335</f>
        <v>42.916925079999999</v>
      </c>
      <c r="S465" s="6">
        <f>[1]Results!V335</f>
        <v>43.23827481</v>
      </c>
      <c r="T465" s="6">
        <f>[1]Results!W335</f>
        <v>43.555623070000003</v>
      </c>
      <c r="U465" s="6">
        <f>[1]Results!X335</f>
        <v>43.870939329999999</v>
      </c>
      <c r="V465" s="6">
        <f>[1]Results!Y335</f>
        <v>44.186279130000003</v>
      </c>
      <c r="W465" s="6">
        <f>[1]Results!Z335</f>
        <v>44.480726529999998</v>
      </c>
      <c r="X465" s="6">
        <f>[1]Results!AA335</f>
        <v>44.790308709999998</v>
      </c>
      <c r="Y465" s="6">
        <f>[1]Results!AB335</f>
        <v>45.110285560000001</v>
      </c>
      <c r="Z465" s="6">
        <f>[1]Results!AC335</f>
        <v>45.43962655</v>
      </c>
      <c r="AA465" s="6">
        <f>[1]Results!AD335</f>
        <v>45.778665760000003</v>
      </c>
      <c r="AB465" s="6">
        <f>[1]Results!AE335</f>
        <v>46.063303939999997</v>
      </c>
      <c r="AC465" s="6">
        <f>[1]Results!AF335</f>
        <v>46.35971309</v>
      </c>
      <c r="AD465" s="6">
        <f>[1]Results!AG335</f>
        <v>46.664602119999998</v>
      </c>
      <c r="AE465" s="6">
        <f>[1]Results!AH335</f>
        <v>46.977362829999997</v>
      </c>
      <c r="AF465" s="6">
        <f>[1]Results!AI335</f>
        <v>47.298655019999998</v>
      </c>
      <c r="AG465" s="6">
        <f>[1]Results!AJ335</f>
        <v>47.62938363</v>
      </c>
      <c r="AH465" s="6">
        <f>[1]Results!AK335</f>
        <v>47.970268539999999</v>
      </c>
      <c r="AI465" s="6">
        <f>[1]Results!AL335</f>
        <v>48.321686339999999</v>
      </c>
      <c r="AJ465" s="6">
        <f>[1]Results!AM335</f>
        <v>48.683642399999997</v>
      </c>
      <c r="AK465" s="6">
        <f>[1]Results!AN335</f>
        <v>49.055811939999998</v>
      </c>
      <c r="AL465" s="6">
        <f>[1]Results!AO335</f>
        <v>49.437614629999999</v>
      </c>
      <c r="AM465" s="6">
        <f>[1]Results!AP335</f>
        <v>49.813331839999996</v>
      </c>
      <c r="AN465" s="6">
        <f>[1]Results!AQ335</f>
        <v>50.189346090000001</v>
      </c>
      <c r="AO465" s="6">
        <f>[1]Results!AR335</f>
        <v>50.56783463</v>
      </c>
      <c r="AP465" s="6">
        <f>[1]Results!AS335</f>
        <v>50.949485080000002</v>
      </c>
      <c r="AQ465" s="6">
        <f>[1]Results!AT335</f>
        <v>51.334581139999997</v>
      </c>
      <c r="AR465" s="6">
        <f>[1]Results!AU335</f>
        <v>51.723337379999997</v>
      </c>
      <c r="AS465" s="6">
        <f>[1]Results!AV335</f>
        <v>52.115966239999999</v>
      </c>
      <c r="AT465" s="6">
        <f>[1]Results!AW335</f>
        <v>52.5126615</v>
      </c>
      <c r="AU465" s="6">
        <f>[1]Results!AX335</f>
        <v>52.913567290000003</v>
      </c>
      <c r="AV465" s="6">
        <f>[1]Results!AY335</f>
        <v>53.318757069999997</v>
      </c>
      <c r="AW465" s="6">
        <f>[1]Results!AZ335</f>
        <v>53.729536889999999</v>
      </c>
      <c r="AX465" s="6">
        <f>[1]Results!BA335</f>
        <v>54.145199499999997</v>
      </c>
      <c r="AY465" s="6">
        <f>[1]Results!BB335</f>
        <v>54.56535753</v>
      </c>
      <c r="AZ465" s="6">
        <f>[1]Results!BC335</f>
        <v>54.989723150000003</v>
      </c>
      <c r="BA465" s="6">
        <f>[1]Results!BD335</f>
        <v>55.418035150000001</v>
      </c>
      <c r="BB465" s="6">
        <f>[1]Results!BE335</f>
        <v>65.412551059999998</v>
      </c>
      <c r="BC465" s="6">
        <f>[1]Results!BF335</f>
        <v>66.296898889999994</v>
      </c>
      <c r="BD465" s="6">
        <f>[1]Results!BG335</f>
        <v>67.196138849999997</v>
      </c>
      <c r="BE465" s="6">
        <f>[1]Results!BH335</f>
        <v>68.110568479999998</v>
      </c>
      <c r="BF465" s="6">
        <f>[1]Results!BI335</f>
        <v>69.040456840000004</v>
      </c>
    </row>
    <row r="466" spans="1:58" x14ac:dyDescent="0.35">
      <c r="B466" s="6" t="s">
        <v>75</v>
      </c>
      <c r="C466" s="6">
        <f>SUM(C467:C469)</f>
        <v>22.078411844999998</v>
      </c>
      <c r="D466" s="6">
        <f t="shared" ref="D466:AL466" si="278">SUM(D467:D469)</f>
        <v>22.270588984999996</v>
      </c>
      <c r="E466" s="6">
        <f t="shared" si="278"/>
        <v>22.455283747000003</v>
      </c>
      <c r="F466" s="6">
        <f t="shared" si="278"/>
        <v>22.646414972000002</v>
      </c>
      <c r="G466" s="6">
        <f t="shared" si="278"/>
        <v>22.848753992999999</v>
      </c>
      <c r="H466" s="6">
        <f t="shared" si="278"/>
        <v>23.062421648000001</v>
      </c>
      <c r="I466" s="6">
        <f t="shared" si="278"/>
        <v>23.271236158999997</v>
      </c>
      <c r="J466" s="6">
        <f t="shared" si="278"/>
        <v>23.481955302999999</v>
      </c>
      <c r="K466" s="6">
        <f t="shared" si="278"/>
        <v>23.695271931000001</v>
      </c>
      <c r="L466" s="6">
        <f t="shared" si="278"/>
        <v>23.910565359</v>
      </c>
      <c r="M466" s="6">
        <f t="shared" si="278"/>
        <v>24.151779574999999</v>
      </c>
      <c r="N466" s="6">
        <f t="shared" si="278"/>
        <v>24.377933859000002</v>
      </c>
      <c r="O466" s="6">
        <f t="shared" si="278"/>
        <v>24.599488854000001</v>
      </c>
      <c r="P466" s="6">
        <f t="shared" si="278"/>
        <v>24.819163632999999</v>
      </c>
      <c r="Q466" s="6">
        <f t="shared" si="278"/>
        <v>25.037977072</v>
      </c>
      <c r="R466" s="6">
        <f t="shared" si="278"/>
        <v>25.256558459000001</v>
      </c>
      <c r="S466" s="6">
        <f t="shared" si="278"/>
        <v>25.475479327000002</v>
      </c>
      <c r="T466" s="6">
        <f t="shared" si="278"/>
        <v>25.695265654000004</v>
      </c>
      <c r="U466" s="6">
        <f t="shared" si="278"/>
        <v>25.916508110999999</v>
      </c>
      <c r="V466" s="6">
        <f t="shared" si="278"/>
        <v>26.139818059</v>
      </c>
      <c r="W466" s="6">
        <f t="shared" si="278"/>
        <v>26.348428192</v>
      </c>
      <c r="X466" s="6">
        <f t="shared" si="278"/>
        <v>26.571180531</v>
      </c>
      <c r="Y466" s="6">
        <f t="shared" si="278"/>
        <v>26.800968320999999</v>
      </c>
      <c r="Z466" s="6">
        <f t="shared" si="278"/>
        <v>27.036194666</v>
      </c>
      <c r="AA466" s="6">
        <f t="shared" si="278"/>
        <v>27.276514790999997</v>
      </c>
      <c r="AB466" s="6">
        <f t="shared" si="278"/>
        <v>27.473005977</v>
      </c>
      <c r="AC466" s="6">
        <f t="shared" si="278"/>
        <v>27.682332857999999</v>
      </c>
      <c r="AD466" s="6">
        <f t="shared" si="278"/>
        <v>27.897435694999999</v>
      </c>
      <c r="AE466" s="6">
        <f t="shared" si="278"/>
        <v>28.117114462000004</v>
      </c>
      <c r="AF466" s="6">
        <f t="shared" si="278"/>
        <v>28.341312365</v>
      </c>
      <c r="AG466" s="6">
        <f t="shared" si="278"/>
        <v>28.570146238</v>
      </c>
      <c r="AH466" s="6">
        <f t="shared" si="278"/>
        <v>28.803660731000001</v>
      </c>
      <c r="AI466" s="6">
        <f t="shared" si="278"/>
        <v>29.041815047</v>
      </c>
      <c r="AJ466" s="6">
        <f t="shared" si="278"/>
        <v>29.284478020999998</v>
      </c>
      <c r="AK466" s="6">
        <f t="shared" si="278"/>
        <v>29.531446228</v>
      </c>
      <c r="AL466" s="6">
        <f t="shared" si="278"/>
        <v>29.782469153000001</v>
      </c>
      <c r="AM466" s="6">
        <f t="shared" ref="AM466:BC466" si="279">SUM(AM467:AM469)</f>
        <v>30.026045733</v>
      </c>
      <c r="AN466" s="6">
        <f t="shared" si="279"/>
        <v>30.268976107</v>
      </c>
      <c r="AO466" s="6">
        <f t="shared" si="279"/>
        <v>30.513097897999998</v>
      </c>
      <c r="AP466" s="6">
        <f t="shared" si="279"/>
        <v>30.759050268999999</v>
      </c>
      <c r="AQ466" s="6">
        <f t="shared" si="279"/>
        <v>31.007118860999995</v>
      </c>
      <c r="AR466" s="6">
        <f t="shared" si="279"/>
        <v>31.257462060999998</v>
      </c>
      <c r="AS466" s="6">
        <f t="shared" si="279"/>
        <v>31.510175764000003</v>
      </c>
      <c r="AT466" s="6">
        <f t="shared" si="279"/>
        <v>31.765312673999997</v>
      </c>
      <c r="AU466" s="6">
        <f t="shared" si="279"/>
        <v>32.022890025999999</v>
      </c>
      <c r="AV466" s="6">
        <f t="shared" si="279"/>
        <v>32.282896258999997</v>
      </c>
      <c r="AW466" s="6">
        <f t="shared" si="279"/>
        <v>32.546270519000004</v>
      </c>
      <c r="AX466" s="6">
        <f t="shared" si="279"/>
        <v>32.812352192999995</v>
      </c>
      <c r="AY466" s="6">
        <f t="shared" si="279"/>
        <v>33.080911299</v>
      </c>
      <c r="AZ466" s="6">
        <f t="shared" si="279"/>
        <v>33.351823816999996</v>
      </c>
      <c r="BA466" s="6">
        <f t="shared" si="279"/>
        <v>33.625004232999999</v>
      </c>
      <c r="BB466" s="6">
        <f t="shared" si="279"/>
        <v>38.172249958999998</v>
      </c>
      <c r="BC466" s="6">
        <f t="shared" si="279"/>
        <v>38.673320986</v>
      </c>
      <c r="BD466" s="6">
        <f t="shared" ref="BD466:BF466" si="280">SUM(BD467:BD469)</f>
        <v>39.182884635000008</v>
      </c>
      <c r="BE466" s="6">
        <f t="shared" si="280"/>
        <v>39.701131445000001</v>
      </c>
      <c r="BF466" s="6">
        <f t="shared" si="280"/>
        <v>40.228225399999999</v>
      </c>
    </row>
    <row r="467" spans="1:58" x14ac:dyDescent="0.35">
      <c r="B467" s="6" t="str">
        <f>[1]Results!E345</f>
        <v>CF_toe_chea_0</v>
      </c>
      <c r="C467" s="6">
        <f>[1]Results!F345</f>
        <v>5.1414528099999997</v>
      </c>
      <c r="D467" s="6">
        <f>[1]Results!G345</f>
        <v>5.2043182989999996</v>
      </c>
      <c r="E467" s="6">
        <f>[1]Results!H345</f>
        <v>5.2737989870000002</v>
      </c>
      <c r="F467" s="6">
        <f>[1]Results!I345</f>
        <v>5.3473986560000002</v>
      </c>
      <c r="G467" s="6">
        <f>[1]Results!J345</f>
        <v>5.4238312989999997</v>
      </c>
      <c r="H467" s="6">
        <f>[1]Results!K345</f>
        <v>5.5022957889999997</v>
      </c>
      <c r="I467" s="6">
        <f>[1]Results!L345</f>
        <v>5.5774301829999997</v>
      </c>
      <c r="J467" s="6">
        <f>[1]Results!M345</f>
        <v>5.651530685</v>
      </c>
      <c r="K467" s="6">
        <f>[1]Results!N345</f>
        <v>5.7253720880000003</v>
      </c>
      <c r="L467" s="6">
        <f>[1]Results!O345</f>
        <v>5.7991382109999998</v>
      </c>
      <c r="M467" s="6">
        <f>[1]Results!P345</f>
        <v>5.8809054590000001</v>
      </c>
      <c r="N467" s="6">
        <f>[1]Results!Q345</f>
        <v>5.9578009300000003</v>
      </c>
      <c r="O467" s="6">
        <f>[1]Results!R345</f>
        <v>6.0325204980000002</v>
      </c>
      <c r="P467" s="6">
        <f>[1]Results!S345</f>
        <v>6.1061273299999996</v>
      </c>
      <c r="Q467" s="6">
        <f>[1]Results!T345</f>
        <v>6.1790610519999998</v>
      </c>
      <c r="R467" s="6">
        <f>[1]Results!U345</f>
        <v>6.2515317079999999</v>
      </c>
      <c r="S467" s="6">
        <f>[1]Results!V345</f>
        <v>6.3236750209999997</v>
      </c>
      <c r="T467" s="6">
        <f>[1]Results!W345</f>
        <v>6.3956104500000004</v>
      </c>
      <c r="U467" s="6">
        <f>[1]Results!X345</f>
        <v>6.4674587189999997</v>
      </c>
      <c r="V467" s="6">
        <f>[1]Results!Y345</f>
        <v>6.5393432469999997</v>
      </c>
      <c r="W467" s="6">
        <f>[1]Results!Z345</f>
        <v>6.6058307559999996</v>
      </c>
      <c r="X467" s="6">
        <f>[1]Results!AA345</f>
        <v>6.6758191030000003</v>
      </c>
      <c r="Y467" s="6">
        <f>[1]Results!AB345</f>
        <v>6.7474851759999996</v>
      </c>
      <c r="Z467" s="6">
        <f>[1]Results!AC345</f>
        <v>6.8201722790000003</v>
      </c>
      <c r="AA467" s="6">
        <f>[1]Results!AD345</f>
        <v>6.8936588240000001</v>
      </c>
      <c r="AB467" s="6">
        <f>[1]Results!AE345</f>
        <v>6.9524650890000004</v>
      </c>
      <c r="AC467" s="6">
        <f>[1]Results!AF345</f>
        <v>7.0137031060000004</v>
      </c>
      <c r="AD467" s="6">
        <f>[1]Results!AG345</f>
        <v>7.0761825439999999</v>
      </c>
      <c r="AE467" s="6">
        <f>[1]Results!AH345</f>
        <v>7.139510145</v>
      </c>
      <c r="AF467" s="6">
        <f>[1]Results!AI345</f>
        <v>7.2035704200000001</v>
      </c>
      <c r="AG467" s="6">
        <f>[1]Results!AJ345</f>
        <v>7.2683480349999998</v>
      </c>
      <c r="AH467" s="6">
        <f>[1]Results!AK345</f>
        <v>7.3338571870000004</v>
      </c>
      <c r="AI467" s="6">
        <f>[1]Results!AL345</f>
        <v>7.4001108660000003</v>
      </c>
      <c r="AJ467" s="6">
        <f>[1]Results!AM345</f>
        <v>7.4671084499999996</v>
      </c>
      <c r="AK467" s="6">
        <f>[1]Results!AN345</f>
        <v>7.5348327529999999</v>
      </c>
      <c r="AL467" s="6">
        <f>[1]Results!AO345</f>
        <v>7.6032519289999998</v>
      </c>
      <c r="AM467" s="6">
        <f>[1]Results!AP345</f>
        <v>7.6688975900000003</v>
      </c>
      <c r="AN467" s="6">
        <f>[1]Results!AQ345</f>
        <v>7.7336998030000004</v>
      </c>
      <c r="AO467" s="6">
        <f>[1]Results!AR345</f>
        <v>7.7983894979999997</v>
      </c>
      <c r="AP467" s="6">
        <f>[1]Results!AS345</f>
        <v>7.8632481419999998</v>
      </c>
      <c r="AQ467" s="6">
        <f>[1]Results!AT345</f>
        <v>7.92838639</v>
      </c>
      <c r="AR467" s="6">
        <f>[1]Results!AU345</f>
        <v>7.993851984</v>
      </c>
      <c r="AS467" s="6">
        <f>[1]Results!AV345</f>
        <v>8.0596706900000008</v>
      </c>
      <c r="AT467" s="6">
        <f>[1]Results!AW345</f>
        <v>8.1258602349999993</v>
      </c>
      <c r="AU467" s="6">
        <f>[1]Results!AX345</f>
        <v>8.1924339239999995</v>
      </c>
      <c r="AV467" s="6">
        <f>[1]Results!AY345</f>
        <v>8.2594009889999995</v>
      </c>
      <c r="AW467" s="6">
        <f>[1]Results!AZ345</f>
        <v>8.3270542059999997</v>
      </c>
      <c r="AX467" s="6">
        <f>[1]Results!BA345</f>
        <v>8.3952281590000002</v>
      </c>
      <c r="AY467" s="6">
        <f>[1]Results!BB345</f>
        <v>8.4638560910000002</v>
      </c>
      <c r="AZ467" s="6">
        <f>[1]Results!BC345</f>
        <v>8.5329068110000001</v>
      </c>
      <c r="BA467" s="6">
        <f>[1]Results!BD345</f>
        <v>8.6023627319999996</v>
      </c>
      <c r="BB467" s="6">
        <f>[1]Results!BE345</f>
        <v>8.8248155520000005</v>
      </c>
      <c r="BC467" s="6">
        <f>[1]Results!BF345</f>
        <v>8.9214467200000005</v>
      </c>
      <c r="BD467" s="6">
        <f>[1]Results!BG345</f>
        <v>9.0193785480000006</v>
      </c>
      <c r="BE467" s="6">
        <f>[1]Results!BH345</f>
        <v>9.1186607859999995</v>
      </c>
      <c r="BF467" s="6">
        <f>[1]Results!BI345</f>
        <v>9.2193318049999995</v>
      </c>
    </row>
    <row r="468" spans="1:58" x14ac:dyDescent="0.35">
      <c r="B468" s="6" t="str">
        <f>[1]Results!E347</f>
        <v>CF_toe_cbio_0</v>
      </c>
      <c r="C468" s="6">
        <f>[1]Results!F347</f>
        <v>8.2064640709999992</v>
      </c>
      <c r="D468" s="6">
        <f>[1]Results!G347</f>
        <v>8.2268577149999995</v>
      </c>
      <c r="E468" s="6">
        <f>[1]Results!H347</f>
        <v>8.2219480150000006</v>
      </c>
      <c r="F468" s="6">
        <f>[1]Results!I347</f>
        <v>8.2107800340000008</v>
      </c>
      <c r="G468" s="6">
        <f>[1]Results!J347</f>
        <v>8.2009817429999998</v>
      </c>
      <c r="H468" s="6">
        <f>[1]Results!K347</f>
        <v>8.1949895230000003</v>
      </c>
      <c r="I468" s="6">
        <f>[1]Results!L347</f>
        <v>8.1898958440000005</v>
      </c>
      <c r="J468" s="6">
        <f>[1]Results!M347</f>
        <v>8.1868104150000001</v>
      </c>
      <c r="K468" s="6">
        <f>[1]Results!N347</f>
        <v>8.1856616229999997</v>
      </c>
      <c r="L468" s="6">
        <f>[1]Results!O347</f>
        <v>8.1860240569999991</v>
      </c>
      <c r="M468" s="6">
        <f>[1]Results!P347</f>
        <v>8.1927363660000001</v>
      </c>
      <c r="N468" s="6">
        <f>[1]Results!Q347</f>
        <v>8.1972244389999993</v>
      </c>
      <c r="O468" s="6">
        <f>[1]Results!R347</f>
        <v>8.2009032860000008</v>
      </c>
      <c r="P468" s="6">
        <f>[1]Results!S347</f>
        <v>8.2042996529999996</v>
      </c>
      <c r="Q468" s="6">
        <f>[1]Results!T347</f>
        <v>8.2076091800000004</v>
      </c>
      <c r="R468" s="6">
        <f>[1]Results!U347</f>
        <v>8.2109270510000005</v>
      </c>
      <c r="S468" s="6">
        <f>[1]Results!V347</f>
        <v>8.2143324660000001</v>
      </c>
      <c r="T468" s="6">
        <f>[1]Results!W347</f>
        <v>8.217853474</v>
      </c>
      <c r="U468" s="6">
        <f>[1]Results!X347</f>
        <v>8.2215838320000003</v>
      </c>
      <c r="V468" s="6">
        <f>[1]Results!Y347</f>
        <v>8.2256576419999998</v>
      </c>
      <c r="W468" s="6">
        <f>[1]Results!Z347</f>
        <v>8.2266361159999999</v>
      </c>
      <c r="X468" s="6">
        <f>[1]Results!AA347</f>
        <v>8.2301393279999999</v>
      </c>
      <c r="Y468" s="6">
        <f>[1]Results!AB347</f>
        <v>8.2352697349999993</v>
      </c>
      <c r="Z468" s="6">
        <f>[1]Results!AC347</f>
        <v>8.2416520769999995</v>
      </c>
      <c r="AA468" s="6">
        <f>[1]Results!AD347</f>
        <v>8.2491821069999993</v>
      </c>
      <c r="AB468" s="6">
        <f>[1]Results!AE347</f>
        <v>8.247858248</v>
      </c>
      <c r="AC468" s="6">
        <f>[1]Results!AF347</f>
        <v>8.2482810319999995</v>
      </c>
      <c r="AD468" s="6">
        <f>[1]Results!AG347</f>
        <v>8.2500259010000008</v>
      </c>
      <c r="AE468" s="6">
        <f>[1]Results!AH347</f>
        <v>8.2528671370000009</v>
      </c>
      <c r="AF468" s="6">
        <f>[1]Results!AI347</f>
        <v>8.2567592649999995</v>
      </c>
      <c r="AG468" s="6">
        <f>[1]Results!AJ347</f>
        <v>8.261704903</v>
      </c>
      <c r="AH468" s="6">
        <f>[1]Results!AK347</f>
        <v>8.2676900139999994</v>
      </c>
      <c r="AI468" s="6">
        <f>[1]Results!AL347</f>
        <v>8.2747048910000007</v>
      </c>
      <c r="AJ468" s="6">
        <f>[1]Results!AM347</f>
        <v>8.2827306810000003</v>
      </c>
      <c r="AK468" s="6">
        <f>[1]Results!AN347</f>
        <v>8.2917355449999999</v>
      </c>
      <c r="AL468" s="6">
        <f>[1]Results!AO347</f>
        <v>8.3016757240000008</v>
      </c>
      <c r="AM468" s="6">
        <f>[1]Results!AP347</f>
        <v>8.3102775229999999</v>
      </c>
      <c r="AN468" s="6">
        <f>[1]Results!AQ347</f>
        <v>8.3186961539999995</v>
      </c>
      <c r="AO468" s="6">
        <f>[1]Results!AR347</f>
        <v>8.3273832900000002</v>
      </c>
      <c r="AP468" s="6">
        <f>[1]Results!AS347</f>
        <v>8.336513257</v>
      </c>
      <c r="AQ468" s="6">
        <f>[1]Results!AT347</f>
        <v>8.3461536009999993</v>
      </c>
      <c r="AR468" s="6">
        <f>[1]Results!AU347</f>
        <v>8.3563312970000005</v>
      </c>
      <c r="AS468" s="6">
        <f>[1]Results!AV347</f>
        <v>8.367057784</v>
      </c>
      <c r="AT468" s="6">
        <f>[1]Results!AW347</f>
        <v>8.3783377889999997</v>
      </c>
      <c r="AU468" s="6">
        <f>[1]Results!AX347</f>
        <v>8.3901720019999999</v>
      </c>
      <c r="AV468" s="6">
        <f>[1]Results!AY347</f>
        <v>8.4025578200000002</v>
      </c>
      <c r="AW468" s="6">
        <f>[1]Results!AZ347</f>
        <v>8.4156759829999999</v>
      </c>
      <c r="AX468" s="6">
        <f>[1]Results!BA347</f>
        <v>8.4294172540000005</v>
      </c>
      <c r="AY468" s="6">
        <f>[1]Results!BB347</f>
        <v>8.4437302780000003</v>
      </c>
      <c r="AZ468" s="6">
        <f>[1]Results!BC347</f>
        <v>8.4585866460000005</v>
      </c>
      <c r="BA468" s="6">
        <f>[1]Results!BD347</f>
        <v>8.4739678309999995</v>
      </c>
      <c r="BB468" s="6">
        <f>[1]Results!BE347</f>
        <v>9.484807537</v>
      </c>
      <c r="BC468" s="6">
        <f>[1]Results!BF347</f>
        <v>9.5424931760000007</v>
      </c>
      <c r="BD468" s="6">
        <f>[1]Results!BG347</f>
        <v>9.6013940170000005</v>
      </c>
      <c r="BE468" s="6">
        <f>[1]Results!BH347</f>
        <v>9.6615604289999997</v>
      </c>
      <c r="BF468" s="6">
        <f>[1]Results!BI347</f>
        <v>9.7230260650000009</v>
      </c>
    </row>
    <row r="469" spans="1:58" x14ac:dyDescent="0.35">
      <c r="B469" s="6" t="str">
        <f>[1]Results!E350</f>
        <v>CF_toe_cote_0</v>
      </c>
      <c r="C469" s="6">
        <f>[1]Results!F350</f>
        <v>8.730494964</v>
      </c>
      <c r="D469" s="6">
        <f>[1]Results!G350</f>
        <v>8.8394129709999998</v>
      </c>
      <c r="E469" s="6">
        <f>[1]Results!H350</f>
        <v>8.9595367449999994</v>
      </c>
      <c r="F469" s="6">
        <f>[1]Results!I350</f>
        <v>9.0882362820000004</v>
      </c>
      <c r="G469" s="6">
        <f>[1]Results!J350</f>
        <v>9.2239409509999994</v>
      </c>
      <c r="H469" s="6">
        <f>[1]Results!K350</f>
        <v>9.3651363360000008</v>
      </c>
      <c r="I469" s="6">
        <f>[1]Results!L350</f>
        <v>9.5039101319999997</v>
      </c>
      <c r="J469" s="6">
        <f>[1]Results!M350</f>
        <v>9.6436142030000003</v>
      </c>
      <c r="K469" s="6">
        <f>[1]Results!N350</f>
        <v>9.7842382200000007</v>
      </c>
      <c r="L469" s="6">
        <f>[1]Results!O350</f>
        <v>9.9254030909999997</v>
      </c>
      <c r="M469" s="6">
        <f>[1]Results!P350</f>
        <v>10.07813775</v>
      </c>
      <c r="N469" s="6">
        <f>[1]Results!Q350</f>
        <v>10.22290849</v>
      </c>
      <c r="O469" s="6">
        <f>[1]Results!R350</f>
        <v>10.366065069999999</v>
      </c>
      <c r="P469" s="6">
        <f>[1]Results!S350</f>
        <v>10.508736649999999</v>
      </c>
      <c r="Q469" s="6">
        <f>[1]Results!T350</f>
        <v>10.65130684</v>
      </c>
      <c r="R469" s="6">
        <f>[1]Results!U350</f>
        <v>10.7940997</v>
      </c>
      <c r="S469" s="6">
        <f>[1]Results!V350</f>
        <v>10.937471840000001</v>
      </c>
      <c r="T469" s="6">
        <f>[1]Results!W350</f>
        <v>11.08180173</v>
      </c>
      <c r="U469" s="6">
        <f>[1]Results!X350</f>
        <v>11.227465560000001</v>
      </c>
      <c r="V469" s="6">
        <f>[1]Results!Y350</f>
        <v>11.37481717</v>
      </c>
      <c r="W469" s="6">
        <f>[1]Results!Z350</f>
        <v>11.515961320000001</v>
      </c>
      <c r="X469" s="6">
        <f>[1]Results!AA350</f>
        <v>11.665222099999999</v>
      </c>
      <c r="Y469" s="6">
        <f>[1]Results!AB350</f>
        <v>11.81821341</v>
      </c>
      <c r="Z469" s="6">
        <f>[1]Results!AC350</f>
        <v>11.974370309999999</v>
      </c>
      <c r="AA469" s="6">
        <f>[1]Results!AD350</f>
        <v>12.13367386</v>
      </c>
      <c r="AB469" s="6">
        <f>[1]Results!AE350</f>
        <v>12.272682639999999</v>
      </c>
      <c r="AC469" s="6">
        <f>[1]Results!AF350</f>
        <v>12.42034872</v>
      </c>
      <c r="AD469" s="6">
        <f>[1]Results!AG350</f>
        <v>12.57122725</v>
      </c>
      <c r="AE469" s="6">
        <f>[1]Results!AH350</f>
        <v>12.72473718</v>
      </c>
      <c r="AF469" s="6">
        <f>[1]Results!AI350</f>
        <v>12.880982680000001</v>
      </c>
      <c r="AG469" s="6">
        <f>[1]Results!AJ350</f>
        <v>13.040093300000001</v>
      </c>
      <c r="AH469" s="6">
        <f>[1]Results!AK350</f>
        <v>13.20211353</v>
      </c>
      <c r="AI469" s="6">
        <f>[1]Results!AL350</f>
        <v>13.366999290000001</v>
      </c>
      <c r="AJ469" s="6">
        <f>[1]Results!AM350</f>
        <v>13.53463889</v>
      </c>
      <c r="AK469" s="6">
        <f>[1]Results!AN350</f>
        <v>13.70487793</v>
      </c>
      <c r="AL469" s="6">
        <f>[1]Results!AO350</f>
        <v>13.8775415</v>
      </c>
      <c r="AM469" s="6">
        <f>[1]Results!AP350</f>
        <v>14.04687062</v>
      </c>
      <c r="AN469" s="6">
        <f>[1]Results!AQ350</f>
        <v>14.21658015</v>
      </c>
      <c r="AO469" s="6">
        <f>[1]Results!AR350</f>
        <v>14.387325110000001</v>
      </c>
      <c r="AP469" s="6">
        <f>[1]Results!AS350</f>
        <v>14.55928887</v>
      </c>
      <c r="AQ469" s="6">
        <f>[1]Results!AT350</f>
        <v>14.732578869999999</v>
      </c>
      <c r="AR469" s="6">
        <f>[1]Results!AU350</f>
        <v>14.90727878</v>
      </c>
      <c r="AS469" s="6">
        <f>[1]Results!AV350</f>
        <v>15.083447290000001</v>
      </c>
      <c r="AT469" s="6">
        <f>[1]Results!AW350</f>
        <v>15.26111465</v>
      </c>
      <c r="AU469" s="6">
        <f>[1]Results!AX350</f>
        <v>15.4402841</v>
      </c>
      <c r="AV469" s="6">
        <f>[1]Results!AY350</f>
        <v>15.62093745</v>
      </c>
      <c r="AW469" s="6">
        <f>[1]Results!AZ350</f>
        <v>15.803540330000001</v>
      </c>
      <c r="AX469" s="6">
        <f>[1]Results!BA350</f>
        <v>15.98770678</v>
      </c>
      <c r="AY469" s="6">
        <f>[1]Results!BB350</f>
        <v>16.17332493</v>
      </c>
      <c r="AZ469" s="6">
        <f>[1]Results!BC350</f>
        <v>16.360330359999999</v>
      </c>
      <c r="BA469" s="6">
        <f>[1]Results!BD350</f>
        <v>16.548673669999999</v>
      </c>
      <c r="BB469" s="6">
        <f>[1]Results!BE350</f>
        <v>19.86262687</v>
      </c>
      <c r="BC469" s="6">
        <f>[1]Results!BF350</f>
        <v>20.209381090000001</v>
      </c>
      <c r="BD469" s="6">
        <f>[1]Results!BG350</f>
        <v>20.562112070000001</v>
      </c>
      <c r="BE469" s="6">
        <f>[1]Results!BH350</f>
        <v>20.92091023</v>
      </c>
      <c r="BF469" s="6">
        <f>[1]Results!BI350</f>
        <v>21.285867530000001</v>
      </c>
    </row>
    <row r="471" spans="1:58" x14ac:dyDescent="0.35">
      <c r="C471" s="2">
        <v>42005</v>
      </c>
      <c r="D471" s="2">
        <v>42370</v>
      </c>
      <c r="E471" s="2">
        <v>42736</v>
      </c>
      <c r="F471" s="2">
        <v>43101</v>
      </c>
      <c r="G471" s="2">
        <v>43466</v>
      </c>
      <c r="H471" s="2">
        <v>43831</v>
      </c>
      <c r="I471" s="2">
        <v>44197</v>
      </c>
      <c r="J471" s="2">
        <v>44562</v>
      </c>
      <c r="K471" s="2">
        <v>44927</v>
      </c>
      <c r="L471" s="2">
        <v>45292</v>
      </c>
      <c r="M471" s="2">
        <v>45658</v>
      </c>
      <c r="N471" s="2">
        <v>46023</v>
      </c>
      <c r="O471" s="2">
        <v>46388</v>
      </c>
      <c r="P471" s="2">
        <v>46753</v>
      </c>
      <c r="Q471" s="2">
        <v>47119</v>
      </c>
      <c r="R471" s="2">
        <v>47484</v>
      </c>
      <c r="S471" s="2">
        <v>47849</v>
      </c>
      <c r="T471" s="2">
        <v>48214</v>
      </c>
      <c r="U471" s="2">
        <v>48580</v>
      </c>
      <c r="V471" s="2">
        <v>48945</v>
      </c>
      <c r="W471" s="2">
        <v>49310</v>
      </c>
      <c r="X471" s="2">
        <v>49675</v>
      </c>
      <c r="Y471" s="2">
        <v>50041</v>
      </c>
      <c r="Z471" s="2">
        <v>50406</v>
      </c>
      <c r="AA471" s="2">
        <v>50771</v>
      </c>
      <c r="AB471" s="2">
        <v>51136</v>
      </c>
      <c r="AC471" s="2">
        <v>51502</v>
      </c>
      <c r="AD471" s="2">
        <v>51867</v>
      </c>
      <c r="AE471" s="2">
        <v>52232</v>
      </c>
      <c r="AF471" s="2">
        <v>52597</v>
      </c>
      <c r="AG471" s="2">
        <v>52963</v>
      </c>
      <c r="AH471" s="2">
        <v>53328</v>
      </c>
      <c r="AI471" s="2">
        <v>53693</v>
      </c>
      <c r="AJ471" s="2">
        <v>54058</v>
      </c>
      <c r="AK471" s="2">
        <v>54424</v>
      </c>
      <c r="AL471" s="2">
        <v>54789</v>
      </c>
      <c r="AM471" s="2">
        <v>54790</v>
      </c>
      <c r="AN471" s="2">
        <v>54791</v>
      </c>
      <c r="AO471" s="2">
        <v>54792</v>
      </c>
      <c r="AP471" s="2">
        <v>54793</v>
      </c>
      <c r="AQ471" s="2">
        <v>54794</v>
      </c>
      <c r="AR471" s="2">
        <v>54795</v>
      </c>
      <c r="AS471" s="2">
        <v>54796</v>
      </c>
      <c r="AT471" s="2">
        <v>54797</v>
      </c>
      <c r="AU471" s="2">
        <v>54798</v>
      </c>
      <c r="AV471" s="2">
        <v>54799</v>
      </c>
      <c r="AW471" s="2">
        <v>54800</v>
      </c>
      <c r="AX471" s="2">
        <v>54801</v>
      </c>
      <c r="AY471" s="2">
        <v>54802</v>
      </c>
      <c r="AZ471" s="2">
        <v>54803</v>
      </c>
      <c r="BA471" s="2">
        <v>54804</v>
      </c>
      <c r="BB471" s="2">
        <v>54805</v>
      </c>
      <c r="BC471" s="2">
        <v>54806</v>
      </c>
      <c r="BD471" s="2">
        <v>54807</v>
      </c>
      <c r="BE471" s="2">
        <v>54808</v>
      </c>
      <c r="BF471" s="2">
        <v>54809</v>
      </c>
    </row>
    <row r="472" spans="1:58" x14ac:dyDescent="0.35">
      <c r="A472" s="12" t="s">
        <v>93</v>
      </c>
      <c r="B472" t="s">
        <v>77</v>
      </c>
      <c r="C472" s="4">
        <f>C445/C458-1</f>
        <v>-1.4820492319320144E-2</v>
      </c>
      <c r="D472" s="4">
        <f t="shared" ref="D472:AL472" si="281">D445/D458-1</f>
        <v>-2.0384385311726594E-2</v>
      </c>
      <c r="E472" s="4">
        <f t="shared" si="281"/>
        <v>-2.4662147242812904E-2</v>
      </c>
      <c r="F472" s="4">
        <f t="shared" si="281"/>
        <v>-2.8304566269730214E-2</v>
      </c>
      <c r="G472" s="4">
        <f t="shared" si="281"/>
        <v>-3.125188636948939E-2</v>
      </c>
      <c r="H472" s="4">
        <f t="shared" si="281"/>
        <v>-3.3484525409310795E-2</v>
      </c>
      <c r="I472" s="4">
        <f t="shared" si="281"/>
        <v>-3.5095954171695865E-2</v>
      </c>
      <c r="J472" s="4">
        <f t="shared" si="281"/>
        <v>-3.6226943889530627E-2</v>
      </c>
      <c r="K472" s="4">
        <f t="shared" si="281"/>
        <v>-3.702698585422326E-2</v>
      </c>
      <c r="L472" s="4">
        <f t="shared" si="281"/>
        <v>-3.7622357706345699E-2</v>
      </c>
      <c r="M472" s="4">
        <f t="shared" si="281"/>
        <v>-3.8118526495235949E-2</v>
      </c>
      <c r="N472" s="4">
        <f t="shared" si="281"/>
        <v>-3.8644416050598096E-2</v>
      </c>
      <c r="O472" s="4">
        <f t="shared" si="281"/>
        <v>-3.922642047838365E-2</v>
      </c>
      <c r="P472" s="4">
        <f t="shared" si="281"/>
        <v>-3.9891721531696844E-2</v>
      </c>
      <c r="Q472" s="4">
        <f t="shared" si="281"/>
        <v>-4.0660393104942738E-2</v>
      </c>
      <c r="R472" s="4">
        <f t="shared" si="281"/>
        <v>-4.1543381228761778E-2</v>
      </c>
      <c r="S472" s="4">
        <f t="shared" si="281"/>
        <v>-4.2595139685818184E-2</v>
      </c>
      <c r="T472" s="4">
        <f t="shared" si="281"/>
        <v>-4.3780939548405562E-2</v>
      </c>
      <c r="U472" s="4">
        <f t="shared" si="281"/>
        <v>-4.5081481071058804E-2</v>
      </c>
      <c r="V472" s="4">
        <f t="shared" si="281"/>
        <v>-4.6479872973694603E-2</v>
      </c>
      <c r="W472" s="4">
        <f t="shared" si="281"/>
        <v>-4.7956891759321163E-2</v>
      </c>
      <c r="X472" s="4">
        <f t="shared" si="281"/>
        <v>-4.9498855405466502E-2</v>
      </c>
      <c r="Y472" s="4">
        <f t="shared" si="281"/>
        <v>-5.108362016752388E-2</v>
      </c>
      <c r="Z472" s="4">
        <f t="shared" si="281"/>
        <v>-5.2695355889771256E-2</v>
      </c>
      <c r="AA472" s="4">
        <f t="shared" si="281"/>
        <v>-5.4319440571032329E-2</v>
      </c>
      <c r="AB472" s="4">
        <f t="shared" si="281"/>
        <v>-5.5933789497114472E-2</v>
      </c>
      <c r="AC472" s="4">
        <f t="shared" si="281"/>
        <v>-5.7525045607653813E-2</v>
      </c>
      <c r="AD472" s="4">
        <f t="shared" si="281"/>
        <v>-5.9083452815719251E-2</v>
      </c>
      <c r="AE472" s="4">
        <f t="shared" si="281"/>
        <v>-6.0604232145581527E-2</v>
      </c>
      <c r="AF472" s="4">
        <f t="shared" si="281"/>
        <v>-6.2083262013649998E-2</v>
      </c>
      <c r="AG472" s="4">
        <f t="shared" si="281"/>
        <v>-6.351774355629658E-2</v>
      </c>
      <c r="AH472" s="4">
        <f t="shared" si="281"/>
        <v>-6.4897486715699948E-2</v>
      </c>
      <c r="AI472" s="4">
        <f t="shared" si="281"/>
        <v>-6.6226162112076215E-2</v>
      </c>
      <c r="AJ472" s="4">
        <f t="shared" si="281"/>
        <v>-6.7505571669022046E-2</v>
      </c>
      <c r="AK472" s="4">
        <f t="shared" si="281"/>
        <v>-6.8737113731829336E-2</v>
      </c>
      <c r="AL472" s="4">
        <f t="shared" si="281"/>
        <v>-6.9922305665582551E-2</v>
      </c>
      <c r="AM472" s="4">
        <f t="shared" ref="AM472:BC472" si="282">AM445/AM458-1</f>
        <v>-7.099327624047147E-2</v>
      </c>
      <c r="AN472" s="4">
        <f t="shared" si="282"/>
        <v>-7.1989679431418541E-2</v>
      </c>
      <c r="AO472" s="4">
        <f t="shared" si="282"/>
        <v>-7.292693935336747E-2</v>
      </c>
      <c r="AP472" s="4">
        <f t="shared" si="282"/>
        <v>-7.3813162015058831E-2</v>
      </c>
      <c r="AQ472" s="4">
        <f t="shared" si="282"/>
        <v>-7.4654648187155503E-2</v>
      </c>
      <c r="AR472" s="4">
        <f t="shared" si="282"/>
        <v>-7.5447717782489043E-2</v>
      </c>
      <c r="AS472" s="4">
        <f t="shared" si="282"/>
        <v>-7.6202322518595156E-2</v>
      </c>
      <c r="AT472" s="4">
        <f t="shared" si="282"/>
        <v>-7.6925539522677555E-2</v>
      </c>
      <c r="AU472" s="4">
        <f t="shared" si="282"/>
        <v>-7.7622902936502647E-2</v>
      </c>
      <c r="AV472" s="4">
        <f t="shared" si="282"/>
        <v>-7.8299090139857808E-2</v>
      </c>
      <c r="AW472" s="4">
        <f t="shared" si="282"/>
        <v>-7.8929749377967262E-2</v>
      </c>
      <c r="AX472" s="4">
        <f t="shared" si="282"/>
        <v>-7.9530445695703111E-2</v>
      </c>
      <c r="AY472" s="4">
        <f t="shared" si="282"/>
        <v>-8.5609784802959554E-2</v>
      </c>
      <c r="AZ472" s="4">
        <f t="shared" si="282"/>
        <v>-8.8756017747563143E-2</v>
      </c>
      <c r="BA472" s="4">
        <f t="shared" si="282"/>
        <v>-9.5985396387842314E-2</v>
      </c>
      <c r="BB472" s="4">
        <f t="shared" si="282"/>
        <v>-6.458486285795928E-3</v>
      </c>
      <c r="BC472" s="4">
        <f t="shared" si="282"/>
        <v>-6.4784218630451473E-3</v>
      </c>
      <c r="BD472" s="4">
        <f t="shared" ref="BD472:BF472" si="283">BD445/BD458-1</f>
        <v>-6.4910318430363434E-3</v>
      </c>
      <c r="BE472" s="4">
        <f t="shared" si="283"/>
        <v>-6.4976697909722159E-3</v>
      </c>
      <c r="BF472" s="4">
        <f t="shared" si="283"/>
        <v>-6.4989958932348824E-3</v>
      </c>
    </row>
    <row r="473" spans="1:58" x14ac:dyDescent="0.35">
      <c r="A473" t="s">
        <v>88</v>
      </c>
      <c r="B473" t="s">
        <v>76</v>
      </c>
      <c r="C473" s="4">
        <f>(C446-C459)/C$458</f>
        <v>-1.0511694985017286E-3</v>
      </c>
      <c r="D473" s="4">
        <f t="shared" ref="D473:AL473" si="284">(D446-D459)/D$458</f>
        <v>-1.3146772799242439E-3</v>
      </c>
      <c r="E473" s="4">
        <f t="shared" si="284"/>
        <v>-1.4241986941707755E-3</v>
      </c>
      <c r="F473" s="4">
        <f t="shared" si="284"/>
        <v>-1.4939832768313774E-3</v>
      </c>
      <c r="G473" s="4">
        <f t="shared" si="284"/>
        <v>-1.5491788369231291E-3</v>
      </c>
      <c r="H473" s="4">
        <f t="shared" si="284"/>
        <v>-1.5985291588888567E-3</v>
      </c>
      <c r="I473" s="4">
        <f t="shared" si="284"/>
        <v>-1.6473720726199075E-3</v>
      </c>
      <c r="J473" s="4">
        <f t="shared" si="284"/>
        <v>-1.6980246616653187E-3</v>
      </c>
      <c r="K473" s="4">
        <f t="shared" si="284"/>
        <v>-1.751722116984863E-3</v>
      </c>
      <c r="L473" s="4">
        <f t="shared" si="284"/>
        <v>-1.8089529687424547E-3</v>
      </c>
      <c r="M473" s="4">
        <f t="shared" si="284"/>
        <v>-1.8703601206811488E-3</v>
      </c>
      <c r="N473" s="4">
        <f t="shared" si="284"/>
        <v>-1.9384431201712974E-3</v>
      </c>
      <c r="O473" s="4">
        <f t="shared" si="284"/>
        <v>-2.0105821865781313E-3</v>
      </c>
      <c r="P473" s="4">
        <f t="shared" si="284"/>
        <v>-2.0861320180033719E-3</v>
      </c>
      <c r="Q473" s="4">
        <f t="shared" si="284"/>
        <v>-2.1649240500871414E-3</v>
      </c>
      <c r="R473" s="4">
        <f t="shared" si="284"/>
        <v>-2.2468939908338306E-3</v>
      </c>
      <c r="S473" s="4">
        <f t="shared" si="284"/>
        <v>-2.3356191006779757E-3</v>
      </c>
      <c r="T473" s="4">
        <f t="shared" si="284"/>
        <v>-2.42788243241901E-3</v>
      </c>
      <c r="U473" s="4">
        <f t="shared" si="284"/>
        <v>-2.5228362157664586E-3</v>
      </c>
      <c r="V473" s="4">
        <f t="shared" si="284"/>
        <v>-2.6199741175180966E-3</v>
      </c>
      <c r="W473" s="4">
        <f t="shared" si="284"/>
        <v>-2.7182925423274986E-3</v>
      </c>
      <c r="X473" s="4">
        <f t="shared" si="284"/>
        <v>-2.8181917172800629E-3</v>
      </c>
      <c r="Y473" s="4">
        <f t="shared" si="284"/>
        <v>-2.9185188187760311E-3</v>
      </c>
      <c r="Z473" s="4">
        <f t="shared" si="284"/>
        <v>-3.0186356792396177E-3</v>
      </c>
      <c r="AA473" s="4">
        <f t="shared" si="284"/>
        <v>-3.1179996514882798E-3</v>
      </c>
      <c r="AB473" s="4">
        <f t="shared" si="284"/>
        <v>-3.2145963433881379E-3</v>
      </c>
      <c r="AC473" s="4">
        <f t="shared" si="284"/>
        <v>-3.3093588239224109E-3</v>
      </c>
      <c r="AD473" s="4">
        <f t="shared" si="284"/>
        <v>-3.4021590288569287E-3</v>
      </c>
      <c r="AE473" s="4">
        <f t="shared" si="284"/>
        <v>-3.4928142529296997E-3</v>
      </c>
      <c r="AF473" s="4">
        <f t="shared" si="284"/>
        <v>-3.5811721699440836E-3</v>
      </c>
      <c r="AG473" s="4">
        <f t="shared" si="284"/>
        <v>-3.6671401045764718E-3</v>
      </c>
      <c r="AH473" s="4">
        <f t="shared" si="284"/>
        <v>-3.7500088143434464E-3</v>
      </c>
      <c r="AI473" s="4">
        <f t="shared" si="284"/>
        <v>-3.8303287215923597E-3</v>
      </c>
      <c r="AJ473" s="4">
        <f t="shared" si="284"/>
        <v>-3.9082348810902875E-3</v>
      </c>
      <c r="AK473" s="4">
        <f t="shared" si="284"/>
        <v>-3.9838096210845697E-3</v>
      </c>
      <c r="AL473" s="4">
        <f t="shared" si="284"/>
        <v>-4.0571472466438127E-3</v>
      </c>
      <c r="AM473" s="4">
        <f t="shared" ref="AM473:BC473" si="285">(AM446-AM459)/AM$458</f>
        <v>-4.1223875626693902E-3</v>
      </c>
      <c r="AN473" s="4">
        <f t="shared" si="285"/>
        <v>-4.1846751504675045E-3</v>
      </c>
      <c r="AO473" s="4">
        <f t="shared" si="285"/>
        <v>-4.244908675549052E-3</v>
      </c>
      <c r="AP473" s="4">
        <f t="shared" si="285"/>
        <v>-4.3032916607323012E-3</v>
      </c>
      <c r="AQ473" s="4">
        <f t="shared" si="285"/>
        <v>-4.3599654600546232E-3</v>
      </c>
      <c r="AR473" s="4">
        <f t="shared" si="285"/>
        <v>-4.4142522964517083E-3</v>
      </c>
      <c r="AS473" s="4">
        <f t="shared" si="285"/>
        <v>-4.4669924514726565E-3</v>
      </c>
      <c r="AT473" s="4">
        <f t="shared" si="285"/>
        <v>-4.5184639138389918E-3</v>
      </c>
      <c r="AU473" s="4">
        <f t="shared" si="285"/>
        <v>-4.5688297168774376E-3</v>
      </c>
      <c r="AV473" s="4">
        <f t="shared" si="285"/>
        <v>-4.6182203194887238E-3</v>
      </c>
      <c r="AW473" s="4">
        <f t="shared" si="285"/>
        <v>-4.6641021701949656E-3</v>
      </c>
      <c r="AX473" s="4">
        <f t="shared" si="285"/>
        <v>-4.7086300175466118E-3</v>
      </c>
      <c r="AY473" s="4">
        <f t="shared" si="285"/>
        <v>-4.9751477881116151E-3</v>
      </c>
      <c r="AZ473" s="4">
        <f t="shared" si="285"/>
        <v>-4.9472789071325221E-3</v>
      </c>
      <c r="BA473" s="4">
        <f t="shared" si="285"/>
        <v>-5.311019389563883E-3</v>
      </c>
      <c r="BB473" s="4">
        <f t="shared" si="285"/>
        <v>6.0997985661663914E-5</v>
      </c>
      <c r="BC473" s="4">
        <f t="shared" si="285"/>
        <v>6.4757018895901747E-5</v>
      </c>
      <c r="BD473" s="4">
        <f t="shared" ref="BD473:BF473" si="286">(BD446-BD459)/BD$458</f>
        <v>6.8663483785173939E-5</v>
      </c>
      <c r="BE473" s="4">
        <f t="shared" si="286"/>
        <v>7.2721338954668705E-5</v>
      </c>
      <c r="BF473" s="4">
        <f t="shared" si="286"/>
        <v>7.6927149163177053E-5</v>
      </c>
    </row>
    <row r="474" spans="1:58" x14ac:dyDescent="0.35">
      <c r="B474" t="s">
        <v>74</v>
      </c>
      <c r="C474" s="4">
        <f>(C447-C460)/C$458</f>
        <v>-4.2564543722189629E-3</v>
      </c>
      <c r="D474" s="4">
        <f t="shared" ref="D474:AL474" si="287">(D447-D460)/D$458</f>
        <v>-5.7790714510522912E-3</v>
      </c>
      <c r="E474" s="4">
        <f t="shared" si="287"/>
        <v>-7.0240096572718414E-3</v>
      </c>
      <c r="F474" s="4">
        <f t="shared" si="287"/>
        <v>-8.2026921929080256E-3</v>
      </c>
      <c r="G474" s="4">
        <f t="shared" si="287"/>
        <v>-9.2758043278525614E-3</v>
      </c>
      <c r="H474" s="4">
        <f t="shared" si="287"/>
        <v>-1.0205904919049991E-2</v>
      </c>
      <c r="I474" s="4">
        <f t="shared" si="287"/>
        <v>-1.0986638468056413E-2</v>
      </c>
      <c r="J474" s="4">
        <f t="shared" si="287"/>
        <v>-1.1627430265101447E-2</v>
      </c>
      <c r="K474" s="4">
        <f t="shared" si="287"/>
        <v>-1.2145090289335268E-2</v>
      </c>
      <c r="L474" s="4">
        <f t="shared" si="287"/>
        <v>-1.2556191114998658E-2</v>
      </c>
      <c r="M474" s="4">
        <f t="shared" si="287"/>
        <v>-1.2875538848458113E-2</v>
      </c>
      <c r="N474" s="4">
        <f t="shared" si="287"/>
        <v>-1.3136586614356077E-2</v>
      </c>
      <c r="O474" s="4">
        <f t="shared" si="287"/>
        <v>-1.3346381161602789E-2</v>
      </c>
      <c r="P474" s="4">
        <f t="shared" si="287"/>
        <v>-1.3518308819757645E-2</v>
      </c>
      <c r="Q474" s="4">
        <f t="shared" si="287"/>
        <v>-1.3666988520827528E-2</v>
      </c>
      <c r="R474" s="4">
        <f t="shared" si="287"/>
        <v>-1.3806215632539252E-2</v>
      </c>
      <c r="S474" s="4">
        <f t="shared" si="287"/>
        <v>-1.396081868163083E-2</v>
      </c>
      <c r="T474" s="4">
        <f t="shared" si="287"/>
        <v>-1.4132160251460074E-2</v>
      </c>
      <c r="U474" s="4">
        <f t="shared" si="287"/>
        <v>-1.4324726885123889E-2</v>
      </c>
      <c r="V474" s="4">
        <f t="shared" si="287"/>
        <v>-1.4541709283602006E-2</v>
      </c>
      <c r="W474" s="4">
        <f t="shared" si="287"/>
        <v>-1.4784967582323668E-2</v>
      </c>
      <c r="X474" s="4">
        <f t="shared" si="287"/>
        <v>-1.5052311792777332E-2</v>
      </c>
      <c r="Y474" s="4">
        <f t="shared" si="287"/>
        <v>-1.5340977778017037E-2</v>
      </c>
      <c r="Z474" s="4">
        <f t="shared" si="287"/>
        <v>-1.564795092660853E-2</v>
      </c>
      <c r="AA474" s="4">
        <f t="shared" si="287"/>
        <v>-1.5969547134886491E-2</v>
      </c>
      <c r="AB474" s="4">
        <f t="shared" si="287"/>
        <v>-1.630258960127141E-2</v>
      </c>
      <c r="AC474" s="4">
        <f t="shared" si="287"/>
        <v>-1.6638383930849834E-2</v>
      </c>
      <c r="AD474" s="4">
        <f t="shared" si="287"/>
        <v>-1.6973495376077178E-2</v>
      </c>
      <c r="AE474" s="4">
        <f t="shared" si="287"/>
        <v>-1.7304849414199519E-2</v>
      </c>
      <c r="AF474" s="4">
        <f t="shared" si="287"/>
        <v>-1.7629627849587298E-2</v>
      </c>
      <c r="AG474" s="4">
        <f t="shared" si="287"/>
        <v>-1.7945476485119266E-2</v>
      </c>
      <c r="AH474" s="4">
        <f t="shared" si="287"/>
        <v>-1.824848313547215E-2</v>
      </c>
      <c r="AI474" s="4">
        <f t="shared" si="287"/>
        <v>-1.8538279899501329E-2</v>
      </c>
      <c r="AJ474" s="4">
        <f t="shared" si="287"/>
        <v>-1.8814028983475239E-2</v>
      </c>
      <c r="AK474" s="4">
        <f t="shared" si="287"/>
        <v>-1.9074939175010394E-2</v>
      </c>
      <c r="AL474" s="4">
        <f t="shared" si="287"/>
        <v>-1.9320418777154718E-2</v>
      </c>
      <c r="AM474" s="4">
        <f t="shared" ref="AM474:BC474" si="288">(AM447-AM460)/AM$458</f>
        <v>-1.9534151689143468E-2</v>
      </c>
      <c r="AN474" s="4">
        <f t="shared" si="288"/>
        <v>-1.9725122832737214E-2</v>
      </c>
      <c r="AO474" s="4">
        <f t="shared" si="288"/>
        <v>-1.9895758723900699E-2</v>
      </c>
      <c r="AP474" s="4">
        <f t="shared" si="288"/>
        <v>-2.0047052081809173E-2</v>
      </c>
      <c r="AQ474" s="4">
        <f t="shared" si="288"/>
        <v>-2.0180041000279335E-2</v>
      </c>
      <c r="AR474" s="4">
        <f t="shared" si="288"/>
        <v>-2.0293749091983049E-2</v>
      </c>
      <c r="AS474" s="4">
        <f t="shared" si="288"/>
        <v>-2.0390682586770226E-2</v>
      </c>
      <c r="AT474" s="4">
        <f t="shared" si="288"/>
        <v>-2.0472546049416052E-2</v>
      </c>
      <c r="AU474" s="4">
        <f t="shared" si="288"/>
        <v>-2.0540673471846998E-2</v>
      </c>
      <c r="AV474" s="4">
        <f t="shared" si="288"/>
        <v>-2.0596188033544478E-2</v>
      </c>
      <c r="AW474" s="4">
        <f t="shared" si="288"/>
        <v>-2.0633415906662834E-2</v>
      </c>
      <c r="AX474" s="4">
        <f t="shared" si="288"/>
        <v>-2.0656303040949581E-2</v>
      </c>
      <c r="AY474" s="4">
        <f t="shared" si="288"/>
        <v>-2.3259712373430393E-2</v>
      </c>
      <c r="AZ474" s="4">
        <f t="shared" si="288"/>
        <v>-2.5105481813358817E-2</v>
      </c>
      <c r="BA474" s="4">
        <f t="shared" si="288"/>
        <v>-2.8070464469872446E-2</v>
      </c>
      <c r="BB474" s="4">
        <f t="shared" si="288"/>
        <v>2.3950669873721675E-4</v>
      </c>
      <c r="BC474" s="4">
        <f t="shared" si="288"/>
        <v>2.8874343578292038E-4</v>
      </c>
      <c r="BD474" s="4">
        <f t="shared" ref="BD474:BF474" si="289">(BD447-BD460)/BD$458</f>
        <v>3.3972792941266245E-4</v>
      </c>
      <c r="BE474" s="4">
        <f t="shared" si="289"/>
        <v>3.9240162248381299E-4</v>
      </c>
      <c r="BF474" s="4">
        <f t="shared" si="289"/>
        <v>4.4679491753305683E-4</v>
      </c>
    </row>
    <row r="475" spans="1:58" x14ac:dyDescent="0.35">
      <c r="B475" t="s">
        <v>54</v>
      </c>
      <c r="C475" s="4">
        <f>(C451-C464)/C$458</f>
        <v>-3.2720276205186441E-3</v>
      </c>
      <c r="D475" s="4">
        <f t="shared" ref="D475:AL475" si="290">(D451-D464)/D$458</f>
        <v>-4.3865676427693656E-3</v>
      </c>
      <c r="E475" s="4">
        <f t="shared" si="290"/>
        <v>-5.4077012431352758E-3</v>
      </c>
      <c r="F475" s="4">
        <f t="shared" si="290"/>
        <v>-6.3817717310904768E-3</v>
      </c>
      <c r="G475" s="4">
        <f t="shared" si="290"/>
        <v>-7.2201926107876742E-3</v>
      </c>
      <c r="H475" s="4">
        <f t="shared" si="290"/>
        <v>-7.8749374106352743E-3</v>
      </c>
      <c r="I475" s="4">
        <f t="shared" si="290"/>
        <v>-8.3448194714745329E-3</v>
      </c>
      <c r="J475" s="4">
        <f t="shared" si="290"/>
        <v>-8.6636304717274126E-3</v>
      </c>
      <c r="K475" s="4">
        <f t="shared" si="290"/>
        <v>-8.8748608232230488E-3</v>
      </c>
      <c r="L475" s="4">
        <f t="shared" si="290"/>
        <v>-9.0153953755847515E-3</v>
      </c>
      <c r="M475" s="4">
        <f t="shared" si="290"/>
        <v>-9.1164118688421333E-3</v>
      </c>
      <c r="N475" s="4">
        <f t="shared" si="290"/>
        <v>-9.2102867447868674E-3</v>
      </c>
      <c r="O475" s="4">
        <f t="shared" si="290"/>
        <v>-9.3071840906729965E-3</v>
      </c>
      <c r="P475" s="4">
        <f t="shared" si="290"/>
        <v>-9.4163249381515358E-3</v>
      </c>
      <c r="Q475" s="4">
        <f t="shared" si="290"/>
        <v>-9.5439821657852045E-3</v>
      </c>
      <c r="R475" s="4">
        <f t="shared" si="290"/>
        <v>-9.6934577998604009E-3</v>
      </c>
      <c r="S475" s="4">
        <f t="shared" si="290"/>
        <v>-9.8760939294563338E-3</v>
      </c>
      <c r="T475" s="4">
        <f t="shared" si="290"/>
        <v>-1.0084125603921907E-2</v>
      </c>
      <c r="U475" s="4">
        <f t="shared" si="290"/>
        <v>-1.0313572727480293E-2</v>
      </c>
      <c r="V475" s="4">
        <f t="shared" si="290"/>
        <v>-1.0561159439395493E-2</v>
      </c>
      <c r="W475" s="4">
        <f t="shared" si="290"/>
        <v>-1.082279384034807E-2</v>
      </c>
      <c r="X475" s="4">
        <f t="shared" si="290"/>
        <v>-1.1096472028682653E-2</v>
      </c>
      <c r="Y475" s="4">
        <f t="shared" si="290"/>
        <v>-1.1377750821908254E-2</v>
      </c>
      <c r="Z475" s="4">
        <f t="shared" si="290"/>
        <v>-1.1663306218755715E-2</v>
      </c>
      <c r="AA475" s="4">
        <f t="shared" si="290"/>
        <v>-1.1950118166237273E-2</v>
      </c>
      <c r="AB475" s="4">
        <f t="shared" si="290"/>
        <v>-1.2232768091847028E-2</v>
      </c>
      <c r="AC475" s="4">
        <f t="shared" si="290"/>
        <v>-1.2509771892324106E-2</v>
      </c>
      <c r="AD475" s="4">
        <f t="shared" si="290"/>
        <v>-1.2779548536690777E-2</v>
      </c>
      <c r="AE475" s="4">
        <f t="shared" si="290"/>
        <v>-1.3040782977284712E-2</v>
      </c>
      <c r="AF475" s="4">
        <f t="shared" si="290"/>
        <v>-1.3292234014508525E-2</v>
      </c>
      <c r="AG475" s="4">
        <f t="shared" si="290"/>
        <v>-1.3532978880145867E-2</v>
      </c>
      <c r="AH475" s="4">
        <f t="shared" si="290"/>
        <v>-1.3760902792390605E-2</v>
      </c>
      <c r="AI475" s="4">
        <f t="shared" si="290"/>
        <v>-1.39767505421162E-2</v>
      </c>
      <c r="AJ475" s="4">
        <f t="shared" si="290"/>
        <v>-1.4180766012960113E-2</v>
      </c>
      <c r="AK475" s="4">
        <f t="shared" si="290"/>
        <v>-1.4373077175816254E-2</v>
      </c>
      <c r="AL475" s="4">
        <f t="shared" si="290"/>
        <v>-1.4553857060527827E-2</v>
      </c>
      <c r="AM475" s="4">
        <f t="shared" ref="AM475:BC475" si="291">(AM451-AM464)/AM$458</f>
        <v>-1.4710905701157509E-2</v>
      </c>
      <c r="AN475" s="4">
        <f t="shared" si="291"/>
        <v>-1.4853254391449603E-2</v>
      </c>
      <c r="AO475" s="4">
        <f t="shared" si="291"/>
        <v>-1.4983715429042707E-2</v>
      </c>
      <c r="AP475" s="4">
        <f t="shared" si="291"/>
        <v>-1.5103032043913882E-2</v>
      </c>
      <c r="AQ475" s="4">
        <f t="shared" si="291"/>
        <v>-1.521166260791014E-2</v>
      </c>
      <c r="AR475" s="4">
        <f t="shared" si="291"/>
        <v>-1.5308681127287444E-2</v>
      </c>
      <c r="AS475" s="4">
        <f t="shared" si="291"/>
        <v>-1.5395998701614807E-2</v>
      </c>
      <c r="AT475" s="4">
        <f t="shared" si="291"/>
        <v>-1.5474962404938401E-2</v>
      </c>
      <c r="AU475" s="4">
        <f t="shared" si="291"/>
        <v>-1.5546662979493503E-2</v>
      </c>
      <c r="AV475" s="4">
        <f t="shared" si="291"/>
        <v>-1.5612114666239822E-2</v>
      </c>
      <c r="AW475" s="4">
        <f t="shared" si="291"/>
        <v>-1.5667914081417298E-2</v>
      </c>
      <c r="AX475" s="4">
        <f t="shared" si="291"/>
        <v>-1.571777029300328E-2</v>
      </c>
      <c r="AY475" s="4">
        <f t="shared" si="291"/>
        <v>-1.7118897403776319E-2</v>
      </c>
      <c r="AZ475" s="4">
        <f t="shared" si="291"/>
        <v>-1.8001688922115747E-2</v>
      </c>
      <c r="BA475" s="4">
        <f t="shared" si="291"/>
        <v>-1.9671838832076228E-2</v>
      </c>
      <c r="BB475" s="4">
        <f t="shared" si="291"/>
        <v>-8.661421253622131E-4</v>
      </c>
      <c r="BC475" s="4">
        <f t="shared" si="291"/>
        <v>-8.3995684306484059E-4</v>
      </c>
      <c r="BD475" s="4">
        <f t="shared" ref="BD475:BF475" si="292">(BD451-BD464)/BD$458</f>
        <v>-8.1262219868272971E-4</v>
      </c>
      <c r="BE475" s="4">
        <f t="shared" si="292"/>
        <v>-7.8445734484772862E-4</v>
      </c>
      <c r="BF475" s="4">
        <f t="shared" si="292"/>
        <v>-7.5553111557959596E-4</v>
      </c>
    </row>
    <row r="476" spans="1:58" x14ac:dyDescent="0.35">
      <c r="B476" t="s">
        <v>11</v>
      </c>
      <c r="C476" s="4">
        <f>(C452-C465)/C$458</f>
        <v>-3.734886380669513E-3</v>
      </c>
      <c r="D476" s="4">
        <f t="shared" ref="D476:AL476" si="293">(D452-D465)/D$458</f>
        <v>-5.4037640284246352E-3</v>
      </c>
      <c r="E476" s="4">
        <f t="shared" si="293"/>
        <v>-6.6917782226540616E-3</v>
      </c>
      <c r="F476" s="4">
        <f t="shared" si="293"/>
        <v>-7.6731550908803762E-3</v>
      </c>
      <c r="G476" s="4">
        <f t="shared" si="293"/>
        <v>-8.3316893733284113E-3</v>
      </c>
      <c r="H476" s="4">
        <f t="shared" si="293"/>
        <v>-8.6930713627132398E-3</v>
      </c>
      <c r="I476" s="4">
        <f t="shared" si="293"/>
        <v>-8.822637825297127E-3</v>
      </c>
      <c r="J476" s="4">
        <f t="shared" si="293"/>
        <v>-8.793806380312583E-3</v>
      </c>
      <c r="K476" s="4">
        <f t="shared" si="293"/>
        <v>-8.6768637480399424E-3</v>
      </c>
      <c r="L476" s="4">
        <f t="shared" si="293"/>
        <v>-8.5308460540082925E-3</v>
      </c>
      <c r="M476" s="4">
        <f t="shared" si="293"/>
        <v>-8.4009171920713804E-3</v>
      </c>
      <c r="N476" s="4">
        <f t="shared" si="293"/>
        <v>-8.3311850267852525E-3</v>
      </c>
      <c r="O476" s="4">
        <f t="shared" si="293"/>
        <v>-8.3370962357549334E-3</v>
      </c>
      <c r="P476" s="4">
        <f t="shared" si="293"/>
        <v>-8.4258793924451673E-3</v>
      </c>
      <c r="Q476" s="4">
        <f t="shared" si="293"/>
        <v>-8.5985562712254139E-3</v>
      </c>
      <c r="R476" s="4">
        <f t="shared" si="293"/>
        <v>-8.8509393759169681E-3</v>
      </c>
      <c r="S476" s="4">
        <f t="shared" si="293"/>
        <v>-9.1866475738567478E-3</v>
      </c>
      <c r="T476" s="4">
        <f t="shared" si="293"/>
        <v>-9.5924417221245339E-3</v>
      </c>
      <c r="U476" s="4">
        <f t="shared" si="293"/>
        <v>-1.0054525622081097E-2</v>
      </c>
      <c r="V476" s="4">
        <f t="shared" si="293"/>
        <v>-1.0560078468527353E-2</v>
      </c>
      <c r="W476" s="4">
        <f t="shared" si="293"/>
        <v>-1.1097219976760896E-2</v>
      </c>
      <c r="X476" s="4">
        <f t="shared" si="293"/>
        <v>-1.165616265240259E-2</v>
      </c>
      <c r="Y476" s="4">
        <f t="shared" si="293"/>
        <v>-1.2226588364454232E-2</v>
      </c>
      <c r="Z476" s="4">
        <f t="shared" si="293"/>
        <v>-1.2801607278384683E-2</v>
      </c>
      <c r="AA476" s="4">
        <f t="shared" si="293"/>
        <v>-1.3375462956050594E-2</v>
      </c>
      <c r="AB476" s="4">
        <f t="shared" si="293"/>
        <v>-1.3942542209574698E-2</v>
      </c>
      <c r="AC476" s="4">
        <f t="shared" si="293"/>
        <v>-1.4497694172811989E-2</v>
      </c>
      <c r="AD476" s="4">
        <f t="shared" si="293"/>
        <v>-1.503607700609194E-2</v>
      </c>
      <c r="AE476" s="4">
        <f t="shared" si="293"/>
        <v>-1.555739485095539E-2</v>
      </c>
      <c r="AF476" s="4">
        <f t="shared" si="293"/>
        <v>-1.6061804480020297E-2</v>
      </c>
      <c r="AG476" s="4">
        <f t="shared" si="293"/>
        <v>-1.6549850530468934E-2</v>
      </c>
      <c r="AH476" s="4">
        <f t="shared" si="293"/>
        <v>-1.7020781224928103E-2</v>
      </c>
      <c r="AI476" s="4">
        <f t="shared" si="293"/>
        <v>-1.7475705649793154E-2</v>
      </c>
      <c r="AJ476" s="4">
        <f t="shared" si="293"/>
        <v>-1.7916274215087624E-2</v>
      </c>
      <c r="AK476" s="4">
        <f t="shared" si="293"/>
        <v>-1.8344045652623091E-2</v>
      </c>
      <c r="AL476" s="4">
        <f t="shared" si="293"/>
        <v>-1.8760472431797869E-2</v>
      </c>
      <c r="AM476" s="4">
        <f t="shared" ref="AM476:BC476" si="294">(AM452-AM465)/AM$458</f>
        <v>-1.9154489550040552E-2</v>
      </c>
      <c r="AN476" s="4">
        <f t="shared" si="294"/>
        <v>-1.9526663907576798E-2</v>
      </c>
      <c r="AO476" s="4">
        <f t="shared" si="294"/>
        <v>-1.9881659864111022E-2</v>
      </c>
      <c r="AP476" s="4">
        <f t="shared" si="294"/>
        <v>-2.022351066141212E-2</v>
      </c>
      <c r="AQ476" s="4">
        <f t="shared" si="294"/>
        <v>-2.0555599800004706E-2</v>
      </c>
      <c r="AR476" s="4">
        <f t="shared" si="294"/>
        <v>-2.087915434435841E-2</v>
      </c>
      <c r="AS476" s="4">
        <f t="shared" si="294"/>
        <v>-2.1196198885306342E-2</v>
      </c>
      <c r="AT476" s="4">
        <f t="shared" si="294"/>
        <v>-2.1509350721204364E-2</v>
      </c>
      <c r="AU476" s="4">
        <f t="shared" si="294"/>
        <v>-2.1820865040358007E-2</v>
      </c>
      <c r="AV476" s="4">
        <f t="shared" si="294"/>
        <v>-2.2132658464121716E-2</v>
      </c>
      <c r="AW476" s="4">
        <f t="shared" si="294"/>
        <v>-2.2441752047340151E-2</v>
      </c>
      <c r="AX476" s="4">
        <f t="shared" si="294"/>
        <v>-2.2747446559047896E-2</v>
      </c>
      <c r="AY476" s="4">
        <f t="shared" si="294"/>
        <v>-2.4279114965259484E-2</v>
      </c>
      <c r="AZ476" s="4">
        <f t="shared" si="294"/>
        <v>-2.5550391453493495E-2</v>
      </c>
      <c r="BA476" s="4">
        <f t="shared" si="294"/>
        <v>-2.7004113870899966E-2</v>
      </c>
      <c r="BB476" s="4">
        <f t="shared" si="294"/>
        <v>-3.684713823683807E-3</v>
      </c>
      <c r="BC476" s="4">
        <f t="shared" si="294"/>
        <v>-3.753445307622707E-3</v>
      </c>
      <c r="BD476" s="4">
        <f t="shared" ref="BD476:BF476" si="295">(BD452-BD465)/BD$458</f>
        <v>-3.8196067454071307E-3</v>
      </c>
      <c r="BE476" s="4">
        <f t="shared" si="295"/>
        <v>-3.8837634685695037E-3</v>
      </c>
      <c r="BF476" s="4">
        <f t="shared" si="295"/>
        <v>-3.9463448772560899E-3</v>
      </c>
    </row>
    <row r="477" spans="1:58" x14ac:dyDescent="0.35">
      <c r="B477" t="s">
        <v>75</v>
      </c>
      <c r="C477" s="4">
        <f>(C453-C466)/C$458</f>
        <v>-2.5059545392069373E-3</v>
      </c>
      <c r="D477" s="4">
        <f t="shared" ref="D477:AL477" si="296">(D453-D466)/D$458</f>
        <v>-3.5003050062450232E-3</v>
      </c>
      <c r="E477" s="4">
        <f t="shared" si="296"/>
        <v>-4.1144596099157429E-3</v>
      </c>
      <c r="F477" s="4">
        <f t="shared" si="296"/>
        <v>-4.5529639387315952E-3</v>
      </c>
      <c r="G477" s="4">
        <f t="shared" si="296"/>
        <v>-4.8750212079989412E-3</v>
      </c>
      <c r="H477" s="4">
        <f t="shared" si="296"/>
        <v>-5.1120826900887704E-3</v>
      </c>
      <c r="I477" s="4">
        <f t="shared" si="296"/>
        <v>-5.2944863619642192E-3</v>
      </c>
      <c r="J477" s="4">
        <f t="shared" si="296"/>
        <v>-5.4440518910054952E-3</v>
      </c>
      <c r="K477" s="4">
        <f t="shared" si="296"/>
        <v>-5.5784486103488832E-3</v>
      </c>
      <c r="L477" s="4">
        <f t="shared" si="296"/>
        <v>-5.710971997488822E-3</v>
      </c>
      <c r="M477" s="4">
        <f t="shared" si="296"/>
        <v>-5.8552985009306547E-3</v>
      </c>
      <c r="N477" s="4">
        <f t="shared" si="296"/>
        <v>-6.0279149163773365E-3</v>
      </c>
      <c r="O477" s="4">
        <f t="shared" si="296"/>
        <v>-6.2251768949984692E-3</v>
      </c>
      <c r="P477" s="4">
        <f t="shared" si="296"/>
        <v>-6.445076312109237E-3</v>
      </c>
      <c r="Q477" s="4">
        <f t="shared" si="296"/>
        <v>-6.6859419595264027E-3</v>
      </c>
      <c r="R477" s="4">
        <f t="shared" si="296"/>
        <v>-6.945874522028243E-3</v>
      </c>
      <c r="S477" s="4">
        <f t="shared" si="296"/>
        <v>-7.2359606234610446E-3</v>
      </c>
      <c r="T477" s="4">
        <f t="shared" si="296"/>
        <v>-7.5443293597153988E-3</v>
      </c>
      <c r="U477" s="4">
        <f t="shared" si="296"/>
        <v>-7.8658194676592165E-3</v>
      </c>
      <c r="V477" s="4">
        <f t="shared" si="296"/>
        <v>-8.1969517005868256E-3</v>
      </c>
      <c r="W477" s="4">
        <f t="shared" si="296"/>
        <v>-8.533617785032404E-3</v>
      </c>
      <c r="X477" s="4">
        <f t="shared" si="296"/>
        <v>-8.8757171303957185E-3</v>
      </c>
      <c r="Y477" s="4">
        <f t="shared" si="296"/>
        <v>-9.2197844903661955E-3</v>
      </c>
      <c r="Z477" s="4">
        <f t="shared" si="296"/>
        <v>-9.5638555445407263E-3</v>
      </c>
      <c r="AA477" s="4">
        <f t="shared" si="296"/>
        <v>-9.9063123690533231E-3</v>
      </c>
      <c r="AB477" s="4">
        <f t="shared" si="296"/>
        <v>-1.0241293564783911E-2</v>
      </c>
      <c r="AC477" s="4">
        <f t="shared" si="296"/>
        <v>-1.0569836811272375E-2</v>
      </c>
      <c r="AD477" s="4">
        <f t="shared" si="296"/>
        <v>-1.0892172986148219E-2</v>
      </c>
      <c r="AE477" s="4">
        <f t="shared" si="296"/>
        <v>-1.1208390644907357E-2</v>
      </c>
      <c r="AF477" s="4">
        <f t="shared" si="296"/>
        <v>-1.1518423337912717E-2</v>
      </c>
      <c r="AG477" s="4">
        <f t="shared" si="296"/>
        <v>-1.1822297429793762E-2</v>
      </c>
      <c r="AH477" s="4">
        <f t="shared" si="296"/>
        <v>-1.211731063094695E-2</v>
      </c>
      <c r="AI477" s="4">
        <f t="shared" si="296"/>
        <v>-1.2405097268748335E-2</v>
      </c>
      <c r="AJ477" s="4">
        <f t="shared" si="296"/>
        <v>-1.2686267851185734E-2</v>
      </c>
      <c r="AK477" s="4">
        <f t="shared" si="296"/>
        <v>-1.2961241889443765E-2</v>
      </c>
      <c r="AL477" s="4">
        <f t="shared" si="296"/>
        <v>-1.3230410078528439E-2</v>
      </c>
      <c r="AM477" s="4">
        <f t="shared" ref="AM477:BC477" si="297">(AM453-AM466)/AM$458</f>
        <v>-1.3471341557567131E-2</v>
      </c>
      <c r="AN477" s="4">
        <f t="shared" si="297"/>
        <v>-1.3699963212229365E-2</v>
      </c>
      <c r="AO477" s="4">
        <f t="shared" si="297"/>
        <v>-1.3920896723726133E-2</v>
      </c>
      <c r="AP477" s="4">
        <f t="shared" si="297"/>
        <v>-1.4136275127032371E-2</v>
      </c>
      <c r="AQ477" s="4">
        <f t="shared" si="297"/>
        <v>-1.434737918590431E-2</v>
      </c>
      <c r="AR477" s="4">
        <f t="shared" si="297"/>
        <v>-1.4551881008899004E-2</v>
      </c>
      <c r="AS477" s="4">
        <f t="shared" si="297"/>
        <v>-1.4752449713310819E-2</v>
      </c>
      <c r="AT477" s="4">
        <f t="shared" si="297"/>
        <v>-1.4950216454543858E-2</v>
      </c>
      <c r="AU477" s="4">
        <f t="shared" si="297"/>
        <v>-1.5145871767991474E-2</v>
      </c>
      <c r="AV477" s="4">
        <f t="shared" si="297"/>
        <v>-1.5339908541875254E-2</v>
      </c>
      <c r="AW477" s="4">
        <f t="shared" si="297"/>
        <v>-1.5522565032188603E-2</v>
      </c>
      <c r="AX477" s="4">
        <f t="shared" si="297"/>
        <v>-1.570029583203034E-2</v>
      </c>
      <c r="AY477" s="4">
        <f t="shared" si="297"/>
        <v>-1.5976912593646461E-2</v>
      </c>
      <c r="AZ477" s="4">
        <f t="shared" si="297"/>
        <v>-1.5151176642165238E-2</v>
      </c>
      <c r="BA477" s="4">
        <f t="shared" si="297"/>
        <v>-1.592796000939134E-2</v>
      </c>
      <c r="BB477" s="4">
        <f t="shared" si="297"/>
        <v>-2.2081348168183248E-3</v>
      </c>
      <c r="BC477" s="4">
        <f t="shared" si="297"/>
        <v>-2.2385202975619312E-3</v>
      </c>
      <c r="BD477" s="4">
        <f t="shared" ref="BD477:BF477" si="298">(BD453-BD466)/BD$458</f>
        <v>-2.2671941938934635E-3</v>
      </c>
      <c r="BE477" s="4">
        <f t="shared" si="298"/>
        <v>-2.2945721350586448E-3</v>
      </c>
      <c r="BF477" s="4">
        <f t="shared" si="298"/>
        <v>-2.3208418263801216E-3</v>
      </c>
    </row>
    <row r="479" spans="1:58" x14ac:dyDescent="0.35">
      <c r="A479" s="12" t="s">
        <v>94</v>
      </c>
      <c r="B479" s="3" t="str">
        <f>[1]Results!E205</f>
        <v>YG_toe_2</v>
      </c>
      <c r="C479" s="3">
        <f>[1]Results!F205</f>
        <v>145.290085</v>
      </c>
      <c r="D479" s="3">
        <f>[1]Results!G205</f>
        <v>145.6469745</v>
      </c>
      <c r="E479" s="3">
        <f>[1]Results!H205</f>
        <v>146.09338289999999</v>
      </c>
      <c r="F479" s="3">
        <f>[1]Results!I205</f>
        <v>146.70634430000001</v>
      </c>
      <c r="G479" s="3">
        <f>[1]Results!J205</f>
        <v>147.53885009999999</v>
      </c>
      <c r="H479" s="3">
        <f>[1]Results!K205</f>
        <v>148.58420520000001</v>
      </c>
      <c r="I479" s="3">
        <f>[1]Results!L205</f>
        <v>149.72060010000001</v>
      </c>
      <c r="J479" s="3">
        <f>[1]Results!M205</f>
        <v>150.957506</v>
      </c>
      <c r="K479" s="3">
        <f>[1]Results!N205</f>
        <v>152.26359729999999</v>
      </c>
      <c r="L479" s="3">
        <f>[1]Results!O205</f>
        <v>153.6091261</v>
      </c>
      <c r="M479" s="3">
        <f>[1]Results!P205</f>
        <v>155.10973730000001</v>
      </c>
      <c r="N479" s="3">
        <f>[1]Results!Q205</f>
        <v>156.50117760000001</v>
      </c>
      <c r="O479" s="3">
        <f>[1]Results!R205</f>
        <v>157.85441420000001</v>
      </c>
      <c r="P479" s="3">
        <f>[1]Results!S205</f>
        <v>159.1747326</v>
      </c>
      <c r="Q479" s="3">
        <f>[1]Results!T205</f>
        <v>160.46340950000001</v>
      </c>
      <c r="R479" s="3">
        <f>[1]Results!U205</f>
        <v>161.7221893</v>
      </c>
      <c r="S479" s="3">
        <f>[1]Results!V205</f>
        <v>162.94112939999999</v>
      </c>
      <c r="T479" s="3">
        <f>[1]Results!W205</f>
        <v>164.13449069999999</v>
      </c>
      <c r="U479" s="3">
        <f>[1]Results!X205</f>
        <v>165.30962769999999</v>
      </c>
      <c r="V479" s="3">
        <f>[1]Results!Y205</f>
        <v>166.47385360000001</v>
      </c>
      <c r="W479" s="3">
        <f>[1]Results!Z205</f>
        <v>167.53607500000001</v>
      </c>
      <c r="X479" s="3">
        <f>[1]Results!AA205</f>
        <v>168.6674821</v>
      </c>
      <c r="Y479" s="3">
        <f>[1]Results!AB205</f>
        <v>169.82278840000001</v>
      </c>
      <c r="Z479" s="3">
        <f>[1]Results!AC205</f>
        <v>170.9999172</v>
      </c>
      <c r="AA479" s="3">
        <f>[1]Results!AD205</f>
        <v>172.20089060000001</v>
      </c>
      <c r="AB479" s="3">
        <f>[1]Results!AE205</f>
        <v>173.15349990000001</v>
      </c>
      <c r="AC479" s="3">
        <f>[1]Results!AF205</f>
        <v>174.1951511</v>
      </c>
      <c r="AD479" s="3">
        <f>[1]Results!AG205</f>
        <v>175.26530170000001</v>
      </c>
      <c r="AE479" s="3">
        <f>[1]Results!AH205</f>
        <v>176.36206329999999</v>
      </c>
      <c r="AF479" s="3">
        <f>[1]Results!AI205</f>
        <v>177.48703810000001</v>
      </c>
      <c r="AG479" s="3">
        <f>[1]Results!AJ205</f>
        <v>178.64229409999999</v>
      </c>
      <c r="AH479" s="3">
        <f>[1]Results!AK205</f>
        <v>179.83201690000001</v>
      </c>
      <c r="AI479" s="3">
        <f>[1]Results!AL205</f>
        <v>181.05512300000001</v>
      </c>
      <c r="AJ479" s="3">
        <f>[1]Results!AM205</f>
        <v>182.3111754</v>
      </c>
      <c r="AK479" s="3">
        <f>[1]Results!AN205</f>
        <v>183.59914420000001</v>
      </c>
      <c r="AL479" s="3">
        <f>[1]Results!AO205</f>
        <v>184.91755409999999</v>
      </c>
      <c r="AM479" s="3">
        <f>[1]Results!AP205</f>
        <v>186.22443920000001</v>
      </c>
      <c r="AN479" s="3">
        <f>[1]Results!AQ205</f>
        <v>187.54478599999999</v>
      </c>
      <c r="AO479" s="3">
        <f>[1]Results!AR205</f>
        <v>188.88305639999999</v>
      </c>
      <c r="AP479" s="3">
        <f>[1]Results!AS205</f>
        <v>190.23997370000001</v>
      </c>
      <c r="AQ479" s="3">
        <f>[1]Results!AT205</f>
        <v>191.61533399999999</v>
      </c>
      <c r="AR479" s="3">
        <f>[1]Results!AU205</f>
        <v>193.01225149999999</v>
      </c>
      <c r="AS479" s="3">
        <f>[1]Results!AV205</f>
        <v>194.4282106</v>
      </c>
      <c r="AT479" s="3">
        <f>[1]Results!AW205</f>
        <v>195.862559</v>
      </c>
      <c r="AU479" s="3">
        <f>[1]Results!AX205</f>
        <v>197.31470200000001</v>
      </c>
      <c r="AV479" s="3">
        <f>[1]Results!AY205</f>
        <v>198.78405430000001</v>
      </c>
      <c r="AW479" s="3">
        <f>[1]Results!AZ205</f>
        <v>200.28672040000001</v>
      </c>
      <c r="AX479" s="3">
        <f>[1]Results!BA205</f>
        <v>201.81146889999999</v>
      </c>
      <c r="AY479" s="3">
        <f>[1]Results!BB205</f>
        <v>202.44768210000001</v>
      </c>
      <c r="AZ479" s="3">
        <f>[1]Results!BC205</f>
        <v>204.11189239999999</v>
      </c>
      <c r="BA479" s="3">
        <f>[1]Results!BD205</f>
        <v>204.30317239999999</v>
      </c>
      <c r="BB479" s="3">
        <f>[1]Results!BE205</f>
        <v>260.51870730000002</v>
      </c>
      <c r="BC479" s="3">
        <f>[1]Results!BF205</f>
        <v>264.01853419999998</v>
      </c>
      <c r="BD479" s="3">
        <f>[1]Results!BG205</f>
        <v>267.57925560000001</v>
      </c>
      <c r="BE479" s="3">
        <f>[1]Results!BH205</f>
        <v>271.20175319999998</v>
      </c>
      <c r="BF479" s="3">
        <f>[1]Results!BI205</f>
        <v>274.88702260000002</v>
      </c>
    </row>
    <row r="480" spans="1:58" x14ac:dyDescent="0.35">
      <c r="A480" t="s">
        <v>39</v>
      </c>
      <c r="B480" s="3" t="str">
        <f>[1]Results!E206</f>
        <v>YG_toe_ccoa_2</v>
      </c>
      <c r="C480" s="3">
        <f>[1]Results!F206</f>
        <v>2.3095297179999998</v>
      </c>
      <c r="D480" s="3">
        <f>[1]Results!G206</f>
        <v>2.3146025649999999</v>
      </c>
      <c r="E480" s="3">
        <f>[1]Results!H206</f>
        <v>2.332251393</v>
      </c>
      <c r="F480" s="3">
        <f>[1]Results!I206</f>
        <v>2.3540535610000002</v>
      </c>
      <c r="G480" s="3">
        <f>[1]Results!J206</f>
        <v>2.3783382309999999</v>
      </c>
      <c r="H480" s="3">
        <f>[1]Results!K206</f>
        <v>2.4044750669999999</v>
      </c>
      <c r="I480" s="3">
        <f>[1]Results!L206</f>
        <v>2.43056648</v>
      </c>
      <c r="J480" s="3">
        <f>[1]Results!M206</f>
        <v>2.4573944679999999</v>
      </c>
      <c r="K480" s="3">
        <f>[1]Results!N206</f>
        <v>2.4850207709999999</v>
      </c>
      <c r="L480" s="3">
        <f>[1]Results!O206</f>
        <v>2.5133998200000001</v>
      </c>
      <c r="M480" s="3">
        <f>[1]Results!P206</f>
        <v>2.5449258060000002</v>
      </c>
      <c r="N480" s="3">
        <f>[1]Results!Q206</f>
        <v>2.5750168630000001</v>
      </c>
      <c r="O480" s="3">
        <f>[1]Results!R206</f>
        <v>2.6052549090000001</v>
      </c>
      <c r="P480" s="3">
        <f>[1]Results!S206</f>
        <v>2.6359074310000001</v>
      </c>
      <c r="Q480" s="3">
        <f>[1]Results!T206</f>
        <v>2.6669759480000002</v>
      </c>
      <c r="R480" s="3">
        <f>[1]Results!U206</f>
        <v>2.6984196109999998</v>
      </c>
      <c r="S480" s="3">
        <f>[1]Results!V206</f>
        <v>2.729808942</v>
      </c>
      <c r="T480" s="3">
        <f>[1]Results!W206</f>
        <v>2.761463064</v>
      </c>
      <c r="U480" s="3">
        <f>[1]Results!X206</f>
        <v>2.7934316950000002</v>
      </c>
      <c r="V480" s="3">
        <f>[1]Results!Y206</f>
        <v>2.8257302960000001</v>
      </c>
      <c r="W480" s="3">
        <f>[1]Results!Z206</f>
        <v>2.856629082</v>
      </c>
      <c r="X480" s="3">
        <f>[1]Results!AA206</f>
        <v>2.8891313470000002</v>
      </c>
      <c r="Y480" s="3">
        <f>[1]Results!AB206</f>
        <v>2.922331883</v>
      </c>
      <c r="Z480" s="3">
        <f>[1]Results!AC206</f>
        <v>2.9560793639999998</v>
      </c>
      <c r="AA480" s="3">
        <f>[1]Results!AD206</f>
        <v>2.9903756459999999</v>
      </c>
      <c r="AB480" s="3">
        <f>[1]Results!AE206</f>
        <v>3.0202842649999999</v>
      </c>
      <c r="AC480" s="3">
        <f>[1]Results!AF206</f>
        <v>3.0520411439999999</v>
      </c>
      <c r="AD480" s="3">
        <f>[1]Results!AG206</f>
        <v>3.0844617859999999</v>
      </c>
      <c r="AE480" s="3">
        <f>[1]Results!AH206</f>
        <v>3.1173626680000002</v>
      </c>
      <c r="AF480" s="3">
        <f>[1]Results!AI206</f>
        <v>3.1507569640000002</v>
      </c>
      <c r="AG480" s="3">
        <f>[1]Results!AJ206</f>
        <v>3.1846812340000001</v>
      </c>
      <c r="AH480" s="3">
        <f>[1]Results!AK206</f>
        <v>3.2192492810000002</v>
      </c>
      <c r="AI480" s="3">
        <f>[1]Results!AL206</f>
        <v>3.2543932189999998</v>
      </c>
      <c r="AJ480" s="3">
        <f>[1]Results!AM206</f>
        <v>3.2900984279999999</v>
      </c>
      <c r="AK480" s="3">
        <f>[1]Results!AN206</f>
        <v>3.3263533590000001</v>
      </c>
      <c r="AL480" s="3">
        <f>[1]Results!AO206</f>
        <v>3.3631437059999998</v>
      </c>
      <c r="AM480" s="3">
        <f>[1]Results!AP206</f>
        <v>3.4000789619999998</v>
      </c>
      <c r="AN480" s="3">
        <f>[1]Results!AQ206</f>
        <v>3.4372507030000001</v>
      </c>
      <c r="AO480" s="3">
        <f>[1]Results!AR206</f>
        <v>3.4747253819999999</v>
      </c>
      <c r="AP480" s="3">
        <f>[1]Results!AS206</f>
        <v>3.5125419299999998</v>
      </c>
      <c r="AQ480" s="3">
        <f>[1]Results!AT206</f>
        <v>3.550726687</v>
      </c>
      <c r="AR480" s="3">
        <f>[1]Results!AU206</f>
        <v>3.589424728</v>
      </c>
      <c r="AS480" s="3">
        <f>[1]Results!AV206</f>
        <v>3.6285386129999999</v>
      </c>
      <c r="AT480" s="3">
        <f>[1]Results!AW206</f>
        <v>3.6680577009999999</v>
      </c>
      <c r="AU480" s="3">
        <f>[1]Results!AX206</f>
        <v>3.707982302</v>
      </c>
      <c r="AV480" s="3">
        <f>[1]Results!AY206</f>
        <v>3.7483123209999998</v>
      </c>
      <c r="AW480" s="3">
        <f>[1]Results!AZ206</f>
        <v>3.7895818490000002</v>
      </c>
      <c r="AX480" s="3">
        <f>[1]Results!BA206</f>
        <v>3.8313545160000002</v>
      </c>
      <c r="AY480" s="3">
        <f>[1]Results!BB206</f>
        <v>3.9178507570000001</v>
      </c>
      <c r="AZ480" s="3">
        <f>[1]Results!BC206</f>
        <v>4.1422248589999997</v>
      </c>
      <c r="BA480" s="3">
        <f>[1]Results!BD206</f>
        <v>4.1695365190000002</v>
      </c>
      <c r="BB480" s="3">
        <f>[1]Results!BE206</f>
        <v>5.3030612970000002</v>
      </c>
      <c r="BC480" s="3">
        <f>[1]Results!BF206</f>
        <v>5.3926175350000003</v>
      </c>
      <c r="BD480" s="3">
        <f>[1]Results!BG206</f>
        <v>5.4835762130000001</v>
      </c>
      <c r="BE480" s="3">
        <f>[1]Results!BH206</f>
        <v>5.5759606100000001</v>
      </c>
      <c r="BF480" s="3">
        <f>[1]Results!BI206</f>
        <v>5.6697948240000002</v>
      </c>
    </row>
    <row r="481" spans="1:58" x14ac:dyDescent="0.35">
      <c r="B481" s="3" t="s">
        <v>74</v>
      </c>
      <c r="C481" s="3">
        <f>SUM(C482:C484)</f>
        <v>50.375451388999998</v>
      </c>
      <c r="D481" s="3">
        <f t="shared" ref="D481:AL481" si="299">SUM(D482:D484)</f>
        <v>50.480462473000003</v>
      </c>
      <c r="E481" s="3">
        <f t="shared" si="299"/>
        <v>50.594412722999998</v>
      </c>
      <c r="F481" s="3">
        <f t="shared" si="299"/>
        <v>50.766319678999999</v>
      </c>
      <c r="G481" s="3">
        <f t="shared" si="299"/>
        <v>51.018415140999998</v>
      </c>
      <c r="H481" s="3">
        <f t="shared" si="299"/>
        <v>51.349469417000002</v>
      </c>
      <c r="I481" s="3">
        <f t="shared" si="299"/>
        <v>51.723204686000003</v>
      </c>
      <c r="J481" s="3">
        <f t="shared" si="299"/>
        <v>52.144592177</v>
      </c>
      <c r="K481" s="3">
        <f t="shared" si="299"/>
        <v>52.605551829999996</v>
      </c>
      <c r="L481" s="3">
        <f t="shared" si="299"/>
        <v>53.098499457999999</v>
      </c>
      <c r="M481" s="3">
        <f t="shared" si="299"/>
        <v>53.660069574000005</v>
      </c>
      <c r="N481" s="3">
        <f t="shared" si="299"/>
        <v>54.209181407000003</v>
      </c>
      <c r="O481" s="3">
        <f t="shared" si="299"/>
        <v>54.768490109999995</v>
      </c>
      <c r="P481" s="3">
        <f t="shared" si="299"/>
        <v>55.337068903000002</v>
      </c>
      <c r="Q481" s="3">
        <f t="shared" si="299"/>
        <v>55.912486047000002</v>
      </c>
      <c r="R481" s="3">
        <f t="shared" si="299"/>
        <v>56.492365101000004</v>
      </c>
      <c r="S481" s="3">
        <f t="shared" si="299"/>
        <v>57.070675678000001</v>
      </c>
      <c r="T481" s="3">
        <f t="shared" si="299"/>
        <v>57.649569507000002</v>
      </c>
      <c r="U481" s="3">
        <f t="shared" si="299"/>
        <v>58.228546797000007</v>
      </c>
      <c r="V481" s="3">
        <f t="shared" si="299"/>
        <v>58.807424674000004</v>
      </c>
      <c r="W481" s="3">
        <f t="shared" si="299"/>
        <v>59.355662801000001</v>
      </c>
      <c r="X481" s="3">
        <f t="shared" si="299"/>
        <v>59.925158663999994</v>
      </c>
      <c r="Y481" s="3">
        <f t="shared" si="299"/>
        <v>60.499786174000008</v>
      </c>
      <c r="Z481" s="3">
        <f t="shared" si="299"/>
        <v>61.078672128999997</v>
      </c>
      <c r="AA481" s="3">
        <f t="shared" si="299"/>
        <v>61.662303835000003</v>
      </c>
      <c r="AB481" s="3">
        <f t="shared" si="299"/>
        <v>62.164527423999999</v>
      </c>
      <c r="AC481" s="3">
        <f t="shared" si="299"/>
        <v>62.691806615999994</v>
      </c>
      <c r="AD481" s="3">
        <f t="shared" si="299"/>
        <v>63.222685876</v>
      </c>
      <c r="AE481" s="3">
        <f t="shared" si="299"/>
        <v>63.757389202999995</v>
      </c>
      <c r="AF481" s="3">
        <f t="shared" si="299"/>
        <v>64.297318132000001</v>
      </c>
      <c r="AG481" s="3">
        <f t="shared" si="299"/>
        <v>64.84390810699999</v>
      </c>
      <c r="AH481" s="3">
        <f t="shared" si="299"/>
        <v>65.399184595000008</v>
      </c>
      <c r="AI481" s="3">
        <f t="shared" si="299"/>
        <v>65.963310450999998</v>
      </c>
      <c r="AJ481" s="3">
        <f t="shared" si="299"/>
        <v>66.536855523</v>
      </c>
      <c r="AK481" s="3">
        <f t="shared" si="299"/>
        <v>67.120221504</v>
      </c>
      <c r="AL481" s="3">
        <f t="shared" si="299"/>
        <v>67.713664614999999</v>
      </c>
      <c r="AM481" s="3">
        <f t="shared" ref="AM481:BC481" si="300">SUM(AM482:AM484)</f>
        <v>68.304403929999992</v>
      </c>
      <c r="AN481" s="3">
        <f t="shared" si="300"/>
        <v>68.899717959</v>
      </c>
      <c r="AO481" s="3">
        <f t="shared" si="300"/>
        <v>69.501471949000006</v>
      </c>
      <c r="AP481" s="3">
        <f t="shared" si="300"/>
        <v>70.110610703000006</v>
      </c>
      <c r="AQ481" s="3">
        <f t="shared" si="300"/>
        <v>70.727759810999999</v>
      </c>
      <c r="AR481" s="3">
        <f t="shared" si="300"/>
        <v>71.354522489999994</v>
      </c>
      <c r="AS481" s="3">
        <f t="shared" si="300"/>
        <v>71.990298134</v>
      </c>
      <c r="AT481" s="3">
        <f t="shared" si="300"/>
        <v>72.635283774000001</v>
      </c>
      <c r="AU481" s="3">
        <f t="shared" si="300"/>
        <v>73.289649744000002</v>
      </c>
      <c r="AV481" s="3">
        <f t="shared" si="300"/>
        <v>73.953530048999994</v>
      </c>
      <c r="AW481" s="3">
        <f t="shared" si="300"/>
        <v>74.632576069999999</v>
      </c>
      <c r="AX481" s="3">
        <f t="shared" si="300"/>
        <v>75.322582732000001</v>
      </c>
      <c r="AY481" s="3">
        <f t="shared" si="300"/>
        <v>75.483941598000001</v>
      </c>
      <c r="AZ481" s="3">
        <f t="shared" si="300"/>
        <v>75.879682197999998</v>
      </c>
      <c r="BA481" s="3">
        <f t="shared" si="300"/>
        <v>75.924418752999998</v>
      </c>
      <c r="BB481" s="3">
        <f t="shared" si="300"/>
        <v>95.014426126000018</v>
      </c>
      <c r="BC481" s="3">
        <f t="shared" si="300"/>
        <v>96.327141432000005</v>
      </c>
      <c r="BD481" s="3">
        <f t="shared" ref="BD481:BF481" si="301">SUM(BD482:BD484)</f>
        <v>97.660754142000002</v>
      </c>
      <c r="BE481" s="3">
        <f t="shared" si="301"/>
        <v>99.01581788099999</v>
      </c>
      <c r="BF481" s="3">
        <f t="shared" si="301"/>
        <v>100.392923688</v>
      </c>
    </row>
    <row r="482" spans="1:58" x14ac:dyDescent="0.35">
      <c r="B482" s="3" t="str">
        <f>[1]Results!E209</f>
        <v>YG_toe_ccoi_2</v>
      </c>
      <c r="C482" s="3">
        <f>[1]Results!F209</f>
        <v>1.071679711</v>
      </c>
      <c r="D482" s="3">
        <f>[1]Results!G209</f>
        <v>1.072533671</v>
      </c>
      <c r="E482" s="3">
        <f>[1]Results!H209</f>
        <v>1.075589052</v>
      </c>
      <c r="F482" s="3">
        <f>[1]Results!I209</f>
        <v>1.0799697159999999</v>
      </c>
      <c r="G482" s="3">
        <f>[1]Results!J209</f>
        <v>1.085896714</v>
      </c>
      <c r="H482" s="3">
        <f>[1]Results!K209</f>
        <v>1.0933448029999999</v>
      </c>
      <c r="I482" s="3">
        <f>[1]Results!L209</f>
        <v>1.1015396099999999</v>
      </c>
      <c r="J482" s="3">
        <f>[1]Results!M209</f>
        <v>1.1105657849999999</v>
      </c>
      <c r="K482" s="3">
        <f>[1]Results!N209</f>
        <v>1.1202901380000001</v>
      </c>
      <c r="L482" s="3">
        <f>[1]Results!O209</f>
        <v>1.1305650380000001</v>
      </c>
      <c r="M482" s="3">
        <f>[1]Results!P209</f>
        <v>1.142197817</v>
      </c>
      <c r="N482" s="3">
        <f>[1]Results!Q209</f>
        <v>1.1534879469999999</v>
      </c>
      <c r="O482" s="3">
        <f>[1]Results!R209</f>
        <v>1.164839881</v>
      </c>
      <c r="P482" s="3">
        <f>[1]Results!S209</f>
        <v>1.176316615</v>
      </c>
      <c r="Q482" s="3">
        <f>[1]Results!T209</f>
        <v>1.1879013860000001</v>
      </c>
      <c r="R482" s="3">
        <f>[1]Results!U209</f>
        <v>1.199565276</v>
      </c>
      <c r="S482" s="3">
        <f>[1]Results!V209</f>
        <v>1.211178836</v>
      </c>
      <c r="T482" s="3">
        <f>[1]Results!W209</f>
        <v>1.2228062740000001</v>
      </c>
      <c r="U482" s="3">
        <f>[1]Results!X209</f>
        <v>1.234455836</v>
      </c>
      <c r="V482" s="3">
        <f>[1]Results!Y209</f>
        <v>1.2461306889999999</v>
      </c>
      <c r="W482" s="3">
        <f>[1]Results!Z209</f>
        <v>1.257177481</v>
      </c>
      <c r="X482" s="3">
        <f>[1]Results!AA209</f>
        <v>1.2686792929999999</v>
      </c>
      <c r="Y482" s="3">
        <f>[1]Results!AB209</f>
        <v>1.2803657639999999</v>
      </c>
      <c r="Z482" s="3">
        <f>[1]Results!AC209</f>
        <v>1.2921796249999999</v>
      </c>
      <c r="AA482" s="3">
        <f>[1]Results!AD209</f>
        <v>1.3041192450000001</v>
      </c>
      <c r="AB482" s="3">
        <f>[1]Results!AE209</f>
        <v>1.3143311289999999</v>
      </c>
      <c r="AC482" s="3">
        <f>[1]Results!AF209</f>
        <v>1.3250090299999999</v>
      </c>
      <c r="AD482" s="3">
        <f>[1]Results!AG209</f>
        <v>1.335859632</v>
      </c>
      <c r="AE482" s="3">
        <f>[1]Results!AH209</f>
        <v>1.3468367459999999</v>
      </c>
      <c r="AF482" s="3">
        <f>[1]Results!AI209</f>
        <v>1.357952738</v>
      </c>
      <c r="AG482" s="3">
        <f>[1]Results!AJ209</f>
        <v>1.369228742</v>
      </c>
      <c r="AH482" s="3">
        <f>[1]Results!AK209</f>
        <v>1.3807050160000001</v>
      </c>
      <c r="AI482" s="3">
        <f>[1]Results!AL209</f>
        <v>1.3923773500000001</v>
      </c>
      <c r="AJ482" s="3">
        <f>[1]Results!AM209</f>
        <v>1.404250534</v>
      </c>
      <c r="AK482" s="3">
        <f>[1]Results!AN209</f>
        <v>1.4163282989999999</v>
      </c>
      <c r="AL482" s="3">
        <f>[1]Results!AO209</f>
        <v>1.4286122720000001</v>
      </c>
      <c r="AM482" s="3">
        <f>[1]Results!AP209</f>
        <v>1.4408626710000001</v>
      </c>
      <c r="AN482" s="3">
        <f>[1]Results!AQ209</f>
        <v>1.4531954</v>
      </c>
      <c r="AO482" s="3">
        <f>[1]Results!AR209</f>
        <v>1.4656587999999999</v>
      </c>
      <c r="AP482" s="3">
        <f>[1]Results!AS209</f>
        <v>1.478274619</v>
      </c>
      <c r="AQ482" s="3">
        <f>[1]Results!AT209</f>
        <v>1.4910551270000001</v>
      </c>
      <c r="AR482" s="3">
        <f>[1]Results!AU209</f>
        <v>1.5040387399999999</v>
      </c>
      <c r="AS482" s="3">
        <f>[1]Results!AV209</f>
        <v>1.517208044</v>
      </c>
      <c r="AT482" s="3">
        <f>[1]Results!AW209</f>
        <v>1.530562564</v>
      </c>
      <c r="AU482" s="3">
        <f>[1]Results!AX209</f>
        <v>1.544103944</v>
      </c>
      <c r="AV482" s="3">
        <f>[1]Results!AY209</f>
        <v>1.5578336690000001</v>
      </c>
      <c r="AW482" s="3">
        <f>[1]Results!AZ209</f>
        <v>1.57189215</v>
      </c>
      <c r="AX482" s="3">
        <f>[1]Results!BA209</f>
        <v>1.5861812420000001</v>
      </c>
      <c r="AY482" s="3">
        <f>[1]Results!BB209</f>
        <v>1.6232116780000001</v>
      </c>
      <c r="AZ482" s="3">
        <f>[1]Results!BC209</f>
        <v>1.719242538</v>
      </c>
      <c r="BA482" s="3">
        <f>[1]Results!BD209</f>
        <v>1.7302990330000001</v>
      </c>
      <c r="BB482" s="3">
        <f>[1]Results!BE209</f>
        <v>2.0573651060000002</v>
      </c>
      <c r="BC482" s="3">
        <f>[1]Results!BF209</f>
        <v>2.086709532</v>
      </c>
      <c r="BD482" s="3">
        <f>[1]Results!BG209</f>
        <v>2.1165431620000001</v>
      </c>
      <c r="BE482" s="3">
        <f>[1]Results!BH209</f>
        <v>2.146877581</v>
      </c>
      <c r="BF482" s="3">
        <f>[1]Results!BI209</f>
        <v>2.1777251980000001</v>
      </c>
    </row>
    <row r="483" spans="1:58" x14ac:dyDescent="0.35">
      <c r="B483" s="3" t="str">
        <f>[1]Results!E212</f>
        <v>YG_toe_cfut_2</v>
      </c>
      <c r="C483" s="3">
        <f>[1]Results!F212</f>
        <v>41.471946869999996</v>
      </c>
      <c r="D483" s="3">
        <f>[1]Results!G212</f>
        <v>41.546906569999997</v>
      </c>
      <c r="E483" s="3">
        <f>[1]Results!H212</f>
        <v>41.639059340000003</v>
      </c>
      <c r="F483" s="3">
        <f>[1]Results!I212</f>
        <v>41.788951689999998</v>
      </c>
      <c r="G483" s="3">
        <f>[1]Results!J212</f>
        <v>42.011492599999997</v>
      </c>
      <c r="H483" s="3">
        <f>[1]Results!K212</f>
        <v>42.302539199999998</v>
      </c>
      <c r="I483" s="3">
        <f>[1]Results!L212</f>
        <v>42.630398530000001</v>
      </c>
      <c r="J483" s="3">
        <f>[1]Results!M212</f>
        <v>42.999053080000003</v>
      </c>
      <c r="K483" s="3">
        <f>[1]Results!N212</f>
        <v>43.401639709999998</v>
      </c>
      <c r="L483" s="3">
        <f>[1]Results!O212</f>
        <v>43.831956759999997</v>
      </c>
      <c r="M483" s="3">
        <f>[1]Results!P212</f>
        <v>44.320197030000003</v>
      </c>
      <c r="N483" s="3">
        <f>[1]Results!Q212</f>
        <v>44.799066709999998</v>
      </c>
      <c r="O483" s="3">
        <f>[1]Results!R212</f>
        <v>45.288357259999998</v>
      </c>
      <c r="P483" s="3">
        <f>[1]Results!S212</f>
        <v>45.786795830000003</v>
      </c>
      <c r="Q483" s="3">
        <f>[1]Results!T212</f>
        <v>46.29204549</v>
      </c>
      <c r="R483" s="3">
        <f>[1]Results!U212</f>
        <v>46.801875930000001</v>
      </c>
      <c r="S483" s="3">
        <f>[1]Results!V212</f>
        <v>47.311001779999998</v>
      </c>
      <c r="T483" s="3">
        <f>[1]Results!W212</f>
        <v>47.82111811</v>
      </c>
      <c r="U483" s="3">
        <f>[1]Results!X212</f>
        <v>48.331580770000002</v>
      </c>
      <c r="V483" s="3">
        <f>[1]Results!Y212</f>
        <v>48.842075180000002</v>
      </c>
      <c r="W483" s="3">
        <f>[1]Results!Z212</f>
        <v>49.327284650000003</v>
      </c>
      <c r="X483" s="3">
        <f>[1]Results!AA212</f>
        <v>49.830334209999997</v>
      </c>
      <c r="Y483" s="3">
        <f>[1]Results!AB212</f>
        <v>50.337083370000002</v>
      </c>
      <c r="Z483" s="3">
        <f>[1]Results!AC212</f>
        <v>50.846990349999999</v>
      </c>
      <c r="AA483" s="3">
        <f>[1]Results!AD212</f>
        <v>51.360522940000003</v>
      </c>
      <c r="AB483" s="3">
        <f>[1]Results!AE212</f>
        <v>51.806529589999997</v>
      </c>
      <c r="AC483" s="3">
        <f>[1]Results!AF212</f>
        <v>52.274177379999998</v>
      </c>
      <c r="AD483" s="3">
        <f>[1]Results!AG212</f>
        <v>52.744083799999999</v>
      </c>
      <c r="AE483" s="3">
        <f>[1]Results!AH212</f>
        <v>53.216636719999997</v>
      </c>
      <c r="AF483" s="3">
        <f>[1]Results!AI212</f>
        <v>53.693103780000001</v>
      </c>
      <c r="AG483" s="3">
        <f>[1]Results!AJ212</f>
        <v>54.174753289999998</v>
      </c>
      <c r="AH483" s="3">
        <f>[1]Results!AK212</f>
        <v>54.663347860000002</v>
      </c>
      <c r="AI483" s="3">
        <f>[1]Results!AL212</f>
        <v>55.15906116</v>
      </c>
      <c r="AJ483" s="3">
        <f>[1]Results!AM212</f>
        <v>55.662439290000002</v>
      </c>
      <c r="AK483" s="3">
        <f>[1]Results!AN212</f>
        <v>56.173879579999998</v>
      </c>
      <c r="AL483" s="3">
        <f>[1]Results!AO212</f>
        <v>56.693656470000001</v>
      </c>
      <c r="AM483" s="3">
        <f>[1]Results!AP212</f>
        <v>57.211368589999999</v>
      </c>
      <c r="AN483" s="3">
        <f>[1]Results!AQ212</f>
        <v>57.733145710000002</v>
      </c>
      <c r="AO483" s="3">
        <f>[1]Results!AR212</f>
        <v>58.260454209999999</v>
      </c>
      <c r="AP483" s="3">
        <f>[1]Results!AS212</f>
        <v>58.794059330000003</v>
      </c>
      <c r="AQ483" s="3">
        <f>[1]Results!AT212</f>
        <v>59.334497110000001</v>
      </c>
      <c r="AR483" s="3">
        <f>[1]Results!AU212</f>
        <v>59.883157709999999</v>
      </c>
      <c r="AS483" s="3">
        <f>[1]Results!AV212</f>
        <v>60.439551710000003</v>
      </c>
      <c r="AT483" s="3">
        <f>[1]Results!AW212</f>
        <v>61.003906460000003</v>
      </c>
      <c r="AU483" s="3">
        <f>[1]Results!AX212</f>
        <v>61.576415580000003</v>
      </c>
      <c r="AV483" s="3">
        <f>[1]Results!AY212</f>
        <v>62.157239019999999</v>
      </c>
      <c r="AW483" s="3">
        <f>[1]Results!AZ212</f>
        <v>62.751201229999999</v>
      </c>
      <c r="AX483" s="3">
        <f>[1]Results!BA212</f>
        <v>63.354701460000001</v>
      </c>
      <c r="AY483" s="3">
        <f>[1]Results!BB212</f>
        <v>63.425690770000003</v>
      </c>
      <c r="AZ483" s="3">
        <f>[1]Results!BC212</f>
        <v>63.596810769999998</v>
      </c>
      <c r="BA483" s="3">
        <f>[1]Results!BD212</f>
        <v>63.616042819999997</v>
      </c>
      <c r="BB483" s="3">
        <f>[1]Results!BE212</f>
        <v>79.759657880000006</v>
      </c>
      <c r="BC483" s="3">
        <f>[1]Results!BF212</f>
        <v>80.877687420000001</v>
      </c>
      <c r="BD483" s="3">
        <f>[1]Results!BG212</f>
        <v>82.013431510000004</v>
      </c>
      <c r="BE483" s="3">
        <f>[1]Results!BH212</f>
        <v>83.167382599999996</v>
      </c>
      <c r="BF483" s="3">
        <f>[1]Results!BI212</f>
        <v>84.340058659999997</v>
      </c>
    </row>
    <row r="484" spans="1:58" x14ac:dyDescent="0.35">
      <c r="B484" s="3" t="str">
        <f>[1]Results!E215</f>
        <v>YG_toe_cfuh_2</v>
      </c>
      <c r="C484" s="3">
        <f>[1]Results!F215</f>
        <v>7.8318248080000004</v>
      </c>
      <c r="D484" s="3">
        <f>[1]Results!G215</f>
        <v>7.8610222319999998</v>
      </c>
      <c r="E484" s="3">
        <f>[1]Results!H215</f>
        <v>7.8797643309999996</v>
      </c>
      <c r="F484" s="3">
        <f>[1]Results!I215</f>
        <v>7.8973982730000003</v>
      </c>
      <c r="G484" s="3">
        <f>[1]Results!J215</f>
        <v>7.9210258270000002</v>
      </c>
      <c r="H484" s="3">
        <f>[1]Results!K215</f>
        <v>7.953585414</v>
      </c>
      <c r="I484" s="3">
        <f>[1]Results!L215</f>
        <v>7.9912665460000003</v>
      </c>
      <c r="J484" s="3">
        <f>[1]Results!M215</f>
        <v>8.034973312</v>
      </c>
      <c r="K484" s="3">
        <f>[1]Results!N215</f>
        <v>8.0836219820000004</v>
      </c>
      <c r="L484" s="3">
        <f>[1]Results!O215</f>
        <v>8.13597766</v>
      </c>
      <c r="M484" s="3">
        <f>[1]Results!P215</f>
        <v>8.1976747270000008</v>
      </c>
      <c r="N484" s="3">
        <f>[1]Results!Q215</f>
        <v>8.2566267500000006</v>
      </c>
      <c r="O484" s="3">
        <f>[1]Results!R215</f>
        <v>8.3152929689999997</v>
      </c>
      <c r="P484" s="3">
        <f>[1]Results!S215</f>
        <v>8.3739564580000003</v>
      </c>
      <c r="Q484" s="3">
        <f>[1]Results!T215</f>
        <v>8.4325391710000002</v>
      </c>
      <c r="R484" s="3">
        <f>[1]Results!U215</f>
        <v>8.4909238949999999</v>
      </c>
      <c r="S484" s="3">
        <f>[1]Results!V215</f>
        <v>8.5484950620000006</v>
      </c>
      <c r="T484" s="3">
        <f>[1]Results!W215</f>
        <v>8.6056451230000004</v>
      </c>
      <c r="U484" s="3">
        <f>[1]Results!X215</f>
        <v>8.6625101910000009</v>
      </c>
      <c r="V484" s="3">
        <f>[1]Results!Y215</f>
        <v>8.7192188050000006</v>
      </c>
      <c r="W484" s="3">
        <f>[1]Results!Z215</f>
        <v>8.7712006700000007</v>
      </c>
      <c r="X484" s="3">
        <f>[1]Results!AA215</f>
        <v>8.8261451609999995</v>
      </c>
      <c r="Y484" s="3">
        <f>[1]Results!AB215</f>
        <v>8.8823370399999995</v>
      </c>
      <c r="Z484" s="3">
        <f>[1]Results!AC215</f>
        <v>8.9395021539999995</v>
      </c>
      <c r="AA484" s="3">
        <f>[1]Results!AD215</f>
        <v>8.9976616499999995</v>
      </c>
      <c r="AB484" s="3">
        <f>[1]Results!AE215</f>
        <v>9.0436667049999997</v>
      </c>
      <c r="AC484" s="3">
        <f>[1]Results!AF215</f>
        <v>9.0926202059999994</v>
      </c>
      <c r="AD484" s="3">
        <f>[1]Results!AG215</f>
        <v>9.1427424439999996</v>
      </c>
      <c r="AE484" s="3">
        <f>[1]Results!AH215</f>
        <v>9.1939157369999993</v>
      </c>
      <c r="AF484" s="3">
        <f>[1]Results!AI215</f>
        <v>9.2462616139999998</v>
      </c>
      <c r="AG484" s="3">
        <f>[1]Results!AJ215</f>
        <v>9.2999260750000001</v>
      </c>
      <c r="AH484" s="3">
        <f>[1]Results!AK215</f>
        <v>9.3551317189999992</v>
      </c>
      <c r="AI484" s="3">
        <f>[1]Results!AL215</f>
        <v>9.4118719409999994</v>
      </c>
      <c r="AJ484" s="3">
        <f>[1]Results!AM215</f>
        <v>9.4701656990000007</v>
      </c>
      <c r="AK484" s="3">
        <f>[1]Results!AN215</f>
        <v>9.5300136250000005</v>
      </c>
      <c r="AL484" s="3">
        <f>[1]Results!AO215</f>
        <v>9.5913958729999997</v>
      </c>
      <c r="AM484" s="3">
        <f>[1]Results!AP215</f>
        <v>9.6521726690000005</v>
      </c>
      <c r="AN484" s="3">
        <f>[1]Results!AQ215</f>
        <v>9.7133768489999994</v>
      </c>
      <c r="AO484" s="3">
        <f>[1]Results!AR215</f>
        <v>9.7753589390000002</v>
      </c>
      <c r="AP484" s="3">
        <f>[1]Results!AS215</f>
        <v>9.8382767540000007</v>
      </c>
      <c r="AQ484" s="3">
        <f>[1]Results!AT215</f>
        <v>9.9022075740000002</v>
      </c>
      <c r="AR484" s="3">
        <f>[1]Results!AU215</f>
        <v>9.9673260399999997</v>
      </c>
      <c r="AS484" s="3">
        <f>[1]Results!AV215</f>
        <v>10.03353838</v>
      </c>
      <c r="AT484" s="3">
        <f>[1]Results!AW215</f>
        <v>10.10081475</v>
      </c>
      <c r="AU484" s="3">
        <f>[1]Results!AX215</f>
        <v>10.16913022</v>
      </c>
      <c r="AV484" s="3">
        <f>[1]Results!AY215</f>
        <v>10.23845736</v>
      </c>
      <c r="AW484" s="3">
        <f>[1]Results!AZ215</f>
        <v>10.309482689999999</v>
      </c>
      <c r="AX484" s="3">
        <f>[1]Results!BA215</f>
        <v>10.381700029999999</v>
      </c>
      <c r="AY484" s="3">
        <f>[1]Results!BB215</f>
        <v>10.43503915</v>
      </c>
      <c r="AZ484" s="3">
        <f>[1]Results!BC215</f>
        <v>10.56362889</v>
      </c>
      <c r="BA484" s="3">
        <f>[1]Results!BD215</f>
        <v>10.578076899999999</v>
      </c>
      <c r="BB484" s="3">
        <f>[1]Results!BE215</f>
        <v>13.19740314</v>
      </c>
      <c r="BC484" s="3">
        <f>[1]Results!BF215</f>
        <v>13.36274448</v>
      </c>
      <c r="BD484" s="3">
        <f>[1]Results!BG215</f>
        <v>13.530779470000001</v>
      </c>
      <c r="BE484" s="3">
        <f>[1]Results!BH215</f>
        <v>13.7015577</v>
      </c>
      <c r="BF484" s="3">
        <f>[1]Results!BI215</f>
        <v>13.87513983</v>
      </c>
    </row>
    <row r="485" spans="1:58" x14ac:dyDescent="0.35">
      <c r="B485" s="3" t="str">
        <f>[1]Results!E217</f>
        <v>YG_toe_cgas_2</v>
      </c>
      <c r="C485" s="3">
        <f>[1]Results!F217</f>
        <v>6.3802528169999997</v>
      </c>
      <c r="D485" s="3">
        <f>[1]Results!G217</f>
        <v>6.4523940030000002</v>
      </c>
      <c r="E485" s="3">
        <f>[1]Results!H217</f>
        <v>6.4628832220000003</v>
      </c>
      <c r="F485" s="3">
        <f>[1]Results!I217</f>
        <v>6.4453239849999999</v>
      </c>
      <c r="G485" s="3">
        <f>[1]Results!J217</f>
        <v>6.4160163570000002</v>
      </c>
      <c r="H485" s="3">
        <f>[1]Results!K217</f>
        <v>6.3832056240000004</v>
      </c>
      <c r="I485" s="3">
        <f>[1]Results!L217</f>
        <v>6.3466277560000002</v>
      </c>
      <c r="J485" s="3">
        <f>[1]Results!M217</f>
        <v>6.3125526079999998</v>
      </c>
      <c r="K485" s="3">
        <f>[1]Results!N217</f>
        <v>6.2809000260000003</v>
      </c>
      <c r="L485" s="3">
        <f>[1]Results!O217</f>
        <v>6.2517585479999997</v>
      </c>
      <c r="M485" s="3">
        <f>[1]Results!P217</f>
        <v>6.2321795399999997</v>
      </c>
      <c r="N485" s="3">
        <f>[1]Results!Q217</f>
        <v>6.2056368170000002</v>
      </c>
      <c r="O485" s="3">
        <f>[1]Results!R217</f>
        <v>6.1821972120000002</v>
      </c>
      <c r="P485" s="3">
        <f>[1]Results!S217</f>
        <v>6.1617730069999999</v>
      </c>
      <c r="Q485" s="3">
        <f>[1]Results!T217</f>
        <v>6.1444211710000003</v>
      </c>
      <c r="R485" s="3">
        <f>[1]Results!U217</f>
        <v>6.130097804</v>
      </c>
      <c r="S485" s="3">
        <f>[1]Results!V217</f>
        <v>6.1170163229999996</v>
      </c>
      <c r="T485" s="3">
        <f>[1]Results!W217</f>
        <v>6.1065641829999997</v>
      </c>
      <c r="U485" s="3">
        <f>[1]Results!X217</f>
        <v>6.0985182480000004</v>
      </c>
      <c r="V485" s="3">
        <f>[1]Results!Y217</f>
        <v>6.0926093740000002</v>
      </c>
      <c r="W485" s="3">
        <f>[1]Results!Z217</f>
        <v>6.0838008669999999</v>
      </c>
      <c r="X485" s="3">
        <f>[1]Results!AA217</f>
        <v>6.0822259000000001</v>
      </c>
      <c r="Y485" s="3">
        <f>[1]Results!AB217</f>
        <v>6.0816428220000001</v>
      </c>
      <c r="Z485" s="3">
        <f>[1]Results!AC217</f>
        <v>6.0819628689999998</v>
      </c>
      <c r="AA485" s="3">
        <f>[1]Results!AD217</f>
        <v>6.0829594900000004</v>
      </c>
      <c r="AB485" s="3">
        <f>[1]Results!AE217</f>
        <v>6.0711338609999999</v>
      </c>
      <c r="AC485" s="3">
        <f>[1]Results!AF217</f>
        <v>6.0700172009999998</v>
      </c>
      <c r="AD485" s="3">
        <f>[1]Results!AG217</f>
        <v>6.0693830259999997</v>
      </c>
      <c r="AE485" s="3">
        <f>[1]Results!AH217</f>
        <v>6.0691741710000002</v>
      </c>
      <c r="AF485" s="3">
        <f>[1]Results!AI217</f>
        <v>6.0691009940000002</v>
      </c>
      <c r="AG485" s="3">
        <f>[1]Results!AJ217</f>
        <v>6.068927221</v>
      </c>
      <c r="AH485" s="3">
        <f>[1]Results!AK217</f>
        <v>6.0688960859999996</v>
      </c>
      <c r="AI485" s="3">
        <f>[1]Results!AL217</f>
        <v>6.0685525450000002</v>
      </c>
      <c r="AJ485" s="3">
        <f>[1]Results!AM217</f>
        <v>6.0678697760000002</v>
      </c>
      <c r="AK485" s="3">
        <f>[1]Results!AN217</f>
        <v>6.066874189</v>
      </c>
      <c r="AL485" s="3">
        <f>[1]Results!AO217</f>
        <v>6.0656261359999997</v>
      </c>
      <c r="AM485" s="3">
        <f>[1]Results!AP217</f>
        <v>6.0646632169999997</v>
      </c>
      <c r="AN485" s="3">
        <f>[1]Results!AQ217</f>
        <v>6.0643115160000001</v>
      </c>
      <c r="AO485" s="3">
        <f>[1]Results!AR217</f>
        <v>6.0642888670000001</v>
      </c>
      <c r="AP485" s="3">
        <f>[1]Results!AS217</f>
        <v>6.0645260150000002</v>
      </c>
      <c r="AQ485" s="3">
        <f>[1]Results!AT217</f>
        <v>6.0650007959999996</v>
      </c>
      <c r="AR485" s="3">
        <f>[1]Results!AU217</f>
        <v>6.0662748310000003</v>
      </c>
      <c r="AS485" s="3">
        <f>[1]Results!AV217</f>
        <v>6.0678179459999999</v>
      </c>
      <c r="AT485" s="3">
        <f>[1]Results!AW217</f>
        <v>6.069638587</v>
      </c>
      <c r="AU485" s="3">
        <f>[1]Results!AX217</f>
        <v>6.0717738810000004</v>
      </c>
      <c r="AV485" s="3">
        <f>[1]Results!AY217</f>
        <v>6.074277446</v>
      </c>
      <c r="AW485" s="3">
        <f>[1]Results!AZ217</f>
        <v>6.0793874590000003</v>
      </c>
      <c r="AX485" s="3">
        <f>[1]Results!BA217</f>
        <v>6.0849924450000001</v>
      </c>
      <c r="AY485" s="3">
        <f>[1]Results!BB217</f>
        <v>6.2634292670000002</v>
      </c>
      <c r="AZ485" s="3">
        <f>[1]Results!BC217</f>
        <v>6.6917135490000001</v>
      </c>
      <c r="BA485" s="3">
        <f>[1]Results!BD217</f>
        <v>6.7395232649999999</v>
      </c>
      <c r="BB485" s="3">
        <f>[1]Results!BE217</f>
        <v>6.2656216210000002</v>
      </c>
      <c r="BC485" s="3">
        <f>[1]Results!BF217</f>
        <v>6.2765990770000002</v>
      </c>
      <c r="BD485" s="3">
        <f>[1]Results!BG217</f>
        <v>6.2882836400000004</v>
      </c>
      <c r="BE485" s="3">
        <f>[1]Results!BH217</f>
        <v>6.3006207659999998</v>
      </c>
      <c r="BF485" s="3">
        <f>[1]Results!BI217</f>
        <v>6.3135823980000003</v>
      </c>
    </row>
    <row r="486" spans="1:58" x14ac:dyDescent="0.35">
      <c r="B486" s="3" t="str">
        <f>[1]Results!E223</f>
        <v>YG_toe_cele_2</v>
      </c>
      <c r="C486" s="3">
        <f>[1]Results!F223</f>
        <v>56.066005060000002</v>
      </c>
      <c r="D486" s="3">
        <f>[1]Results!G223</f>
        <v>56.146273350000001</v>
      </c>
      <c r="E486" s="3">
        <f>[1]Results!H223</f>
        <v>56.305412259999997</v>
      </c>
      <c r="F486" s="3">
        <f>[1]Results!I223</f>
        <v>56.557224419999997</v>
      </c>
      <c r="G486" s="3">
        <f>[1]Results!J223</f>
        <v>56.919792649999998</v>
      </c>
      <c r="H486" s="3">
        <f>[1]Results!K223</f>
        <v>57.38506701</v>
      </c>
      <c r="I486" s="3">
        <f>[1]Results!L223</f>
        <v>57.89848636</v>
      </c>
      <c r="J486" s="3">
        <f>[1]Results!M223</f>
        <v>58.450981499999997</v>
      </c>
      <c r="K486" s="3">
        <f>[1]Results!N223</f>
        <v>59.022289139999998</v>
      </c>
      <c r="L486" s="3">
        <f>[1]Results!O223</f>
        <v>59.593908229999997</v>
      </c>
      <c r="M486" s="3">
        <f>[1]Results!P223</f>
        <v>60.204109840000001</v>
      </c>
      <c r="N486" s="3">
        <f>[1]Results!Q223</f>
        <v>60.754738019999998</v>
      </c>
      <c r="O486" s="3">
        <f>[1]Results!R223</f>
        <v>61.26437928</v>
      </c>
      <c r="P486" s="3">
        <f>[1]Results!S223</f>
        <v>61.735757999999997</v>
      </c>
      <c r="Q486" s="3">
        <f>[1]Results!T223</f>
        <v>62.171088570000002</v>
      </c>
      <c r="R486" s="3">
        <f>[1]Results!U223</f>
        <v>62.573567160000003</v>
      </c>
      <c r="S486" s="3">
        <f>[1]Results!V223</f>
        <v>62.943614709999999</v>
      </c>
      <c r="T486" s="3">
        <f>[1]Results!W223</f>
        <v>63.288329070000003</v>
      </c>
      <c r="U486" s="3">
        <f>[1]Results!X223</f>
        <v>63.614083389999998</v>
      </c>
      <c r="V486" s="3">
        <f>[1]Results!Y223</f>
        <v>63.92719108</v>
      </c>
      <c r="W486" s="3">
        <f>[1]Results!Z223</f>
        <v>64.196827619999993</v>
      </c>
      <c r="X486" s="3">
        <f>[1]Results!AA223</f>
        <v>64.487257979999995</v>
      </c>
      <c r="Y486" s="3">
        <f>[1]Results!AB223</f>
        <v>64.787693579999996</v>
      </c>
      <c r="Z486" s="3">
        <f>[1]Results!AC223</f>
        <v>65.098663079999994</v>
      </c>
      <c r="AA486" s="3">
        <f>[1]Results!AD223</f>
        <v>65.422061439999993</v>
      </c>
      <c r="AB486" s="3">
        <f>[1]Results!AE223</f>
        <v>65.657683669999997</v>
      </c>
      <c r="AC486" s="3">
        <f>[1]Results!AF223</f>
        <v>65.923574950000003</v>
      </c>
      <c r="AD486" s="3">
        <f>[1]Results!AG223</f>
        <v>66.205707509999996</v>
      </c>
      <c r="AE486" s="3">
        <f>[1]Results!AH223</f>
        <v>66.503462870000007</v>
      </c>
      <c r="AF486" s="3">
        <f>[1]Results!AI223</f>
        <v>66.817447779999995</v>
      </c>
      <c r="AG486" s="3">
        <f>[1]Results!AJ223</f>
        <v>67.148417100000003</v>
      </c>
      <c r="AH486" s="3">
        <f>[1]Results!AK223</f>
        <v>67.497427119999998</v>
      </c>
      <c r="AI486" s="3">
        <f>[1]Results!AL223</f>
        <v>67.864189859999996</v>
      </c>
      <c r="AJ486" s="3">
        <f>[1]Results!AM223</f>
        <v>68.247966520000006</v>
      </c>
      <c r="AK486" s="3">
        <f>[1]Results!AN223</f>
        <v>68.64759119</v>
      </c>
      <c r="AL486" s="3">
        <f>[1]Results!AO223</f>
        <v>69.061615209999999</v>
      </c>
      <c r="AM486" s="3">
        <f>[1]Results!AP223</f>
        <v>69.470611770000005</v>
      </c>
      <c r="AN486" s="3">
        <f>[1]Results!AQ223</f>
        <v>69.885638950000001</v>
      </c>
      <c r="AO486" s="3">
        <f>[1]Results!AR223</f>
        <v>70.308246870000005</v>
      </c>
      <c r="AP486" s="3">
        <f>[1]Results!AS223</f>
        <v>70.737973310000001</v>
      </c>
      <c r="AQ486" s="3">
        <f>[1]Results!AT223</f>
        <v>71.173980279999995</v>
      </c>
      <c r="AR486" s="3">
        <f>[1]Results!AU223</f>
        <v>71.616259330000005</v>
      </c>
      <c r="AS486" s="3">
        <f>[1]Results!AV223</f>
        <v>72.064145940000003</v>
      </c>
      <c r="AT486" s="3">
        <f>[1]Results!AW223</f>
        <v>72.517003860000003</v>
      </c>
      <c r="AU486" s="3">
        <f>[1]Results!AX223</f>
        <v>72.974195739999999</v>
      </c>
      <c r="AV486" s="3">
        <f>[1]Results!AY223</f>
        <v>73.435094230000004</v>
      </c>
      <c r="AW486" s="3">
        <f>[1]Results!AZ223</f>
        <v>73.903329830000004</v>
      </c>
      <c r="AX486" s="3">
        <f>[1]Results!BA223</f>
        <v>74.377208839999994</v>
      </c>
      <c r="AY486" s="3">
        <f>[1]Results!BB223</f>
        <v>74.378094219999994</v>
      </c>
      <c r="AZ486" s="3">
        <f>[1]Results!BC223</f>
        <v>74.453309189999999</v>
      </c>
      <c r="BA486" s="3">
        <f>[1]Results!BD223</f>
        <v>74.466972269999999</v>
      </c>
      <c r="BB486" s="3">
        <f>[1]Results!BE223</f>
        <v>100.3150411</v>
      </c>
      <c r="BC486" s="3">
        <f>[1]Results!BF223</f>
        <v>101.6970796</v>
      </c>
      <c r="BD486" s="3">
        <f>[1]Results!BG223</f>
        <v>103.1047011</v>
      </c>
      <c r="BE486" s="3">
        <f>[1]Results!BH223</f>
        <v>104.53813890000001</v>
      </c>
      <c r="BF486" s="3">
        <f>[1]Results!BI223</f>
        <v>105.99762610000001</v>
      </c>
    </row>
    <row r="487" spans="1:58" x14ac:dyDescent="0.35">
      <c r="B487" s="3" t="s">
        <v>75</v>
      </c>
      <c r="C487" s="3">
        <f>SUM(C488:C490)</f>
        <v>30.158846009999998</v>
      </c>
      <c r="D487" s="3">
        <f t="shared" ref="D487:AL487" si="302">SUM(D488:D490)</f>
        <v>30.253242098000001</v>
      </c>
      <c r="E487" s="3">
        <f t="shared" si="302"/>
        <v>30.398423262999998</v>
      </c>
      <c r="F487" s="3">
        <f t="shared" si="302"/>
        <v>30.583422638000002</v>
      </c>
      <c r="G487" s="3">
        <f t="shared" si="302"/>
        <v>30.806287764</v>
      </c>
      <c r="H487" s="3">
        <f t="shared" si="302"/>
        <v>31.061988116000002</v>
      </c>
      <c r="I487" s="3">
        <f t="shared" si="302"/>
        <v>31.321714864</v>
      </c>
      <c r="J487" s="3">
        <f t="shared" si="302"/>
        <v>31.591985299000001</v>
      </c>
      <c r="K487" s="3">
        <f t="shared" si="302"/>
        <v>31.869835519000002</v>
      </c>
      <c r="L487" s="3">
        <f t="shared" si="302"/>
        <v>32.151560050000001</v>
      </c>
      <c r="M487" s="3">
        <f t="shared" si="302"/>
        <v>32.468452560999999</v>
      </c>
      <c r="N487" s="3">
        <f t="shared" si="302"/>
        <v>32.756604494999998</v>
      </c>
      <c r="O487" s="3">
        <f t="shared" si="302"/>
        <v>33.034092715</v>
      </c>
      <c r="P487" s="3">
        <f t="shared" si="302"/>
        <v>33.304225264999999</v>
      </c>
      <c r="Q487" s="3">
        <f t="shared" si="302"/>
        <v>33.568437716000005</v>
      </c>
      <c r="R487" s="3">
        <f t="shared" si="302"/>
        <v>33.827739616000002</v>
      </c>
      <c r="S487" s="3">
        <f t="shared" si="302"/>
        <v>34.080013739000002</v>
      </c>
      <c r="T487" s="3">
        <f t="shared" si="302"/>
        <v>34.328564890999999</v>
      </c>
      <c r="U487" s="3">
        <f t="shared" si="302"/>
        <v>34.575047569000006</v>
      </c>
      <c r="V487" s="3">
        <f t="shared" si="302"/>
        <v>34.820898174</v>
      </c>
      <c r="W487" s="3">
        <f t="shared" si="302"/>
        <v>35.043154672</v>
      </c>
      <c r="X487" s="3">
        <f t="shared" si="302"/>
        <v>35.283708191000002</v>
      </c>
      <c r="Y487" s="3">
        <f t="shared" si="302"/>
        <v>35.531333922000002</v>
      </c>
      <c r="Z487" s="3">
        <f t="shared" si="302"/>
        <v>35.784539803000001</v>
      </c>
      <c r="AA487" s="3">
        <f t="shared" si="302"/>
        <v>36.043190154999998</v>
      </c>
      <c r="AB487" s="3">
        <f t="shared" si="302"/>
        <v>36.239870709999998</v>
      </c>
      <c r="AC487" s="3">
        <f t="shared" si="302"/>
        <v>36.457711169</v>
      </c>
      <c r="AD487" s="3">
        <f t="shared" si="302"/>
        <v>36.683063535000002</v>
      </c>
      <c r="AE487" s="3">
        <f t="shared" si="302"/>
        <v>36.914674344999995</v>
      </c>
      <c r="AF487" s="3">
        <f t="shared" si="302"/>
        <v>37.152414245000003</v>
      </c>
      <c r="AG487" s="3">
        <f t="shared" si="302"/>
        <v>37.396360431999994</v>
      </c>
      <c r="AH487" s="3">
        <f t="shared" si="302"/>
        <v>37.647259806999998</v>
      </c>
      <c r="AI487" s="3">
        <f t="shared" si="302"/>
        <v>37.904676934999998</v>
      </c>
      <c r="AJ487" s="3">
        <f t="shared" si="302"/>
        <v>38.168385149999999</v>
      </c>
      <c r="AK487" s="3">
        <f t="shared" si="302"/>
        <v>38.438103929</v>
      </c>
      <c r="AL487" s="3">
        <f t="shared" si="302"/>
        <v>38.713504446000002</v>
      </c>
      <c r="AM487" s="3">
        <f t="shared" ref="AM487:BC487" si="303">SUM(AM488:AM490)</f>
        <v>38.984681344999998</v>
      </c>
      <c r="AN487" s="3">
        <f t="shared" si="303"/>
        <v>39.257866866000001</v>
      </c>
      <c r="AO487" s="3">
        <f t="shared" si="303"/>
        <v>39.534323344999997</v>
      </c>
      <c r="AP487" s="3">
        <f t="shared" si="303"/>
        <v>39.814321794999998</v>
      </c>
      <c r="AQ487" s="3">
        <f t="shared" si="303"/>
        <v>40.097866420000003</v>
      </c>
      <c r="AR487" s="3">
        <f t="shared" si="303"/>
        <v>40.385770121</v>
      </c>
      <c r="AS487" s="3">
        <f t="shared" si="303"/>
        <v>40.677409982</v>
      </c>
      <c r="AT487" s="3">
        <f t="shared" si="303"/>
        <v>40.972575110999998</v>
      </c>
      <c r="AU487" s="3">
        <f t="shared" si="303"/>
        <v>41.271100356999995</v>
      </c>
      <c r="AV487" s="3">
        <f t="shared" si="303"/>
        <v>41.572840241000002</v>
      </c>
      <c r="AW487" s="3">
        <f t="shared" si="303"/>
        <v>41.881845220000002</v>
      </c>
      <c r="AX487" s="3">
        <f t="shared" si="303"/>
        <v>42.195330423000001</v>
      </c>
      <c r="AY487" s="3">
        <f t="shared" si="303"/>
        <v>42.404366281999998</v>
      </c>
      <c r="AZ487" s="3">
        <f t="shared" si="303"/>
        <v>42.944962597</v>
      </c>
      <c r="BA487" s="3">
        <f t="shared" si="303"/>
        <v>43.002721612999999</v>
      </c>
      <c r="BB487" s="3">
        <f t="shared" si="303"/>
        <v>53.620557218000002</v>
      </c>
      <c r="BC487" s="3">
        <f t="shared" si="303"/>
        <v>54.325096646000006</v>
      </c>
      <c r="BD487" s="3">
        <f t="shared" ref="BD487:BF487" si="304">SUM(BD488:BD490)</f>
        <v>55.041940492999998</v>
      </c>
      <c r="BE487" s="3">
        <f t="shared" si="304"/>
        <v>55.771215057999996</v>
      </c>
      <c r="BF487" s="3">
        <f t="shared" si="304"/>
        <v>56.513095601000003</v>
      </c>
    </row>
    <row r="488" spans="1:58" x14ac:dyDescent="0.35">
      <c r="B488" s="3" t="str">
        <f>[1]Results!E233</f>
        <v>YG_toe_chea_2</v>
      </c>
      <c r="C488" s="3">
        <f>[1]Results!F233</f>
        <v>5.6487306000000004</v>
      </c>
      <c r="D488" s="3">
        <f>[1]Results!G233</f>
        <v>5.6892571380000003</v>
      </c>
      <c r="E488" s="3">
        <f>[1]Results!H233</f>
        <v>5.744579753</v>
      </c>
      <c r="F488" s="3">
        <f>[1]Results!I233</f>
        <v>5.8092038280000002</v>
      </c>
      <c r="G488" s="3">
        <f>[1]Results!J233</f>
        <v>5.8808679140000004</v>
      </c>
      <c r="H488" s="3">
        <f>[1]Results!K233</f>
        <v>5.9577792260000004</v>
      </c>
      <c r="I488" s="3">
        <f>[1]Results!L233</f>
        <v>6.0329556740000001</v>
      </c>
      <c r="J488" s="3">
        <f>[1]Results!M233</f>
        <v>6.1081579990000003</v>
      </c>
      <c r="K488" s="3">
        <f>[1]Results!N233</f>
        <v>6.1836828590000001</v>
      </c>
      <c r="L488" s="3">
        <f>[1]Results!O233</f>
        <v>6.2592787999999997</v>
      </c>
      <c r="M488" s="3">
        <f>[1]Results!P233</f>
        <v>6.3432505109999999</v>
      </c>
      <c r="N488" s="3">
        <f>[1]Results!Q233</f>
        <v>6.4209593949999997</v>
      </c>
      <c r="O488" s="3">
        <f>[1]Results!R233</f>
        <v>6.4953077950000004</v>
      </c>
      <c r="P488" s="3">
        <f>[1]Results!S233</f>
        <v>6.5673847050000003</v>
      </c>
      <c r="Q488" s="3">
        <f>[1]Results!T233</f>
        <v>6.6376228260000003</v>
      </c>
      <c r="R488" s="3">
        <f>[1]Results!U233</f>
        <v>6.7062511259999997</v>
      </c>
      <c r="S488" s="3">
        <f>[1]Results!V233</f>
        <v>6.7729841290000001</v>
      </c>
      <c r="T488" s="3">
        <f>[1]Results!W233</f>
        <v>6.8383008409999997</v>
      </c>
      <c r="U488" s="3">
        <f>[1]Results!X233</f>
        <v>6.9025463289999998</v>
      </c>
      <c r="V488" s="3">
        <f>[1]Results!Y233</f>
        <v>6.9660188740000004</v>
      </c>
      <c r="W488" s="3">
        <f>[1]Results!Z233</f>
        <v>7.0231120020000004</v>
      </c>
      <c r="X488" s="3">
        <f>[1]Results!AA233</f>
        <v>7.0833983710000004</v>
      </c>
      <c r="Y488" s="3">
        <f>[1]Results!AB233</f>
        <v>7.1450651020000002</v>
      </c>
      <c r="Z488" s="3">
        <f>[1]Results!AC233</f>
        <v>7.2075079329999996</v>
      </c>
      <c r="AA488" s="3">
        <f>[1]Results!AD233</f>
        <v>7.2705719650000002</v>
      </c>
      <c r="AB488" s="3">
        <f>[1]Results!AE233</f>
        <v>7.3181194500000002</v>
      </c>
      <c r="AC488" s="3">
        <f>[1]Results!AF233</f>
        <v>7.3683725390000001</v>
      </c>
      <c r="AD488" s="3">
        <f>[1]Results!AG233</f>
        <v>7.4200425350000003</v>
      </c>
      <c r="AE488" s="3">
        <f>[1]Results!AH233</f>
        <v>7.4726977349999997</v>
      </c>
      <c r="AF488" s="3">
        <f>[1]Results!AI233</f>
        <v>7.5262126050000004</v>
      </c>
      <c r="AG488" s="3">
        <f>[1]Results!AJ233</f>
        <v>7.5805364620000004</v>
      </c>
      <c r="AH488" s="3">
        <f>[1]Results!AK233</f>
        <v>7.635790267</v>
      </c>
      <c r="AI488" s="3">
        <f>[1]Results!AL233</f>
        <v>7.6919288549999996</v>
      </c>
      <c r="AJ488" s="3">
        <f>[1]Results!AM233</f>
        <v>7.7489223799999998</v>
      </c>
      <c r="AK488" s="3">
        <f>[1]Results!AN233</f>
        <v>7.8067379490000004</v>
      </c>
      <c r="AL488" s="3">
        <f>[1]Results!AO233</f>
        <v>7.8653323559999997</v>
      </c>
      <c r="AM488" s="3">
        <f>[1]Results!AP233</f>
        <v>7.9222078549999999</v>
      </c>
      <c r="AN488" s="3">
        <f>[1]Results!AQ233</f>
        <v>7.9787602360000003</v>
      </c>
      <c r="AO488" s="3">
        <f>[1]Results!AR233</f>
        <v>8.0354844249999999</v>
      </c>
      <c r="AP488" s="3">
        <f>[1]Results!AS233</f>
        <v>8.0925553749999999</v>
      </c>
      <c r="AQ488" s="3">
        <f>[1]Results!AT233</f>
        <v>8.1500264700000002</v>
      </c>
      <c r="AR488" s="3">
        <f>[1]Results!AU233</f>
        <v>8.208060261</v>
      </c>
      <c r="AS488" s="3">
        <f>[1]Results!AV233</f>
        <v>8.266573932</v>
      </c>
      <c r="AT488" s="3">
        <f>[1]Results!AW233</f>
        <v>8.3255255909999999</v>
      </c>
      <c r="AU488" s="3">
        <f>[1]Results!AX233</f>
        <v>8.3848932069999993</v>
      </c>
      <c r="AV488" s="3">
        <f>[1]Results!AY233</f>
        <v>8.4446614909999997</v>
      </c>
      <c r="AW488" s="3">
        <f>[1]Results!AZ233</f>
        <v>8.5056152300000001</v>
      </c>
      <c r="AX488" s="3">
        <f>[1]Results!BA233</f>
        <v>8.5673103029999993</v>
      </c>
      <c r="AY488" s="3">
        <f>[1]Results!BB233</f>
        <v>8.6045241220000008</v>
      </c>
      <c r="AZ488" s="3">
        <f>[1]Results!BC233</f>
        <v>8.687941597</v>
      </c>
      <c r="BA488" s="3">
        <f>[1]Results!BD233</f>
        <v>8.6909484330000009</v>
      </c>
      <c r="BB488" s="3">
        <f>[1]Results!BE233</f>
        <v>9.5287003880000007</v>
      </c>
      <c r="BC488" s="3">
        <f>[1]Results!BF233</f>
        <v>9.6281772360000009</v>
      </c>
      <c r="BD488" s="3">
        <f>[1]Results!BG233</f>
        <v>9.7291266630000006</v>
      </c>
      <c r="BE488" s="3">
        <f>[1]Results!BH233</f>
        <v>9.831553778</v>
      </c>
      <c r="BF488" s="3">
        <f>[1]Results!BI233</f>
        <v>9.9354808410000004</v>
      </c>
    </row>
    <row r="489" spans="1:58" x14ac:dyDescent="0.35">
      <c r="B489" s="3" t="str">
        <f>[1]Results!E235</f>
        <v>YG_toe_cbio_2</v>
      </c>
      <c r="C489" s="3">
        <f>[1]Results!F235</f>
        <v>11.13883641</v>
      </c>
      <c r="D489" s="3">
        <f>[1]Results!G235</f>
        <v>11.114214909999999</v>
      </c>
      <c r="E489" s="3">
        <f>[1]Results!H235</f>
        <v>11.08061154</v>
      </c>
      <c r="F489" s="3">
        <f>[1]Results!I235</f>
        <v>11.058236340000001</v>
      </c>
      <c r="G489" s="3">
        <f>[1]Results!J235</f>
        <v>11.05170345</v>
      </c>
      <c r="H489" s="3">
        <f>[1]Results!K235</f>
        <v>11.06071528</v>
      </c>
      <c r="I489" s="3">
        <f>[1]Results!L235</f>
        <v>11.07711873</v>
      </c>
      <c r="J489" s="3">
        <f>[1]Results!M235</f>
        <v>11.100141860000001</v>
      </c>
      <c r="K489" s="3">
        <f>[1]Results!N235</f>
        <v>11.127647270000001</v>
      </c>
      <c r="L489" s="3">
        <f>[1]Results!O235</f>
        <v>11.157415739999999</v>
      </c>
      <c r="M489" s="3">
        <f>[1]Results!P235</f>
        <v>11.195882750000001</v>
      </c>
      <c r="N489" s="3">
        <f>[1]Results!Q235</f>
        <v>11.227630530000001</v>
      </c>
      <c r="O489" s="3">
        <f>[1]Results!R235</f>
        <v>11.25453201</v>
      </c>
      <c r="P489" s="3">
        <f>[1]Results!S235</f>
        <v>11.27769114</v>
      </c>
      <c r="Q489" s="3">
        <f>[1]Results!T235</f>
        <v>11.297767220000001</v>
      </c>
      <c r="R489" s="3">
        <f>[1]Results!U235</f>
        <v>11.315269410000001</v>
      </c>
      <c r="S489" s="3">
        <f>[1]Results!V235</f>
        <v>11.33008201</v>
      </c>
      <c r="T489" s="3">
        <f>[1]Results!W235</f>
        <v>11.342823470000001</v>
      </c>
      <c r="U489" s="3">
        <f>[1]Results!X235</f>
        <v>11.354214839999999</v>
      </c>
      <c r="V489" s="3">
        <f>[1]Results!Y235</f>
        <v>11.364884719999999</v>
      </c>
      <c r="W489" s="3">
        <f>[1]Results!Z235</f>
        <v>11.36944518</v>
      </c>
      <c r="X489" s="3">
        <f>[1]Results!AA235</f>
        <v>11.37745696</v>
      </c>
      <c r="Y489" s="3">
        <f>[1]Results!AB235</f>
        <v>11.387570869999999</v>
      </c>
      <c r="Z489" s="3">
        <f>[1]Results!AC235</f>
        <v>11.39929508</v>
      </c>
      <c r="AA489" s="3">
        <f>[1]Results!AD235</f>
        <v>11.412530329999999</v>
      </c>
      <c r="AB489" s="3">
        <f>[1]Results!AE235</f>
        <v>11.41103483</v>
      </c>
      <c r="AC489" s="3">
        <f>[1]Results!AF235</f>
        <v>11.412518070000001</v>
      </c>
      <c r="AD489" s="3">
        <f>[1]Results!AG235</f>
        <v>11.41633064</v>
      </c>
      <c r="AE489" s="3">
        <f>[1]Results!AH235</f>
        <v>11.422106879999999</v>
      </c>
      <c r="AF489" s="3">
        <f>[1]Results!AI235</f>
        <v>11.429719260000001</v>
      </c>
      <c r="AG489" s="3">
        <f>[1]Results!AJ235</f>
        <v>11.43914197</v>
      </c>
      <c r="AH489" s="3">
        <f>[1]Results!AK235</f>
        <v>11.45048933</v>
      </c>
      <c r="AI489" s="3">
        <f>[1]Results!AL235</f>
        <v>11.46375278</v>
      </c>
      <c r="AJ489" s="3">
        <f>[1]Results!AM235</f>
        <v>11.47884002</v>
      </c>
      <c r="AK489" s="3">
        <f>[1]Results!AN235</f>
        <v>11.495638570000001</v>
      </c>
      <c r="AL489" s="3">
        <f>[1]Results!AO235</f>
        <v>11.51402337</v>
      </c>
      <c r="AM489" s="3">
        <f>[1]Results!AP235</f>
        <v>11.53121076</v>
      </c>
      <c r="AN489" s="3">
        <f>[1]Results!AQ235</f>
        <v>11.54908504</v>
      </c>
      <c r="AO489" s="3">
        <f>[1]Results!AR235</f>
        <v>11.56796299</v>
      </c>
      <c r="AP489" s="3">
        <f>[1]Results!AS235</f>
        <v>11.58781366</v>
      </c>
      <c r="AQ489" s="3">
        <f>[1]Results!AT235</f>
        <v>11.608547379999999</v>
      </c>
      <c r="AR489" s="3">
        <f>[1]Results!AU235</f>
        <v>11.6302143</v>
      </c>
      <c r="AS489" s="3">
        <f>[1]Results!AV235</f>
        <v>11.65278707</v>
      </c>
      <c r="AT489" s="3">
        <f>[1]Results!AW235</f>
        <v>11.67615606</v>
      </c>
      <c r="AU489" s="3">
        <f>[1]Results!AX235</f>
        <v>11.700227630000001</v>
      </c>
      <c r="AV489" s="3">
        <f>[1]Results!AY235</f>
        <v>11.72492504</v>
      </c>
      <c r="AW489" s="3">
        <f>[1]Results!AZ235</f>
        <v>11.750871399999999</v>
      </c>
      <c r="AX489" s="3">
        <f>[1]Results!BA235</f>
        <v>11.778001700000001</v>
      </c>
      <c r="AY489" s="3">
        <f>[1]Results!BB235</f>
        <v>11.90850882</v>
      </c>
      <c r="AZ489" s="3">
        <f>[1]Results!BC235</f>
        <v>12.25985899</v>
      </c>
      <c r="BA489" s="3">
        <f>[1]Results!BD235</f>
        <v>12.302321109999999</v>
      </c>
      <c r="BB489" s="3">
        <f>[1]Results!BE235</f>
        <v>14.15840839</v>
      </c>
      <c r="BC489" s="3">
        <f>[1]Results!BF235</f>
        <v>14.268085299999999</v>
      </c>
      <c r="BD489" s="3">
        <f>[1]Results!BG235</f>
        <v>14.38012975</v>
      </c>
      <c r="BE489" s="3">
        <f>[1]Results!BH235</f>
        <v>14.49452866</v>
      </c>
      <c r="BF489" s="3">
        <f>[1]Results!BI235</f>
        <v>14.61129745</v>
      </c>
    </row>
    <row r="490" spans="1:58" x14ac:dyDescent="0.35">
      <c r="B490" s="3" t="str">
        <f>[1]Results!E238</f>
        <v>YG_toe_cote_2</v>
      </c>
      <c r="C490" s="3">
        <f>[1]Results!F238</f>
        <v>13.371278999999999</v>
      </c>
      <c r="D490" s="3">
        <f>[1]Results!G238</f>
        <v>13.44977005</v>
      </c>
      <c r="E490" s="3">
        <f>[1]Results!H238</f>
        <v>13.57323197</v>
      </c>
      <c r="F490" s="3">
        <f>[1]Results!I238</f>
        <v>13.71598247</v>
      </c>
      <c r="G490" s="3">
        <f>[1]Results!J238</f>
        <v>13.873716399999999</v>
      </c>
      <c r="H490" s="3">
        <f>[1]Results!K238</f>
        <v>14.043493610000001</v>
      </c>
      <c r="I490" s="3">
        <f>[1]Results!L238</f>
        <v>14.21164046</v>
      </c>
      <c r="J490" s="3">
        <f>[1]Results!M238</f>
        <v>14.383685440000001</v>
      </c>
      <c r="K490" s="3">
        <f>[1]Results!N238</f>
        <v>14.558505390000001</v>
      </c>
      <c r="L490" s="3">
        <f>[1]Results!O238</f>
        <v>14.734865510000001</v>
      </c>
      <c r="M490" s="3">
        <f>[1]Results!P238</f>
        <v>14.9293193</v>
      </c>
      <c r="N490" s="3">
        <f>[1]Results!Q238</f>
        <v>15.10801457</v>
      </c>
      <c r="O490" s="3">
        <f>[1]Results!R238</f>
        <v>15.284252909999999</v>
      </c>
      <c r="P490" s="3">
        <f>[1]Results!S238</f>
        <v>15.459149419999999</v>
      </c>
      <c r="Q490" s="3">
        <f>[1]Results!T238</f>
        <v>15.63304767</v>
      </c>
      <c r="R490" s="3">
        <f>[1]Results!U238</f>
        <v>15.80621908</v>
      </c>
      <c r="S490" s="3">
        <f>[1]Results!V238</f>
        <v>15.976947600000001</v>
      </c>
      <c r="T490" s="3">
        <f>[1]Results!W238</f>
        <v>16.147440580000001</v>
      </c>
      <c r="U490" s="3">
        <f>[1]Results!X238</f>
        <v>16.318286400000002</v>
      </c>
      <c r="V490" s="3">
        <f>[1]Results!Y238</f>
        <v>16.489994580000001</v>
      </c>
      <c r="W490" s="3">
        <f>[1]Results!Z238</f>
        <v>16.650597489999999</v>
      </c>
      <c r="X490" s="3">
        <f>[1]Results!AA238</f>
        <v>16.822852860000001</v>
      </c>
      <c r="Y490" s="3">
        <f>[1]Results!AB238</f>
        <v>16.99869795</v>
      </c>
      <c r="Z490" s="3">
        <f>[1]Results!AC238</f>
        <v>17.177736790000001</v>
      </c>
      <c r="AA490" s="3">
        <f>[1]Results!AD238</f>
        <v>17.36008786</v>
      </c>
      <c r="AB490" s="3">
        <f>[1]Results!AE238</f>
        <v>17.510716429999999</v>
      </c>
      <c r="AC490" s="3">
        <f>[1]Results!AF238</f>
        <v>17.676820559999999</v>
      </c>
      <c r="AD490" s="3">
        <f>[1]Results!AG238</f>
        <v>17.84669036</v>
      </c>
      <c r="AE490" s="3">
        <f>[1]Results!AH238</f>
        <v>18.01986973</v>
      </c>
      <c r="AF490" s="3">
        <f>[1]Results!AI238</f>
        <v>18.196482379999999</v>
      </c>
      <c r="AG490" s="3">
        <f>[1]Results!AJ238</f>
        <v>18.376681999999999</v>
      </c>
      <c r="AH490" s="3">
        <f>[1]Results!AK238</f>
        <v>18.56098021</v>
      </c>
      <c r="AI490" s="3">
        <f>[1]Results!AL238</f>
        <v>18.748995300000001</v>
      </c>
      <c r="AJ490" s="3">
        <f>[1]Results!AM238</f>
        <v>18.940622749999999</v>
      </c>
      <c r="AK490" s="3">
        <f>[1]Results!AN238</f>
        <v>19.135727410000001</v>
      </c>
      <c r="AL490" s="3">
        <f>[1]Results!AO238</f>
        <v>19.334148720000002</v>
      </c>
      <c r="AM490" s="3">
        <f>[1]Results!AP238</f>
        <v>19.531262730000002</v>
      </c>
      <c r="AN490" s="3">
        <f>[1]Results!AQ238</f>
        <v>19.73002159</v>
      </c>
      <c r="AO490" s="3">
        <f>[1]Results!AR238</f>
        <v>19.930875929999999</v>
      </c>
      <c r="AP490" s="3">
        <f>[1]Results!AS238</f>
        <v>20.13395276</v>
      </c>
      <c r="AQ490" s="3">
        <f>[1]Results!AT238</f>
        <v>20.339292570000001</v>
      </c>
      <c r="AR490" s="3">
        <f>[1]Results!AU238</f>
        <v>20.547495560000002</v>
      </c>
      <c r="AS490" s="3">
        <f>[1]Results!AV238</f>
        <v>20.758048980000002</v>
      </c>
      <c r="AT490" s="3">
        <f>[1]Results!AW238</f>
        <v>20.970893459999999</v>
      </c>
      <c r="AU490" s="3">
        <f>[1]Results!AX238</f>
        <v>21.18597952</v>
      </c>
      <c r="AV490" s="3">
        <f>[1]Results!AY238</f>
        <v>21.403253710000001</v>
      </c>
      <c r="AW490" s="3">
        <f>[1]Results!AZ238</f>
        <v>21.625358590000001</v>
      </c>
      <c r="AX490" s="3">
        <f>[1]Results!BA238</f>
        <v>21.850018420000001</v>
      </c>
      <c r="AY490" s="3">
        <f>[1]Results!BB238</f>
        <v>21.891333339999999</v>
      </c>
      <c r="AZ490" s="3">
        <f>[1]Results!BC238</f>
        <v>21.99716201</v>
      </c>
      <c r="BA490" s="3">
        <f>[1]Results!BD238</f>
        <v>22.009452069999998</v>
      </c>
      <c r="BB490" s="3">
        <f>[1]Results!BE238</f>
        <v>29.933448439999999</v>
      </c>
      <c r="BC490" s="3">
        <f>[1]Results!BF238</f>
        <v>30.42883411</v>
      </c>
      <c r="BD490" s="3">
        <f>[1]Results!BG238</f>
        <v>30.932684080000001</v>
      </c>
      <c r="BE490" s="3">
        <f>[1]Results!BH238</f>
        <v>31.445132619999999</v>
      </c>
      <c r="BF490" s="3">
        <f>[1]Results!BI238</f>
        <v>31.966317310000001</v>
      </c>
    </row>
    <row r="491" spans="1:58" x14ac:dyDescent="0.3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</row>
    <row r="492" spans="1:58" x14ac:dyDescent="0.35">
      <c r="A492" s="12" t="s">
        <v>94</v>
      </c>
      <c r="B492" s="3" t="str">
        <f>[1]Results!E241</f>
        <v>YG_toe_0</v>
      </c>
      <c r="C492" s="3">
        <f>[1]Results!F241</f>
        <v>148.74892980000001</v>
      </c>
      <c r="D492" s="3">
        <f>[1]Results!G241</f>
        <v>149.94233850000001</v>
      </c>
      <c r="E492" s="3">
        <f>[1]Results!H241</f>
        <v>151.03805059999999</v>
      </c>
      <c r="F492" s="3">
        <f>[1]Results!I241</f>
        <v>152.20338699999999</v>
      </c>
      <c r="G492" s="3">
        <f>[1]Results!J241</f>
        <v>153.49483190000001</v>
      </c>
      <c r="H492" s="3">
        <f>[1]Results!K241</f>
        <v>154.9109746</v>
      </c>
      <c r="I492" s="3">
        <f>[1]Results!L241</f>
        <v>156.34489980000001</v>
      </c>
      <c r="J492" s="3">
        <f>[1]Results!M241</f>
        <v>157.82856380000001</v>
      </c>
      <c r="K492" s="3">
        <f>[1]Results!N241</f>
        <v>159.35195970000001</v>
      </c>
      <c r="L492" s="3">
        <f>[1]Results!O241</f>
        <v>160.90290590000001</v>
      </c>
      <c r="M492" s="3">
        <f>[1]Results!P241</f>
        <v>162.61942719999999</v>
      </c>
      <c r="N492" s="3">
        <f>[1]Results!Q241</f>
        <v>164.24618219999999</v>
      </c>
      <c r="O492" s="3">
        <f>[1]Results!R241</f>
        <v>165.85713179999999</v>
      </c>
      <c r="P492" s="3">
        <f>[1]Results!S241</f>
        <v>167.4607824</v>
      </c>
      <c r="Q492" s="3">
        <f>[1]Results!T241</f>
        <v>169.06014089999999</v>
      </c>
      <c r="R492" s="3">
        <f>[1]Results!U241</f>
        <v>170.65733320000001</v>
      </c>
      <c r="S492" s="3">
        <f>[1]Results!V241</f>
        <v>172.25495860000001</v>
      </c>
      <c r="T492" s="3">
        <f>[1]Results!W241</f>
        <v>173.85622620000001</v>
      </c>
      <c r="U492" s="3">
        <f>[1]Results!X241</f>
        <v>175.46489059999999</v>
      </c>
      <c r="V492" s="3">
        <f>[1]Results!Y241</f>
        <v>177.0849691</v>
      </c>
      <c r="W492" s="3">
        <f>[1]Results!Z241</f>
        <v>178.61403490000001</v>
      </c>
      <c r="X492" s="3">
        <f>[1]Results!AA241</f>
        <v>180.23451779999999</v>
      </c>
      <c r="Y492" s="3">
        <f>[1]Results!AB241</f>
        <v>181.89250000000001</v>
      </c>
      <c r="Z492" s="3">
        <f>[1]Results!AC241</f>
        <v>183.58325780000001</v>
      </c>
      <c r="AA492" s="3">
        <f>[1]Results!AD241</f>
        <v>185.30666199999999</v>
      </c>
      <c r="AB492" s="3">
        <f>[1]Results!AE241</f>
        <v>186.761256</v>
      </c>
      <c r="AC492" s="3">
        <f>[1]Results!AF241</f>
        <v>188.31291809999999</v>
      </c>
      <c r="AD492" s="3">
        <f>[1]Results!AG241</f>
        <v>189.8937751</v>
      </c>
      <c r="AE492" s="3">
        <f>[1]Results!AH241</f>
        <v>191.50142969999999</v>
      </c>
      <c r="AF492" s="3">
        <f>[1]Results!AI241</f>
        <v>193.1374093</v>
      </c>
      <c r="AG492" s="3">
        <f>[1]Results!AJ241</f>
        <v>194.80393330000001</v>
      </c>
      <c r="AH492" s="3">
        <f>[1]Results!AK241</f>
        <v>196.5027493</v>
      </c>
      <c r="AI492" s="3">
        <f>[1]Results!AL241</f>
        <v>198.23482619999999</v>
      </c>
      <c r="AJ492" s="3">
        <f>[1]Results!AM241</f>
        <v>200.00033049999999</v>
      </c>
      <c r="AK492" s="3">
        <f>[1]Results!AN241</f>
        <v>201.7987479</v>
      </c>
      <c r="AL492" s="3">
        <f>[1]Results!AO241</f>
        <v>203.6290601</v>
      </c>
      <c r="AM492" s="3">
        <f>[1]Results!AP241</f>
        <v>205.41903730000001</v>
      </c>
      <c r="AN492" s="3">
        <f>[1]Results!AQ241</f>
        <v>207.2152279</v>
      </c>
      <c r="AO492" s="3">
        <f>[1]Results!AR241</f>
        <v>209.02538290000001</v>
      </c>
      <c r="AP492" s="3">
        <f>[1]Results!AS241</f>
        <v>210.85248540000001</v>
      </c>
      <c r="AQ492" s="3">
        <f>[1]Results!AT241</f>
        <v>212.69806489999999</v>
      </c>
      <c r="AR492" s="3">
        <f>[1]Results!AU241</f>
        <v>214.5632043</v>
      </c>
      <c r="AS492" s="3">
        <f>[1]Results!AV241</f>
        <v>216.4487891</v>
      </c>
      <c r="AT492" s="3">
        <f>[1]Results!AW241</f>
        <v>218.35553400000001</v>
      </c>
      <c r="AU492" s="3">
        <f>[1]Results!AX241</f>
        <v>220.2839673</v>
      </c>
      <c r="AV492" s="3">
        <f>[1]Results!AY241</f>
        <v>222.23442779999999</v>
      </c>
      <c r="AW492" s="3">
        <f>[1]Results!AZ241</f>
        <v>224.2133369</v>
      </c>
      <c r="AX492" s="3">
        <f>[1]Results!BA241</f>
        <v>226.21645670000001</v>
      </c>
      <c r="AY492" s="3">
        <f>[1]Results!BB241</f>
        <v>228.24293990000001</v>
      </c>
      <c r="AZ492" s="3">
        <f>[1]Results!BC241</f>
        <v>230.29231669999999</v>
      </c>
      <c r="BA492" s="3">
        <f>[1]Results!BD241</f>
        <v>232.36425170000001</v>
      </c>
      <c r="BB492" s="3">
        <f>[1]Results!BE241</f>
        <v>263.32302049999998</v>
      </c>
      <c r="BC492" s="3">
        <f>[1]Results!BF241</f>
        <v>266.90438410000002</v>
      </c>
      <c r="BD492" s="3">
        <f>[1]Results!BG241</f>
        <v>270.54608409999997</v>
      </c>
      <c r="BE492" s="3">
        <f>[1]Results!BH241</f>
        <v>274.249459</v>
      </c>
      <c r="BF492" s="3">
        <f>[1]Results!BI241</f>
        <v>278.01577370000001</v>
      </c>
    </row>
    <row r="493" spans="1:58" x14ac:dyDescent="0.35">
      <c r="A493" t="s">
        <v>38</v>
      </c>
      <c r="B493" s="3" t="str">
        <f>[1]Results!E242</f>
        <v>YG_toe_ccoa_0</v>
      </c>
      <c r="C493" s="3">
        <f>[1]Results!F242</f>
        <v>2.395371543</v>
      </c>
      <c r="D493" s="3">
        <f>[1]Results!G242</f>
        <v>2.4207087280000001</v>
      </c>
      <c r="E493" s="3">
        <f>[1]Results!H242</f>
        <v>2.4474934840000002</v>
      </c>
      <c r="F493" s="3">
        <f>[1]Results!I242</f>
        <v>2.4767854690000002</v>
      </c>
      <c r="G493" s="3">
        <f>[1]Results!J242</f>
        <v>2.5086482989999999</v>
      </c>
      <c r="H493" s="3">
        <f>[1]Results!K242</f>
        <v>2.5427623540000002</v>
      </c>
      <c r="I493" s="3">
        <f>[1]Results!L242</f>
        <v>2.577230396</v>
      </c>
      <c r="J493" s="3">
        <f>[1]Results!M242</f>
        <v>2.6127481889999999</v>
      </c>
      <c r="K493" s="3">
        <f>[1]Results!N242</f>
        <v>2.6492820610000001</v>
      </c>
      <c r="L493" s="3">
        <f>[1]Results!O242</f>
        <v>2.6866931109999999</v>
      </c>
      <c r="M493" s="3">
        <f>[1]Results!P242</f>
        <v>2.7275018790000001</v>
      </c>
      <c r="N493" s="3">
        <f>[1]Results!Q242</f>
        <v>2.7671437609999998</v>
      </c>
      <c r="O493" s="3">
        <f>[1]Results!R242</f>
        <v>2.8069669400000001</v>
      </c>
      <c r="P493" s="3">
        <f>[1]Results!S242</f>
        <v>2.847219827</v>
      </c>
      <c r="Q493" s="3">
        <f>[1]Results!T242</f>
        <v>2.8879360250000001</v>
      </c>
      <c r="R493" s="3">
        <f>[1]Results!U242</f>
        <v>2.9291220930000001</v>
      </c>
      <c r="S493" s="3">
        <f>[1]Results!V242</f>
        <v>2.9707914660000001</v>
      </c>
      <c r="T493" s="3">
        <f>[1]Results!W242</f>
        <v>3.0129664549999999</v>
      </c>
      <c r="U493" s="3">
        <f>[1]Results!X242</f>
        <v>3.0556748649999999</v>
      </c>
      <c r="V493" s="3">
        <f>[1]Results!Y242</f>
        <v>3.098946771</v>
      </c>
      <c r="W493" s="3">
        <f>[1]Results!Z242</f>
        <v>3.1408639190000001</v>
      </c>
      <c r="X493" s="3">
        <f>[1]Results!AA242</f>
        <v>3.184747443</v>
      </c>
      <c r="Y493" s="3">
        <f>[1]Results!AB242</f>
        <v>3.2295852310000002</v>
      </c>
      <c r="Z493" s="3">
        <f>[1]Results!AC242</f>
        <v>3.2751892969999998</v>
      </c>
      <c r="AA493" s="3">
        <f>[1]Results!AD242</f>
        <v>3.3215375960000002</v>
      </c>
      <c r="AB493" s="3">
        <f>[1]Results!AE242</f>
        <v>3.3630223450000001</v>
      </c>
      <c r="AC493" s="3">
        <f>[1]Results!AF242</f>
        <v>3.4064591580000001</v>
      </c>
      <c r="AD493" s="3">
        <f>[1]Results!AG242</f>
        <v>3.4506606209999999</v>
      </c>
      <c r="AE493" s="3">
        <f>[1]Results!AH242</f>
        <v>3.4954227769999999</v>
      </c>
      <c r="AF493" s="3">
        <f>[1]Results!AI242</f>
        <v>3.540743628</v>
      </c>
      <c r="AG493" s="3">
        <f>[1]Results!AJ242</f>
        <v>3.5866496309999998</v>
      </c>
      <c r="AH493" s="3">
        <f>[1]Results!AK242</f>
        <v>3.6331588450000001</v>
      </c>
      <c r="AI493" s="3">
        <f>[1]Results!AL242</f>
        <v>3.6802758359999999</v>
      </c>
      <c r="AJ493" s="3">
        <f>[1]Results!AM242</f>
        <v>3.727994303</v>
      </c>
      <c r="AK493" s="3">
        <f>[1]Results!AN242</f>
        <v>3.7763011290000001</v>
      </c>
      <c r="AL493" s="3">
        <f>[1]Results!AO242</f>
        <v>3.8251799850000001</v>
      </c>
      <c r="AM493" s="3">
        <f>[1]Results!AP242</f>
        <v>3.8732602549999999</v>
      </c>
      <c r="AN493" s="3">
        <f>[1]Results!AQ242</f>
        <v>3.9214419540000001</v>
      </c>
      <c r="AO493" s="3">
        <f>[1]Results!AR242</f>
        <v>3.9699184459999999</v>
      </c>
      <c r="AP493" s="3">
        <f>[1]Results!AS242</f>
        <v>4.0187423569999998</v>
      </c>
      <c r="AQ493" s="3">
        <f>[1]Results!AT242</f>
        <v>4.0679408449999999</v>
      </c>
      <c r="AR493" s="3">
        <f>[1]Results!AU242</f>
        <v>4.1175355649999998</v>
      </c>
      <c r="AS493" s="3">
        <f>[1]Results!AV242</f>
        <v>4.1675442809999996</v>
      </c>
      <c r="AT493" s="3">
        <f>[1]Results!AW242</f>
        <v>4.2179802999999998</v>
      </c>
      <c r="AU493" s="3">
        <f>[1]Results!AX242</f>
        <v>4.2688527030000003</v>
      </c>
      <c r="AV493" s="3">
        <f>[1]Results!AY242</f>
        <v>4.3201673859999996</v>
      </c>
      <c r="AW493" s="3">
        <f>[1]Results!AZ242</f>
        <v>4.3720504790000003</v>
      </c>
      <c r="AX493" s="3">
        <f>[1]Results!BA242</f>
        <v>4.4244227519999999</v>
      </c>
      <c r="AY493" s="3">
        <f>[1]Results!BB242</f>
        <v>4.4772696160000001</v>
      </c>
      <c r="AZ493" s="3">
        <f>[1]Results!BC242</f>
        <v>4.5305906179999997</v>
      </c>
      <c r="BA493" s="3">
        <f>[1]Results!BD242</f>
        <v>4.5843894150000004</v>
      </c>
      <c r="BB493" s="3">
        <f>[1]Results!BE242</f>
        <v>5.2808698180000002</v>
      </c>
      <c r="BC493" s="3">
        <f>[1]Results!BF242</f>
        <v>5.3692964270000001</v>
      </c>
      <c r="BD493" s="3">
        <f>[1]Results!BG242</f>
        <v>5.4590872729999997</v>
      </c>
      <c r="BE493" s="3">
        <f>[1]Results!BH242</f>
        <v>5.5502613419999998</v>
      </c>
      <c r="BF493" s="3">
        <f>[1]Results!BI242</f>
        <v>5.6428395079999998</v>
      </c>
    </row>
    <row r="494" spans="1:58" x14ac:dyDescent="0.35">
      <c r="B494" s="3" t="s">
        <v>74</v>
      </c>
      <c r="C494" s="3">
        <f>SUM(C495:C497)</f>
        <v>51.443684653000005</v>
      </c>
      <c r="D494" s="3">
        <f t="shared" ref="D494:AL494" si="305">SUM(D495:D497)</f>
        <v>51.774392861000003</v>
      </c>
      <c r="E494" s="3">
        <f t="shared" si="305"/>
        <v>52.071565469999996</v>
      </c>
      <c r="F494" s="3">
        <f t="shared" si="305"/>
        <v>52.419095661999997</v>
      </c>
      <c r="G494" s="3">
        <f t="shared" si="305"/>
        <v>52.839290206000001</v>
      </c>
      <c r="H494" s="3">
        <f t="shared" si="305"/>
        <v>53.327996554000002</v>
      </c>
      <c r="I494" s="3">
        <f t="shared" si="305"/>
        <v>53.847275547999999</v>
      </c>
      <c r="J494" s="3">
        <f t="shared" si="305"/>
        <v>54.402627475000003</v>
      </c>
      <c r="K494" s="3">
        <f t="shared" si="305"/>
        <v>54.986960951999997</v>
      </c>
      <c r="L494" s="3">
        <f t="shared" si="305"/>
        <v>55.593759014</v>
      </c>
      <c r="M494" s="3">
        <f t="shared" si="305"/>
        <v>56.263636236999993</v>
      </c>
      <c r="N494" s="3">
        <f t="shared" si="305"/>
        <v>56.916153049999998</v>
      </c>
      <c r="O494" s="3">
        <f t="shared" si="305"/>
        <v>57.573944817000005</v>
      </c>
      <c r="P494" s="3">
        <f t="shared" si="305"/>
        <v>58.237523534999994</v>
      </c>
      <c r="Q494" s="3">
        <f t="shared" si="305"/>
        <v>58.906082975000004</v>
      </c>
      <c r="R494" s="3">
        <f t="shared" si="305"/>
        <v>59.578854179999993</v>
      </c>
      <c r="S494" s="3">
        <f t="shared" si="305"/>
        <v>60.255389398000005</v>
      </c>
      <c r="T494" s="3">
        <f t="shared" si="305"/>
        <v>60.935563141999992</v>
      </c>
      <c r="U494" s="3">
        <f t="shared" si="305"/>
        <v>61.619513393000005</v>
      </c>
      <c r="V494" s="3">
        <f t="shared" si="305"/>
        <v>62.307578668000005</v>
      </c>
      <c r="W494" s="3">
        <f t="shared" si="305"/>
        <v>62.966852035999999</v>
      </c>
      <c r="X494" s="3">
        <f t="shared" si="305"/>
        <v>63.653941453999998</v>
      </c>
      <c r="Y494" s="3">
        <f t="shared" si="305"/>
        <v>64.350621402000002</v>
      </c>
      <c r="Z494" s="3">
        <f t="shared" si="305"/>
        <v>65.055661118999993</v>
      </c>
      <c r="AA494" s="3">
        <f t="shared" si="305"/>
        <v>65.76917641</v>
      </c>
      <c r="AB494" s="3">
        <f t="shared" si="305"/>
        <v>66.395989783999994</v>
      </c>
      <c r="AC494" s="3">
        <f t="shared" si="305"/>
        <v>67.051821622999995</v>
      </c>
      <c r="AD494" s="3">
        <f t="shared" si="305"/>
        <v>67.712959529000003</v>
      </c>
      <c r="AE494" s="3">
        <f t="shared" si="305"/>
        <v>68.379223639999992</v>
      </c>
      <c r="AF494" s="3">
        <f t="shared" si="305"/>
        <v>69.051717472999997</v>
      </c>
      <c r="AG494" s="3">
        <f t="shared" si="305"/>
        <v>69.731640561000006</v>
      </c>
      <c r="AH494" s="3">
        <f t="shared" si="305"/>
        <v>70.419974831000005</v>
      </c>
      <c r="AI494" s="3">
        <f t="shared" si="305"/>
        <v>71.117436892000001</v>
      </c>
      <c r="AJ494" s="3">
        <f t="shared" si="305"/>
        <v>71.824509543000005</v>
      </c>
      <c r="AK494" s="3">
        <f t="shared" si="305"/>
        <v>72.541492089000002</v>
      </c>
      <c r="AL494" s="3">
        <f t="shared" si="305"/>
        <v>73.268548890000005</v>
      </c>
      <c r="AM494" s="3">
        <f t="shared" ref="AM494:BC494" si="306">SUM(AM495:AM497)</f>
        <v>73.983042295000004</v>
      </c>
      <c r="AN494" s="3">
        <f t="shared" si="306"/>
        <v>74.700361090000001</v>
      </c>
      <c r="AO494" s="3">
        <f t="shared" si="306"/>
        <v>75.422887524000004</v>
      </c>
      <c r="AP494" s="3">
        <f t="shared" si="306"/>
        <v>76.151748157</v>
      </c>
      <c r="AQ494" s="3">
        <f t="shared" si="306"/>
        <v>76.887716322000003</v>
      </c>
      <c r="AR494" s="3">
        <f t="shared" si="306"/>
        <v>77.631417799000005</v>
      </c>
      <c r="AS494" s="3">
        <f t="shared" si="306"/>
        <v>78.383368501000007</v>
      </c>
      <c r="AT494" s="3">
        <f t="shared" si="306"/>
        <v>79.143983578999993</v>
      </c>
      <c r="AU494" s="3">
        <f t="shared" si="306"/>
        <v>79.913589611999996</v>
      </c>
      <c r="AV494" s="3">
        <f t="shared" si="306"/>
        <v>80.692442495999998</v>
      </c>
      <c r="AW494" s="3">
        <f t="shared" si="306"/>
        <v>81.482770979999998</v>
      </c>
      <c r="AX494" s="3">
        <f t="shared" si="306"/>
        <v>82.283364054000003</v>
      </c>
      <c r="AY494" s="3">
        <f t="shared" si="306"/>
        <v>83.094168476999982</v>
      </c>
      <c r="AZ494" s="3">
        <f t="shared" si="306"/>
        <v>83.915236427999986</v>
      </c>
      <c r="BA494" s="3">
        <f t="shared" si="306"/>
        <v>84.746655484000001</v>
      </c>
      <c r="BB494" s="3">
        <f t="shared" si="306"/>
        <v>95.000434229000007</v>
      </c>
      <c r="BC494" s="3">
        <f t="shared" si="306"/>
        <v>96.305679523999999</v>
      </c>
      <c r="BD494" s="3">
        <f t="shared" ref="BD494:BF494" si="307">SUM(BD495:BD497)</f>
        <v>97.631281221000009</v>
      </c>
      <c r="BE494" s="3">
        <f t="shared" si="307"/>
        <v>98.977784716999992</v>
      </c>
      <c r="BF494" s="3">
        <f t="shared" si="307"/>
        <v>100.34575763000001</v>
      </c>
    </row>
    <row r="495" spans="1:58" x14ac:dyDescent="0.35">
      <c r="B495" s="3" t="str">
        <f>[1]Results!E245</f>
        <v>YG_toe_ccoi_0</v>
      </c>
      <c r="C495" s="3">
        <f>[1]Results!F245</f>
        <v>1.0973689950000001</v>
      </c>
      <c r="D495" s="3">
        <f>[1]Results!G245</f>
        <v>1.105632288</v>
      </c>
      <c r="E495" s="3">
        <f>[1]Results!H245</f>
        <v>1.112776277</v>
      </c>
      <c r="F495" s="3">
        <f>[1]Results!I245</f>
        <v>1.1207409319999999</v>
      </c>
      <c r="G495" s="3">
        <f>[1]Results!J245</f>
        <v>1.1301213510000001</v>
      </c>
      <c r="H495" s="3">
        <f>[1]Results!K245</f>
        <v>1.1408843930000001</v>
      </c>
      <c r="I495" s="3">
        <f>[1]Results!L245</f>
        <v>1.152224549</v>
      </c>
      <c r="J495" s="3">
        <f>[1]Results!M245</f>
        <v>1.1642373189999999</v>
      </c>
      <c r="K495" s="3">
        <f>[1]Results!N245</f>
        <v>1.1768117680000001</v>
      </c>
      <c r="L495" s="3">
        <f>[1]Results!O245</f>
        <v>1.189820696</v>
      </c>
      <c r="M495" s="3">
        <f>[1]Results!P245</f>
        <v>1.2041565940000001</v>
      </c>
      <c r="N495" s="3">
        <f>[1]Results!Q245</f>
        <v>1.2181323740000001</v>
      </c>
      <c r="O495" s="3">
        <f>[1]Results!R245</f>
        <v>1.2321294169999999</v>
      </c>
      <c r="P495" s="3">
        <f>[1]Results!S245</f>
        <v>1.2462240689999999</v>
      </c>
      <c r="Q495" s="3">
        <f>[1]Results!T245</f>
        <v>1.2604219219999999</v>
      </c>
      <c r="R495" s="3">
        <f>[1]Results!U245</f>
        <v>1.2747180890000001</v>
      </c>
      <c r="S495" s="3">
        <f>[1]Results!V245</f>
        <v>1.28911061</v>
      </c>
      <c r="T495" s="3">
        <f>[1]Results!W245</f>
        <v>1.3036022869999999</v>
      </c>
      <c r="U495" s="3">
        <f>[1]Results!X245</f>
        <v>1.318199941</v>
      </c>
      <c r="V495" s="3">
        <f>[1]Results!Y245</f>
        <v>1.332913266</v>
      </c>
      <c r="W495" s="3">
        <f>[1]Results!Z245</f>
        <v>1.347028543</v>
      </c>
      <c r="X495" s="3">
        <f>[1]Results!AA245</f>
        <v>1.361737317</v>
      </c>
      <c r="Y495" s="3">
        <f>[1]Results!AB245</f>
        <v>1.376730437</v>
      </c>
      <c r="Z495" s="3">
        <f>[1]Results!AC245</f>
        <v>1.3919388239999999</v>
      </c>
      <c r="AA495" s="3">
        <f>[1]Results!AD245</f>
        <v>1.4073531990000001</v>
      </c>
      <c r="AB495" s="3">
        <f>[1]Results!AE245</f>
        <v>1.4209015540000001</v>
      </c>
      <c r="AC495" s="3">
        <f>[1]Results!AF245</f>
        <v>1.434985943</v>
      </c>
      <c r="AD495" s="3">
        <f>[1]Results!AG245</f>
        <v>1.4492886089999999</v>
      </c>
      <c r="AE495" s="3">
        <f>[1]Results!AH245</f>
        <v>1.463753254</v>
      </c>
      <c r="AF495" s="3">
        <f>[1]Results!AI245</f>
        <v>1.478386502</v>
      </c>
      <c r="AG495" s="3">
        <f>[1]Results!AJ245</f>
        <v>1.4932055399999999</v>
      </c>
      <c r="AH495" s="3">
        <f>[1]Results!AK245</f>
        <v>1.5082254230000001</v>
      </c>
      <c r="AI495" s="3">
        <f>[1]Results!AL245</f>
        <v>1.523456602</v>
      </c>
      <c r="AJ495" s="3">
        <f>[1]Results!AM245</f>
        <v>1.5389052329999999</v>
      </c>
      <c r="AK495" s="3">
        <f>[1]Results!AN245</f>
        <v>1.554574189</v>
      </c>
      <c r="AL495" s="3">
        <f>[1]Results!AO245</f>
        <v>1.5704640999999999</v>
      </c>
      <c r="AM495" s="3">
        <f>[1]Results!AP245</f>
        <v>1.5860806750000001</v>
      </c>
      <c r="AN495" s="3">
        <f>[1]Results!AQ245</f>
        <v>1.6017307199999999</v>
      </c>
      <c r="AO495" s="3">
        <f>[1]Results!AR245</f>
        <v>1.6174987839999999</v>
      </c>
      <c r="AP495" s="3">
        <f>[1]Results!AS245</f>
        <v>1.633414717</v>
      </c>
      <c r="AQ495" s="3">
        <f>[1]Results!AT245</f>
        <v>1.6494946420000001</v>
      </c>
      <c r="AR495" s="3">
        <f>[1]Results!AU245</f>
        <v>1.665750259</v>
      </c>
      <c r="AS495" s="3">
        <f>[1]Results!AV245</f>
        <v>1.6821907810000001</v>
      </c>
      <c r="AT495" s="3">
        <f>[1]Results!AW245</f>
        <v>1.6988233690000001</v>
      </c>
      <c r="AU495" s="3">
        <f>[1]Results!AX245</f>
        <v>1.715653412</v>
      </c>
      <c r="AV495" s="3">
        <f>[1]Results!AY245</f>
        <v>1.732684906</v>
      </c>
      <c r="AW495" s="3">
        <f>[1]Results!AZ245</f>
        <v>1.74996489</v>
      </c>
      <c r="AX495" s="3">
        <f>[1]Results!BA245</f>
        <v>1.767468094</v>
      </c>
      <c r="AY495" s="3">
        <f>[1]Results!BB245</f>
        <v>1.785189197</v>
      </c>
      <c r="AZ495" s="3">
        <f>[1]Results!BC245</f>
        <v>1.803127838</v>
      </c>
      <c r="BA495" s="3">
        <f>[1]Results!BD245</f>
        <v>1.8212851240000001</v>
      </c>
      <c r="BB495" s="3">
        <f>[1]Results!BE245</f>
        <v>2.0594486289999998</v>
      </c>
      <c r="BC495" s="3">
        <f>[1]Results!BF245</f>
        <v>2.0887388640000002</v>
      </c>
      <c r="BD495" s="3">
        <f>[1]Results!BG245</f>
        <v>2.118508641</v>
      </c>
      <c r="BE495" s="3">
        <f>[1]Results!BH245</f>
        <v>2.1487698270000002</v>
      </c>
      <c r="BF495" s="3">
        <f>[1]Results!BI245</f>
        <v>2.1795345500000001</v>
      </c>
    </row>
    <row r="496" spans="1:58" x14ac:dyDescent="0.35">
      <c r="B496" s="3" t="str">
        <f>[1]Results!E248</f>
        <v>YG_toe_cfut_0</v>
      </c>
      <c r="C496" s="3">
        <f>[1]Results!F248</f>
        <v>42.403488119999999</v>
      </c>
      <c r="D496" s="3">
        <f>[1]Results!G248</f>
        <v>42.669148710000002</v>
      </c>
      <c r="E496" s="3">
        <f>[1]Results!H248</f>
        <v>42.912055109999997</v>
      </c>
      <c r="F496" s="3">
        <f>[1]Results!I248</f>
        <v>43.204482069999997</v>
      </c>
      <c r="G496" s="3">
        <f>[1]Results!J248</f>
        <v>43.564178560000002</v>
      </c>
      <c r="H496" s="3">
        <f>[1]Results!K248</f>
        <v>43.985935380000001</v>
      </c>
      <c r="I496" s="3">
        <f>[1]Results!L248</f>
        <v>44.436861039999997</v>
      </c>
      <c r="J496" s="3">
        <f>[1]Results!M248</f>
        <v>44.920664819999999</v>
      </c>
      <c r="K496" s="3">
        <f>[1]Results!N248</f>
        <v>45.430412349999997</v>
      </c>
      <c r="L496" s="3">
        <f>[1]Results!O248</f>
        <v>45.960119769999999</v>
      </c>
      <c r="M496" s="3">
        <f>[1]Results!P248</f>
        <v>46.542964679999997</v>
      </c>
      <c r="N496" s="3">
        <f>[1]Results!Q248</f>
        <v>47.11168378</v>
      </c>
      <c r="O496" s="3">
        <f>[1]Results!R248</f>
        <v>47.685982039999999</v>
      </c>
      <c r="P496" s="3">
        <f>[1]Results!S248</f>
        <v>48.265814419999998</v>
      </c>
      <c r="Q496" s="3">
        <f>[1]Results!T248</f>
        <v>48.850261830000001</v>
      </c>
      <c r="R496" s="3">
        <f>[1]Results!U248</f>
        <v>49.438525319999997</v>
      </c>
      <c r="S496" s="3">
        <f>[1]Results!V248</f>
        <v>50.030115260000002</v>
      </c>
      <c r="T496" s="3">
        <f>[1]Results!W248</f>
        <v>50.624834069999999</v>
      </c>
      <c r="U496" s="3">
        <f>[1]Results!X248</f>
        <v>51.222719529999999</v>
      </c>
      <c r="V496" s="3">
        <f>[1]Results!Y248</f>
        <v>51.823989410000003</v>
      </c>
      <c r="W496" s="3">
        <f>[1]Results!Z248</f>
        <v>52.40131161</v>
      </c>
      <c r="X496" s="3">
        <f>[1]Results!AA248</f>
        <v>53.002050089999997</v>
      </c>
      <c r="Y496" s="3">
        <f>[1]Results!AB248</f>
        <v>53.610210549999998</v>
      </c>
      <c r="Z496" s="3">
        <f>[1]Results!AC248</f>
        <v>54.224996949999998</v>
      </c>
      <c r="AA496" s="3">
        <f>[1]Results!AD248</f>
        <v>54.84659722</v>
      </c>
      <c r="AB496" s="3">
        <f>[1]Results!AE248</f>
        <v>55.39599552</v>
      </c>
      <c r="AC496" s="3">
        <f>[1]Results!AF248</f>
        <v>55.970700819999998</v>
      </c>
      <c r="AD496" s="3">
        <f>[1]Results!AG248</f>
        <v>56.549222970000002</v>
      </c>
      <c r="AE496" s="3">
        <f>[1]Results!AH248</f>
        <v>57.131602309999998</v>
      </c>
      <c r="AF496" s="3">
        <f>[1]Results!AI248</f>
        <v>57.71885606</v>
      </c>
      <c r="AG496" s="3">
        <f>[1]Results!AJ248</f>
        <v>58.312053730000002</v>
      </c>
      <c r="AH496" s="3">
        <f>[1]Results!AK248</f>
        <v>58.91207283</v>
      </c>
      <c r="AI496" s="3">
        <f>[1]Results!AL248</f>
        <v>59.51956431</v>
      </c>
      <c r="AJ496" s="3">
        <f>[1]Results!AM248</f>
        <v>60.134981369999998</v>
      </c>
      <c r="AK496" s="3">
        <f>[1]Results!AN248</f>
        <v>60.758622789999997</v>
      </c>
      <c r="AL496" s="3">
        <f>[1]Results!AO248</f>
        <v>61.39067395</v>
      </c>
      <c r="AM496" s="3">
        <f>[1]Results!AP248</f>
        <v>62.012302320000003</v>
      </c>
      <c r="AN496" s="3">
        <f>[1]Results!AQ248</f>
        <v>62.636714640000001</v>
      </c>
      <c r="AO496" s="3">
        <f>[1]Results!AR248</f>
        <v>63.265687939999999</v>
      </c>
      <c r="AP496" s="3">
        <f>[1]Results!AS248</f>
        <v>63.900102830000002</v>
      </c>
      <c r="AQ496" s="3">
        <f>[1]Results!AT248</f>
        <v>64.540601300000006</v>
      </c>
      <c r="AR496" s="3">
        <f>[1]Results!AU248</f>
        <v>65.187723230000003</v>
      </c>
      <c r="AS496" s="3">
        <f>[1]Results!AV248</f>
        <v>65.841923649999998</v>
      </c>
      <c r="AT496" s="3">
        <f>[1]Results!AW248</f>
        <v>66.503574529999995</v>
      </c>
      <c r="AU496" s="3">
        <f>[1]Results!AX248</f>
        <v>67.172972889999997</v>
      </c>
      <c r="AV496" s="3">
        <f>[1]Results!AY248</f>
        <v>67.850355379999996</v>
      </c>
      <c r="AW496" s="3">
        <f>[1]Results!AZ248</f>
        <v>68.537608539999994</v>
      </c>
      <c r="AX496" s="3">
        <f>[1]Results!BA248</f>
        <v>69.233710340000002</v>
      </c>
      <c r="AY496" s="3">
        <f>[1]Results!BB248</f>
        <v>69.938658759999996</v>
      </c>
      <c r="AZ496" s="3">
        <f>[1]Results!BC248</f>
        <v>70.652526359999996</v>
      </c>
      <c r="BA496" s="3">
        <f>[1]Results!BD248</f>
        <v>71.375409910000002</v>
      </c>
      <c r="BB496" s="3">
        <f>[1]Results!BE248</f>
        <v>79.660940400000001</v>
      </c>
      <c r="BC496" s="3">
        <f>[1]Results!BF248</f>
        <v>80.770912499999994</v>
      </c>
      <c r="BD496" s="3">
        <f>[1]Results!BG248</f>
        <v>81.898136870000002</v>
      </c>
      <c r="BE496" s="3">
        <f>[1]Results!BH248</f>
        <v>83.043075369999997</v>
      </c>
      <c r="BF496" s="3">
        <f>[1]Results!BI248</f>
        <v>84.206216670000003</v>
      </c>
    </row>
    <row r="497" spans="1:58" x14ac:dyDescent="0.35">
      <c r="B497" s="3" t="str">
        <f>[1]Results!E251</f>
        <v>YG_toe_cfuh_0</v>
      </c>
      <c r="C497" s="3">
        <f>[1]Results!F251</f>
        <v>7.9428275380000004</v>
      </c>
      <c r="D497" s="3">
        <f>[1]Results!G251</f>
        <v>7.9996118630000002</v>
      </c>
      <c r="E497" s="3">
        <f>[1]Results!H251</f>
        <v>8.0467340830000005</v>
      </c>
      <c r="F497" s="3">
        <f>[1]Results!I251</f>
        <v>8.0938726600000006</v>
      </c>
      <c r="G497" s="3">
        <f>[1]Results!J251</f>
        <v>8.1449902949999995</v>
      </c>
      <c r="H497" s="3">
        <f>[1]Results!K251</f>
        <v>8.2011767809999991</v>
      </c>
      <c r="I497" s="3">
        <f>[1]Results!L251</f>
        <v>8.2581899589999992</v>
      </c>
      <c r="J497" s="3">
        <f>[1]Results!M251</f>
        <v>8.3177253360000005</v>
      </c>
      <c r="K497" s="3">
        <f>[1]Results!N251</f>
        <v>8.3797368339999991</v>
      </c>
      <c r="L497" s="3">
        <f>[1]Results!O251</f>
        <v>8.4438185479999994</v>
      </c>
      <c r="M497" s="3">
        <f>[1]Results!P251</f>
        <v>8.5165149630000005</v>
      </c>
      <c r="N497" s="3">
        <f>[1]Results!Q251</f>
        <v>8.5863368960000006</v>
      </c>
      <c r="O497" s="3">
        <f>[1]Results!R251</f>
        <v>8.6558333600000008</v>
      </c>
      <c r="P497" s="3">
        <f>[1]Results!S251</f>
        <v>8.7254850459999993</v>
      </c>
      <c r="Q497" s="3">
        <f>[1]Results!T251</f>
        <v>8.7953992230000004</v>
      </c>
      <c r="R497" s="3">
        <f>[1]Results!U251</f>
        <v>8.8656107710000001</v>
      </c>
      <c r="S497" s="3">
        <f>[1]Results!V251</f>
        <v>8.9361635279999998</v>
      </c>
      <c r="T497" s="3">
        <f>[1]Results!W251</f>
        <v>9.0071267850000005</v>
      </c>
      <c r="U497" s="3">
        <f>[1]Results!X251</f>
        <v>9.0785939219999996</v>
      </c>
      <c r="V497" s="3">
        <f>[1]Results!Y251</f>
        <v>9.150675992</v>
      </c>
      <c r="W497" s="3">
        <f>[1]Results!Z251</f>
        <v>9.2185118829999997</v>
      </c>
      <c r="X497" s="3">
        <f>[1]Results!AA251</f>
        <v>9.2901540469999997</v>
      </c>
      <c r="Y497" s="3">
        <f>[1]Results!AB251</f>
        <v>9.3636804149999993</v>
      </c>
      <c r="Z497" s="3">
        <f>[1]Results!AC251</f>
        <v>9.4387253449999999</v>
      </c>
      <c r="AA497" s="3">
        <f>[1]Results!AD251</f>
        <v>9.5152259909999994</v>
      </c>
      <c r="AB497" s="3">
        <f>[1]Results!AE251</f>
        <v>9.5790927099999994</v>
      </c>
      <c r="AC497" s="3">
        <f>[1]Results!AF251</f>
        <v>9.6461348600000001</v>
      </c>
      <c r="AD497" s="3">
        <f>[1]Results!AG251</f>
        <v>9.7144479500000003</v>
      </c>
      <c r="AE497" s="3">
        <f>[1]Results!AH251</f>
        <v>9.7838680759999992</v>
      </c>
      <c r="AF497" s="3">
        <f>[1]Results!AI251</f>
        <v>9.8544749110000005</v>
      </c>
      <c r="AG497" s="3">
        <f>[1]Results!AJ251</f>
        <v>9.9263812910000002</v>
      </c>
      <c r="AH497" s="3">
        <f>[1]Results!AK251</f>
        <v>9.9996765780000008</v>
      </c>
      <c r="AI497" s="3">
        <f>[1]Results!AL251</f>
        <v>10.074415979999999</v>
      </c>
      <c r="AJ497" s="3">
        <f>[1]Results!AM251</f>
        <v>10.15062294</v>
      </c>
      <c r="AK497" s="3">
        <f>[1]Results!AN251</f>
        <v>10.228295109999999</v>
      </c>
      <c r="AL497" s="3">
        <f>[1]Results!AO251</f>
        <v>10.307410839999999</v>
      </c>
      <c r="AM497" s="3">
        <f>[1]Results!AP251</f>
        <v>10.384659299999999</v>
      </c>
      <c r="AN497" s="3">
        <f>[1]Results!AQ251</f>
        <v>10.461915729999999</v>
      </c>
      <c r="AO497" s="3">
        <f>[1]Results!AR251</f>
        <v>10.5397008</v>
      </c>
      <c r="AP497" s="3">
        <f>[1]Results!AS251</f>
        <v>10.618230609999999</v>
      </c>
      <c r="AQ497" s="3">
        <f>[1]Results!AT251</f>
        <v>10.69762038</v>
      </c>
      <c r="AR497" s="3">
        <f>[1]Results!AU251</f>
        <v>10.777944310000001</v>
      </c>
      <c r="AS497" s="3">
        <f>[1]Results!AV251</f>
        <v>10.85925407</v>
      </c>
      <c r="AT497" s="3">
        <f>[1]Results!AW251</f>
        <v>10.941585679999999</v>
      </c>
      <c r="AU497" s="3">
        <f>[1]Results!AX251</f>
        <v>11.02496331</v>
      </c>
      <c r="AV497" s="3">
        <f>[1]Results!AY251</f>
        <v>11.109402210000001</v>
      </c>
      <c r="AW497" s="3">
        <f>[1]Results!AZ251</f>
        <v>11.19519755</v>
      </c>
      <c r="AX497" s="3">
        <f>[1]Results!BA251</f>
        <v>11.28218562</v>
      </c>
      <c r="AY497" s="3">
        <f>[1]Results!BB251</f>
        <v>11.37032052</v>
      </c>
      <c r="AZ497" s="3">
        <f>[1]Results!BC251</f>
        <v>11.459582230000001</v>
      </c>
      <c r="BA497" s="3">
        <f>[1]Results!BD251</f>
        <v>11.54996045</v>
      </c>
      <c r="BB497" s="3">
        <f>[1]Results!BE251</f>
        <v>13.2800452</v>
      </c>
      <c r="BC497" s="3">
        <f>[1]Results!BF251</f>
        <v>13.446028159999999</v>
      </c>
      <c r="BD497" s="3">
        <f>[1]Results!BG251</f>
        <v>13.61463571</v>
      </c>
      <c r="BE497" s="3">
        <f>[1]Results!BH251</f>
        <v>13.785939519999999</v>
      </c>
      <c r="BF497" s="3">
        <f>[1]Results!BI251</f>
        <v>13.96000641</v>
      </c>
    </row>
    <row r="498" spans="1:58" x14ac:dyDescent="0.35">
      <c r="B498" s="3" t="str">
        <f>[1]Results!E253</f>
        <v>YG_toe_cgas_0</v>
      </c>
      <c r="C498" s="3">
        <f>[1]Results!F253</f>
        <v>6.6066240619999999</v>
      </c>
      <c r="D498" s="3">
        <f>[1]Results!G253</f>
        <v>6.6497906179999999</v>
      </c>
      <c r="E498" s="3">
        <f>[1]Results!H253</f>
        <v>6.6775935769999997</v>
      </c>
      <c r="F498" s="3">
        <f>[1]Results!I253</f>
        <v>6.6957295559999999</v>
      </c>
      <c r="G498" s="3">
        <f>[1]Results!J253</f>
        <v>6.709400027</v>
      </c>
      <c r="H498" s="3">
        <f>[1]Results!K253</f>
        <v>6.7211324709999998</v>
      </c>
      <c r="I498" s="3">
        <f>[1]Results!L253</f>
        <v>6.7277097259999996</v>
      </c>
      <c r="J498" s="3">
        <f>[1]Results!M253</f>
        <v>6.7350898490000004</v>
      </c>
      <c r="K498" s="3">
        <f>[1]Results!N253</f>
        <v>6.7436973589999996</v>
      </c>
      <c r="L498" s="3">
        <f>[1]Results!O253</f>
        <v>6.7539387570000002</v>
      </c>
      <c r="M498" s="3">
        <f>[1]Results!P253</f>
        <v>6.773917387</v>
      </c>
      <c r="N498" s="3">
        <f>[1]Results!Q253</f>
        <v>6.7871475639999996</v>
      </c>
      <c r="O498" s="3">
        <f>[1]Results!R253</f>
        <v>6.8030282440000001</v>
      </c>
      <c r="P498" s="3">
        <f>[1]Results!S253</f>
        <v>6.8214217069999998</v>
      </c>
      <c r="Q498" s="3">
        <f>[1]Results!T253</f>
        <v>6.842358924</v>
      </c>
      <c r="R498" s="3">
        <f>[1]Results!U253</f>
        <v>6.865788083</v>
      </c>
      <c r="S498" s="3">
        <f>[1]Results!V253</f>
        <v>6.8915708479999997</v>
      </c>
      <c r="T498" s="3">
        <f>[1]Results!W253</f>
        <v>6.9195135580000002</v>
      </c>
      <c r="U498" s="3">
        <f>[1]Results!X253</f>
        <v>6.9493966199999999</v>
      </c>
      <c r="V498" s="3">
        <f>[1]Results!Y253</f>
        <v>6.9809968339999999</v>
      </c>
      <c r="W498" s="3">
        <f>[1]Results!Z253</f>
        <v>7.0084610679999999</v>
      </c>
      <c r="X498" s="3">
        <f>[1]Results!AA253</f>
        <v>7.0437102759999997</v>
      </c>
      <c r="Y498" s="3">
        <f>[1]Results!AB253</f>
        <v>7.0797877969999998</v>
      </c>
      <c r="Z498" s="3">
        <f>[1]Results!AC253</f>
        <v>7.1167266939999996</v>
      </c>
      <c r="AA498" s="3">
        <f>[1]Results!AD253</f>
        <v>7.1543995139999996</v>
      </c>
      <c r="AB498" s="3">
        <f>[1]Results!AE253</f>
        <v>7.1765486049999998</v>
      </c>
      <c r="AC498" s="3">
        <f>[1]Results!AF253</f>
        <v>7.2102342029999997</v>
      </c>
      <c r="AD498" s="3">
        <f>[1]Results!AG253</f>
        <v>7.2446332599999996</v>
      </c>
      <c r="AE498" s="3">
        <f>[1]Results!AH253</f>
        <v>7.279849134</v>
      </c>
      <c r="AF498" s="3">
        <f>[1]Results!AI253</f>
        <v>7.3156793139999996</v>
      </c>
      <c r="AG498" s="3">
        <f>[1]Results!AJ253</f>
        <v>7.3519446339999996</v>
      </c>
      <c r="AH498" s="3">
        <f>[1]Results!AK253</f>
        <v>7.3885409080000004</v>
      </c>
      <c r="AI498" s="3">
        <f>[1]Results!AL253</f>
        <v>7.4254354459999998</v>
      </c>
      <c r="AJ498" s="3">
        <f>[1]Results!AM253</f>
        <v>7.4626513900000004</v>
      </c>
      <c r="AK498" s="3">
        <f>[1]Results!AN253</f>
        <v>7.5002503789999997</v>
      </c>
      <c r="AL498" s="3">
        <f>[1]Results!AO253</f>
        <v>7.5383171689999999</v>
      </c>
      <c r="AM498" s="3">
        <f>[1]Results!AP253</f>
        <v>7.5731069709999996</v>
      </c>
      <c r="AN498" s="3">
        <f>[1]Results!AQ253</f>
        <v>7.6091260119999999</v>
      </c>
      <c r="AO498" s="3">
        <f>[1]Results!AR253</f>
        <v>7.6462266720000001</v>
      </c>
      <c r="AP498" s="3">
        <f>[1]Results!AS253</f>
        <v>7.6843937870000003</v>
      </c>
      <c r="AQ498" s="3">
        <f>[1]Results!AT253</f>
        <v>7.7235994120000004</v>
      </c>
      <c r="AR498" s="3">
        <f>[1]Results!AU253</f>
        <v>7.7638069639999996</v>
      </c>
      <c r="AS498" s="3">
        <f>[1]Results!AV253</f>
        <v>7.8049871570000002</v>
      </c>
      <c r="AT498" s="3">
        <f>[1]Results!AW253</f>
        <v>7.8471268539999999</v>
      </c>
      <c r="AU498" s="3">
        <f>[1]Results!AX253</f>
        <v>7.890231064</v>
      </c>
      <c r="AV498" s="3">
        <f>[1]Results!AY253</f>
        <v>7.9343206720000001</v>
      </c>
      <c r="AW498" s="3">
        <f>[1]Results!AZ253</f>
        <v>7.9797694229999996</v>
      </c>
      <c r="AX498" s="3">
        <f>[1]Results!BA253</f>
        <v>8.0262223279999994</v>
      </c>
      <c r="AY498" s="3">
        <f>[1]Results!BB253</f>
        <v>8.0737451070000006</v>
      </c>
      <c r="AZ498" s="3">
        <f>[1]Results!BC253</f>
        <v>8.1223890829999998</v>
      </c>
      <c r="BA498" s="3">
        <f>[1]Results!BD253</f>
        <v>8.1722029660000004</v>
      </c>
      <c r="BB498" s="3">
        <f>[1]Results!BE253</f>
        <v>6.5550224909999999</v>
      </c>
      <c r="BC498" s="3">
        <f>[1]Results!BF253</f>
        <v>6.5727831459999999</v>
      </c>
      <c r="BD498" s="3">
        <f>[1]Results!BG253</f>
        <v>6.5912239770000003</v>
      </c>
      <c r="BE498" s="3">
        <f>[1]Results!BH253</f>
        <v>6.6103602400000003</v>
      </c>
      <c r="BF498" s="3">
        <f>[1]Results!BI253</f>
        <v>6.6301887920000002</v>
      </c>
    </row>
    <row r="499" spans="1:58" x14ac:dyDescent="0.35">
      <c r="B499" s="3" t="str">
        <f>[1]Results!E259</f>
        <v>YG_toe_cele_0</v>
      </c>
      <c r="C499" s="3">
        <f>[1]Results!F259</f>
        <v>57.52513398</v>
      </c>
      <c r="D499" s="3">
        <f>[1]Results!G259</f>
        <v>58.026870580000001</v>
      </c>
      <c r="E499" s="3">
        <f>[1]Results!H259</f>
        <v>58.486178850000002</v>
      </c>
      <c r="F499" s="3">
        <f>[1]Results!I259</f>
        <v>58.9630145</v>
      </c>
      <c r="G499" s="3">
        <f>[1]Results!J259</f>
        <v>59.479189699999999</v>
      </c>
      <c r="H499" s="3">
        <f>[1]Results!K259</f>
        <v>60.034979149999998</v>
      </c>
      <c r="I499" s="3">
        <f>[1]Results!L259</f>
        <v>60.59031719</v>
      </c>
      <c r="J499" s="3">
        <f>[1]Results!M259</f>
        <v>61.153783060000002</v>
      </c>
      <c r="K499" s="3">
        <f>[1]Results!N259</f>
        <v>61.721291350000001</v>
      </c>
      <c r="L499" s="3">
        <f>[1]Results!O259</f>
        <v>62.287715460000001</v>
      </c>
      <c r="M499" s="3">
        <f>[1]Results!P259</f>
        <v>62.904116449999997</v>
      </c>
      <c r="N499" s="3">
        <f>[1]Results!Q259</f>
        <v>63.479134190000003</v>
      </c>
      <c r="O499" s="3">
        <f>[1]Results!R259</f>
        <v>64.035156229999998</v>
      </c>
      <c r="P499" s="3">
        <f>[1]Results!S259</f>
        <v>64.57675141</v>
      </c>
      <c r="Q499" s="3">
        <f>[1]Results!T259</f>
        <v>65.106347060000004</v>
      </c>
      <c r="R499" s="3">
        <f>[1]Results!U259</f>
        <v>65.626112809999995</v>
      </c>
      <c r="S499" s="3">
        <f>[1]Results!V259</f>
        <v>66.138553860000002</v>
      </c>
      <c r="T499" s="3">
        <f>[1]Results!W259</f>
        <v>66.646551639999998</v>
      </c>
      <c r="U499" s="3">
        <f>[1]Results!X259</f>
        <v>67.153212679999996</v>
      </c>
      <c r="V499" s="3">
        <f>[1]Results!Y259</f>
        <v>67.661674680000004</v>
      </c>
      <c r="W499" s="3">
        <f>[1]Results!Z259</f>
        <v>68.13554062</v>
      </c>
      <c r="X499" s="3">
        <f>[1]Results!AA259</f>
        <v>68.640898759999999</v>
      </c>
      <c r="Y499" s="3">
        <f>[1]Results!AB259</f>
        <v>69.162901180000006</v>
      </c>
      <c r="Z499" s="3">
        <f>[1]Results!AC259</f>
        <v>69.700169750000001</v>
      </c>
      <c r="AA499" s="3">
        <f>[1]Results!AD259</f>
        <v>70.253087600000001</v>
      </c>
      <c r="AB499" s="3">
        <f>[1]Results!AE259</f>
        <v>70.711036969999995</v>
      </c>
      <c r="AC499" s="3">
        <f>[1]Results!AF259</f>
        <v>71.200924869999994</v>
      </c>
      <c r="AD499" s="3">
        <f>[1]Results!AG259</f>
        <v>71.705514179999994</v>
      </c>
      <c r="AE499" s="3">
        <f>[1]Results!AH259</f>
        <v>72.223991949999998</v>
      </c>
      <c r="AF499" s="3">
        <f>[1]Results!AI259</f>
        <v>72.757099929999995</v>
      </c>
      <c r="AG499" s="3">
        <f>[1]Results!AJ259</f>
        <v>73.305869290000004</v>
      </c>
      <c r="AH499" s="3">
        <f>[1]Results!AK259</f>
        <v>73.871049850000006</v>
      </c>
      <c r="AI499" s="3">
        <f>[1]Results!AL259</f>
        <v>74.452905130000005</v>
      </c>
      <c r="AJ499" s="3">
        <f>[1]Results!AM259</f>
        <v>75.05118899</v>
      </c>
      <c r="AK499" s="3">
        <f>[1]Results!AN259</f>
        <v>75.665216430000001</v>
      </c>
      <c r="AL499" s="3">
        <f>[1]Results!AO259</f>
        <v>76.29397736</v>
      </c>
      <c r="AM499" s="3">
        <f>[1]Results!AP259</f>
        <v>76.910367699999995</v>
      </c>
      <c r="AN499" s="3">
        <f>[1]Results!AQ259</f>
        <v>77.528716360000004</v>
      </c>
      <c r="AO499" s="3">
        <f>[1]Results!AR259</f>
        <v>78.151977169999995</v>
      </c>
      <c r="AP499" s="3">
        <f>[1]Results!AS259</f>
        <v>78.781086990000006</v>
      </c>
      <c r="AQ499" s="3">
        <f>[1]Results!AT259</f>
        <v>79.416411409999995</v>
      </c>
      <c r="AR499" s="3">
        <f>[1]Results!AU259</f>
        <v>80.058207150000001</v>
      </c>
      <c r="AS499" s="3">
        <f>[1]Results!AV259</f>
        <v>80.706716479999997</v>
      </c>
      <c r="AT499" s="3">
        <f>[1]Results!AW259</f>
        <v>81.36214622</v>
      </c>
      <c r="AU499" s="3">
        <f>[1]Results!AX259</f>
        <v>82.024628059999998</v>
      </c>
      <c r="AV499" s="3">
        <f>[1]Results!AY259</f>
        <v>82.694193659999996</v>
      </c>
      <c r="AW499" s="3">
        <f>[1]Results!AZ259</f>
        <v>83.373044419999999</v>
      </c>
      <c r="AX499" s="3">
        <f>[1]Results!BA259</f>
        <v>84.059636319999996</v>
      </c>
      <c r="AY499" s="3">
        <f>[1]Results!BB259</f>
        <v>84.753374820000005</v>
      </c>
      <c r="AZ499" s="3">
        <f>[1]Results!BC259</f>
        <v>85.453810540000006</v>
      </c>
      <c r="BA499" s="3">
        <f>[1]Results!BD259</f>
        <v>86.160542430000007</v>
      </c>
      <c r="BB499" s="3">
        <f>[1]Results!BE259</f>
        <v>102.0538025</v>
      </c>
      <c r="BC499" s="3">
        <f>[1]Results!BF259</f>
        <v>103.4970831</v>
      </c>
      <c r="BD499" s="3">
        <f>[1]Results!BG259</f>
        <v>104.966171</v>
      </c>
      <c r="BE499" s="3">
        <f>[1]Results!BH259</f>
        <v>106.46154749999999</v>
      </c>
      <c r="BF499" s="3">
        <f>[1]Results!BI259</f>
        <v>107.9836487</v>
      </c>
    </row>
    <row r="500" spans="1:58" x14ac:dyDescent="0.35">
      <c r="B500" s="3" t="s">
        <v>75</v>
      </c>
      <c r="C500" s="3">
        <f>SUM(C501:C503)</f>
        <v>30.778115544000002</v>
      </c>
      <c r="D500" s="3">
        <f t="shared" ref="D500:AL500" si="308">SUM(D501:D503)</f>
        <v>31.070575703999999</v>
      </c>
      <c r="E500" s="3">
        <f t="shared" si="308"/>
        <v>31.355219200000001</v>
      </c>
      <c r="F500" s="3">
        <f t="shared" si="308"/>
        <v>31.648761794999999</v>
      </c>
      <c r="G500" s="3">
        <f t="shared" si="308"/>
        <v>31.958303615000002</v>
      </c>
      <c r="H500" s="3">
        <f t="shared" si="308"/>
        <v>32.28410409</v>
      </c>
      <c r="I500" s="3">
        <f t="shared" si="308"/>
        <v>32.602366888999995</v>
      </c>
      <c r="J500" s="3">
        <f t="shared" si="308"/>
        <v>32.924315197999995</v>
      </c>
      <c r="K500" s="3">
        <f t="shared" si="308"/>
        <v>33.250727998000002</v>
      </c>
      <c r="L500" s="3">
        <f t="shared" si="308"/>
        <v>33.580799573999997</v>
      </c>
      <c r="M500" s="3">
        <f t="shared" si="308"/>
        <v>33.950255229999996</v>
      </c>
      <c r="N500" s="3">
        <f t="shared" si="308"/>
        <v>34.296603615999999</v>
      </c>
      <c r="O500" s="3">
        <f t="shared" si="308"/>
        <v>34.638035521000006</v>
      </c>
      <c r="P500" s="3">
        <f t="shared" si="308"/>
        <v>34.977865940000001</v>
      </c>
      <c r="Q500" s="3">
        <f t="shared" si="308"/>
        <v>35.317415910999998</v>
      </c>
      <c r="R500" s="3">
        <f t="shared" si="308"/>
        <v>35.657456072000002</v>
      </c>
      <c r="S500" s="3">
        <f t="shared" si="308"/>
        <v>35.998653069</v>
      </c>
      <c r="T500" s="3">
        <f t="shared" si="308"/>
        <v>36.341631421000002</v>
      </c>
      <c r="U500" s="3">
        <f t="shared" si="308"/>
        <v>36.687093023999999</v>
      </c>
      <c r="V500" s="3">
        <f t="shared" si="308"/>
        <v>37.035772183999995</v>
      </c>
      <c r="W500" s="3">
        <f t="shared" si="308"/>
        <v>37.362317226000002</v>
      </c>
      <c r="X500" s="3">
        <f t="shared" si="308"/>
        <v>37.711219876999998</v>
      </c>
      <c r="Y500" s="3">
        <f t="shared" si="308"/>
        <v>38.069604386999998</v>
      </c>
      <c r="Z500" s="3">
        <f t="shared" si="308"/>
        <v>38.435510927999999</v>
      </c>
      <c r="AA500" s="3">
        <f t="shared" si="308"/>
        <v>38.808460885000002</v>
      </c>
      <c r="AB500" s="3">
        <f t="shared" si="308"/>
        <v>39.114658313999996</v>
      </c>
      <c r="AC500" s="3">
        <f t="shared" si="308"/>
        <v>39.44347827</v>
      </c>
      <c r="AD500" s="3">
        <f t="shared" si="308"/>
        <v>39.780007506000004</v>
      </c>
      <c r="AE500" s="3">
        <f t="shared" si="308"/>
        <v>40.122942242999997</v>
      </c>
      <c r="AF500" s="3">
        <f t="shared" si="308"/>
        <v>40.472168969000002</v>
      </c>
      <c r="AG500" s="3">
        <f t="shared" si="308"/>
        <v>40.827829223999998</v>
      </c>
      <c r="AH500" s="3">
        <f t="shared" si="308"/>
        <v>41.190024859000005</v>
      </c>
      <c r="AI500" s="3">
        <f t="shared" si="308"/>
        <v>41.558772871000002</v>
      </c>
      <c r="AJ500" s="3">
        <f t="shared" si="308"/>
        <v>41.933986255000001</v>
      </c>
      <c r="AK500" s="3">
        <f t="shared" si="308"/>
        <v>42.315487906999998</v>
      </c>
      <c r="AL500" s="3">
        <f t="shared" si="308"/>
        <v>42.703036716</v>
      </c>
      <c r="AM500" s="3">
        <f t="shared" ref="AM500:BC500" si="309">SUM(AM501:AM503)</f>
        <v>43.079260093999999</v>
      </c>
      <c r="AN500" s="3">
        <f t="shared" si="309"/>
        <v>43.455582495000002</v>
      </c>
      <c r="AO500" s="3">
        <f t="shared" si="309"/>
        <v>43.834373095000004</v>
      </c>
      <c r="AP500" s="3">
        <f t="shared" si="309"/>
        <v>44.216514074000003</v>
      </c>
      <c r="AQ500" s="3">
        <f t="shared" si="309"/>
        <v>44.602396948999996</v>
      </c>
      <c r="AR500" s="3">
        <f t="shared" si="309"/>
        <v>44.992236857999998</v>
      </c>
      <c r="AS500" s="3">
        <f t="shared" si="309"/>
        <v>45.386172670000001</v>
      </c>
      <c r="AT500" s="3">
        <f t="shared" si="309"/>
        <v>45.784297062</v>
      </c>
      <c r="AU500" s="3">
        <f t="shared" si="309"/>
        <v>46.186665871000002</v>
      </c>
      <c r="AV500" s="3">
        <f t="shared" si="309"/>
        <v>46.593303595000002</v>
      </c>
      <c r="AW500" s="3">
        <f t="shared" si="309"/>
        <v>47.005701606999999</v>
      </c>
      <c r="AX500" s="3">
        <f t="shared" si="309"/>
        <v>47.422811273000001</v>
      </c>
      <c r="AY500" s="3">
        <f t="shared" si="309"/>
        <v>47.844381831999996</v>
      </c>
      <c r="AZ500" s="3">
        <f t="shared" si="309"/>
        <v>48.270290068999998</v>
      </c>
      <c r="BA500" s="3">
        <f t="shared" si="309"/>
        <v>48.700461443999998</v>
      </c>
      <c r="BB500" s="3">
        <f t="shared" si="309"/>
        <v>54.432891456999997</v>
      </c>
      <c r="BC500" s="3">
        <f t="shared" si="309"/>
        <v>55.159541976</v>
      </c>
      <c r="BD500" s="3">
        <f t="shared" ref="BD500:BF500" si="310">SUM(BD501:BD503)</f>
        <v>55.898320620000007</v>
      </c>
      <c r="BE500" s="3">
        <f t="shared" si="310"/>
        <v>56.649505239999996</v>
      </c>
      <c r="BF500" s="3">
        <f t="shared" si="310"/>
        <v>57.413339069999999</v>
      </c>
    </row>
    <row r="501" spans="1:58" x14ac:dyDescent="0.35">
      <c r="B501" s="3" t="str">
        <f>[1]Results!E269</f>
        <v>YG_toe_chea_0</v>
      </c>
      <c r="C501" s="3">
        <f>[1]Results!F269</f>
        <v>5.7127863840000002</v>
      </c>
      <c r="D501" s="3">
        <f>[1]Results!G269</f>
        <v>5.7826146539999996</v>
      </c>
      <c r="E501" s="3">
        <f>[1]Results!H269</f>
        <v>5.8597780200000003</v>
      </c>
      <c r="F501" s="3">
        <f>[1]Results!I269</f>
        <v>5.9415133149999999</v>
      </c>
      <c r="G501" s="3">
        <f>[1]Results!J269</f>
        <v>6.0263957850000001</v>
      </c>
      <c r="H501" s="3">
        <f>[1]Results!K269</f>
        <v>6.1135366500000003</v>
      </c>
      <c r="I501" s="3">
        <f>[1]Results!L269</f>
        <v>6.1969807289999999</v>
      </c>
      <c r="J501" s="3">
        <f>[1]Results!M269</f>
        <v>6.2792769679999996</v>
      </c>
      <c r="K501" s="3">
        <f>[1]Results!N269</f>
        <v>6.3612857380000003</v>
      </c>
      <c r="L501" s="3">
        <f>[1]Results!O269</f>
        <v>6.4432110140000001</v>
      </c>
      <c r="M501" s="3">
        <f>[1]Results!P269</f>
        <v>6.5340224500000001</v>
      </c>
      <c r="N501" s="3">
        <f>[1]Results!Q269</f>
        <v>6.6194243259999999</v>
      </c>
      <c r="O501" s="3">
        <f>[1]Results!R269</f>
        <v>6.7024086509999998</v>
      </c>
      <c r="P501" s="3">
        <f>[1]Results!S269</f>
        <v>6.7841563799999998</v>
      </c>
      <c r="Q501" s="3">
        <f>[1]Results!T269</f>
        <v>6.865155991</v>
      </c>
      <c r="R501" s="3">
        <f>[1]Results!U269</f>
        <v>6.9456409020000001</v>
      </c>
      <c r="S501" s="3">
        <f>[1]Results!V269</f>
        <v>7.0257619589999996</v>
      </c>
      <c r="T501" s="3">
        <f>[1]Results!W269</f>
        <v>7.1056519409999996</v>
      </c>
      <c r="U501" s="3">
        <f>[1]Results!X269</f>
        <v>7.1854450339999998</v>
      </c>
      <c r="V501" s="3">
        <f>[1]Results!Y269</f>
        <v>7.265278414</v>
      </c>
      <c r="W501" s="3">
        <f>[1]Results!Z269</f>
        <v>7.3391178359999998</v>
      </c>
      <c r="X501" s="3">
        <f>[1]Results!AA269</f>
        <v>7.4168446570000004</v>
      </c>
      <c r="Y501" s="3">
        <f>[1]Results!AB269</f>
        <v>7.496435527</v>
      </c>
      <c r="Z501" s="3">
        <f>[1]Results!AC269</f>
        <v>7.577161018</v>
      </c>
      <c r="AA501" s="3">
        <f>[1]Results!AD269</f>
        <v>7.6587749350000003</v>
      </c>
      <c r="AB501" s="3">
        <f>[1]Results!AE269</f>
        <v>7.7240850339999998</v>
      </c>
      <c r="AC501" s="3">
        <f>[1]Results!AF269</f>
        <v>7.7920938199999998</v>
      </c>
      <c r="AD501" s="3">
        <f>[1]Results!AG269</f>
        <v>7.8614818560000002</v>
      </c>
      <c r="AE501" s="3">
        <f>[1]Results!AH269</f>
        <v>7.9318125129999997</v>
      </c>
      <c r="AF501" s="3">
        <f>[1]Results!AI269</f>
        <v>8.0029574889999999</v>
      </c>
      <c r="AG501" s="3">
        <f>[1]Results!AJ269</f>
        <v>8.0748997340000006</v>
      </c>
      <c r="AH501" s="3">
        <f>[1]Results!AK269</f>
        <v>8.1476550089999993</v>
      </c>
      <c r="AI501" s="3">
        <f>[1]Results!AL269</f>
        <v>8.2212377310000004</v>
      </c>
      <c r="AJ501" s="3">
        <f>[1]Results!AM269</f>
        <v>8.295647185</v>
      </c>
      <c r="AK501" s="3">
        <f>[1]Results!AN269</f>
        <v>8.3708642569999991</v>
      </c>
      <c r="AL501" s="3">
        <f>[1]Results!AO269</f>
        <v>8.4468535360000008</v>
      </c>
      <c r="AM501" s="3">
        <f>[1]Results!AP269</f>
        <v>8.5197628739999995</v>
      </c>
      <c r="AN501" s="3">
        <f>[1]Results!AQ269</f>
        <v>8.5917352450000006</v>
      </c>
      <c r="AO501" s="3">
        <f>[1]Results!AR269</f>
        <v>8.6635826649999998</v>
      </c>
      <c r="AP501" s="3">
        <f>[1]Results!AS269</f>
        <v>8.7356178740000008</v>
      </c>
      <c r="AQ501" s="3">
        <f>[1]Results!AT269</f>
        <v>8.8079638189999994</v>
      </c>
      <c r="AR501" s="3">
        <f>[1]Results!AU269</f>
        <v>8.8806735379999999</v>
      </c>
      <c r="AS501" s="3">
        <f>[1]Results!AV269</f>
        <v>8.9537756500000008</v>
      </c>
      <c r="AT501" s="3">
        <f>[1]Results!AW269</f>
        <v>9.0272898420000001</v>
      </c>
      <c r="AU501" s="3">
        <f>[1]Results!AX269</f>
        <v>9.1012308809999993</v>
      </c>
      <c r="AV501" s="3">
        <f>[1]Results!AY269</f>
        <v>9.1756090149999991</v>
      </c>
      <c r="AW501" s="3">
        <f>[1]Results!AZ269</f>
        <v>9.2507493969999999</v>
      </c>
      <c r="AX501" s="3">
        <f>[1]Results!BA269</f>
        <v>9.3264683430000002</v>
      </c>
      <c r="AY501" s="3">
        <f>[1]Results!BB269</f>
        <v>9.4026916719999996</v>
      </c>
      <c r="AZ501" s="3">
        <f>[1]Results!BC269</f>
        <v>9.4793847089999996</v>
      </c>
      <c r="BA501" s="3">
        <f>[1]Results!BD269</f>
        <v>9.5565278940000002</v>
      </c>
      <c r="BB501" s="3">
        <f>[1]Results!BE269</f>
        <v>9.8041921369999994</v>
      </c>
      <c r="BC501" s="3">
        <f>[1]Results!BF269</f>
        <v>9.9115410859999997</v>
      </c>
      <c r="BD501" s="3">
        <f>[1]Results!BG269</f>
        <v>10.020335210000001</v>
      </c>
      <c r="BE501" s="3">
        <f>[1]Results!BH269</f>
        <v>10.130629770000001</v>
      </c>
      <c r="BF501" s="3">
        <f>[1]Results!BI269</f>
        <v>10.24246739</v>
      </c>
    </row>
    <row r="502" spans="1:58" x14ac:dyDescent="0.35">
      <c r="B502" s="3" t="str">
        <f>[1]Results!E271</f>
        <v>YG_toe_cbio_0</v>
      </c>
      <c r="C502" s="3">
        <f>[1]Results!F271</f>
        <v>11.18348773</v>
      </c>
      <c r="D502" s="3">
        <f>[1]Results!G271</f>
        <v>11.236682829999999</v>
      </c>
      <c r="E502" s="3">
        <f>[1]Results!H271</f>
        <v>11.264780569999999</v>
      </c>
      <c r="F502" s="3">
        <f>[1]Results!I271</f>
        <v>11.287824799999999</v>
      </c>
      <c r="G502" s="3">
        <f>[1]Results!J271</f>
        <v>11.31374877</v>
      </c>
      <c r="H502" s="3">
        <f>[1]Results!K271</f>
        <v>11.34479601</v>
      </c>
      <c r="I502" s="3">
        <f>[1]Results!L271</f>
        <v>11.37552696</v>
      </c>
      <c r="J502" s="3">
        <f>[1]Results!M271</f>
        <v>11.407827709999999</v>
      </c>
      <c r="K502" s="3">
        <f>[1]Results!N271</f>
        <v>11.44181903</v>
      </c>
      <c r="L502" s="3">
        <f>[1]Results!O271</f>
        <v>11.477067099999999</v>
      </c>
      <c r="M502" s="3">
        <f>[1]Results!P271</f>
        <v>11.52203319</v>
      </c>
      <c r="N502" s="3">
        <f>[1]Results!Q271</f>
        <v>11.562376049999999</v>
      </c>
      <c r="O502" s="3">
        <f>[1]Results!R271</f>
        <v>11.60061119</v>
      </c>
      <c r="P502" s="3">
        <f>[1]Results!S271</f>
        <v>11.637737189999999</v>
      </c>
      <c r="Q502" s="3">
        <f>[1]Results!T271</f>
        <v>11.67420471</v>
      </c>
      <c r="R502" s="3">
        <f>[1]Results!U271</f>
        <v>11.71026561</v>
      </c>
      <c r="S502" s="3">
        <f>[1]Results!V271</f>
        <v>11.74612593</v>
      </c>
      <c r="T502" s="3">
        <f>[1]Results!W271</f>
        <v>11.781937920000001</v>
      </c>
      <c r="U502" s="3">
        <f>[1]Results!X271</f>
        <v>11.817918260000001</v>
      </c>
      <c r="V502" s="3">
        <f>[1]Results!Y271</f>
        <v>11.854320660000001</v>
      </c>
      <c r="W502" s="3">
        <f>[1]Results!Z271</f>
        <v>11.88525037</v>
      </c>
      <c r="X502" s="3">
        <f>[1]Results!AA271</f>
        <v>11.92043022</v>
      </c>
      <c r="Y502" s="3">
        <f>[1]Results!AB271</f>
        <v>11.958222660000001</v>
      </c>
      <c r="Z502" s="3">
        <f>[1]Results!AC271</f>
        <v>11.998009100000001</v>
      </c>
      <c r="AA502" s="3">
        <f>[1]Results!AD271</f>
        <v>12.03959678</v>
      </c>
      <c r="AB502" s="3">
        <f>[1]Results!AE271</f>
        <v>12.065783529999999</v>
      </c>
      <c r="AC502" s="3">
        <f>[1]Results!AF271</f>
        <v>12.09499351</v>
      </c>
      <c r="AD502" s="3">
        <f>[1]Results!AG271</f>
        <v>12.12631929</v>
      </c>
      <c r="AE502" s="3">
        <f>[1]Results!AH271</f>
        <v>12.15943364</v>
      </c>
      <c r="AF502" s="3">
        <f>[1]Results!AI271</f>
        <v>12.19424996</v>
      </c>
      <c r="AG502" s="3">
        <f>[1]Results!AJ271</f>
        <v>12.23076861</v>
      </c>
      <c r="AH502" s="3">
        <f>[1]Results!AK271</f>
        <v>12.26898124</v>
      </c>
      <c r="AI502" s="3">
        <f>[1]Results!AL271</f>
        <v>12.308875090000001</v>
      </c>
      <c r="AJ502" s="3">
        <f>[1]Results!AM271</f>
        <v>12.35041455</v>
      </c>
      <c r="AK502" s="3">
        <f>[1]Results!AN271</f>
        <v>12.39353794</v>
      </c>
      <c r="AL502" s="3">
        <f>[1]Results!AO271</f>
        <v>12.43816172</v>
      </c>
      <c r="AM502" s="3">
        <f>[1]Results!AP271</f>
        <v>12.480339369999999</v>
      </c>
      <c r="AN502" s="3">
        <f>[1]Results!AQ271</f>
        <v>12.522093630000001</v>
      </c>
      <c r="AO502" s="3">
        <f>[1]Results!AR271</f>
        <v>12.564195440000001</v>
      </c>
      <c r="AP502" s="3">
        <f>[1]Results!AS271</f>
        <v>12.606951029999999</v>
      </c>
      <c r="AQ502" s="3">
        <f>[1]Results!AT271</f>
        <v>12.65047946</v>
      </c>
      <c r="AR502" s="3">
        <f>[1]Results!AU271</f>
        <v>12.694829629999999</v>
      </c>
      <c r="AS502" s="3">
        <f>[1]Results!AV271</f>
        <v>12.74002449</v>
      </c>
      <c r="AT502" s="3">
        <f>[1]Results!AW271</f>
        <v>12.78607555</v>
      </c>
      <c r="AU502" s="3">
        <f>[1]Results!AX271</f>
        <v>12.83298671</v>
      </c>
      <c r="AV502" s="3">
        <f>[1]Results!AY271</f>
        <v>12.88075493</v>
      </c>
      <c r="AW502" s="3">
        <f>[1]Results!AZ271</f>
        <v>12.92969639</v>
      </c>
      <c r="AX502" s="3">
        <f>[1]Results!BA271</f>
        <v>12.97961546</v>
      </c>
      <c r="AY502" s="3">
        <f>[1]Results!BB271</f>
        <v>13.03042132</v>
      </c>
      <c r="AZ502" s="3">
        <f>[1]Results!BC271</f>
        <v>13.08206111</v>
      </c>
      <c r="BA502" s="3">
        <f>[1]Results!BD271</f>
        <v>13.13449887</v>
      </c>
      <c r="BB502" s="3">
        <f>[1]Results!BE271</f>
        <v>14.610772430000001</v>
      </c>
      <c r="BC502" s="3">
        <f>[1]Results!BF271</f>
        <v>14.73188167</v>
      </c>
      <c r="BD502" s="3">
        <f>[1]Results!BG271</f>
        <v>14.855241469999999</v>
      </c>
      <c r="BE502" s="3">
        <f>[1]Results!BH271</f>
        <v>14.98092958</v>
      </c>
      <c r="BF502" s="3">
        <f>[1]Results!BI271</f>
        <v>15.109000999999999</v>
      </c>
    </row>
    <row r="503" spans="1:58" x14ac:dyDescent="0.35">
      <c r="B503" s="3" t="str">
        <f>[1]Results!E274</f>
        <v>YG_toe_cote_0</v>
      </c>
      <c r="C503" s="3">
        <f>[1]Results!F274</f>
        <v>13.88184143</v>
      </c>
      <c r="D503" s="3">
        <f>[1]Results!G274</f>
        <v>14.05127822</v>
      </c>
      <c r="E503" s="3">
        <f>[1]Results!H274</f>
        <v>14.230660609999999</v>
      </c>
      <c r="F503" s="3">
        <f>[1]Results!I274</f>
        <v>14.41942368</v>
      </c>
      <c r="G503" s="3">
        <f>[1]Results!J274</f>
        <v>14.61815906</v>
      </c>
      <c r="H503" s="3">
        <f>[1]Results!K274</f>
        <v>14.82577143</v>
      </c>
      <c r="I503" s="3">
        <f>[1]Results!L274</f>
        <v>15.029859200000001</v>
      </c>
      <c r="J503" s="3">
        <f>[1]Results!M274</f>
        <v>15.23721052</v>
      </c>
      <c r="K503" s="3">
        <f>[1]Results!N274</f>
        <v>15.44762323</v>
      </c>
      <c r="L503" s="3">
        <f>[1]Results!O274</f>
        <v>15.66052146</v>
      </c>
      <c r="M503" s="3">
        <f>[1]Results!P274</f>
        <v>15.894199589999999</v>
      </c>
      <c r="N503" s="3">
        <f>[1]Results!Q274</f>
        <v>16.114803240000001</v>
      </c>
      <c r="O503" s="3">
        <f>[1]Results!R274</f>
        <v>16.335015680000001</v>
      </c>
      <c r="P503" s="3">
        <f>[1]Results!S274</f>
        <v>16.555972369999999</v>
      </c>
      <c r="Q503" s="3">
        <f>[1]Results!T274</f>
        <v>16.778055210000002</v>
      </c>
      <c r="R503" s="3">
        <f>[1]Results!U274</f>
        <v>17.001549560000001</v>
      </c>
      <c r="S503" s="3">
        <f>[1]Results!V274</f>
        <v>17.226765180000001</v>
      </c>
      <c r="T503" s="3">
        <f>[1]Results!W274</f>
        <v>17.45404156</v>
      </c>
      <c r="U503" s="3">
        <f>[1]Results!X274</f>
        <v>17.68372973</v>
      </c>
      <c r="V503" s="3">
        <f>[1]Results!Y274</f>
        <v>17.916173109999999</v>
      </c>
      <c r="W503" s="3">
        <f>[1]Results!Z274</f>
        <v>18.137949020000001</v>
      </c>
      <c r="X503" s="3">
        <f>[1]Results!AA274</f>
        <v>18.373944999999999</v>
      </c>
      <c r="Y503" s="3">
        <f>[1]Results!AB274</f>
        <v>18.614946199999999</v>
      </c>
      <c r="Z503" s="3">
        <f>[1]Results!AC274</f>
        <v>18.86034081</v>
      </c>
      <c r="AA503" s="3">
        <f>[1]Results!AD274</f>
        <v>19.110089169999998</v>
      </c>
      <c r="AB503" s="3">
        <f>[1]Results!AE274</f>
        <v>19.324789750000001</v>
      </c>
      <c r="AC503" s="3">
        <f>[1]Results!AF274</f>
        <v>19.55639094</v>
      </c>
      <c r="AD503" s="3">
        <f>[1]Results!AG274</f>
        <v>19.792206360000002</v>
      </c>
      <c r="AE503" s="3">
        <f>[1]Results!AH274</f>
        <v>20.031696090000001</v>
      </c>
      <c r="AF503" s="3">
        <f>[1]Results!AI274</f>
        <v>20.274961520000002</v>
      </c>
      <c r="AG503" s="3">
        <f>[1]Results!AJ274</f>
        <v>20.522160880000001</v>
      </c>
      <c r="AH503" s="3">
        <f>[1]Results!AK274</f>
        <v>20.773388610000001</v>
      </c>
      <c r="AI503" s="3">
        <f>[1]Results!AL274</f>
        <v>21.028660049999999</v>
      </c>
      <c r="AJ503" s="3">
        <f>[1]Results!AM274</f>
        <v>21.287924520000001</v>
      </c>
      <c r="AK503" s="3">
        <f>[1]Results!AN274</f>
        <v>21.551085709999999</v>
      </c>
      <c r="AL503" s="3">
        <f>[1]Results!AO274</f>
        <v>21.818021460000001</v>
      </c>
      <c r="AM503" s="3">
        <f>[1]Results!AP274</f>
        <v>22.079157850000001</v>
      </c>
      <c r="AN503" s="3">
        <f>[1]Results!AQ274</f>
        <v>22.341753619999999</v>
      </c>
      <c r="AO503" s="3">
        <f>[1]Results!AR274</f>
        <v>22.606594990000001</v>
      </c>
      <c r="AP503" s="3">
        <f>[1]Results!AS274</f>
        <v>22.873945169999999</v>
      </c>
      <c r="AQ503" s="3">
        <f>[1]Results!AT274</f>
        <v>23.143953669999998</v>
      </c>
      <c r="AR503" s="3">
        <f>[1]Results!AU274</f>
        <v>23.416733690000001</v>
      </c>
      <c r="AS503" s="3">
        <f>[1]Results!AV274</f>
        <v>23.69237253</v>
      </c>
      <c r="AT503" s="3">
        <f>[1]Results!AW274</f>
        <v>23.970931669999999</v>
      </c>
      <c r="AU503" s="3">
        <f>[1]Results!AX274</f>
        <v>24.252448279999999</v>
      </c>
      <c r="AV503" s="3">
        <f>[1]Results!AY274</f>
        <v>24.536939650000001</v>
      </c>
      <c r="AW503" s="3">
        <f>[1]Results!AZ274</f>
        <v>24.825255819999999</v>
      </c>
      <c r="AX503" s="3">
        <f>[1]Results!BA274</f>
        <v>25.116727470000001</v>
      </c>
      <c r="AY503" s="3">
        <f>[1]Results!BB274</f>
        <v>25.411268840000002</v>
      </c>
      <c r="AZ503" s="3">
        <f>[1]Results!BC274</f>
        <v>25.708844249999999</v>
      </c>
      <c r="BA503" s="3">
        <f>[1]Results!BD274</f>
        <v>26.009434679999998</v>
      </c>
      <c r="BB503" s="3">
        <f>[1]Results!BE274</f>
        <v>30.017926889999998</v>
      </c>
      <c r="BC503" s="3">
        <f>[1]Results!BF274</f>
        <v>30.51611922</v>
      </c>
      <c r="BD503" s="3">
        <f>[1]Results!BG274</f>
        <v>31.022743940000002</v>
      </c>
      <c r="BE503" s="3">
        <f>[1]Results!BH274</f>
        <v>31.53794589</v>
      </c>
      <c r="BF503" s="3">
        <f>[1]Results!BI274</f>
        <v>32.061870679999998</v>
      </c>
    </row>
    <row r="504" spans="1:58" x14ac:dyDescent="0.3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</row>
    <row r="505" spans="1:58" x14ac:dyDescent="0.35">
      <c r="A505" s="12" t="s">
        <v>94</v>
      </c>
      <c r="C505" s="2">
        <v>42005</v>
      </c>
      <c r="D505" s="2">
        <v>42370</v>
      </c>
      <c r="E505" s="2">
        <v>42736</v>
      </c>
      <c r="F505" s="2">
        <v>43101</v>
      </c>
      <c r="G505" s="2">
        <v>43466</v>
      </c>
      <c r="H505" s="2">
        <v>43831</v>
      </c>
      <c r="I505" s="2">
        <v>44197</v>
      </c>
      <c r="J505" s="2">
        <v>44562</v>
      </c>
      <c r="K505" s="2">
        <v>44927</v>
      </c>
      <c r="L505" s="2">
        <v>45292</v>
      </c>
      <c r="M505" s="2">
        <v>45658</v>
      </c>
      <c r="N505" s="2">
        <v>46023</v>
      </c>
      <c r="O505" s="2">
        <v>46388</v>
      </c>
      <c r="P505" s="2">
        <v>46753</v>
      </c>
      <c r="Q505" s="2">
        <v>47119</v>
      </c>
      <c r="R505" s="2">
        <v>47484</v>
      </c>
      <c r="S505" s="2">
        <v>47849</v>
      </c>
      <c r="T505" s="2">
        <v>48214</v>
      </c>
      <c r="U505" s="2">
        <v>48580</v>
      </c>
      <c r="V505" s="2">
        <v>48945</v>
      </c>
      <c r="W505" s="2">
        <v>49310</v>
      </c>
      <c r="X505" s="2">
        <v>49675</v>
      </c>
      <c r="Y505" s="2">
        <v>50041</v>
      </c>
      <c r="Z505" s="2">
        <v>50406</v>
      </c>
      <c r="AA505" s="2">
        <v>50771</v>
      </c>
      <c r="AB505" s="2">
        <v>51136</v>
      </c>
      <c r="AC505" s="2">
        <v>51502</v>
      </c>
      <c r="AD505" s="2">
        <v>51867</v>
      </c>
      <c r="AE505" s="2">
        <v>52232</v>
      </c>
      <c r="AF505" s="2">
        <v>52597</v>
      </c>
      <c r="AG505" s="2">
        <v>52963</v>
      </c>
      <c r="AH505" s="2">
        <v>53328</v>
      </c>
      <c r="AI505" s="2">
        <v>53693</v>
      </c>
      <c r="AJ505" s="2">
        <v>54058</v>
      </c>
      <c r="AK505" s="2">
        <v>54424</v>
      </c>
      <c r="AL505" s="2">
        <v>54789</v>
      </c>
      <c r="AM505" s="2">
        <v>54790</v>
      </c>
      <c r="AN505" s="2">
        <v>54791</v>
      </c>
      <c r="AO505" s="2">
        <v>54792</v>
      </c>
      <c r="AP505" s="2">
        <v>54793</v>
      </c>
      <c r="AQ505" s="2">
        <v>54794</v>
      </c>
      <c r="AR505" s="2">
        <v>54795</v>
      </c>
      <c r="AS505" s="2">
        <v>54796</v>
      </c>
      <c r="AT505" s="2">
        <v>54797</v>
      </c>
      <c r="AU505" s="2">
        <v>54798</v>
      </c>
      <c r="AV505" s="2">
        <v>54799</v>
      </c>
      <c r="AW505" s="2">
        <v>54800</v>
      </c>
      <c r="AX505" s="2">
        <v>54801</v>
      </c>
      <c r="AY505" s="2">
        <v>54802</v>
      </c>
      <c r="AZ505" s="2">
        <v>54803</v>
      </c>
      <c r="BA505" s="2">
        <v>54804</v>
      </c>
      <c r="BB505" s="2">
        <v>54805</v>
      </c>
      <c r="BC505" s="2">
        <v>54806</v>
      </c>
      <c r="BD505" s="2">
        <v>54807</v>
      </c>
      <c r="BE505" s="2">
        <v>54808</v>
      </c>
      <c r="BF505" s="2">
        <v>54809</v>
      </c>
    </row>
    <row r="506" spans="1:58" x14ac:dyDescent="0.35">
      <c r="A506" t="s">
        <v>95</v>
      </c>
      <c r="B506" t="s">
        <v>94</v>
      </c>
      <c r="C506" s="4">
        <f>C479/C492-1</f>
        <v>-2.3252905447122107E-2</v>
      </c>
      <c r="D506" s="4">
        <f t="shared" ref="D506" si="311">D479/D492-1</f>
        <v>-2.864677210566513E-2</v>
      </c>
      <c r="E506" s="4">
        <f t="shared" ref="E506:AL506" si="312">E479/E492-1</f>
        <v>-3.273789406283556E-2</v>
      </c>
      <c r="F506" s="4">
        <f t="shared" si="312"/>
        <v>-3.6116428210628326E-2</v>
      </c>
      <c r="G506" s="4">
        <f t="shared" si="312"/>
        <v>-3.8802490782753329E-2</v>
      </c>
      <c r="H506" s="4">
        <f t="shared" si="312"/>
        <v>-4.0841324614582786E-2</v>
      </c>
      <c r="I506" s="4">
        <f t="shared" si="312"/>
        <v>-4.2369784421966816E-2</v>
      </c>
      <c r="J506" s="4">
        <f t="shared" si="312"/>
        <v>-4.3534944718289448E-2</v>
      </c>
      <c r="K506" s="4">
        <f t="shared" si="312"/>
        <v>-4.4482430045697297E-2</v>
      </c>
      <c r="L506" s="4">
        <f t="shared" si="312"/>
        <v>-4.5330317430892442E-2</v>
      </c>
      <c r="M506" s="4">
        <f t="shared" si="312"/>
        <v>-4.6179537274867344E-2</v>
      </c>
      <c r="N506" s="4">
        <f t="shared" si="312"/>
        <v>-4.7154853137280295E-2</v>
      </c>
      <c r="O506" s="4">
        <f t="shared" si="312"/>
        <v>-4.8250669194316642E-2</v>
      </c>
      <c r="P506" s="4">
        <f t="shared" si="312"/>
        <v>-4.9480539152192526E-2</v>
      </c>
      <c r="Q506" s="4">
        <f t="shared" si="312"/>
        <v>-5.0850137437688514E-2</v>
      </c>
      <c r="R506" s="4">
        <f t="shared" si="312"/>
        <v>-5.235722211555105E-2</v>
      </c>
      <c r="S506" s="4">
        <f t="shared" si="312"/>
        <v>-5.4070020832480248E-2</v>
      </c>
      <c r="T506" s="4">
        <f t="shared" si="312"/>
        <v>-5.5918247580137748E-2</v>
      </c>
      <c r="U506" s="4">
        <f t="shared" si="312"/>
        <v>-5.7876324233721022E-2</v>
      </c>
      <c r="V506" s="4">
        <f t="shared" si="312"/>
        <v>-5.9921039904905049E-2</v>
      </c>
      <c r="W506" s="4">
        <f t="shared" si="312"/>
        <v>-6.2021777326749072E-2</v>
      </c>
      <c r="X506" s="4">
        <f t="shared" si="312"/>
        <v>-6.4177693824639781E-2</v>
      </c>
      <c r="Y506" s="4">
        <f t="shared" si="312"/>
        <v>-6.6356290666190199E-2</v>
      </c>
      <c r="Z506" s="4">
        <f t="shared" si="312"/>
        <v>-6.8542963834472337E-2</v>
      </c>
      <c r="AA506" s="4">
        <f t="shared" si="312"/>
        <v>-7.0724771891903071E-2</v>
      </c>
      <c r="AB506" s="4">
        <f t="shared" si="312"/>
        <v>-7.2861772251092582E-2</v>
      </c>
      <c r="AC506" s="4">
        <f t="shared" si="312"/>
        <v>-7.496972136825486E-2</v>
      </c>
      <c r="AD506" s="4">
        <f t="shared" si="312"/>
        <v>-7.7035033888269822E-2</v>
      </c>
      <c r="AE506" s="4">
        <f t="shared" si="312"/>
        <v>-7.9056153385992145E-2</v>
      </c>
      <c r="AF506" s="4">
        <f t="shared" si="312"/>
        <v>-8.1032314023070984E-2</v>
      </c>
      <c r="AG506" s="4">
        <f t="shared" si="312"/>
        <v>-8.2963618476383338E-2</v>
      </c>
      <c r="AH506" s="4">
        <f t="shared" si="312"/>
        <v>-8.4837145838345784E-2</v>
      </c>
      <c r="AI506" s="4">
        <f t="shared" si="312"/>
        <v>-8.6663395778233787E-2</v>
      </c>
      <c r="AJ506" s="4">
        <f t="shared" si="312"/>
        <v>-8.8445629343597454E-2</v>
      </c>
      <c r="AK506" s="4">
        <f t="shared" si="312"/>
        <v>-9.0186901006039322E-2</v>
      </c>
      <c r="AL506" s="4">
        <f t="shared" si="312"/>
        <v>-9.1890155515185312E-2</v>
      </c>
      <c r="AM506" s="4">
        <f t="shared" ref="AM506:BC506" si="313">AM479/AM492-1</f>
        <v>-9.344118418765468E-2</v>
      </c>
      <c r="AN506" s="4">
        <f t="shared" si="313"/>
        <v>-9.4927588572268351E-2</v>
      </c>
      <c r="AO506" s="4">
        <f t="shared" si="313"/>
        <v>-9.6363064717533975E-2</v>
      </c>
      <c r="AP506" s="4">
        <f t="shared" si="313"/>
        <v>-9.7757973594177927E-2</v>
      </c>
      <c r="AQ506" s="4">
        <f t="shared" si="313"/>
        <v>-9.9120464071509318E-2</v>
      </c>
      <c r="AR506" s="4">
        <f t="shared" si="313"/>
        <v>-0.10044104659188302</v>
      </c>
      <c r="AS506" s="4">
        <f t="shared" si="313"/>
        <v>-0.10173574355191439</v>
      </c>
      <c r="AT506" s="4">
        <f t="shared" si="313"/>
        <v>-0.10301078515372086</v>
      </c>
      <c r="AU506" s="4">
        <f t="shared" si="313"/>
        <v>-0.10427116227082767</v>
      </c>
      <c r="AV506" s="4">
        <f t="shared" si="313"/>
        <v>-0.10552088500483892</v>
      </c>
      <c r="AW506" s="4">
        <f t="shared" si="313"/>
        <v>-0.10671361851534888</v>
      </c>
      <c r="AX506" s="4">
        <f t="shared" si="313"/>
        <v>-0.10788334392649879</v>
      </c>
      <c r="AY506" s="4">
        <f t="shared" si="313"/>
        <v>-0.11301667342394761</v>
      </c>
      <c r="AZ506" s="4">
        <f t="shared" si="313"/>
        <v>-0.11368344665230423</v>
      </c>
      <c r="BA506" s="4">
        <f t="shared" si="313"/>
        <v>-0.12076332350911279</v>
      </c>
      <c r="BB506" s="4">
        <f t="shared" si="313"/>
        <v>-1.0649707703774269E-2</v>
      </c>
      <c r="BC506" s="4">
        <f t="shared" si="313"/>
        <v>-1.0812298605476722E-2</v>
      </c>
      <c r="BD506" s="4">
        <f t="shared" ref="BD506:BF506" si="314">BD479/BD492-1</f>
        <v>-1.0966074448534036E-2</v>
      </c>
      <c r="BE506" s="4">
        <f t="shared" si="314"/>
        <v>-1.1112896306570308E-2</v>
      </c>
      <c r="BF506" s="4">
        <f t="shared" si="314"/>
        <v>-1.1253861816402311E-2</v>
      </c>
    </row>
    <row r="507" spans="1:58" x14ac:dyDescent="0.35">
      <c r="B507" t="s">
        <v>76</v>
      </c>
      <c r="C507" s="4">
        <f>(C480-C493)/C$492</f>
        <v>-5.7709205111874452E-4</v>
      </c>
      <c r="D507" s="4">
        <f>(D480-D493)/D$492</f>
        <v>-7.0764644637045051E-4</v>
      </c>
      <c r="E507" s="4">
        <f t="shared" ref="E507:AL507" si="315">(E480-E493)/E$492</f>
        <v>-7.6300038660589195E-4</v>
      </c>
      <c r="F507" s="4">
        <f t="shared" si="315"/>
        <v>-8.0636778470639426E-4</v>
      </c>
      <c r="G507" s="4">
        <f t="shared" si="315"/>
        <v>-8.4895410735975397E-4</v>
      </c>
      <c r="H507" s="4">
        <f t="shared" si="315"/>
        <v>-8.9268876757812518E-4</v>
      </c>
      <c r="I507" s="4">
        <f t="shared" si="315"/>
        <v>-9.3807931174995742E-4</v>
      </c>
      <c r="J507" s="4">
        <f t="shared" si="315"/>
        <v>-9.8431942393433858E-4</v>
      </c>
      <c r="K507" s="4">
        <f t="shared" si="315"/>
        <v>-1.0308080949192131E-3</v>
      </c>
      <c r="L507" s="4">
        <f t="shared" si="315"/>
        <v>-1.0770053532016403E-3</v>
      </c>
      <c r="M507" s="4">
        <f t="shared" si="315"/>
        <v>-1.1227199366251358E-3</v>
      </c>
      <c r="N507" s="4">
        <f t="shared" si="315"/>
        <v>-1.1697495517189545E-3</v>
      </c>
      <c r="O507" s="4">
        <f t="shared" si="315"/>
        <v>-1.2161794238865526E-3</v>
      </c>
      <c r="P507" s="4">
        <f t="shared" si="315"/>
        <v>-1.2618619892462645E-3</v>
      </c>
      <c r="Q507" s="4">
        <f t="shared" si="315"/>
        <v>-1.3069909667867785E-3</v>
      </c>
      <c r="R507" s="4">
        <f t="shared" si="315"/>
        <v>-1.3518462856186265E-3</v>
      </c>
      <c r="S507" s="4">
        <f t="shared" si="315"/>
        <v>-1.3989874425594624E-3</v>
      </c>
      <c r="T507" s="4">
        <f t="shared" si="315"/>
        <v>-1.4466171071185942E-3</v>
      </c>
      <c r="U507" s="4">
        <f t="shared" si="315"/>
        <v>-1.4945620693875704E-3</v>
      </c>
      <c r="V507" s="4">
        <f t="shared" si="315"/>
        <v>-1.5428552541108917E-3</v>
      </c>
      <c r="W507" s="4">
        <f t="shared" si="315"/>
        <v>-1.5913354018296131E-3</v>
      </c>
      <c r="X507" s="4">
        <f t="shared" si="315"/>
        <v>-1.6401746990997296E-3</v>
      </c>
      <c r="Y507" s="4">
        <f t="shared" si="315"/>
        <v>-1.6892029522932509E-3</v>
      </c>
      <c r="Z507" s="4">
        <f t="shared" si="315"/>
        <v>-1.7382300370093987E-3</v>
      </c>
      <c r="AA507" s="4">
        <f t="shared" si="315"/>
        <v>-1.7871022359681828E-3</v>
      </c>
      <c r="AB507" s="4">
        <f t="shared" si="315"/>
        <v>-1.8351669256283015E-3</v>
      </c>
      <c r="AC507" s="4">
        <f t="shared" si="315"/>
        <v>-1.8820695764047012E-3</v>
      </c>
      <c r="AD507" s="4">
        <f t="shared" si="315"/>
        <v>-1.9284404389093639E-3</v>
      </c>
      <c r="AE507" s="4">
        <f t="shared" si="315"/>
        <v>-1.9741894856464344E-3</v>
      </c>
      <c r="AF507" s="4">
        <f t="shared" si="315"/>
        <v>-2.0192186765549611E-3</v>
      </c>
      <c r="AG507" s="4">
        <f t="shared" si="315"/>
        <v>-2.063451133612196E-3</v>
      </c>
      <c r="AH507" s="4">
        <f t="shared" si="315"/>
        <v>-2.1063805238067468E-3</v>
      </c>
      <c r="AI507" s="4">
        <f t="shared" si="315"/>
        <v>-2.1483743556257127E-3</v>
      </c>
      <c r="AJ507" s="4">
        <f t="shared" si="315"/>
        <v>-2.1894757568913128E-3</v>
      </c>
      <c r="AK507" s="4">
        <f t="shared" si="315"/>
        <v>-2.2296856382031105E-3</v>
      </c>
      <c r="AL507" s="4">
        <f t="shared" si="315"/>
        <v>-2.2690095351473871E-3</v>
      </c>
      <c r="AM507" s="4">
        <f t="shared" ref="AM507:BC507" si="316">(AM480-AM493)/AM$492</f>
        <v>-2.3034928953977727E-3</v>
      </c>
      <c r="AN507" s="4">
        <f t="shared" si="316"/>
        <v>-2.3366586322201466E-3</v>
      </c>
      <c r="AO507" s="4">
        <f t="shared" si="316"/>
        <v>-2.3690570835452345E-3</v>
      </c>
      <c r="AP507" s="4">
        <f t="shared" si="316"/>
        <v>-2.4007325597310697E-3</v>
      </c>
      <c r="AQ507" s="4">
        <f t="shared" si="316"/>
        <v>-2.4316824802480836E-3</v>
      </c>
      <c r="AR507" s="4">
        <f t="shared" si="316"/>
        <v>-2.4613299317696657E-3</v>
      </c>
      <c r="AS507" s="4">
        <f t="shared" si="316"/>
        <v>-2.4902226075793729E-3</v>
      </c>
      <c r="AT507" s="4">
        <f t="shared" si="316"/>
        <v>-2.5184733765437786E-3</v>
      </c>
      <c r="AU507" s="4">
        <f t="shared" si="316"/>
        <v>-2.5461244768492978E-3</v>
      </c>
      <c r="AV507" s="4">
        <f t="shared" si="316"/>
        <v>-2.573206458877925E-3</v>
      </c>
      <c r="AW507" s="4">
        <f t="shared" si="316"/>
        <v>-2.5978322166436666E-3</v>
      </c>
      <c r="AX507" s="4">
        <f t="shared" si="316"/>
        <v>-2.6216847556166309E-3</v>
      </c>
      <c r="AY507" s="4">
        <f t="shared" si="316"/>
        <v>-2.450979904329562E-3</v>
      </c>
      <c r="AZ507" s="4">
        <f t="shared" si="316"/>
        <v>-1.6864034569851545E-3</v>
      </c>
      <c r="BA507" s="4">
        <f t="shared" si="316"/>
        <v>-1.785355935626479E-3</v>
      </c>
      <c r="BB507" s="4">
        <f t="shared" si="316"/>
        <v>8.4274739663332848E-5</v>
      </c>
      <c r="BC507" s="4">
        <f t="shared" si="316"/>
        <v>8.7376264270213607E-5</v>
      </c>
      <c r="BD507" s="4">
        <f t="shared" ref="BD507:BF507" si="317">(BD480-BD493)/BD$492</f>
        <v>9.0516704691791735E-5</v>
      </c>
      <c r="BE507" s="4">
        <f t="shared" si="317"/>
        <v>9.3707634260092854E-5</v>
      </c>
      <c r="BF507" s="4">
        <f t="shared" si="317"/>
        <v>9.6956067065055344E-5</v>
      </c>
    </row>
    <row r="508" spans="1:58" x14ac:dyDescent="0.35">
      <c r="B508" t="s">
        <v>74</v>
      </c>
      <c r="C508" s="4">
        <f>(C481-C494)/C$493</f>
        <v>-0.44595723244759566</v>
      </c>
      <c r="D508" s="4">
        <f>(D481-D494)/D$492</f>
        <v>-8.6295198603961992E-3</v>
      </c>
      <c r="E508" s="4">
        <f t="shared" ref="E508:AL508" si="318">(E481-E494)/E$492</f>
        <v>-9.7800040528330159E-3</v>
      </c>
      <c r="F508" s="4">
        <f t="shared" si="318"/>
        <v>-1.085899608134212E-2</v>
      </c>
      <c r="G508" s="4">
        <f t="shared" si="318"/>
        <v>-1.1862777674405875E-2</v>
      </c>
      <c r="H508" s="4">
        <f t="shared" si="318"/>
        <v>-1.2772026914870371E-2</v>
      </c>
      <c r="I508" s="4">
        <f t="shared" si="318"/>
        <v>-1.3585802061449761E-2</v>
      </c>
      <c r="J508" s="4">
        <f t="shared" si="318"/>
        <v>-1.4306886178482749E-2</v>
      </c>
      <c r="K508" s="4">
        <f t="shared" si="318"/>
        <v>-1.4944335334710042E-2</v>
      </c>
      <c r="L508" s="4">
        <f t="shared" si="318"/>
        <v>-1.5507858867078426E-2</v>
      </c>
      <c r="M508" s="4">
        <f t="shared" si="318"/>
        <v>-1.6010182226247494E-2</v>
      </c>
      <c r="N508" s="4">
        <f t="shared" si="318"/>
        <v>-1.6481184565396833E-2</v>
      </c>
      <c r="O508" s="4">
        <f t="shared" si="318"/>
        <v>-1.691488738864113E-2</v>
      </c>
      <c r="P508" s="4">
        <f t="shared" si="318"/>
        <v>-1.7320202320994241E-2</v>
      </c>
      <c r="Q508" s="4">
        <f t="shared" si="318"/>
        <v>-1.770728991507662E-2</v>
      </c>
      <c r="R508" s="4">
        <f t="shared" si="318"/>
        <v>-1.8085886033287604E-2</v>
      </c>
      <c r="S508" s="4">
        <f t="shared" si="318"/>
        <v>-1.8488371805861062E-2</v>
      </c>
      <c r="T508" s="4">
        <f t="shared" si="318"/>
        <v>-1.890063822747344E-2</v>
      </c>
      <c r="U508" s="4">
        <f t="shared" si="318"/>
        <v>-1.9325613143487741E-2</v>
      </c>
      <c r="V508" s="4">
        <f t="shared" si="318"/>
        <v>-1.9765392917246761E-2</v>
      </c>
      <c r="W508" s="4">
        <f t="shared" si="318"/>
        <v>-2.0217835832563667E-2</v>
      </c>
      <c r="X508" s="4">
        <f t="shared" si="318"/>
        <v>-2.0688505373525092E-2</v>
      </c>
      <c r="Y508" s="4">
        <f t="shared" si="318"/>
        <v>-2.1170940132220921E-2</v>
      </c>
      <c r="Z508" s="4">
        <f t="shared" si="318"/>
        <v>-2.1663135504069887E-2</v>
      </c>
      <c r="AA508" s="4">
        <f t="shared" si="318"/>
        <v>-2.2162573815074155E-2</v>
      </c>
      <c r="AB508" s="4">
        <f t="shared" si="318"/>
        <v>-2.2657067373759762E-2</v>
      </c>
      <c r="AC508" s="4">
        <f t="shared" si="318"/>
        <v>-2.3153031937430325E-2</v>
      </c>
      <c r="AD508" s="4">
        <f t="shared" si="318"/>
        <v>-2.3646239328463395E-2</v>
      </c>
      <c r="AE508" s="4">
        <f t="shared" si="318"/>
        <v>-2.4134725491294841E-2</v>
      </c>
      <c r="AF508" s="4">
        <f t="shared" si="318"/>
        <v>-2.4616667264160074E-2</v>
      </c>
      <c r="AG508" s="4">
        <f t="shared" si="318"/>
        <v>-2.5090522409898463E-2</v>
      </c>
      <c r="AH508" s="4">
        <f t="shared" si="318"/>
        <v>-2.5550737859320098E-2</v>
      </c>
      <c r="AI508" s="4">
        <f t="shared" si="318"/>
        <v>-2.6000105732178369E-2</v>
      </c>
      <c r="AJ508" s="4">
        <f t="shared" si="318"/>
        <v>-2.6438226410830882E-2</v>
      </c>
      <c r="AK508" s="4">
        <f t="shared" si="318"/>
        <v>-2.6864738465505623E-2</v>
      </c>
      <c r="AL508" s="4">
        <f t="shared" si="318"/>
        <v>-2.7279427957247672E-2</v>
      </c>
      <c r="AM508" s="4">
        <f t="shared" ref="AM508:BC508" si="319">(AM481-AM494)/AM$492</f>
        <v>-2.7644167939054068E-2</v>
      </c>
      <c r="AN508" s="4">
        <f t="shared" si="319"/>
        <v>-2.7993324572648366E-2</v>
      </c>
      <c r="AO508" s="4">
        <f t="shared" si="319"/>
        <v>-2.8328691438555414E-2</v>
      </c>
      <c r="AP508" s="4">
        <f t="shared" si="319"/>
        <v>-2.8651013729051322E-2</v>
      </c>
      <c r="AQ508" s="4">
        <f t="shared" si="319"/>
        <v>-2.8961036922908107E-2</v>
      </c>
      <c r="AR508" s="4">
        <f t="shared" si="319"/>
        <v>-2.9254295159685081E-2</v>
      </c>
      <c r="AS508" s="4">
        <f t="shared" si="319"/>
        <v>-2.9536179867684031E-2</v>
      </c>
      <c r="AT508" s="4">
        <f t="shared" si="319"/>
        <v>-2.9807807870809409E-2</v>
      </c>
      <c r="AU508" s="4">
        <f t="shared" si="319"/>
        <v>-3.0070004409258673E-2</v>
      </c>
      <c r="AV508" s="4">
        <f t="shared" si="319"/>
        <v>-3.0323440493498572E-2</v>
      </c>
      <c r="AW508" s="4">
        <f t="shared" si="319"/>
        <v>-3.055212952410236E-2</v>
      </c>
      <c r="AX508" s="4">
        <f t="shared" si="319"/>
        <v>-3.0770446251092758E-2</v>
      </c>
      <c r="AY508" s="4">
        <f t="shared" si="319"/>
        <v>-3.3342660598107643E-2</v>
      </c>
      <c r="AZ508" s="4">
        <f t="shared" si="319"/>
        <v>-3.4892845515414404E-2</v>
      </c>
      <c r="BA508" s="4">
        <f t="shared" si="319"/>
        <v>-3.796727192954872E-2</v>
      </c>
      <c r="BB508" s="4">
        <f t="shared" si="319"/>
        <v>5.3135867017790887E-5</v>
      </c>
      <c r="BC508" s="4">
        <f t="shared" si="319"/>
        <v>8.0410473857054355E-5</v>
      </c>
      <c r="BD508" s="4">
        <f t="shared" ref="BD508:BF508" si="320">(BD481-BD494)/BD$492</f>
        <v>1.0893863460651317E-4</v>
      </c>
      <c r="BE508" s="4">
        <f t="shared" si="320"/>
        <v>1.3868090802687057E-4</v>
      </c>
      <c r="BF508" s="4">
        <f t="shared" si="320"/>
        <v>1.6965245306866465E-4</v>
      </c>
    </row>
    <row r="509" spans="1:58" x14ac:dyDescent="0.35">
      <c r="B509" t="s">
        <v>54</v>
      </c>
      <c r="C509" s="4">
        <f>(C485-C498)/C$492</f>
        <v>-1.5218344448216673E-3</v>
      </c>
      <c r="D509" s="4">
        <f>(D485-D498)/D$492</f>
        <v>-1.3164835027566261E-3</v>
      </c>
      <c r="E509" s="4">
        <f t="shared" ref="E509:AL509" si="321">(E485-E498)/E$492</f>
        <v>-1.421564659680528E-3</v>
      </c>
      <c r="F509" s="4">
        <f t="shared" si="321"/>
        <v>-1.6452036707961036E-3</v>
      </c>
      <c r="G509" s="4">
        <f t="shared" si="321"/>
        <v>-1.9113586194949919E-3</v>
      </c>
      <c r="H509" s="4">
        <f t="shared" si="321"/>
        <v>-2.1814261247311228E-3</v>
      </c>
      <c r="I509" s="4">
        <f t="shared" si="321"/>
        <v>-2.4374442050075717E-3</v>
      </c>
      <c r="J509" s="4">
        <f t="shared" si="321"/>
        <v>-2.677191192941721E-3</v>
      </c>
      <c r="K509" s="4">
        <f t="shared" si="321"/>
        <v>-2.9042462601104693E-3</v>
      </c>
      <c r="L509" s="4">
        <f t="shared" si="321"/>
        <v>-3.1210139194882028E-3</v>
      </c>
      <c r="M509" s="4">
        <f t="shared" si="321"/>
        <v>-3.3313230548631541E-3</v>
      </c>
      <c r="N509" s="4">
        <f t="shared" si="321"/>
        <v>-3.5404825805442643E-3</v>
      </c>
      <c r="O509" s="4">
        <f t="shared" si="321"/>
        <v>-3.7431675398115136E-3</v>
      </c>
      <c r="P509" s="4">
        <f t="shared" si="321"/>
        <v>-3.9391234804119725E-3</v>
      </c>
      <c r="Q509" s="4">
        <f t="shared" si="321"/>
        <v>-4.1283400645740253E-3</v>
      </c>
      <c r="R509" s="4">
        <f t="shared" si="321"/>
        <v>-4.310920985374919E-3</v>
      </c>
      <c r="S509" s="4">
        <f t="shared" si="321"/>
        <v>-4.4965586552351364E-3</v>
      </c>
      <c r="T509" s="4">
        <f t="shared" si="321"/>
        <v>-4.675986548015848E-3</v>
      </c>
      <c r="U509" s="4">
        <f t="shared" si="321"/>
        <v>-4.8492799276848584E-3</v>
      </c>
      <c r="V509" s="4">
        <f t="shared" si="321"/>
        <v>-5.0167299038142909E-3</v>
      </c>
      <c r="W509" s="4">
        <f t="shared" si="321"/>
        <v>-5.1768619499452332E-3</v>
      </c>
      <c r="X509" s="4">
        <f t="shared" si="321"/>
        <v>-5.3346295023627248E-3</v>
      </c>
      <c r="Y509" s="4">
        <f t="shared" si="321"/>
        <v>-5.4875543246697897E-3</v>
      </c>
      <c r="Z509" s="4">
        <f t="shared" si="321"/>
        <v>-5.6364825278746068E-3</v>
      </c>
      <c r="AA509" s="4">
        <f t="shared" si="321"/>
        <v>-5.781983294264938E-3</v>
      </c>
      <c r="AB509" s="4">
        <f t="shared" si="321"/>
        <v>-5.9188654417702139E-3</v>
      </c>
      <c r="AC509" s="4">
        <f t="shared" si="321"/>
        <v>-6.0549059167279724E-3</v>
      </c>
      <c r="AD509" s="4">
        <f t="shared" si="321"/>
        <v>-6.1889876768266953E-3</v>
      </c>
      <c r="AE509" s="4">
        <f t="shared" si="321"/>
        <v>-6.3220152710953877E-3</v>
      </c>
      <c r="AF509" s="4">
        <f t="shared" si="321"/>
        <v>-6.4543597458309662E-3</v>
      </c>
      <c r="AG509" s="4">
        <f t="shared" si="321"/>
        <v>-6.5861987038225763E-3</v>
      </c>
      <c r="AH509" s="4">
        <f t="shared" si="321"/>
        <v>-6.7156557691989537E-3</v>
      </c>
      <c r="AI509" s="4">
        <f t="shared" si="321"/>
        <v>-6.8448260429831561E-3</v>
      </c>
      <c r="AJ509" s="4">
        <f t="shared" si="321"/>
        <v>-6.9738965456359594E-3</v>
      </c>
      <c r="AK509" s="4">
        <f t="shared" si="321"/>
        <v>-7.1029984324298169E-3</v>
      </c>
      <c r="AL509" s="4">
        <f t="shared" si="321"/>
        <v>-7.2322242821175808E-3</v>
      </c>
      <c r="AM509" s="4">
        <f t="shared" ref="AM509:BC509" si="322">(AM485-AM498)/AM$492</f>
        <v>-7.3432519878721091E-3</v>
      </c>
      <c r="AN509" s="4">
        <f t="shared" si="322"/>
        <v>-7.4551205124051591E-3</v>
      </c>
      <c r="AO509" s="4">
        <f t="shared" si="322"/>
        <v>-7.5681612589453594E-3</v>
      </c>
      <c r="AP509" s="4">
        <f t="shared" si="322"/>
        <v>-7.6824694237158852E-3</v>
      </c>
      <c r="AQ509" s="4">
        <f t="shared" si="322"/>
        <v>-7.797901766430226E-3</v>
      </c>
      <c r="AR509" s="4">
        <f t="shared" si="322"/>
        <v>-7.9115715042478944E-3</v>
      </c>
      <c r="AS509" s="4">
        <f t="shared" si="322"/>
        <v>-8.0257746796514665E-3</v>
      </c>
      <c r="AT509" s="4">
        <f t="shared" si="322"/>
        <v>-8.1403399054681153E-3</v>
      </c>
      <c r="AU509" s="4">
        <f t="shared" si="322"/>
        <v>-8.2550591642626524E-3</v>
      </c>
      <c r="AV509" s="4">
        <f t="shared" si="322"/>
        <v>-8.3697348084786714E-3</v>
      </c>
      <c r="AW509" s="4">
        <f t="shared" si="322"/>
        <v>-8.475775751232751E-3</v>
      </c>
      <c r="AX509" s="4">
        <f t="shared" si="322"/>
        <v>-8.5812938250305424E-3</v>
      </c>
      <c r="AY509" s="4">
        <f t="shared" si="322"/>
        <v>-7.9315305033888592E-3</v>
      </c>
      <c r="AZ509" s="4">
        <f t="shared" si="322"/>
        <v>-6.2124327658908815E-3</v>
      </c>
      <c r="BA509" s="4">
        <f t="shared" si="322"/>
        <v>-6.1656631367276726E-3</v>
      </c>
      <c r="BB509" s="4">
        <f t="shared" si="322"/>
        <v>-1.0990336866502704E-3</v>
      </c>
      <c r="BC509" s="4">
        <f t="shared" si="322"/>
        <v>-1.1097010264508416E-3</v>
      </c>
      <c r="BD509" s="4">
        <f t="shared" ref="BD509:BF509" si="323">(BD485-BD498)/BD$492</f>
        <v>-1.1197365432501557E-3</v>
      </c>
      <c r="BE509" s="4">
        <f t="shared" si="323"/>
        <v>-1.1294077849028704E-3</v>
      </c>
      <c r="BF509" s="4">
        <f t="shared" si="323"/>
        <v>-1.1388073050187509E-3</v>
      </c>
    </row>
    <row r="510" spans="1:58" x14ac:dyDescent="0.35">
      <c r="B510" t="s">
        <v>11</v>
      </c>
      <c r="C510" s="4">
        <f>(C486-C499)/C$493</f>
        <v>-0.60914513419181826</v>
      </c>
      <c r="D510" s="4">
        <f>(D486-D499)/D$492</f>
        <v>-1.2542136189239167E-2</v>
      </c>
      <c r="E510" s="4">
        <f t="shared" ref="E510:AL510" si="324">(E486-E499)/E$492</f>
        <v>-1.4438524473381972E-2</v>
      </c>
      <c r="F510" s="4">
        <f t="shared" si="324"/>
        <v>-1.5806416187045844E-2</v>
      </c>
      <c r="G510" s="4">
        <f t="shared" si="324"/>
        <v>-1.6674157809218076E-2</v>
      </c>
      <c r="H510" s="4">
        <f t="shared" si="324"/>
        <v>-1.7106032331423972E-2</v>
      </c>
      <c r="I510" s="4">
        <f t="shared" si="324"/>
        <v>-1.7217260258847282E-2</v>
      </c>
      <c r="J510" s="4">
        <f t="shared" si="324"/>
        <v>-1.7124920197746894E-2</v>
      </c>
      <c r="K510" s="4">
        <f t="shared" si="324"/>
        <v>-1.6937364404436647E-2</v>
      </c>
      <c r="L510" s="4">
        <f t="shared" si="324"/>
        <v>-1.674181839620837E-2</v>
      </c>
      <c r="M510" s="4">
        <f t="shared" si="324"/>
        <v>-1.6603222975809347E-2</v>
      </c>
      <c r="N510" s="4">
        <f t="shared" si="324"/>
        <v>-1.6587272431590229E-2</v>
      </c>
      <c r="O510" s="4">
        <f t="shared" si="324"/>
        <v>-1.6705805291153591E-2</v>
      </c>
      <c r="P510" s="4">
        <f t="shared" si="324"/>
        <v>-1.696512681526802E-2</v>
      </c>
      <c r="Q510" s="4">
        <f t="shared" si="324"/>
        <v>-1.7362214856642195E-2</v>
      </c>
      <c r="R510" s="4">
        <f t="shared" si="324"/>
        <v>-1.7886987876592413E-2</v>
      </c>
      <c r="S510" s="4">
        <f t="shared" si="324"/>
        <v>-1.8547733986683638E-2</v>
      </c>
      <c r="T510" s="4">
        <f t="shared" si="324"/>
        <v>-1.9316090331655864E-2</v>
      </c>
      <c r="U510" s="4">
        <f t="shared" si="324"/>
        <v>-2.0170013943518788E-2</v>
      </c>
      <c r="V510" s="4">
        <f t="shared" si="324"/>
        <v>-2.1088653763104755E-2</v>
      </c>
      <c r="W510" s="4">
        <f t="shared" si="324"/>
        <v>-2.2051531405161751E-2</v>
      </c>
      <c r="X510" s="4">
        <f t="shared" si="324"/>
        <v>-2.3045756332919286E-2</v>
      </c>
      <c r="Y510" s="4">
        <f t="shared" si="324"/>
        <v>-2.405380980524216E-2</v>
      </c>
      <c r="Z510" s="4">
        <f t="shared" si="324"/>
        <v>-2.5064958129313718E-2</v>
      </c>
      <c r="AA510" s="4">
        <f t="shared" si="324"/>
        <v>-2.6070439712523708E-2</v>
      </c>
      <c r="AB510" s="4">
        <f t="shared" si="324"/>
        <v>-2.7057824562927536E-2</v>
      </c>
      <c r="AC510" s="4">
        <f t="shared" si="324"/>
        <v>-2.8024364835117447E-2</v>
      </c>
      <c r="AD510" s="4">
        <f t="shared" si="324"/>
        <v>-2.896254322767423E-2</v>
      </c>
      <c r="AE510" s="4">
        <f t="shared" si="324"/>
        <v>-2.98719914987663E-2</v>
      </c>
      <c r="AF510" s="4">
        <f t="shared" si="324"/>
        <v>-3.0753504313470154E-2</v>
      </c>
      <c r="AG510" s="4">
        <f t="shared" si="324"/>
        <v>-3.1608459263075879E-2</v>
      </c>
      <c r="AH510" s="4">
        <f t="shared" si="324"/>
        <v>-3.2435285270586325E-2</v>
      </c>
      <c r="AI510" s="4">
        <f t="shared" si="324"/>
        <v>-3.323692106124998E-2</v>
      </c>
      <c r="AJ510" s="4">
        <f t="shared" si="324"/>
        <v>-3.4016056138467206E-2</v>
      </c>
      <c r="AK510" s="4">
        <f t="shared" si="324"/>
        <v>-3.477536562059115E-2</v>
      </c>
      <c r="AL510" s="4">
        <f t="shared" si="324"/>
        <v>-3.5517337979403658E-2</v>
      </c>
      <c r="AM510" s="4">
        <f t="shared" ref="AM510:BC510" si="325">(AM486-AM499)/AM$492</f>
        <v>-3.621746079519763E-2</v>
      </c>
      <c r="AN510" s="4">
        <f t="shared" si="325"/>
        <v>-3.6884728441330943E-2</v>
      </c>
      <c r="AO510" s="4">
        <f t="shared" si="325"/>
        <v>-3.7525252632846583E-2</v>
      </c>
      <c r="AP510" s="4">
        <f t="shared" si="325"/>
        <v>-3.8145690645959088E-2</v>
      </c>
      <c r="AQ510" s="4">
        <f t="shared" si="325"/>
        <v>-3.8751791812845965E-2</v>
      </c>
      <c r="AR510" s="4">
        <f t="shared" si="325"/>
        <v>-3.9344806801992732E-2</v>
      </c>
      <c r="AS510" s="4">
        <f t="shared" si="325"/>
        <v>-3.9928939200519618E-2</v>
      </c>
      <c r="AT510" s="4">
        <f t="shared" si="325"/>
        <v>-4.0507983461504561E-2</v>
      </c>
      <c r="AU510" s="4">
        <f t="shared" si="325"/>
        <v>-4.1085297450060947E-2</v>
      </c>
      <c r="AV510" s="4">
        <f t="shared" si="325"/>
        <v>-4.1663659054360036E-2</v>
      </c>
      <c r="AW510" s="4">
        <f t="shared" si="325"/>
        <v>-4.223528680732995E-2</v>
      </c>
      <c r="AX510" s="4">
        <f t="shared" si="325"/>
        <v>-4.2801605246785744E-2</v>
      </c>
      <c r="AY510" s="4">
        <f t="shared" si="325"/>
        <v>-4.5457180864151715E-2</v>
      </c>
      <c r="AZ510" s="4">
        <f t="shared" si="325"/>
        <v>-4.7767556936475108E-2</v>
      </c>
      <c r="BA510" s="4">
        <f t="shared" si="325"/>
        <v>-5.0324307953778104E-2</v>
      </c>
      <c r="BB510" s="4">
        <f t="shared" si="325"/>
        <v>-6.6031499893113273E-3</v>
      </c>
      <c r="BC510" s="4">
        <f t="shared" si="325"/>
        <v>-6.7440012499967112E-3</v>
      </c>
      <c r="BD510" s="4">
        <f t="shared" ref="BD510:BF510" si="326">(BD486-BD499)/BD$492</f>
        <v>-6.8804170875079512E-3</v>
      </c>
      <c r="BE510" s="4">
        <f t="shared" si="326"/>
        <v>-7.0133542177743648E-3</v>
      </c>
      <c r="BF510" s="4">
        <f t="shared" si="326"/>
        <v>-7.1435608619209731E-3</v>
      </c>
    </row>
    <row r="511" spans="1:58" x14ac:dyDescent="0.35">
      <c r="B511" t="s">
        <v>75</v>
      </c>
      <c r="C511" s="4">
        <f>(C487-C500)/C$494</f>
        <v>-1.2037814518480273E-2</v>
      </c>
      <c r="D511" s="4">
        <f>(D487-D500)/D$492</f>
        <v>-5.450986120241137E-3</v>
      </c>
      <c r="E511" s="4">
        <f t="shared" ref="E511:AL511" si="327">(E487-E500)/E$492</f>
        <v>-6.334800622751169E-3</v>
      </c>
      <c r="F511" s="4">
        <f t="shared" si="327"/>
        <v>-6.9994444801678218E-3</v>
      </c>
      <c r="G511" s="4">
        <f t="shared" si="327"/>
        <v>-7.5052419468462995E-3</v>
      </c>
      <c r="H511" s="4">
        <f t="shared" si="327"/>
        <v>-7.8891503791494299E-3</v>
      </c>
      <c r="I511" s="4">
        <f t="shared" si="327"/>
        <v>-8.1911979644889877E-3</v>
      </c>
      <c r="J511" s="4">
        <f t="shared" si="327"/>
        <v>-8.441627211968547E-3</v>
      </c>
      <c r="K511" s="4">
        <f t="shared" si="327"/>
        <v>-8.6656761648849674E-3</v>
      </c>
      <c r="L511" s="4">
        <f t="shared" si="327"/>
        <v>-8.8826209570649906E-3</v>
      </c>
      <c r="M511" s="4">
        <f t="shared" si="327"/>
        <v>-9.1120888476478226E-3</v>
      </c>
      <c r="N511" s="4">
        <f t="shared" si="327"/>
        <v>-9.37616388017329E-3</v>
      </c>
      <c r="O511" s="4">
        <f t="shared" si="327"/>
        <v>-9.6706291046569654E-3</v>
      </c>
      <c r="P511" s="4">
        <f t="shared" si="327"/>
        <v>-9.9942246239021603E-3</v>
      </c>
      <c r="Q511" s="4">
        <f t="shared" si="327"/>
        <v>-1.0345301888956325E-2</v>
      </c>
      <c r="R511" s="4">
        <f t="shared" si="327"/>
        <v>-1.072158120422334E-2</v>
      </c>
      <c r="S511" s="4">
        <f t="shared" si="327"/>
        <v>-1.1138369226602907E-2</v>
      </c>
      <c r="T511" s="4">
        <f t="shared" si="327"/>
        <v>-1.1578915371625633E-2</v>
      </c>
      <c r="U511" s="4">
        <f t="shared" si="327"/>
        <v>-1.2036855052756597E-2</v>
      </c>
      <c r="V511" s="4">
        <f t="shared" si="327"/>
        <v>-1.2507408286861742E-2</v>
      </c>
      <c r="W511" s="4">
        <f t="shared" si="327"/>
        <v>-1.2984212328546426E-2</v>
      </c>
      <c r="X511" s="4">
        <f t="shared" si="327"/>
        <v>-1.3468628072086175E-2</v>
      </c>
      <c r="Y511" s="4">
        <f t="shared" si="327"/>
        <v>-1.3954783539728116E-2</v>
      </c>
      <c r="Z511" s="4">
        <f t="shared" si="327"/>
        <v>-1.4440157325718827E-2</v>
      </c>
      <c r="AA511" s="4">
        <f t="shared" si="327"/>
        <v>-1.4922673044534172E-2</v>
      </c>
      <c r="AB511" s="4">
        <f t="shared" si="327"/>
        <v>-1.5392847882753573E-2</v>
      </c>
      <c r="AC511" s="4">
        <f t="shared" si="327"/>
        <v>-1.5855349336228043E-2</v>
      </c>
      <c r="AD511" s="4">
        <f t="shared" si="327"/>
        <v>-1.6308823021550439E-2</v>
      </c>
      <c r="AE511" s="4">
        <f t="shared" si="327"/>
        <v>-1.6753232093493883E-2</v>
      </c>
      <c r="AF511" s="4">
        <f t="shared" si="327"/>
        <v>-1.7188564017877189E-2</v>
      </c>
      <c r="AG511" s="4">
        <f t="shared" si="327"/>
        <v>-1.7614987202109043E-2</v>
      </c>
      <c r="AH511" s="4">
        <f t="shared" si="327"/>
        <v>-1.8029086435789664E-2</v>
      </c>
      <c r="AI511" s="4">
        <f t="shared" si="327"/>
        <v>-1.8433168409638431E-2</v>
      </c>
      <c r="AJ511" s="4">
        <f t="shared" si="327"/>
        <v>-1.8827974411772294E-2</v>
      </c>
      <c r="AK511" s="4">
        <f t="shared" si="327"/>
        <v>-1.9214113161501917E-2</v>
      </c>
      <c r="AL511" s="4">
        <f t="shared" si="327"/>
        <v>-1.9592155795645192E-2</v>
      </c>
      <c r="AM511" s="4">
        <f t="shared" ref="AM511:BC511" si="328">(AM487-AM500)/AM$492</f>
        <v>-1.9932810526320191E-2</v>
      </c>
      <c r="AN511" s="4">
        <f t="shared" si="328"/>
        <v>-2.0257756495703959E-2</v>
      </c>
      <c r="AO511" s="4">
        <f t="shared" si="328"/>
        <v>-2.0571902274936611E-2</v>
      </c>
      <c r="AP511" s="4">
        <f t="shared" si="328"/>
        <v>-2.087806681836725E-2</v>
      </c>
      <c r="AQ511" s="4">
        <f t="shared" si="328"/>
        <v>-2.1178051295942905E-2</v>
      </c>
      <c r="AR511" s="4">
        <f t="shared" si="328"/>
        <v>-2.1469043361970329E-2</v>
      </c>
      <c r="AS511" s="4">
        <f t="shared" si="328"/>
        <v>-2.1754627076359098E-2</v>
      </c>
      <c r="AT511" s="4">
        <f t="shared" si="328"/>
        <v>-2.2036180456960631E-2</v>
      </c>
      <c r="AU511" s="4">
        <f t="shared" si="328"/>
        <v>-2.2314676706841785E-2</v>
      </c>
      <c r="AV511" s="4">
        <f t="shared" si="328"/>
        <v>-2.2590844288618364E-2</v>
      </c>
      <c r="AW511" s="4">
        <f t="shared" si="328"/>
        <v>-2.2852594131299406E-2</v>
      </c>
      <c r="AX511" s="4">
        <f t="shared" si="328"/>
        <v>-2.3108313719777219E-2</v>
      </c>
      <c r="AY511" s="4">
        <f t="shared" si="328"/>
        <v>-2.3834321238516424E-2</v>
      </c>
      <c r="AZ511" s="4">
        <f t="shared" si="328"/>
        <v>-2.312420817294248E-2</v>
      </c>
      <c r="BA511" s="4">
        <f t="shared" si="328"/>
        <v>-2.4520724635199984E-2</v>
      </c>
      <c r="BB511" s="4">
        <f t="shared" si="328"/>
        <v>-3.0849343800535465E-3</v>
      </c>
      <c r="BC511" s="4">
        <f t="shared" si="328"/>
        <v>-3.1263830034629772E-3</v>
      </c>
      <c r="BD511" s="4">
        <f t="shared" ref="BD511:BF511" si="329">(BD487-BD500)/BD$492</f>
        <v>-3.1653761681631693E-3</v>
      </c>
      <c r="BE511" s="4">
        <f t="shared" si="329"/>
        <v>-3.2025229336915505E-3</v>
      </c>
      <c r="BF511" s="4">
        <f t="shared" si="329"/>
        <v>-3.2381021300303143E-3</v>
      </c>
    </row>
    <row r="513" spans="2:58" x14ac:dyDescent="0.35">
      <c r="B513" s="6" t="str">
        <f>[1]Macro!A100</f>
        <v>y_toe_2</v>
      </c>
      <c r="C513" s="6">
        <f>[1]Macro!B100</f>
        <v>136.39123499999999</v>
      </c>
      <c r="D513" s="6">
        <f>[1]Macro!C100</f>
        <v>136.70826930000001</v>
      </c>
      <c r="E513" s="6">
        <f>[1]Macro!D100</f>
        <v>137.1256276</v>
      </c>
      <c r="F513" s="6">
        <f>[1]Macro!E100</f>
        <v>137.7084548</v>
      </c>
      <c r="G513" s="6">
        <f>[1]Macro!F100</f>
        <v>138.50254960000001</v>
      </c>
      <c r="H513" s="6">
        <f>[1]Macro!G100</f>
        <v>139.4994111</v>
      </c>
      <c r="I513" s="6">
        <f>[1]Macro!H100</f>
        <v>140.58395909999999</v>
      </c>
      <c r="J513" s="6">
        <f>[1]Macro!I100</f>
        <v>141.76402770000001</v>
      </c>
      <c r="K513" s="6">
        <f>[1]Macro!J100</f>
        <v>143.01036909999999</v>
      </c>
      <c r="L513" s="6">
        <f>[1]Macro!K100</f>
        <v>144.2951338</v>
      </c>
      <c r="M513" s="6">
        <f>[1]Macro!L100</f>
        <v>145.72627779999999</v>
      </c>
      <c r="N513" s="6">
        <f>[1]Macro!M100</f>
        <v>147.05778269999999</v>
      </c>
      <c r="O513" s="6">
        <f>[1]Macro!N100</f>
        <v>148.35449560000001</v>
      </c>
      <c r="P513" s="6">
        <f>[1]Macro!O100</f>
        <v>149.62132020000001</v>
      </c>
      <c r="Q513" s="6">
        <f>[1]Macro!P100</f>
        <v>150.85924209999999</v>
      </c>
      <c r="R513" s="6">
        <f>[1]Macro!Q100</f>
        <v>152.0696738</v>
      </c>
      <c r="S513" s="6">
        <f>[1]Macro!R100</f>
        <v>153.24334619999999</v>
      </c>
      <c r="T513" s="6">
        <f>[1]Macro!S100</f>
        <v>154.39320459999999</v>
      </c>
      <c r="U513" s="6">
        <f>[1]Macro!T100</f>
        <v>155.52599129999999</v>
      </c>
      <c r="V513" s="6">
        <f>[1]Macro!U100</f>
        <v>156.64843619999999</v>
      </c>
      <c r="W513" s="6">
        <f>[1]Macro!V100</f>
        <v>157.6752668</v>
      </c>
      <c r="X513" s="6">
        <f>[1]Macro!W100</f>
        <v>158.76595940000001</v>
      </c>
      <c r="Y513" s="6">
        <f>[1]Macro!X100</f>
        <v>159.87894729999999</v>
      </c>
      <c r="Z513" s="6">
        <f>[1]Macro!Y100</f>
        <v>161.0122045</v>
      </c>
      <c r="AA513" s="6">
        <f>[1]Macro!Z100</f>
        <v>162.1676531</v>
      </c>
      <c r="AB513" s="6">
        <f>[1]Macro!AA100</f>
        <v>163.0906559</v>
      </c>
      <c r="AC513" s="6">
        <f>[1]Macro!AB100</f>
        <v>164.095133</v>
      </c>
      <c r="AD513" s="6">
        <f>[1]Macro!AC100</f>
        <v>165.1260522</v>
      </c>
      <c r="AE513" s="6">
        <f>[1]Macro!AD100</f>
        <v>166.18166289999999</v>
      </c>
      <c r="AF513" s="6">
        <f>[1]Macro!AE100</f>
        <v>167.26361420000001</v>
      </c>
      <c r="AG513" s="6">
        <f>[1]Macro!AF100</f>
        <v>168.37397910000001</v>
      </c>
      <c r="AH513" s="6">
        <f>[1]Macro!AG100</f>
        <v>169.51672139999999</v>
      </c>
      <c r="AI513" s="6">
        <f>[1]Macro!AH100</f>
        <v>170.69096160000001</v>
      </c>
      <c r="AJ513" s="6">
        <f>[1]Macro!AI100</f>
        <v>171.89635129999999</v>
      </c>
      <c r="AK513" s="6">
        <f>[1]Macro!AJ100</f>
        <v>173.1319752</v>
      </c>
      <c r="AL513" s="6">
        <f>[1]Macro!AK100</f>
        <v>174.39649080000001</v>
      </c>
      <c r="AM513" s="6">
        <f>[1]Macro!AL100</f>
        <v>175.65009910000001</v>
      </c>
      <c r="AN513" s="6">
        <f>[1]Macro!AM100</f>
        <v>176.916324</v>
      </c>
      <c r="AO513" s="6">
        <f>[1]Macro!AN100</f>
        <v>178.1995058</v>
      </c>
      <c r="AP513" s="6">
        <f>[1]Macro!AO100</f>
        <v>179.50041569999999</v>
      </c>
      <c r="AQ513" s="6">
        <f>[1]Macro!AP100</f>
        <v>180.8189342</v>
      </c>
      <c r="AR513" s="6">
        <f>[1]Macro!AQ100</f>
        <v>182.15794270000001</v>
      </c>
      <c r="AS513" s="6">
        <f>[1]Macro!AR100</f>
        <v>183.5152028</v>
      </c>
      <c r="AT513" s="6">
        <f>[1]Macro!AS100</f>
        <v>184.89012840000001</v>
      </c>
      <c r="AU513" s="6">
        <f>[1]Macro!AT100</f>
        <v>186.2821793</v>
      </c>
      <c r="AV513" s="6">
        <f>[1]Macro!AU100</f>
        <v>187.6908171</v>
      </c>
      <c r="AW513" s="6">
        <f>[1]Macro!AV100</f>
        <v>189.13083119999999</v>
      </c>
      <c r="AX513" s="6">
        <f>[1]Macro!AW100</f>
        <v>190.59201970000001</v>
      </c>
      <c r="AY513" s="6">
        <f>[1]Macro!AX100</f>
        <v>191.1605964</v>
      </c>
      <c r="AZ513" s="6">
        <f>[1]Macro!AY100</f>
        <v>192.65550970000001</v>
      </c>
      <c r="BA513" s="6">
        <f>[1]Macro!AZ100</f>
        <v>192.82796819999999</v>
      </c>
      <c r="BB513" s="6">
        <f>[1]Macro!BA100</f>
        <v>246.2616218</v>
      </c>
      <c r="BC513" s="6">
        <f>[1]Macro!BB100</f>
        <v>249.59194579999999</v>
      </c>
      <c r="BD513" s="6">
        <f>[1]Macro!BC100</f>
        <v>252.97991350000001</v>
      </c>
      <c r="BE513" s="6">
        <f>[1]Macro!BD100</f>
        <v>256.42639680000002</v>
      </c>
      <c r="BF513" s="6">
        <f>[1]Macro!BE100</f>
        <v>259.93237049999999</v>
      </c>
    </row>
    <row r="514" spans="2:58" x14ac:dyDescent="0.35">
      <c r="B514" s="6" t="str">
        <f>[1]Macro!A101</f>
        <v>m_toe_2</v>
      </c>
      <c r="C514" s="6">
        <f>[1]Macro!B101</f>
        <v>148.17094499999999</v>
      </c>
      <c r="D514" s="6">
        <f>[1]Macro!C101</f>
        <v>148.50112050000001</v>
      </c>
      <c r="E514" s="6">
        <f>[1]Macro!D101</f>
        <v>149.03016550000001</v>
      </c>
      <c r="F514" s="6">
        <f>[1]Macro!E101</f>
        <v>149.73636619999999</v>
      </c>
      <c r="G514" s="6">
        <f>[1]Macro!F101</f>
        <v>150.6684052</v>
      </c>
      <c r="H514" s="6">
        <f>[1]Macro!G101</f>
        <v>151.83021550000001</v>
      </c>
      <c r="I514" s="6">
        <f>[1]Macro!H101</f>
        <v>153.11058840000001</v>
      </c>
      <c r="J514" s="6">
        <f>[1]Macro!I101</f>
        <v>154.5216054</v>
      </c>
      <c r="K514" s="6">
        <f>[1]Macro!J101</f>
        <v>156.03910579999999</v>
      </c>
      <c r="L514" s="6">
        <f>[1]Macro!K101</f>
        <v>157.63656689999999</v>
      </c>
      <c r="M514" s="6">
        <f>[1]Macro!L101</f>
        <v>159.4329098</v>
      </c>
      <c r="N514" s="6">
        <f>[1]Macro!M101</f>
        <v>161.1707064</v>
      </c>
      <c r="O514" s="6">
        <f>[1]Macro!N101</f>
        <v>162.90529699999999</v>
      </c>
      <c r="P514" s="6">
        <f>[1]Macro!O101</f>
        <v>164.64131230000001</v>
      </c>
      <c r="Q514" s="6">
        <f>[1]Macro!P101</f>
        <v>166.37576390000001</v>
      </c>
      <c r="R514" s="6">
        <f>[1]Macro!Q101</f>
        <v>168.10531700000001</v>
      </c>
      <c r="S514" s="6">
        <f>[1]Macro!R101</f>
        <v>169.8169547</v>
      </c>
      <c r="T514" s="6">
        <f>[1]Macro!S101</f>
        <v>171.5189335</v>
      </c>
      <c r="U514" s="6">
        <f>[1]Macro!T101</f>
        <v>173.21421770000001</v>
      </c>
      <c r="V514" s="6">
        <f>[1]Macro!U101</f>
        <v>174.90592419999999</v>
      </c>
      <c r="W514" s="6">
        <f>[1]Macro!V101</f>
        <v>176.4963028</v>
      </c>
      <c r="X514" s="6">
        <f>[1]Macro!W101</f>
        <v>178.15241660000001</v>
      </c>
      <c r="Y514" s="6">
        <f>[1]Macro!X101</f>
        <v>179.8348743</v>
      </c>
      <c r="Z514" s="6">
        <f>[1]Macro!Y101</f>
        <v>181.53838020000001</v>
      </c>
      <c r="AA514" s="6">
        <f>[1]Macro!Z101</f>
        <v>183.26415119999999</v>
      </c>
      <c r="AB514" s="6">
        <f>[1]Macro!AA101</f>
        <v>184.7284397</v>
      </c>
      <c r="AC514" s="6">
        <f>[1]Macro!AB101</f>
        <v>186.262159</v>
      </c>
      <c r="AD514" s="6">
        <f>[1]Macro!AC101</f>
        <v>187.82094570000001</v>
      </c>
      <c r="AE514" s="6">
        <f>[1]Macro!AD101</f>
        <v>189.40160760000001</v>
      </c>
      <c r="AF514" s="6">
        <f>[1]Macro!AE101</f>
        <v>191.00700380000001</v>
      </c>
      <c r="AG514" s="6">
        <f>[1]Macro!AF101</f>
        <v>192.64088269999999</v>
      </c>
      <c r="AH514" s="6">
        <f>[1]Macro!AG101</f>
        <v>194.30855489999999</v>
      </c>
      <c r="AI514" s="6">
        <f>[1]Macro!AH101</f>
        <v>196.01078219999999</v>
      </c>
      <c r="AJ514" s="6">
        <f>[1]Macro!AI101</f>
        <v>197.74870129999999</v>
      </c>
      <c r="AK514" s="6">
        <f>[1]Macro!AJ101</f>
        <v>199.5228769</v>
      </c>
      <c r="AL514" s="6">
        <f>[1]Macro!AK101</f>
        <v>201.33331989999999</v>
      </c>
      <c r="AM514" s="6">
        <f>[1]Macro!AL101</f>
        <v>203.13077000000001</v>
      </c>
      <c r="AN514" s="6">
        <f>[1]Macro!AM101</f>
        <v>204.94119660000001</v>
      </c>
      <c r="AO514" s="6">
        <f>[1]Macro!AN101</f>
        <v>206.77244289999999</v>
      </c>
      <c r="AP514" s="6">
        <f>[1]Macro!AO101</f>
        <v>208.6276834</v>
      </c>
      <c r="AQ514" s="6">
        <f>[1]Macro!AP101</f>
        <v>210.50850829999999</v>
      </c>
      <c r="AR514" s="6">
        <f>[1]Macro!AQ101</f>
        <v>212.41848870000001</v>
      </c>
      <c r="AS514" s="6">
        <f>[1]Macro!AR101</f>
        <v>214.3562982</v>
      </c>
      <c r="AT514" s="6">
        <f>[1]Macro!AS101</f>
        <v>216.32194949999999</v>
      </c>
      <c r="AU514" s="6">
        <f>[1]Macro!AT101</f>
        <v>218.31549759999999</v>
      </c>
      <c r="AV514" s="6">
        <f>[1]Macro!AU101</f>
        <v>220.33690569999999</v>
      </c>
      <c r="AW514" s="6">
        <f>[1]Macro!AV101</f>
        <v>222.40031329999999</v>
      </c>
      <c r="AX514" s="6">
        <f>[1]Macro!AW101</f>
        <v>224.49608380000001</v>
      </c>
      <c r="AY514" s="6">
        <f>[1]Macro!AX101</f>
        <v>224.49609190000001</v>
      </c>
      <c r="AZ514" s="6">
        <f>[1]Macro!AY101</f>
        <v>224.49620390000001</v>
      </c>
      <c r="BA514" s="6">
        <f>[1]Macro!AZ101</f>
        <v>224.4962385</v>
      </c>
      <c r="BB514" s="6">
        <f>[1]Macro!BA101</f>
        <v>288.74522830000001</v>
      </c>
      <c r="BC514" s="6">
        <f>[1]Macro!BB101</f>
        <v>292.93593909999998</v>
      </c>
      <c r="BD514" s="6">
        <f>[1]Macro!BC101</f>
        <v>297.19389749999999</v>
      </c>
      <c r="BE514" s="6">
        <f>[1]Macro!BD101</f>
        <v>301.52066719999999</v>
      </c>
      <c r="BF514" s="6">
        <f>[1]Macro!BE101</f>
        <v>305.91793699999999</v>
      </c>
    </row>
    <row r="515" spans="2:58" x14ac:dyDescent="0.35">
      <c r="B515" s="6" t="str">
        <f>[1]Macro!A102</f>
        <v>ci_toe_2</v>
      </c>
      <c r="C515" s="6">
        <f>[1]Macro!B102</f>
        <v>188.8449219</v>
      </c>
      <c r="D515" s="6">
        <f>[1]Macro!C102</f>
        <v>189.21487909999999</v>
      </c>
      <c r="E515" s="6">
        <f>[1]Macro!D102</f>
        <v>190.16668910000001</v>
      </c>
      <c r="F515" s="6">
        <f>[1]Macro!E102</f>
        <v>191.5007919</v>
      </c>
      <c r="G515" s="6">
        <f>[1]Macro!F102</f>
        <v>193.20806469999999</v>
      </c>
      <c r="H515" s="6">
        <f>[1]Macro!G102</f>
        <v>195.25299440000001</v>
      </c>
      <c r="I515" s="6">
        <f>[1]Macro!H102</f>
        <v>197.4621425</v>
      </c>
      <c r="J515" s="6">
        <f>[1]Macro!I102</f>
        <v>199.82676409999999</v>
      </c>
      <c r="K515" s="6">
        <f>[1]Macro!J102</f>
        <v>202.30540819999999</v>
      </c>
      <c r="L515" s="6">
        <f>[1]Macro!K102</f>
        <v>204.8548428</v>
      </c>
      <c r="M515" s="6">
        <f>[1]Macro!L102</f>
        <v>207.6274094</v>
      </c>
      <c r="N515" s="6">
        <f>[1]Macro!M102</f>
        <v>210.2926358</v>
      </c>
      <c r="O515" s="6">
        <f>[1]Macro!N102</f>
        <v>212.90279459999999</v>
      </c>
      <c r="P515" s="6">
        <f>[1]Macro!O102</f>
        <v>215.4671271</v>
      </c>
      <c r="Q515" s="6">
        <f>[1]Macro!P102</f>
        <v>217.9852396</v>
      </c>
      <c r="R515" s="6">
        <f>[1]Macro!Q102</f>
        <v>220.4573201</v>
      </c>
      <c r="S515" s="6">
        <f>[1]Macro!R102</f>
        <v>222.8754825</v>
      </c>
      <c r="T515" s="6">
        <f>[1]Macro!S102</f>
        <v>225.25192820000001</v>
      </c>
      <c r="U515" s="6">
        <f>[1]Macro!T102</f>
        <v>227.59688550000001</v>
      </c>
      <c r="V515" s="6">
        <f>[1]Macro!U102</f>
        <v>229.9208495</v>
      </c>
      <c r="W515" s="6">
        <f>[1]Macro!V102</f>
        <v>232.0996772</v>
      </c>
      <c r="X515" s="6">
        <f>[1]Macro!W102</f>
        <v>234.35279180000001</v>
      </c>
      <c r="Y515" s="6">
        <f>[1]Macro!X102</f>
        <v>236.6435894</v>
      </c>
      <c r="Z515" s="6">
        <f>[1]Macro!Y102</f>
        <v>238.9670983</v>
      </c>
      <c r="AA515" s="6">
        <f>[1]Macro!Z102</f>
        <v>241.32719520000001</v>
      </c>
      <c r="AB515" s="6">
        <f>[1]Macro!AA102</f>
        <v>243.34895359999999</v>
      </c>
      <c r="AC515" s="6">
        <f>[1]Macro!AB102</f>
        <v>245.4483754</v>
      </c>
      <c r="AD515" s="6">
        <f>[1]Macro!AC102</f>
        <v>247.59105360000001</v>
      </c>
      <c r="AE515" s="6">
        <f>[1]Macro!AD102</f>
        <v>249.77309210000001</v>
      </c>
      <c r="AF515" s="6">
        <f>[1]Macro!AE102</f>
        <v>251.99905150000001</v>
      </c>
      <c r="AG515" s="6">
        <f>[1]Macro!AF102</f>
        <v>254.2744342</v>
      </c>
      <c r="AH515" s="6">
        <f>[1]Macro!AG102</f>
        <v>256.60528340000002</v>
      </c>
      <c r="AI515" s="6">
        <f>[1]Macro!AH102</f>
        <v>258.99337259999999</v>
      </c>
      <c r="AJ515" s="6">
        <f>[1]Macro!AI102</f>
        <v>261.43923569999998</v>
      </c>
      <c r="AK515" s="6">
        <f>[1]Macro!AJ102</f>
        <v>263.94218819999998</v>
      </c>
      <c r="AL515" s="6">
        <f>[1]Macro!AK102</f>
        <v>266.50055500000002</v>
      </c>
      <c r="AM515" s="6">
        <f>[1]Macro!AL102</f>
        <v>269.03798019999999</v>
      </c>
      <c r="AN515" s="6">
        <f>[1]Macro!AM102</f>
        <v>271.59347889999998</v>
      </c>
      <c r="AO515" s="6">
        <f>[1]Macro!AN102</f>
        <v>274.1782675</v>
      </c>
      <c r="AP515" s="6">
        <f>[1]Macro!AO102</f>
        <v>276.79571249999998</v>
      </c>
      <c r="AQ515" s="6">
        <f>[1]Macro!AP102</f>
        <v>279.4468756</v>
      </c>
      <c r="AR515" s="6">
        <f>[1]Macro!AQ102</f>
        <v>282.13405460000001</v>
      </c>
      <c r="AS515" s="6">
        <f>[1]Macro!AR102</f>
        <v>284.85667339999998</v>
      </c>
      <c r="AT515" s="6">
        <f>[1]Macro!AS102</f>
        <v>287.61416530000002</v>
      </c>
      <c r="AU515" s="6">
        <f>[1]Macro!AT102</f>
        <v>290.40590459999999</v>
      </c>
      <c r="AV515" s="6">
        <f>[1]Macro!AU102</f>
        <v>293.2311206</v>
      </c>
      <c r="AW515" s="6">
        <f>[1]Macro!AV102</f>
        <v>296.10253319999998</v>
      </c>
      <c r="AX515" s="6">
        <f>[1]Macro!AW102</f>
        <v>299.01381859999998</v>
      </c>
      <c r="AY515" s="6">
        <f>[1]Macro!AX102</f>
        <v>299.61505720000002</v>
      </c>
      <c r="AZ515" s="6">
        <f>[1]Macro!AY102</f>
        <v>301.1130392</v>
      </c>
      <c r="BA515" s="6">
        <f>[1]Macro!AZ102</f>
        <v>301.28539000000001</v>
      </c>
      <c r="BB515" s="6">
        <f>[1]Macro!BA102</f>
        <v>394.43394949999998</v>
      </c>
      <c r="BC515" s="6">
        <f>[1]Macro!BB102</f>
        <v>400.53157679999998</v>
      </c>
      <c r="BD515" s="6">
        <f>[1]Macro!BC102</f>
        <v>406.72715749999998</v>
      </c>
      <c r="BE515" s="6">
        <f>[1]Macro!BD102</f>
        <v>413.02284150000003</v>
      </c>
      <c r="BF515" s="6">
        <f>[1]Macro!BE102</f>
        <v>419.4208261</v>
      </c>
    </row>
    <row r="516" spans="2:58" x14ac:dyDescent="0.35">
      <c r="B516" s="6" t="str">
        <f>[1]Macro!A103</f>
        <v>ch_toe_2</v>
      </c>
      <c r="C516" s="6">
        <f>[1]Macro!B103</f>
        <v>64.301440170000006</v>
      </c>
      <c r="D516" s="6">
        <f>[1]Macro!C103</f>
        <v>64.227304559999993</v>
      </c>
      <c r="E516" s="6">
        <f>[1]Macro!D103</f>
        <v>63.820862990000002</v>
      </c>
      <c r="F516" s="6">
        <f>[1]Macro!E103</f>
        <v>63.358257729999998</v>
      </c>
      <c r="G516" s="6">
        <f>[1]Macro!F103</f>
        <v>62.946980420000003</v>
      </c>
      <c r="H516" s="6">
        <f>[1]Macro!G103</f>
        <v>62.622310910000003</v>
      </c>
      <c r="I516" s="6">
        <f>[1]Macro!H103</f>
        <v>62.369722279999998</v>
      </c>
      <c r="J516" s="6">
        <f>[1]Macro!I103</f>
        <v>62.186632269999997</v>
      </c>
      <c r="K516" s="6">
        <f>[1]Macro!J103</f>
        <v>62.06258347</v>
      </c>
      <c r="L516" s="6">
        <f>[1]Macro!K103</f>
        <v>61.987047750000002</v>
      </c>
      <c r="M516" s="6">
        <f>[1]Macro!L103</f>
        <v>61.978960389999997</v>
      </c>
      <c r="N516" s="6">
        <f>[1]Macro!M103</f>
        <v>61.984500670000003</v>
      </c>
      <c r="O516" s="6">
        <f>[1]Macro!N103</f>
        <v>62.006944820000001</v>
      </c>
      <c r="P516" s="6">
        <f>[1]Macro!O103</f>
        <v>62.045609810000002</v>
      </c>
      <c r="Q516" s="6">
        <f>[1]Macro!P103</f>
        <v>62.097860490000002</v>
      </c>
      <c r="R516" s="6">
        <f>[1]Macro!Q103</f>
        <v>62.16057137</v>
      </c>
      <c r="S516" s="6">
        <f>[1]Macro!R103</f>
        <v>62.22720881</v>
      </c>
      <c r="T516" s="6">
        <f>[1]Macro!S103</f>
        <v>62.297110230000001</v>
      </c>
      <c r="U516" s="6">
        <f>[1]Macro!T103</f>
        <v>62.368933779999999</v>
      </c>
      <c r="V516" s="6">
        <f>[1]Macro!U103</f>
        <v>62.441298410000002</v>
      </c>
      <c r="W516" s="6">
        <f>[1]Macro!V103</f>
        <v>62.494288220000001</v>
      </c>
      <c r="X516" s="6">
        <f>[1]Macro!W103</f>
        <v>62.555176330000002</v>
      </c>
      <c r="Y516" s="6">
        <f>[1]Macro!X103</f>
        <v>62.618819909999999</v>
      </c>
      <c r="Z516" s="6">
        <f>[1]Macro!Y103</f>
        <v>62.682597180000002</v>
      </c>
      <c r="AA516" s="6">
        <f>[1]Macro!Z103</f>
        <v>62.74558021</v>
      </c>
      <c r="AB516" s="6">
        <f>[1]Macro!AA103</f>
        <v>62.756465300000002</v>
      </c>
      <c r="AC516" s="6">
        <f>[1]Macro!AB103</f>
        <v>62.769005110000002</v>
      </c>
      <c r="AD516" s="6">
        <f>[1]Macro!AC103</f>
        <v>62.781473820000002</v>
      </c>
      <c r="AE516" s="6">
        <f>[1]Macro!AD103</f>
        <v>62.792820460000002</v>
      </c>
      <c r="AF516" s="6">
        <f>[1]Macro!AE103</f>
        <v>62.803041919999998</v>
      </c>
      <c r="AG516" s="6">
        <f>[1]Macro!AF103</f>
        <v>62.812554159999998</v>
      </c>
      <c r="AH516" s="6">
        <f>[1]Macro!AG103</f>
        <v>62.822765990000001</v>
      </c>
      <c r="AI516" s="6">
        <f>[1]Macro!AH103</f>
        <v>62.833868150000001</v>
      </c>
      <c r="AJ516" s="6">
        <f>[1]Macro!AI103</f>
        <v>62.846304549999999</v>
      </c>
      <c r="AK516" s="6">
        <f>[1]Macro!AJ103</f>
        <v>62.860606079999997</v>
      </c>
      <c r="AL516" s="6">
        <f>[1]Macro!AK103</f>
        <v>62.877302049999997</v>
      </c>
      <c r="AM516" s="6">
        <f>[1]Macro!AL103</f>
        <v>62.893009399999997</v>
      </c>
      <c r="AN516" s="6">
        <f>[1]Macro!AM103</f>
        <v>62.909134600000002</v>
      </c>
      <c r="AO516" s="6">
        <f>[1]Macro!AN103</f>
        <v>62.926745189999998</v>
      </c>
      <c r="AP516" s="6">
        <f>[1]Macro!AO103</f>
        <v>62.946549259999998</v>
      </c>
      <c r="AQ516" s="6">
        <f>[1]Macro!AP103</f>
        <v>62.969059340000001</v>
      </c>
      <c r="AR516" s="6">
        <f>[1]Macro!AQ103</f>
        <v>62.995751550000001</v>
      </c>
      <c r="AS516" s="6">
        <f>[1]Macro!AR103</f>
        <v>63.026311909999997</v>
      </c>
      <c r="AT516" s="6">
        <f>[1]Macro!AS103</f>
        <v>63.060746819999999</v>
      </c>
      <c r="AU516" s="6">
        <f>[1]Macro!AT103</f>
        <v>63.099198639999997</v>
      </c>
      <c r="AV516" s="6">
        <f>[1]Macro!AU103</f>
        <v>63.141851930000001</v>
      </c>
      <c r="AW516" s="6">
        <f>[1]Macro!AV103</f>
        <v>63.193298929999997</v>
      </c>
      <c r="AX516" s="6">
        <f>[1]Macro!AW103</f>
        <v>63.251170569999999</v>
      </c>
      <c r="AY516" s="6">
        <f>[1]Macro!AX103</f>
        <v>63.218519120000003</v>
      </c>
      <c r="AZ516" s="6">
        <f>[1]Macro!AY103</f>
        <v>63.215735860000002</v>
      </c>
      <c r="BA516" s="6">
        <f>[1]Macro!AZ103</f>
        <v>63.215936220000003</v>
      </c>
      <c r="BB516" s="6">
        <f>[1]Macro!BA103</f>
        <v>64.419719540000003</v>
      </c>
      <c r="BC516" s="6">
        <f>[1]Macro!BB103</f>
        <v>64.521376770000003</v>
      </c>
      <c r="BD516" s="6">
        <f>[1]Macro!BC103</f>
        <v>64.626029189999997</v>
      </c>
      <c r="BE516" s="6">
        <f>[1]Macro!BD103</f>
        <v>64.733579050000003</v>
      </c>
      <c r="BF516" s="6">
        <f>[1]Macro!BE103</f>
        <v>64.844110799999996</v>
      </c>
    </row>
    <row r="517" spans="2:58" x14ac:dyDescent="0.35">
      <c r="B517" s="6" t="str">
        <f>[1]Macro!A104</f>
        <v>x_toe_2</v>
      </c>
      <c r="C517" s="6">
        <f>[1]Macro!B104</f>
        <v>31.415817919999999</v>
      </c>
      <c r="D517" s="6">
        <f>[1]Macro!C104</f>
        <v>31.767206099999999</v>
      </c>
      <c r="E517" s="6">
        <f>[1]Macro!D104</f>
        <v>32.168241049999999</v>
      </c>
      <c r="F517" s="6">
        <f>[1]Macro!E104</f>
        <v>32.585771340000001</v>
      </c>
      <c r="G517" s="6">
        <f>[1]Macro!F104</f>
        <v>33.01590959</v>
      </c>
      <c r="H517" s="6">
        <f>[1]Macro!G104</f>
        <v>33.454321309999997</v>
      </c>
      <c r="I517" s="6">
        <f>[1]Macro!H104</f>
        <v>33.862682679999999</v>
      </c>
      <c r="J517" s="6">
        <f>[1]Macro!I104</f>
        <v>34.272236790000001</v>
      </c>
      <c r="K517" s="6">
        <f>[1]Macro!J104</f>
        <v>34.681483270000001</v>
      </c>
      <c r="L517" s="6">
        <f>[1]Macro!K104</f>
        <v>35.08981017</v>
      </c>
      <c r="M517" s="6">
        <f>[1]Macro!L104</f>
        <v>35.552817820000001</v>
      </c>
      <c r="N517" s="6">
        <f>[1]Macro!M104</f>
        <v>35.951352530000001</v>
      </c>
      <c r="O517" s="6">
        <f>[1]Macro!N104</f>
        <v>36.350053260000003</v>
      </c>
      <c r="P517" s="6">
        <f>[1]Macro!O104</f>
        <v>36.749895510000002</v>
      </c>
      <c r="Q517" s="6">
        <f>[1]Macro!P104</f>
        <v>37.151905849999999</v>
      </c>
      <c r="R517" s="6">
        <f>[1]Macro!Q104</f>
        <v>37.557099229999999</v>
      </c>
      <c r="S517" s="6">
        <f>[1]Macro!R104</f>
        <v>37.957609589999997</v>
      </c>
      <c r="T517" s="6">
        <f>[1]Macro!S104</f>
        <v>38.363099650000002</v>
      </c>
      <c r="U517" s="6">
        <f>[1]Macro!T104</f>
        <v>38.774389720000002</v>
      </c>
      <c r="V517" s="6">
        <f>[1]Macro!U104</f>
        <v>39.192212470000001</v>
      </c>
      <c r="W517" s="6">
        <f>[1]Macro!V104</f>
        <v>39.577604190000002</v>
      </c>
      <c r="X517" s="6">
        <f>[1]Macro!W104</f>
        <v>40.010407909999998</v>
      </c>
      <c r="Y517" s="6">
        <f>[1]Macro!X104</f>
        <v>40.451412249999997</v>
      </c>
      <c r="Z517" s="6">
        <f>[1]Macro!Y104</f>
        <v>40.900889239999998</v>
      </c>
      <c r="AA517" s="6">
        <f>[1]Macro!Z104</f>
        <v>41.359028889999998</v>
      </c>
      <c r="AB517" s="6">
        <f>[1]Macro!AA104</f>
        <v>41.713676769999999</v>
      </c>
      <c r="AC517" s="6">
        <f>[1]Macro!AB104</f>
        <v>42.139911570000002</v>
      </c>
      <c r="AD517" s="6">
        <f>[1]Macro!AC104</f>
        <v>42.574470470000001</v>
      </c>
      <c r="AE517" s="6">
        <f>[1]Macro!AD104</f>
        <v>43.0173579</v>
      </c>
      <c r="AF517" s="6">
        <f>[1]Macro!AE104</f>
        <v>43.46852458</v>
      </c>
      <c r="AG517" s="6">
        <f>[1]Macro!AF104</f>
        <v>43.927873529999999</v>
      </c>
      <c r="AH517" s="6">
        <f>[1]Macro!AG104</f>
        <v>44.397226889999999</v>
      </c>
      <c r="AI517" s="6">
        <f>[1]Macro!AH104</f>
        <v>44.874503089999997</v>
      </c>
      <c r="AJ517" s="6">
        <f>[1]Macro!AI104</f>
        <v>45.35951232</v>
      </c>
      <c r="AK517" s="6">
        <f>[1]Macro!AJ104</f>
        <v>45.852057879999997</v>
      </c>
      <c r="AL517" s="6">
        <f>[1]Macro!AK104</f>
        <v>46.351953649999999</v>
      </c>
      <c r="AM517" s="6">
        <f>[1]Macro!AL104</f>
        <v>46.849879540000003</v>
      </c>
      <c r="AN517" s="6">
        <f>[1]Macro!AM104</f>
        <v>47.35490712</v>
      </c>
      <c r="AO517" s="6">
        <f>[1]Macro!AN104</f>
        <v>47.866936010000003</v>
      </c>
      <c r="AP517" s="6">
        <f>[1]Macro!AO104</f>
        <v>48.385837330000001</v>
      </c>
      <c r="AQ517" s="6">
        <f>[1]Macro!AP104</f>
        <v>48.9115076</v>
      </c>
      <c r="AR517" s="6">
        <f>[1]Macro!AQ104</f>
        <v>49.446625269999998</v>
      </c>
      <c r="AS517" s="6">
        <f>[1]Macro!AR104</f>
        <v>49.988515640000003</v>
      </c>
      <c r="AT517" s="6">
        <f>[1]Macro!AS104</f>
        <v>50.537165880000003</v>
      </c>
      <c r="AU517" s="6">
        <f>[1]Macro!AT104</f>
        <v>51.092573639999998</v>
      </c>
      <c r="AV517" s="6">
        <f>[1]Macro!AU104</f>
        <v>51.654750249999999</v>
      </c>
      <c r="AW517" s="6">
        <f>[1]Macro!AV104</f>
        <v>52.235312370000003</v>
      </c>
      <c r="AX517" s="6">
        <f>[1]Macro!AW104</f>
        <v>52.823114330000003</v>
      </c>
      <c r="AY517" s="6">
        <f>[1]Macro!AX104</f>
        <v>52.823112010000003</v>
      </c>
      <c r="AZ517" s="6">
        <f>[1]Macro!AY104</f>
        <v>52.822938520000001</v>
      </c>
      <c r="BA517" s="6">
        <f>[1]Macro!AZ104</f>
        <v>52.822880480000002</v>
      </c>
      <c r="BB517" s="6">
        <f>[1]Macro!BA104</f>
        <v>76.153181029999999</v>
      </c>
      <c r="BC517" s="6">
        <f>[1]Macro!BB104</f>
        <v>77.474931299999994</v>
      </c>
      <c r="BD517" s="6">
        <f>[1]Macro!BC104</f>
        <v>78.820624289999998</v>
      </c>
      <c r="BE517" s="6">
        <f>[1]Macro!BD104</f>
        <v>80.190643519999995</v>
      </c>
      <c r="BF517" s="6">
        <f>[1]Macro!BE104</f>
        <v>81.585370549999993</v>
      </c>
    </row>
    <row r="518" spans="2:58" x14ac:dyDescent="0.35"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</row>
    <row r="519" spans="2:58" x14ac:dyDescent="0.35">
      <c r="B519" s="6" t="str">
        <f>[1]Macro!A105</f>
        <v>y_toe_0</v>
      </c>
      <c r="C519" s="6">
        <f>[1]Macro!B105</f>
        <v>139.60077770000001</v>
      </c>
      <c r="D519" s="6">
        <f>[1]Macro!C105</f>
        <v>140.71618230000001</v>
      </c>
      <c r="E519" s="6">
        <f>[1]Macro!D105</f>
        <v>141.74253709999999</v>
      </c>
      <c r="F519" s="6">
        <f>[1]Macro!E105</f>
        <v>142.83931670000001</v>
      </c>
      <c r="G519" s="6">
        <f>[1]Macro!F105</f>
        <v>144.05908700000001</v>
      </c>
      <c r="H519" s="6">
        <f>[1]Macro!G105</f>
        <v>145.39965509999999</v>
      </c>
      <c r="I519" s="6">
        <f>[1]Macro!H105</f>
        <v>146.76027690000001</v>
      </c>
      <c r="J519" s="6">
        <f>[1]Macro!I105</f>
        <v>148.16949529999999</v>
      </c>
      <c r="K519" s="6">
        <f>[1]Macro!J105</f>
        <v>149.61749839999999</v>
      </c>
      <c r="L519" s="6">
        <f>[1]Macro!K105</f>
        <v>151.09248439999999</v>
      </c>
      <c r="M519" s="6">
        <f>[1]Macro!L105</f>
        <v>152.72301390000001</v>
      </c>
      <c r="N519" s="6">
        <f>[1]Macro!M105</f>
        <v>154.27125100000001</v>
      </c>
      <c r="O519" s="6">
        <f>[1]Macro!N105</f>
        <v>155.80489969999999</v>
      </c>
      <c r="P519" s="6">
        <f>[1]Macro!O105</f>
        <v>157.33190529999999</v>
      </c>
      <c r="Q519" s="6">
        <f>[1]Macro!P105</f>
        <v>158.854962</v>
      </c>
      <c r="R519" s="6">
        <f>[1]Macro!Q105</f>
        <v>160.37596600000001</v>
      </c>
      <c r="S519" s="6">
        <f>[1]Macro!R105</f>
        <v>161.89729030000001</v>
      </c>
      <c r="T519" s="6">
        <f>[1]Macro!S105</f>
        <v>163.42189949999999</v>
      </c>
      <c r="U519" s="6">
        <f>[1]Macro!T105</f>
        <v>164.9532897</v>
      </c>
      <c r="V519" s="6">
        <f>[1]Macro!U105</f>
        <v>166.49521709999999</v>
      </c>
      <c r="W519" s="6">
        <f>[1]Macro!V105</f>
        <v>167.9520109</v>
      </c>
      <c r="X519" s="6">
        <f>[1]Macro!W105</f>
        <v>169.4934749</v>
      </c>
      <c r="Y519" s="6">
        <f>[1]Macro!X105</f>
        <v>171.0701277</v>
      </c>
      <c r="Z519" s="6">
        <f>[1]Macro!Y105</f>
        <v>172.67746460000001</v>
      </c>
      <c r="AA519" s="6">
        <f>[1]Macro!Z105</f>
        <v>174.3153877</v>
      </c>
      <c r="AB519" s="6">
        <f>[1]Macro!AA105</f>
        <v>175.70227420000001</v>
      </c>
      <c r="AC519" s="6">
        <f>[1]Macro!AB105</f>
        <v>177.17815440000001</v>
      </c>
      <c r="AD519" s="6">
        <f>[1]Macro!AC105</f>
        <v>178.68123270000001</v>
      </c>
      <c r="AE519" s="6">
        <f>[1]Macro!AD105</f>
        <v>180.2092169</v>
      </c>
      <c r="AF519" s="6">
        <f>[1]Macro!AE105</f>
        <v>181.76363839999999</v>
      </c>
      <c r="AG519" s="6">
        <f>[1]Macro!AF105</f>
        <v>183.34667089999999</v>
      </c>
      <c r="AH519" s="6">
        <f>[1]Macro!AG105</f>
        <v>184.9600173</v>
      </c>
      <c r="AI519" s="6">
        <f>[1]Macro!AH105</f>
        <v>186.60462849999999</v>
      </c>
      <c r="AJ519" s="6">
        <f>[1]Macro!AI105</f>
        <v>188.28068830000001</v>
      </c>
      <c r="AK519" s="6">
        <f>[1]Macro!AJ105</f>
        <v>189.98773399999999</v>
      </c>
      <c r="AL519" s="6">
        <f>[1]Macro!AK105</f>
        <v>191.7248257</v>
      </c>
      <c r="AM519" s="6">
        <f>[1]Macro!AL105</f>
        <v>193.42447089999999</v>
      </c>
      <c r="AN519" s="6">
        <f>[1]Macro!AM105</f>
        <v>195.12974500000001</v>
      </c>
      <c r="AO519" s="6">
        <f>[1]Macro!AN105</f>
        <v>196.8480471</v>
      </c>
      <c r="AP519" s="6">
        <f>[1]Macro!AO105</f>
        <v>198.5822311</v>
      </c>
      <c r="AQ519" s="6">
        <f>[1]Macro!AP105</f>
        <v>200.33378189999999</v>
      </c>
      <c r="AR519" s="6">
        <f>[1]Macro!AQ105</f>
        <v>202.10375959999999</v>
      </c>
      <c r="AS519" s="6">
        <f>[1]Macro!AR105</f>
        <v>203.89302950000001</v>
      </c>
      <c r="AT519" s="6">
        <f>[1]Macro!AS105</f>
        <v>205.70228560000001</v>
      </c>
      <c r="AU519" s="6">
        <f>[1]Macro!AT105</f>
        <v>207.53203809999999</v>
      </c>
      <c r="AV519" s="6">
        <f>[1]Macro!AU105</f>
        <v>209.3826134</v>
      </c>
      <c r="AW519" s="6">
        <f>[1]Macro!AV105</f>
        <v>211.26001969999999</v>
      </c>
      <c r="AX519" s="6">
        <f>[1]Macro!AW105</f>
        <v>213.16033880000001</v>
      </c>
      <c r="AY519" s="6">
        <f>[1]Macro!AX105</f>
        <v>215.08276979999999</v>
      </c>
      <c r="AZ519" s="6">
        <f>[1]Macro!AY105</f>
        <v>217.02687460000001</v>
      </c>
      <c r="BA519" s="6">
        <f>[1]Macro!AZ105</f>
        <v>218.9923431</v>
      </c>
      <c r="BB519" s="6">
        <f>[1]Macro!BA105</f>
        <v>248.76068989999999</v>
      </c>
      <c r="BC519" s="6">
        <f>[1]Macro!BB105</f>
        <v>252.16318720000001</v>
      </c>
      <c r="BD519" s="6">
        <f>[1]Macro!BC105</f>
        <v>255.6227614</v>
      </c>
      <c r="BE519" s="6">
        <f>[1]Macro!BD105</f>
        <v>259.14068689999999</v>
      </c>
      <c r="BF519" s="6">
        <f>[1]Macro!BE105</f>
        <v>262.7181764</v>
      </c>
    </row>
    <row r="520" spans="2:58" x14ac:dyDescent="0.35">
      <c r="B520" s="6" t="str">
        <f>[1]Macro!A106</f>
        <v>m_toe_0</v>
      </c>
      <c r="C520" s="6">
        <f>[1]Macro!B106</f>
        <v>151.3951486</v>
      </c>
      <c r="D520" s="6">
        <f>[1]Macro!C106</f>
        <v>152.65470619999999</v>
      </c>
      <c r="E520" s="6">
        <f>[1]Macro!D106</f>
        <v>153.82855459999999</v>
      </c>
      <c r="F520" s="6">
        <f>[1]Macro!E106</f>
        <v>155.10700890000001</v>
      </c>
      <c r="G520" s="6">
        <f>[1]Macro!F106</f>
        <v>156.5516753</v>
      </c>
      <c r="H520" s="6">
        <f>[1]Macro!G106</f>
        <v>158.16103910000001</v>
      </c>
      <c r="I520" s="6">
        <f>[1]Macro!H106</f>
        <v>159.82501250000001</v>
      </c>
      <c r="J520" s="6">
        <f>[1]Macro!I106</f>
        <v>161.5676187</v>
      </c>
      <c r="K520" s="6">
        <f>[1]Macro!J106</f>
        <v>163.37821049999999</v>
      </c>
      <c r="L520" s="6">
        <f>[1]Macro!K106</f>
        <v>165.2420936</v>
      </c>
      <c r="M520" s="6">
        <f>[1]Macro!L106</f>
        <v>167.2966006</v>
      </c>
      <c r="N520" s="6">
        <f>[1]Macro!M106</f>
        <v>169.2900171</v>
      </c>
      <c r="O520" s="6">
        <f>[1]Macro!N106</f>
        <v>171.2807426</v>
      </c>
      <c r="P520" s="6">
        <f>[1]Macro!O106</f>
        <v>173.27796190000001</v>
      </c>
      <c r="Q520" s="6">
        <f>[1]Macro!P106</f>
        <v>175.28271710000001</v>
      </c>
      <c r="R520" s="6">
        <f>[1]Macro!Q106</f>
        <v>177.29483959999999</v>
      </c>
      <c r="S520" s="6">
        <f>[1]Macro!R106</f>
        <v>179.31474370000001</v>
      </c>
      <c r="T520" s="6">
        <f>[1]Macro!S106</f>
        <v>181.3437204</v>
      </c>
      <c r="U520" s="6">
        <f>[1]Macro!T106</f>
        <v>183.38381079999999</v>
      </c>
      <c r="V520" s="6">
        <f>[1]Macro!U106</f>
        <v>185.4375727</v>
      </c>
      <c r="W520" s="6">
        <f>[1]Macro!V106</f>
        <v>187.3986037</v>
      </c>
      <c r="X520" s="6">
        <f>[1]Macro!W106</f>
        <v>189.4458774</v>
      </c>
      <c r="Y520" s="6">
        <f>[1]Macro!X106</f>
        <v>191.5336289</v>
      </c>
      <c r="Z520" s="6">
        <f>[1]Macro!Y106</f>
        <v>193.6543226</v>
      </c>
      <c r="AA520" s="6">
        <f>[1]Macro!Z106</f>
        <v>195.80737669999999</v>
      </c>
      <c r="AB520" s="6">
        <f>[1]Macro!AA106</f>
        <v>197.68192930000001</v>
      </c>
      <c r="AC520" s="6">
        <f>[1]Macro!AB106</f>
        <v>199.63463609999999</v>
      </c>
      <c r="AD520" s="6">
        <f>[1]Macro!AC106</f>
        <v>201.61543019999999</v>
      </c>
      <c r="AE520" s="6">
        <f>[1]Macro!AD106</f>
        <v>203.61954420000001</v>
      </c>
      <c r="AF520" s="6">
        <f>[1]Macro!AE106</f>
        <v>205.6488775</v>
      </c>
      <c r="AG520" s="6">
        <f>[1]Macro!AF106</f>
        <v>207.70653490000001</v>
      </c>
      <c r="AH520" s="6">
        <f>[1]Macro!AG106</f>
        <v>209.79526229999999</v>
      </c>
      <c r="AI520" s="6">
        <f>[1]Macro!AH106</f>
        <v>211.9170331</v>
      </c>
      <c r="AJ520" s="6">
        <f>[1]Macro!AI106</f>
        <v>214.07301440000001</v>
      </c>
      <c r="AK520" s="6">
        <f>[1]Macro!AJ106</f>
        <v>216.26367569999999</v>
      </c>
      <c r="AL520" s="6">
        <f>[1]Macro!AK106</f>
        <v>218.48894490000001</v>
      </c>
      <c r="AM520" s="6">
        <f>[1]Macro!AL106</f>
        <v>220.6746368</v>
      </c>
      <c r="AN520" s="6">
        <f>[1]Macro!AM106</f>
        <v>222.8649465</v>
      </c>
      <c r="AO520" s="6">
        <f>[1]Macro!AN106</f>
        <v>225.0707166</v>
      </c>
      <c r="AP520" s="6">
        <f>[1]Macro!AO106</f>
        <v>227.29607590000001</v>
      </c>
      <c r="AQ520" s="6">
        <f>[1]Macro!AP106</f>
        <v>229.54327499999999</v>
      </c>
      <c r="AR520" s="6">
        <f>[1]Macro!AQ106</f>
        <v>231.81396820000001</v>
      </c>
      <c r="AS520" s="6">
        <f>[1]Macro!AR106</f>
        <v>234.10952320000001</v>
      </c>
      <c r="AT520" s="6">
        <f>[1]Macro!AS106</f>
        <v>236.43107610000001</v>
      </c>
      <c r="AU520" s="6">
        <f>[1]Macro!AT106</f>
        <v>238.77953919999999</v>
      </c>
      <c r="AV520" s="6">
        <f>[1]Macro!AU106</f>
        <v>241.15561700000001</v>
      </c>
      <c r="AW520" s="6">
        <f>[1]Macro!AV106</f>
        <v>243.56638380000001</v>
      </c>
      <c r="AX520" s="6">
        <f>[1]Macro!AW106</f>
        <v>246.00821920000001</v>
      </c>
      <c r="AY520" s="6">
        <f>[1]Macro!AX106</f>
        <v>248.4804226</v>
      </c>
      <c r="AZ520" s="6">
        <f>[1]Macro!AY106</f>
        <v>250.9828469</v>
      </c>
      <c r="BA520" s="6">
        <f>[1]Macro!AZ106</f>
        <v>253.51551380000001</v>
      </c>
      <c r="BB520" s="6">
        <f>[1]Macro!BA106</f>
        <v>289.18244320000002</v>
      </c>
      <c r="BC520" s="6">
        <f>[1]Macro!BB106</f>
        <v>293.36051500000002</v>
      </c>
      <c r="BD520" s="6">
        <f>[1]Macro!BC106</f>
        <v>297.60425559999999</v>
      </c>
      <c r="BE520" s="6">
        <f>[1]Macro!BD106</f>
        <v>301.9153384</v>
      </c>
      <c r="BF520" s="6">
        <f>[1]Macro!BE106</f>
        <v>306.29544920000001</v>
      </c>
    </row>
    <row r="521" spans="2:58" x14ac:dyDescent="0.35">
      <c r="B521" s="6" t="str">
        <f>[1]Macro!A107</f>
        <v>ci_toe_0</v>
      </c>
      <c r="C521" s="6">
        <f>[1]Macro!B107</f>
        <v>193.1972403</v>
      </c>
      <c r="D521" s="6">
        <f>[1]Macro!C107</f>
        <v>195.11029049999999</v>
      </c>
      <c r="E521" s="6">
        <f>[1]Macro!D107</f>
        <v>197.00817409999999</v>
      </c>
      <c r="F521" s="6">
        <f>[1]Macro!E107</f>
        <v>199.0664314</v>
      </c>
      <c r="G521" s="6">
        <f>[1]Macro!F107</f>
        <v>201.33639009999999</v>
      </c>
      <c r="H521" s="6">
        <f>[1]Macro!G107</f>
        <v>203.807188</v>
      </c>
      <c r="I521" s="6">
        <f>[1]Macro!H107</f>
        <v>206.33165</v>
      </c>
      <c r="J521" s="6">
        <f>[1]Macro!I107</f>
        <v>208.9336629</v>
      </c>
      <c r="K521" s="6">
        <f>[1]Macro!J107</f>
        <v>211.60125210000001</v>
      </c>
      <c r="L521" s="6">
        <f>[1]Macro!K107</f>
        <v>214.31579629999999</v>
      </c>
      <c r="M521" s="6">
        <f>[1]Macro!L107</f>
        <v>217.25886969999999</v>
      </c>
      <c r="N521" s="6">
        <f>[1]Macro!M107</f>
        <v>220.11127669999999</v>
      </c>
      <c r="O521" s="6">
        <f>[1]Macro!N107</f>
        <v>222.93419470000001</v>
      </c>
      <c r="P521" s="6">
        <f>[1]Macro!O107</f>
        <v>225.74345400000001</v>
      </c>
      <c r="Q521" s="6">
        <f>[1]Macro!P107</f>
        <v>228.5430278</v>
      </c>
      <c r="R521" s="6">
        <f>[1]Macro!Q107</f>
        <v>231.33535939999999</v>
      </c>
      <c r="S521" s="6">
        <f>[1]Macro!R107</f>
        <v>234.1240009</v>
      </c>
      <c r="T521" s="6">
        <f>[1]Macro!S107</f>
        <v>236.9139175</v>
      </c>
      <c r="U521" s="6">
        <f>[1]Macro!T107</f>
        <v>239.71113</v>
      </c>
      <c r="V521" s="6">
        <f>[1]Macro!U107</f>
        <v>242.52221919999999</v>
      </c>
      <c r="W521" s="6">
        <f>[1]Macro!V107</f>
        <v>245.21013360000001</v>
      </c>
      <c r="X521" s="6">
        <f>[1]Macro!W107</f>
        <v>248.00419070000001</v>
      </c>
      <c r="Y521" s="6">
        <f>[1]Macro!X107</f>
        <v>250.8587307</v>
      </c>
      <c r="Z521" s="6">
        <f>[1]Macro!Y107</f>
        <v>253.76392870000001</v>
      </c>
      <c r="AA521" s="6">
        <f>[1]Macro!Z107</f>
        <v>256.71981520000003</v>
      </c>
      <c r="AB521" s="6">
        <f>[1]Macro!AA107</f>
        <v>259.31871319999999</v>
      </c>
      <c r="AC521" s="6">
        <f>[1]Macro!AB107</f>
        <v>262.00403469999998</v>
      </c>
      <c r="AD521" s="6">
        <f>[1]Macro!AC107</f>
        <v>264.73365000000001</v>
      </c>
      <c r="AE521" s="6">
        <f>[1]Macro!AD107</f>
        <v>267.50106890000001</v>
      </c>
      <c r="AF521" s="6">
        <f>[1]Macro!AE107</f>
        <v>270.3095806</v>
      </c>
      <c r="AG521" s="6">
        <f>[1]Macro!AF107</f>
        <v>273.16404720000003</v>
      </c>
      <c r="AH521" s="6">
        <f>[1]Macro!AG107</f>
        <v>276.06844289999998</v>
      </c>
      <c r="AI521" s="6">
        <f>[1]Macro!AH107</f>
        <v>279.0252031</v>
      </c>
      <c r="AJ521" s="6">
        <f>[1]Macro!AI107</f>
        <v>282.03521519999998</v>
      </c>
      <c r="AK521" s="6">
        <f>[1]Macro!AJ107</f>
        <v>285.09806120000002</v>
      </c>
      <c r="AL521" s="6">
        <f>[1]Macro!AK107</f>
        <v>288.21234720000001</v>
      </c>
      <c r="AM521" s="6">
        <f>[1]Macro!AL107</f>
        <v>291.2793661</v>
      </c>
      <c r="AN521" s="6">
        <f>[1]Macro!AM107</f>
        <v>294.34947060000002</v>
      </c>
      <c r="AO521" s="6">
        <f>[1]Macro!AN107</f>
        <v>297.43792980000001</v>
      </c>
      <c r="AP521" s="6">
        <f>[1]Macro!AO107</f>
        <v>300.55024170000002</v>
      </c>
      <c r="AQ521" s="6">
        <f>[1]Macro!AP107</f>
        <v>303.6893172</v>
      </c>
      <c r="AR521" s="6">
        <f>[1]Macro!AQ107</f>
        <v>306.85734530000002</v>
      </c>
      <c r="AS521" s="6">
        <f>[1]Macro!AR107</f>
        <v>310.05617869999998</v>
      </c>
      <c r="AT521" s="6">
        <f>[1]Macro!AS107</f>
        <v>313.28734509999998</v>
      </c>
      <c r="AU521" s="6">
        <f>[1]Macro!AT107</f>
        <v>316.55200880000001</v>
      </c>
      <c r="AV521" s="6">
        <f>[1]Macro!AU107</f>
        <v>319.85096879999998</v>
      </c>
      <c r="AW521" s="6">
        <f>[1]Macro!AV107</f>
        <v>323.19327879999997</v>
      </c>
      <c r="AX521" s="6">
        <f>[1]Macro!AW107</f>
        <v>326.5744535</v>
      </c>
      <c r="AY521" s="6">
        <f>[1]Macro!AX107</f>
        <v>329.99301009999999</v>
      </c>
      <c r="AZ521" s="6">
        <f>[1]Macro!AY107</f>
        <v>333.44826870000003</v>
      </c>
      <c r="BA521" s="6">
        <f>[1]Macro!AZ107</f>
        <v>336.93979739999997</v>
      </c>
      <c r="BB521" s="6">
        <f>[1]Macro!BA107</f>
        <v>395.34974249999999</v>
      </c>
      <c r="BC521" s="6">
        <f>[1]Macro!BB107</f>
        <v>401.4616911</v>
      </c>
      <c r="BD521" s="6">
        <f>[1]Macro!BC107</f>
        <v>407.67003840000001</v>
      </c>
      <c r="BE521" s="6">
        <f>[1]Macro!BD107</f>
        <v>413.97701210000002</v>
      </c>
      <c r="BF521" s="6">
        <f>[1]Macro!BE107</f>
        <v>420.38488769999998</v>
      </c>
    </row>
    <row r="522" spans="2:58" x14ac:dyDescent="0.35">
      <c r="B522" s="6" t="str">
        <f>[1]Macro!A108</f>
        <v>ch_toe_0</v>
      </c>
      <c r="C522" s="6">
        <f>[1]Macro!B108</f>
        <v>64.301440170000006</v>
      </c>
      <c r="D522" s="6">
        <f>[1]Macro!C108</f>
        <v>64.244024929999995</v>
      </c>
      <c r="E522" s="6">
        <f>[1]Macro!D108</f>
        <v>63.982248079999998</v>
      </c>
      <c r="F522" s="6">
        <f>[1]Macro!E108</f>
        <v>63.72514254</v>
      </c>
      <c r="G522" s="6">
        <f>[1]Macro!F108</f>
        <v>63.53697923</v>
      </c>
      <c r="H522" s="6">
        <f>[1]Macro!G108</f>
        <v>63.426275009999998</v>
      </c>
      <c r="I522" s="6">
        <f>[1]Macro!H108</f>
        <v>63.365622969999997</v>
      </c>
      <c r="J522" s="6">
        <f>[1]Macro!I108</f>
        <v>63.350087309999999</v>
      </c>
      <c r="K522" s="6">
        <f>[1]Macro!J108</f>
        <v>63.371333589999999</v>
      </c>
      <c r="L522" s="6">
        <f>[1]Macro!K108</f>
        <v>63.421355740000003</v>
      </c>
      <c r="M522" s="6">
        <f>[1]Macro!L108</f>
        <v>63.522829950000002</v>
      </c>
      <c r="N522" s="6">
        <f>[1]Macro!M108</f>
        <v>63.626901910000001</v>
      </c>
      <c r="O522" s="6">
        <f>[1]Macro!N108</f>
        <v>63.737479450000002</v>
      </c>
      <c r="P522" s="6">
        <f>[1]Macro!O108</f>
        <v>63.855223940000002</v>
      </c>
      <c r="Q522" s="6">
        <f>[1]Macro!P108</f>
        <v>63.979252729999999</v>
      </c>
      <c r="R522" s="6">
        <f>[1]Macro!Q108</f>
        <v>64.108204509999993</v>
      </c>
      <c r="S522" s="6">
        <f>[1]Macro!R108</f>
        <v>64.240684529999996</v>
      </c>
      <c r="T522" s="6">
        <f>[1]Macro!S108</f>
        <v>64.375384780000005</v>
      </c>
      <c r="U522" s="6">
        <f>[1]Macro!T108</f>
        <v>64.511268920000006</v>
      </c>
      <c r="V522" s="6">
        <f>[1]Macro!U108</f>
        <v>64.647573420000001</v>
      </c>
      <c r="W522" s="6">
        <f>[1]Macro!V108</f>
        <v>64.764230429999998</v>
      </c>
      <c r="X522" s="6">
        <f>[1]Macro!W108</f>
        <v>64.890013049999993</v>
      </c>
      <c r="Y522" s="6">
        <f>[1]Macro!X108</f>
        <v>65.019803429999996</v>
      </c>
      <c r="Z522" s="6">
        <f>[1]Macro!Y108</f>
        <v>65.151152490000001</v>
      </c>
      <c r="AA522" s="6">
        <f>[1]Macro!Z108</f>
        <v>65.283161359999994</v>
      </c>
      <c r="AB522" s="6">
        <f>[1]Macro!AA108</f>
        <v>65.361966609999996</v>
      </c>
      <c r="AC522" s="6">
        <f>[1]Macro!AB108</f>
        <v>65.442220669999998</v>
      </c>
      <c r="AD522" s="6">
        <f>[1]Macro!AC108</f>
        <v>65.522678790000001</v>
      </c>
      <c r="AE522" s="6">
        <f>[1]Macro!AD108</f>
        <v>65.60263861</v>
      </c>
      <c r="AF522" s="6">
        <f>[1]Macro!AE108</f>
        <v>65.682140590000003</v>
      </c>
      <c r="AG522" s="6">
        <f>[1]Macro!AF108</f>
        <v>65.761544090000001</v>
      </c>
      <c r="AH522" s="6">
        <f>[1]Macro!AG108</f>
        <v>65.841314069999996</v>
      </c>
      <c r="AI522" s="6">
        <f>[1]Macro!AH108</f>
        <v>65.921969439999998</v>
      </c>
      <c r="AJ522" s="6">
        <f>[1]Macro!AI108</f>
        <v>66.004030689999993</v>
      </c>
      <c r="AK522" s="6">
        <f>[1]Macro!AJ108</f>
        <v>66.087991020000004</v>
      </c>
      <c r="AL522" s="6">
        <f>[1]Macro!AK108</f>
        <v>66.17429842</v>
      </c>
      <c r="AM522" s="6">
        <f>[1]Macro!AL108</f>
        <v>66.251785139999996</v>
      </c>
      <c r="AN522" s="6">
        <f>[1]Macro!AM108</f>
        <v>66.326376199999999</v>
      </c>
      <c r="AO522" s="6">
        <f>[1]Macro!AN108</f>
        <v>66.400971200000001</v>
      </c>
      <c r="AP522" s="6">
        <f>[1]Macro!AO108</f>
        <v>66.476971899999995</v>
      </c>
      <c r="AQ522" s="6">
        <f>[1]Macro!AP108</f>
        <v>66.555108160000003</v>
      </c>
      <c r="AR522" s="6">
        <f>[1]Macro!AQ108</f>
        <v>66.63580288</v>
      </c>
      <c r="AS522" s="6">
        <f>[1]Macro!AR108</f>
        <v>66.719333079999998</v>
      </c>
      <c r="AT522" s="6">
        <f>[1]Macro!AS108</f>
        <v>66.805902720000006</v>
      </c>
      <c r="AU522" s="6">
        <f>[1]Macro!AT108</f>
        <v>66.895677340000006</v>
      </c>
      <c r="AV522" s="6">
        <f>[1]Macro!AU108</f>
        <v>66.988801039999998</v>
      </c>
      <c r="AW522" s="6">
        <f>[1]Macro!AV108</f>
        <v>67.086344080000003</v>
      </c>
      <c r="AX522" s="6">
        <f>[1]Macro!AW108</f>
        <v>67.187976689999999</v>
      </c>
      <c r="AY522" s="6">
        <f>[1]Macro!AX108</f>
        <v>67.293597660000003</v>
      </c>
      <c r="AZ522" s="6">
        <f>[1]Macro!AY108</f>
        <v>67.403212069999995</v>
      </c>
      <c r="BA522" s="6">
        <f>[1]Macro!AZ108</f>
        <v>67.516865170000003</v>
      </c>
      <c r="BB522" s="6">
        <f>[1]Macro!BA108</f>
        <v>66.181774820000001</v>
      </c>
      <c r="BC522" s="6">
        <f>[1]Macro!BB108</f>
        <v>66.315964530000002</v>
      </c>
      <c r="BD522" s="6">
        <f>[1]Macro!BC108</f>
        <v>66.452371409999998</v>
      </c>
      <c r="BE522" s="6">
        <f>[1]Macro!BD108</f>
        <v>66.591310300000004</v>
      </c>
      <c r="BF522" s="6">
        <f>[1]Macro!BE108</f>
        <v>66.732995119999998</v>
      </c>
    </row>
    <row r="523" spans="2:58" x14ac:dyDescent="0.35">
      <c r="B523" s="6" t="str">
        <f>[1]Macro!A109</f>
        <v>x_toe_0</v>
      </c>
      <c r="C523" s="6">
        <f>[1]Macro!B109</f>
        <v>33.497245829999997</v>
      </c>
      <c r="D523" s="6">
        <f>[1]Macro!C109</f>
        <v>34.016573080000001</v>
      </c>
      <c r="E523" s="6">
        <f>[1]Macro!D109</f>
        <v>34.580669499999999</v>
      </c>
      <c r="F523" s="6">
        <f>[1]Macro!E109</f>
        <v>35.154751709999999</v>
      </c>
      <c r="G523" s="6">
        <f>[1]Macro!F109</f>
        <v>35.737392880000002</v>
      </c>
      <c r="H523" s="6">
        <f>[1]Macro!G109</f>
        <v>36.327231079999997</v>
      </c>
      <c r="I523" s="6">
        <f>[1]Macro!H109</f>
        <v>36.888016350000001</v>
      </c>
      <c r="J523" s="6">
        <f>[1]Macro!I109</f>
        <v>37.453363830000001</v>
      </c>
      <c r="K523" s="6">
        <f>[1]Macro!J109</f>
        <v>38.023123210000001</v>
      </c>
      <c r="L523" s="6">
        <f>[1]Macro!K109</f>
        <v>38.597425889999997</v>
      </c>
      <c r="M523" s="6">
        <f>[1]Macro!L109</f>
        <v>39.237914789999998</v>
      </c>
      <c r="N523" s="6">
        <f>[1]Macro!M109</f>
        <v>39.823089490000001</v>
      </c>
      <c r="O523" s="6">
        <f>[1]Macro!N109</f>
        <v>40.413968169999997</v>
      </c>
      <c r="P523" s="6">
        <f>[1]Macro!O109</f>
        <v>41.011189219999999</v>
      </c>
      <c r="Q523" s="6">
        <f>[1]Macro!P109</f>
        <v>41.615398509999999</v>
      </c>
      <c r="R523" s="6">
        <f>[1]Macro!Q109</f>
        <v>42.227241589999998</v>
      </c>
      <c r="S523" s="6">
        <f>[1]Macro!R109</f>
        <v>42.84734855</v>
      </c>
      <c r="T523" s="6">
        <f>[1]Macro!S109</f>
        <v>43.47631767</v>
      </c>
      <c r="U523" s="6">
        <f>[1]Macro!T109</f>
        <v>44.114701480000001</v>
      </c>
      <c r="V523" s="6">
        <f>[1]Macro!U109</f>
        <v>44.76299719</v>
      </c>
      <c r="W523" s="6">
        <f>[1]Macro!V109</f>
        <v>45.376250579999997</v>
      </c>
      <c r="X523" s="6">
        <f>[1]Macro!W109</f>
        <v>46.045148490000003</v>
      </c>
      <c r="Y523" s="6">
        <f>[1]Macro!X109</f>
        <v>46.725222580000001</v>
      </c>
      <c r="Z523" s="6">
        <f>[1]Macro!Y109</f>
        <v>47.416705960000002</v>
      </c>
      <c r="AA523" s="6">
        <f>[1]Macro!Z109</f>
        <v>48.119787809999998</v>
      </c>
      <c r="AB523" s="6">
        <f>[1]Macro!AA109</f>
        <v>48.703523699999998</v>
      </c>
      <c r="AC523" s="6">
        <f>[1]Macro!AB109</f>
        <v>49.366535089999999</v>
      </c>
      <c r="AD523" s="6">
        <f>[1]Macro!AC109</f>
        <v>50.040334139999999</v>
      </c>
      <c r="AE523" s="6">
        <f>[1]Macro!AD109</f>
        <v>50.725053559999999</v>
      </c>
      <c r="AF523" s="6">
        <f>[1]Macro!AE109</f>
        <v>51.42079476</v>
      </c>
      <c r="AG523" s="6">
        <f>[1]Macro!AF109</f>
        <v>52.127614530000002</v>
      </c>
      <c r="AH523" s="6">
        <f>[1]Macro!AG109</f>
        <v>52.845522649999999</v>
      </c>
      <c r="AI523" s="6">
        <f>[1]Macro!AH109</f>
        <v>53.574489020000001</v>
      </c>
      <c r="AJ523" s="6">
        <f>[1]Macro!AI109</f>
        <v>54.314456800000002</v>
      </c>
      <c r="AK523" s="6">
        <f>[1]Macro!AJ109</f>
        <v>55.065357470000002</v>
      </c>
      <c r="AL523" s="6">
        <f>[1]Macro!AK109</f>
        <v>55.827124980000001</v>
      </c>
      <c r="AM523" s="6">
        <f>[1]Macro!AL109</f>
        <v>56.567956510000002</v>
      </c>
      <c r="AN523" s="6">
        <f>[1]Macro!AM109</f>
        <v>57.318844720000001</v>
      </c>
      <c r="AO523" s="6">
        <f>[1]Macro!AN109</f>
        <v>58.079862769999998</v>
      </c>
      <c r="AP523" s="6">
        <f>[1]Macro!AO109</f>
        <v>58.851093300000002</v>
      </c>
      <c r="AQ523" s="6">
        <f>[1]Macro!AP109</f>
        <v>59.632631439999997</v>
      </c>
      <c r="AR523" s="6">
        <f>[1]Macro!AQ109</f>
        <v>60.424579629999997</v>
      </c>
      <c r="AS523" s="6">
        <f>[1]Macro!AR109</f>
        <v>61.227040860000002</v>
      </c>
      <c r="AT523" s="6">
        <f>[1]Macro!AS109</f>
        <v>62.040113830000003</v>
      </c>
      <c r="AU523" s="6">
        <f>[1]Macro!AT109</f>
        <v>62.863891209999998</v>
      </c>
      <c r="AV523" s="6">
        <f>[1]Macro!AU109</f>
        <v>63.698460560000001</v>
      </c>
      <c r="AW523" s="6">
        <f>[1]Macro!AV109</f>
        <v>64.546780609999999</v>
      </c>
      <c r="AX523" s="6">
        <f>[1]Macro!AW109</f>
        <v>65.406127799999993</v>
      </c>
      <c r="AY523" s="6">
        <f>[1]Macro!AX109</f>
        <v>66.276584580000005</v>
      </c>
      <c r="AZ523" s="6">
        <f>[1]Macro!AY109</f>
        <v>67.158240719999995</v>
      </c>
      <c r="BA523" s="6">
        <f>[1]Macro!AZ109</f>
        <v>68.051194339999995</v>
      </c>
      <c r="BB523" s="6">
        <f>[1]Macro!BA109</f>
        <v>76.411615780000005</v>
      </c>
      <c r="BC523" s="6">
        <f>[1]Macro!BB109</f>
        <v>77.746046530000001</v>
      </c>
      <c r="BD523" s="6">
        <f>[1]Macro!BC109</f>
        <v>79.104607090000002</v>
      </c>
      <c r="BE523" s="6">
        <f>[1]Macro!BD109</f>
        <v>80.487702900000002</v>
      </c>
      <c r="BF523" s="6">
        <f>[1]Macro!BE109</f>
        <v>81.895742740000003</v>
      </c>
    </row>
    <row r="525" spans="2:58" x14ac:dyDescent="0.35">
      <c r="C525" s="2">
        <v>42005</v>
      </c>
      <c r="D525" s="2">
        <v>42370</v>
      </c>
      <c r="E525" s="2">
        <v>42736</v>
      </c>
      <c r="F525" s="2">
        <v>43101</v>
      </c>
      <c r="G525" s="2">
        <v>43466</v>
      </c>
      <c r="H525" s="2">
        <v>43831</v>
      </c>
      <c r="I525" s="2">
        <v>44197</v>
      </c>
      <c r="J525" s="2">
        <v>44562</v>
      </c>
      <c r="K525" s="2">
        <v>44927</v>
      </c>
      <c r="L525" s="2">
        <v>45292</v>
      </c>
      <c r="M525" s="2">
        <v>45658</v>
      </c>
      <c r="N525" s="2">
        <v>46023</v>
      </c>
      <c r="O525" s="2">
        <v>46388</v>
      </c>
      <c r="P525" s="2">
        <v>46753</v>
      </c>
      <c r="Q525" s="2">
        <v>47119</v>
      </c>
      <c r="R525" s="2">
        <v>47484</v>
      </c>
      <c r="S525" s="2">
        <v>47849</v>
      </c>
      <c r="T525" s="2">
        <v>48214</v>
      </c>
      <c r="U525" s="2">
        <v>48580</v>
      </c>
      <c r="V525" s="2">
        <v>48945</v>
      </c>
      <c r="W525" s="2">
        <v>49310</v>
      </c>
      <c r="X525" s="2">
        <v>49675</v>
      </c>
      <c r="Y525" s="2">
        <v>50041</v>
      </c>
      <c r="Z525" s="2">
        <v>50406</v>
      </c>
      <c r="AA525" s="2">
        <v>50771</v>
      </c>
      <c r="AB525" s="2">
        <v>51136</v>
      </c>
      <c r="AC525" s="2">
        <v>51502</v>
      </c>
      <c r="AD525" s="2">
        <v>51867</v>
      </c>
      <c r="AE525" s="2">
        <v>52232</v>
      </c>
      <c r="AF525" s="2">
        <v>52597</v>
      </c>
      <c r="AG525" s="2">
        <v>52963</v>
      </c>
      <c r="AH525" s="2">
        <v>53328</v>
      </c>
      <c r="AI525" s="2">
        <v>53693</v>
      </c>
      <c r="AJ525" s="2">
        <v>54058</v>
      </c>
      <c r="AK525" s="2">
        <v>54424</v>
      </c>
      <c r="AL525" s="2">
        <v>54789</v>
      </c>
      <c r="AM525" s="2">
        <v>54790</v>
      </c>
      <c r="AN525" s="2">
        <v>54791</v>
      </c>
      <c r="AO525" s="2">
        <v>54792</v>
      </c>
      <c r="AP525" s="2">
        <v>54793</v>
      </c>
      <c r="AQ525" s="2">
        <v>54794</v>
      </c>
      <c r="AR525" s="2">
        <v>54795</v>
      </c>
      <c r="AS525" s="2">
        <v>54796</v>
      </c>
      <c r="AT525" s="2">
        <v>54797</v>
      </c>
      <c r="AU525" s="2">
        <v>54798</v>
      </c>
      <c r="AV525" s="2">
        <v>54799</v>
      </c>
      <c r="AW525" s="2">
        <v>54800</v>
      </c>
      <c r="AX525" s="2">
        <v>54801</v>
      </c>
      <c r="AY525" s="2">
        <v>54802</v>
      </c>
      <c r="AZ525" s="2">
        <v>54803</v>
      </c>
      <c r="BA525" s="2">
        <v>54804</v>
      </c>
      <c r="BB525" s="2">
        <v>54805</v>
      </c>
      <c r="BC525" s="2">
        <v>54806</v>
      </c>
      <c r="BD525" s="2">
        <v>54807</v>
      </c>
      <c r="BE525" s="2">
        <v>54808</v>
      </c>
      <c r="BF525" s="2">
        <v>54809</v>
      </c>
    </row>
    <row r="526" spans="2:58" x14ac:dyDescent="0.35">
      <c r="B526" t="s">
        <v>105</v>
      </c>
      <c r="C526" s="9">
        <f>C513/C519-1</f>
        <v>-2.2990865472807598E-2</v>
      </c>
      <c r="D526" s="9">
        <f t="shared" ref="D526:AL526" si="330">D513/D519-1</f>
        <v>-2.8482246565326275E-2</v>
      </c>
      <c r="E526" s="9">
        <f t="shared" si="330"/>
        <v>-3.2572505011270847E-2</v>
      </c>
      <c r="F526" s="9">
        <f t="shared" si="330"/>
        <v>-3.5920515573286904E-2</v>
      </c>
      <c r="G526" s="9">
        <f t="shared" si="330"/>
        <v>-3.8571238480776926E-2</v>
      </c>
      <c r="H526" s="9">
        <f t="shared" si="330"/>
        <v>-4.057949103071834E-2</v>
      </c>
      <c r="I526" s="9">
        <f t="shared" si="330"/>
        <v>-4.2084397293747688E-2</v>
      </c>
      <c r="J526" s="9">
        <f t="shared" si="330"/>
        <v>-4.3230677050163258E-2</v>
      </c>
      <c r="K526" s="9">
        <f t="shared" si="330"/>
        <v>-4.4160137488303275E-2</v>
      </c>
      <c r="L526" s="9">
        <f t="shared" si="330"/>
        <v>-4.4988012653262022E-2</v>
      </c>
      <c r="M526" s="9">
        <f t="shared" si="330"/>
        <v>-4.5813240069904282E-2</v>
      </c>
      <c r="N526" s="9">
        <f t="shared" si="330"/>
        <v>-4.6758344495436921E-2</v>
      </c>
      <c r="O526" s="9">
        <f t="shared" si="330"/>
        <v>-4.7818804892180045E-2</v>
      </c>
      <c r="P526" s="9">
        <f t="shared" si="330"/>
        <v>-4.9008400967988419E-2</v>
      </c>
      <c r="Q526" s="9">
        <f t="shared" si="330"/>
        <v>-5.0333460153419773E-2</v>
      </c>
      <c r="R526" s="9">
        <f t="shared" si="330"/>
        <v>-5.1792624588150593E-2</v>
      </c>
      <c r="S526" s="9">
        <f t="shared" si="330"/>
        <v>-5.3453297976538305E-2</v>
      </c>
      <c r="T526" s="9">
        <f t="shared" si="330"/>
        <v>-5.5247766227316419E-2</v>
      </c>
      <c r="U526" s="9">
        <f t="shared" si="330"/>
        <v>-5.7151320941494443E-2</v>
      </c>
      <c r="V526" s="9">
        <f t="shared" si="330"/>
        <v>-5.9141524132106715E-2</v>
      </c>
      <c r="W526" s="9">
        <f t="shared" si="330"/>
        <v>-6.1188574313164157E-2</v>
      </c>
      <c r="X526" s="9">
        <f t="shared" si="330"/>
        <v>-6.3291613475557895E-2</v>
      </c>
      <c r="Y526" s="9">
        <f t="shared" si="330"/>
        <v>-6.5418670988693028E-2</v>
      </c>
      <c r="Z526" s="9">
        <f t="shared" si="330"/>
        <v>-6.7555196776962756E-2</v>
      </c>
      <c r="AA526" s="9">
        <f t="shared" si="330"/>
        <v>-6.9688251624156594E-2</v>
      </c>
      <c r="AB526" s="9">
        <f t="shared" si="330"/>
        <v>-7.1778344118894721E-2</v>
      </c>
      <c r="AC526" s="9">
        <f t="shared" si="330"/>
        <v>-7.3841052494900583E-2</v>
      </c>
      <c r="AD526" s="9">
        <f t="shared" si="330"/>
        <v>-7.5862362796425886E-2</v>
      </c>
      <c r="AE526" s="9">
        <f t="shared" si="330"/>
        <v>-7.7840380427289912E-2</v>
      </c>
      <c r="AF526" s="9">
        <f t="shared" si="330"/>
        <v>-7.9774064425858104E-2</v>
      </c>
      <c r="AG526" s="9">
        <f t="shared" si="330"/>
        <v>-8.1663286966177306E-2</v>
      </c>
      <c r="AH526" s="9">
        <f t="shared" si="330"/>
        <v>-8.349532036943641E-2</v>
      </c>
      <c r="AI526" s="9">
        <f t="shared" si="330"/>
        <v>-8.528012958692488E-2</v>
      </c>
      <c r="AJ526" s="9">
        <f t="shared" si="330"/>
        <v>-8.7020804671660068E-2</v>
      </c>
      <c r="AK526" s="9">
        <f t="shared" si="330"/>
        <v>-8.8720247592405044E-2</v>
      </c>
      <c r="AL526" s="9">
        <f t="shared" si="330"/>
        <v>-9.0381278672352905E-2</v>
      </c>
      <c r="AM526" s="9">
        <f t="shared" ref="AM526:BC526" si="331">AM513/AM519-1</f>
        <v>-9.189308734978674E-2</v>
      </c>
      <c r="AN526" s="9">
        <f t="shared" si="331"/>
        <v>-9.3340054331542355E-2</v>
      </c>
      <c r="AO526" s="9">
        <f t="shared" si="331"/>
        <v>-9.4735719123118511E-2</v>
      </c>
      <c r="AP526" s="9">
        <f t="shared" si="331"/>
        <v>-9.6090245810517616E-2</v>
      </c>
      <c r="AQ526" s="9">
        <f t="shared" si="331"/>
        <v>-9.7411667243127109E-2</v>
      </c>
      <c r="AR526" s="9">
        <f t="shared" si="331"/>
        <v>-9.8690974079237215E-2</v>
      </c>
      <c r="AS526" s="9">
        <f t="shared" si="331"/>
        <v>-9.9943714358317504E-2</v>
      </c>
      <c r="AT526" s="9">
        <f t="shared" si="331"/>
        <v>-0.10117611060710552</v>
      </c>
      <c r="AU526" s="9">
        <f t="shared" si="331"/>
        <v>-0.10239314852081149</v>
      </c>
      <c r="AV526" s="9">
        <f t="shared" si="331"/>
        <v>-0.10359884208036152</v>
      </c>
      <c r="AW526" s="9">
        <f t="shared" si="331"/>
        <v>-0.10474858674833309</v>
      </c>
      <c r="AX526" s="9">
        <f t="shared" si="331"/>
        <v>-0.10587485095515337</v>
      </c>
      <c r="AY526" s="9">
        <f t="shared" si="331"/>
        <v>-0.11122310458547946</v>
      </c>
      <c r="AZ526" s="9">
        <f t="shared" si="331"/>
        <v>-0.11229652984183924</v>
      </c>
      <c r="BA526" s="9">
        <f t="shared" si="331"/>
        <v>-0.11947620875517273</v>
      </c>
      <c r="BB526" s="9">
        <f t="shared" si="331"/>
        <v>-1.0046073199928007E-2</v>
      </c>
      <c r="BC526" s="9">
        <f t="shared" si="331"/>
        <v>-1.0196735806486612E-2</v>
      </c>
      <c r="BD526" s="9">
        <f t="shared" ref="BD526:BF526" si="332">BD513/BD519-1</f>
        <v>-1.0338859832064951E-2</v>
      </c>
      <c r="BE526" s="9">
        <f t="shared" si="332"/>
        <v>-1.0474195050070967E-2</v>
      </c>
      <c r="BF526" s="9">
        <f t="shared" si="332"/>
        <v>-1.0603780591710965E-2</v>
      </c>
    </row>
    <row r="527" spans="2:58" x14ac:dyDescent="0.35">
      <c r="B527" t="s">
        <v>103</v>
      </c>
      <c r="C527" s="9">
        <f>(C516-C522)/C519</f>
        <v>0</v>
      </c>
      <c r="D527" s="9">
        <f t="shared" ref="D527:AL527" si="333">(D516-D522)/D519</f>
        <v>-1.1882336293315991E-4</v>
      </c>
      <c r="E527" s="9">
        <f t="shared" si="333"/>
        <v>-1.1385790977209481E-3</v>
      </c>
      <c r="F527" s="9">
        <f t="shared" si="333"/>
        <v>-2.5685141771614336E-3</v>
      </c>
      <c r="G527" s="9">
        <f t="shared" si="333"/>
        <v>-4.0955334528810202E-3</v>
      </c>
      <c r="H527" s="9">
        <f t="shared" si="333"/>
        <v>-5.5293398010267678E-3</v>
      </c>
      <c r="I527" s="9">
        <f t="shared" si="333"/>
        <v>-6.7859008652497244E-3</v>
      </c>
      <c r="J527" s="9">
        <f t="shared" si="333"/>
        <v>-7.8521900722165871E-3</v>
      </c>
      <c r="K527" s="9">
        <f t="shared" si="333"/>
        <v>-8.7473065249432033E-3</v>
      </c>
      <c r="L527" s="9">
        <f t="shared" si="333"/>
        <v>-9.4929141955389061E-3</v>
      </c>
      <c r="M527" s="9">
        <f t="shared" si="333"/>
        <v>-1.0108951628016585E-2</v>
      </c>
      <c r="N527" s="9">
        <f t="shared" si="333"/>
        <v>-1.0646191233647273E-2</v>
      </c>
      <c r="O527" s="9">
        <f t="shared" si="333"/>
        <v>-1.1107061673491139E-2</v>
      </c>
      <c r="P527" s="9">
        <f t="shared" si="333"/>
        <v>-1.1501889121277933E-2</v>
      </c>
      <c r="Q527" s="9">
        <f t="shared" si="333"/>
        <v>-1.1843459066768067E-2</v>
      </c>
      <c r="R527" s="9">
        <f t="shared" si="333"/>
        <v>-1.2144170904011849E-2</v>
      </c>
      <c r="S527" s="9">
        <f t="shared" si="333"/>
        <v>-1.2436747497558303E-2</v>
      </c>
      <c r="T527" s="9">
        <f t="shared" si="333"/>
        <v>-1.2717234081592615E-2</v>
      </c>
      <c r="U527" s="9">
        <f t="shared" si="333"/>
        <v>-1.2987526007491363E-2</v>
      </c>
      <c r="V527" s="9">
        <f t="shared" si="333"/>
        <v>-1.3251281618948074E-2</v>
      </c>
      <c r="W527" s="9">
        <f t="shared" si="333"/>
        <v>-1.351542144590063E-2</v>
      </c>
      <c r="X527" s="9">
        <f t="shared" si="333"/>
        <v>-1.3775378204839621E-2</v>
      </c>
      <c r="Y527" s="9">
        <f t="shared" si="333"/>
        <v>-1.4035083461272222E-2</v>
      </c>
      <c r="Z527" s="9">
        <f t="shared" si="333"/>
        <v>-1.4295758370777E-2</v>
      </c>
      <c r="AA527" s="9">
        <f t="shared" si="333"/>
        <v>-1.4557413338443867E-2</v>
      </c>
      <c r="AB527" s="9">
        <f t="shared" si="333"/>
        <v>-1.4829069924468819E-2</v>
      </c>
      <c r="AC527" s="9">
        <f t="shared" si="333"/>
        <v>-1.508772663905791E-2</v>
      </c>
      <c r="AD527" s="9">
        <f t="shared" si="333"/>
        <v>-1.5341314409904439E-2</v>
      </c>
      <c r="AE527" s="9">
        <f t="shared" si="333"/>
        <v>-1.5591978026069531E-2</v>
      </c>
      <c r="AF527" s="9">
        <f t="shared" si="333"/>
        <v>-1.5839794445928108E-2</v>
      </c>
      <c r="AG527" s="9">
        <f t="shared" si="333"/>
        <v>-1.6084229484638019E-2</v>
      </c>
      <c r="AH527" s="9">
        <f t="shared" si="333"/>
        <v>-1.632000323131455E-2</v>
      </c>
      <c r="AI527" s="9">
        <f t="shared" si="333"/>
        <v>-1.6548899750361751E-2</v>
      </c>
      <c r="AJ527" s="9">
        <f t="shared" si="333"/>
        <v>-1.6771375590939955E-2</v>
      </c>
      <c r="AK527" s="9">
        <f t="shared" si="333"/>
        <v>-1.6987333192783949E-2</v>
      </c>
      <c r="AL527" s="9">
        <f t="shared" si="333"/>
        <v>-1.7196502111619875E-2</v>
      </c>
      <c r="AM527" s="9">
        <f t="shared" ref="AM527:BC527" si="334">(AM516-AM522)/AM519</f>
        <v>-1.7364792181525358E-2</v>
      </c>
      <c r="AN527" s="9">
        <f t="shared" si="334"/>
        <v>-1.7512663689485151E-2</v>
      </c>
      <c r="AO527" s="9">
        <f t="shared" si="334"/>
        <v>-1.7649278523119278E-2</v>
      </c>
      <c r="AP527" s="9">
        <f t="shared" si="334"/>
        <v>-1.7778139667602905E-2</v>
      </c>
      <c r="AQ527" s="9">
        <f t="shared" si="334"/>
        <v>-1.7900370002449408E-2</v>
      </c>
      <c r="AR527" s="9">
        <f t="shared" si="334"/>
        <v>-1.8010804634235014E-2</v>
      </c>
      <c r="AS527" s="9">
        <f t="shared" si="334"/>
        <v>-1.8112542537899762E-2</v>
      </c>
      <c r="AT527" s="9">
        <f t="shared" si="334"/>
        <v>-1.8206681024841308E-2</v>
      </c>
      <c r="AU527" s="9">
        <f t="shared" si="334"/>
        <v>-1.8293458372777426E-2</v>
      </c>
      <c r="AV527" s="9">
        <f t="shared" si="334"/>
        <v>-1.8372820204755346E-2</v>
      </c>
      <c r="AW527" s="9">
        <f t="shared" si="334"/>
        <v>-1.8427742057055229E-2</v>
      </c>
      <c r="AX527" s="9">
        <f t="shared" si="334"/>
        <v>-1.846875522042471E-2</v>
      </c>
      <c r="AY527" s="9">
        <f t="shared" si="334"/>
        <v>-1.8946559707173717E-2</v>
      </c>
      <c r="AZ527" s="9">
        <f t="shared" si="334"/>
        <v>-1.9294735814252898E-2</v>
      </c>
      <c r="BA527" s="9">
        <f t="shared" si="334"/>
        <v>-1.9639631637878938E-2</v>
      </c>
      <c r="BB527" s="9">
        <f t="shared" si="334"/>
        <v>-7.0833349140024173E-3</v>
      </c>
      <c r="BC527" s="9">
        <f t="shared" si="334"/>
        <v>-7.116771404767519E-3</v>
      </c>
      <c r="BD527" s="9">
        <f t="shared" ref="BD527:BF527" si="335">(BD516-BD522)/BD519</f>
        <v>-7.1446776100745181E-3</v>
      </c>
      <c r="BE527" s="9">
        <f t="shared" si="335"/>
        <v>-7.1688134820638251E-3</v>
      </c>
      <c r="BF527" s="9">
        <f t="shared" si="335"/>
        <v>-7.1897740228072113E-3</v>
      </c>
    </row>
    <row r="528" spans="2:58" x14ac:dyDescent="0.35">
      <c r="B528" t="s">
        <v>104</v>
      </c>
      <c r="C528" s="9">
        <f>(C515-C521)/C519</f>
        <v>-3.1176892218702883E-2</v>
      </c>
      <c r="D528" s="9">
        <f t="shared" ref="D528:AL528" si="336">(D515-D521)/D519</f>
        <v>-4.1895759987513534E-2</v>
      </c>
      <c r="E528" s="9">
        <f t="shared" si="336"/>
        <v>-4.826698562036659E-2</v>
      </c>
      <c r="F528" s="9">
        <f t="shared" si="336"/>
        <v>-5.2966085772377561E-2</v>
      </c>
      <c r="G528" s="9">
        <f t="shared" si="336"/>
        <v>-5.6423552094287489E-2</v>
      </c>
      <c r="H528" s="9">
        <f t="shared" si="336"/>
        <v>-5.8832282608351189E-2</v>
      </c>
      <c r="I528" s="9">
        <f t="shared" si="336"/>
        <v>-6.0435341819663715E-2</v>
      </c>
      <c r="J528" s="9">
        <f t="shared" si="336"/>
        <v>-6.1462710536748455E-2</v>
      </c>
      <c r="K528" s="9">
        <f t="shared" si="336"/>
        <v>-6.213072668243478E-2</v>
      </c>
      <c r="L528" s="9">
        <f t="shared" si="336"/>
        <v>-6.2616969583696835E-2</v>
      </c>
      <c r="M528" s="9">
        <f t="shared" si="336"/>
        <v>-6.306489149242743E-2</v>
      </c>
      <c r="N528" s="9">
        <f t="shared" si="336"/>
        <v>-6.3645305501541502E-2</v>
      </c>
      <c r="O528" s="9">
        <f t="shared" si="336"/>
        <v>-6.4384368651533574E-2</v>
      </c>
      <c r="P528" s="9">
        <f t="shared" si="336"/>
        <v>-6.5316229917925087E-2</v>
      </c>
      <c r="Q528" s="9">
        <f t="shared" si="336"/>
        <v>-6.6461809357897209E-2</v>
      </c>
      <c r="R528" s="9">
        <f t="shared" si="336"/>
        <v>-6.7828363384573362E-2</v>
      </c>
      <c r="S528" s="9">
        <f t="shared" si="336"/>
        <v>-6.9479349402057244E-2</v>
      </c>
      <c r="T528" s="9">
        <f t="shared" si="336"/>
        <v>-7.1361239440250093E-2</v>
      </c>
      <c r="U528" s="9">
        <f t="shared" si="336"/>
        <v>-7.3440454094805388E-2</v>
      </c>
      <c r="V528" s="9">
        <f t="shared" si="336"/>
        <v>-7.5686076269874974E-2</v>
      </c>
      <c r="W528" s="9">
        <f t="shared" si="336"/>
        <v>-7.8060728953141714E-2</v>
      </c>
      <c r="X528" s="9">
        <f t="shared" si="336"/>
        <v>-8.0542327119402304E-2</v>
      </c>
      <c r="Y528" s="9">
        <f t="shared" si="336"/>
        <v>-8.3095403569982837E-2</v>
      </c>
      <c r="Z528" s="9">
        <f t="shared" si="336"/>
        <v>-8.5690570186887055E-2</v>
      </c>
      <c r="AA528" s="9">
        <f t="shared" si="336"/>
        <v>-8.8303277198287303E-2</v>
      </c>
      <c r="AB528" s="9">
        <f t="shared" si="336"/>
        <v>-9.0891023879530422E-2</v>
      </c>
      <c r="AC528" s="9">
        <f t="shared" si="336"/>
        <v>-9.344074813322456E-2</v>
      </c>
      <c r="AD528" s="9">
        <f t="shared" si="336"/>
        <v>-9.5939546313640364E-2</v>
      </c>
      <c r="AE528" s="9">
        <f t="shared" si="336"/>
        <v>-9.8374417829235866E-2</v>
      </c>
      <c r="AF528" s="9">
        <f t="shared" si="336"/>
        <v>-0.10073813036084119</v>
      </c>
      <c r="AG528" s="9">
        <f t="shared" si="336"/>
        <v>-0.10302675749320096</v>
      </c>
      <c r="AH528" s="9">
        <f t="shared" si="336"/>
        <v>-0.10522900994559953</v>
      </c>
      <c r="AI528" s="9">
        <f t="shared" si="336"/>
        <v>-0.10734905484940858</v>
      </c>
      <c r="AJ528" s="9">
        <f t="shared" si="336"/>
        <v>-0.10938976103158848</v>
      </c>
      <c r="AK528" s="9">
        <f t="shared" si="336"/>
        <v>-0.11135388877263015</v>
      </c>
      <c r="AL528" s="9">
        <f t="shared" si="336"/>
        <v>-0.11324455307615383</v>
      </c>
      <c r="AM528" s="9">
        <f t="shared" ref="AM528:BC528" si="337">(AM515-AM521)/AM519</f>
        <v>-0.11498744598608082</v>
      </c>
      <c r="AN528" s="9">
        <f t="shared" si="337"/>
        <v>-0.11661979930327915</v>
      </c>
      <c r="AO528" s="9">
        <f t="shared" si="337"/>
        <v>-0.11816049304357057</v>
      </c>
      <c r="AP528" s="9">
        <f t="shared" si="337"/>
        <v>-0.11962061795971048</v>
      </c>
      <c r="AQ528" s="9">
        <f t="shared" si="337"/>
        <v>-0.12101025283943889</v>
      </c>
      <c r="AR528" s="9">
        <f t="shared" si="337"/>
        <v>-0.12232969217857147</v>
      </c>
      <c r="AS528" s="9">
        <f t="shared" si="337"/>
        <v>-0.12359179400000037</v>
      </c>
      <c r="AT528" s="9">
        <f t="shared" si="337"/>
        <v>-0.12480746008784238</v>
      </c>
      <c r="AU528" s="9">
        <f t="shared" si="337"/>
        <v>-0.1259858691668678</v>
      </c>
      <c r="AV528" s="9">
        <f t="shared" si="337"/>
        <v>-0.12713495054694918</v>
      </c>
      <c r="AW528" s="9">
        <f t="shared" si="337"/>
        <v>-0.12823413364473898</v>
      </c>
      <c r="AX528" s="9">
        <f t="shared" si="337"/>
        <v>-0.12929532320672041</v>
      </c>
      <c r="AY528" s="9">
        <f t="shared" si="337"/>
        <v>-0.14123843080618526</v>
      </c>
      <c r="AZ528" s="9">
        <f t="shared" si="337"/>
        <v>-0.14899182213998496</v>
      </c>
      <c r="BA528" s="9">
        <f t="shared" si="337"/>
        <v>-0.1628112056124211</v>
      </c>
      <c r="BB528" s="9">
        <f t="shared" si="337"/>
        <v>-3.6814216923427494E-3</v>
      </c>
      <c r="BC528" s="9">
        <f t="shared" si="337"/>
        <v>-3.6885411797333667E-3</v>
      </c>
      <c r="BD528" s="9">
        <f t="shared" ref="BD528:BF528" si="338">(BD515-BD521)/BD519</f>
        <v>-3.6885639402220861E-3</v>
      </c>
      <c r="BE528" s="9">
        <f t="shared" si="338"/>
        <v>-3.6820563046828817E-3</v>
      </c>
      <c r="BF528" s="9">
        <f t="shared" si="338"/>
        <v>-3.6695656661842584E-3</v>
      </c>
    </row>
    <row r="529" spans="2:58" x14ac:dyDescent="0.35">
      <c r="B529" t="s">
        <v>20</v>
      </c>
      <c r="C529" s="9">
        <f>(C517-C514-(C523-C520))/C519</f>
        <v>8.1860266742626291E-3</v>
      </c>
      <c r="D529" s="9">
        <f t="shared" ref="D529:AL529" si="339">(D517-D514-(D523-D520))/D519</f>
        <v>1.353233642979507E-2</v>
      </c>
      <c r="E529" s="9">
        <f t="shared" si="339"/>
        <v>1.683306013011945E-2</v>
      </c>
      <c r="F529" s="9">
        <f t="shared" si="339"/>
        <v>1.9614083816182435E-2</v>
      </c>
      <c r="G529" s="9">
        <f t="shared" si="339"/>
        <v>2.1947847066391649E-2</v>
      </c>
      <c r="H529" s="9">
        <f t="shared" si="339"/>
        <v>2.3782132272747118E-2</v>
      </c>
      <c r="I529" s="9">
        <f t="shared" si="339"/>
        <v>2.5136845663719289E-2</v>
      </c>
      <c r="J529" s="9">
        <f t="shared" si="339"/>
        <v>2.6084223693782074E-2</v>
      </c>
      <c r="K529" s="9">
        <f t="shared" si="339"/>
        <v>2.6717895986423032E-2</v>
      </c>
      <c r="L529" s="9">
        <f t="shared" si="339"/>
        <v>2.7121871721635476E-2</v>
      </c>
      <c r="M529" s="9">
        <f t="shared" si="339"/>
        <v>2.7360603508886167E-2</v>
      </c>
      <c r="N529" s="9">
        <f t="shared" si="339"/>
        <v>2.7533151591543178E-2</v>
      </c>
      <c r="O529" s="9">
        <f t="shared" si="339"/>
        <v>2.767262581794154E-2</v>
      </c>
      <c r="P529" s="9">
        <f t="shared" si="339"/>
        <v>2.7809717816974753E-2</v>
      </c>
      <c r="Q529" s="9">
        <f t="shared" si="339"/>
        <v>2.7971808271245499E-2</v>
      </c>
      <c r="R529" s="9">
        <f t="shared" si="339"/>
        <v>2.8179909700434637E-2</v>
      </c>
      <c r="S529" s="9">
        <f t="shared" si="339"/>
        <v>2.8462799046612721E-2</v>
      </c>
      <c r="T529" s="9">
        <f t="shared" si="339"/>
        <v>2.8830706866187095E-2</v>
      </c>
      <c r="U529" s="9">
        <f t="shared" si="339"/>
        <v>2.9276659767034436E-2</v>
      </c>
      <c r="V529" s="9">
        <f t="shared" si="339"/>
        <v>2.9795833576531077E-2</v>
      </c>
      <c r="W529" s="9">
        <f t="shared" si="339"/>
        <v>3.0387576085878304E-2</v>
      </c>
      <c r="X529" s="9">
        <f t="shared" si="339"/>
        <v>3.1026092438677041E-2</v>
      </c>
      <c r="Y529" s="9">
        <f t="shared" si="339"/>
        <v>3.171181516572865E-2</v>
      </c>
      <c r="Z529" s="9">
        <f t="shared" si="339"/>
        <v>3.2431132186081395E-2</v>
      </c>
      <c r="AA529" s="9">
        <f t="shared" si="339"/>
        <v>3.3172439084676431E-2</v>
      </c>
      <c r="AB529" s="9">
        <f t="shared" si="339"/>
        <v>3.3941750026591361E-2</v>
      </c>
      <c r="AC529" s="9">
        <f t="shared" si="339"/>
        <v>3.4687422954666591E-2</v>
      </c>
      <c r="AD529" s="9">
        <f t="shared" si="339"/>
        <v>3.5418497703256425E-2</v>
      </c>
      <c r="AE529" s="9">
        <f t="shared" si="339"/>
        <v>3.6126015372524585E-2</v>
      </c>
      <c r="AF529" s="9">
        <f t="shared" si="339"/>
        <v>3.6803860105828472E-2</v>
      </c>
      <c r="AG529" s="9">
        <f t="shared" si="339"/>
        <v>3.7447700393451758E-2</v>
      </c>
      <c r="AH529" s="9">
        <f t="shared" si="339"/>
        <v>3.805369259121507E-2</v>
      </c>
      <c r="AI529" s="9">
        <f t="shared" si="339"/>
        <v>3.8617825441559069E-2</v>
      </c>
      <c r="AJ529" s="9">
        <f t="shared" si="339"/>
        <v>3.9140331844644188E-2</v>
      </c>
      <c r="AK529" s="9">
        <f t="shared" si="339"/>
        <v>3.9620974741453437E-2</v>
      </c>
      <c r="AL529" s="9">
        <f t="shared" si="339"/>
        <v>4.0059776515420725E-2</v>
      </c>
      <c r="AM529" s="9">
        <f t="shared" ref="AM529:BC529" si="340">(AM517-AM514-(AM523-AM520))/AM519</f>
        <v>4.0459150766119341E-2</v>
      </c>
      <c r="AN529" s="9">
        <f t="shared" si="340"/>
        <v>4.0792408661221843E-2</v>
      </c>
      <c r="AO529" s="9">
        <f t="shared" si="340"/>
        <v>4.107405208796721E-2</v>
      </c>
      <c r="AP529" s="9">
        <f t="shared" si="340"/>
        <v>4.1308512270008403E-2</v>
      </c>
      <c r="AQ529" s="9">
        <f t="shared" si="340"/>
        <v>4.14989562975948E-2</v>
      </c>
      <c r="AR529" s="9">
        <f t="shared" si="340"/>
        <v>4.164952278304862E-2</v>
      </c>
      <c r="AS529" s="9">
        <f t="shared" si="340"/>
        <v>4.1760622228628121E-2</v>
      </c>
      <c r="AT529" s="9">
        <f t="shared" si="340"/>
        <v>4.1838031234787756E-2</v>
      </c>
      <c r="AU529" s="9">
        <f t="shared" si="340"/>
        <v>4.1886178681536275E-2</v>
      </c>
      <c r="AV529" s="9">
        <f t="shared" si="340"/>
        <v>4.1908928575824261E-2</v>
      </c>
      <c r="AW529" s="9">
        <f t="shared" si="340"/>
        <v>4.1913289000796244E-2</v>
      </c>
      <c r="AX529" s="9">
        <f t="shared" si="340"/>
        <v>4.1889227518904691E-2</v>
      </c>
      <c r="AY529" s="9">
        <f t="shared" si="340"/>
        <v>4.8961886346323015E-2</v>
      </c>
      <c r="AZ529" s="9">
        <f t="shared" si="340"/>
        <v>5.5990028066321258E-2</v>
      </c>
      <c r="BA529" s="9">
        <f t="shared" si="340"/>
        <v>6.2974628449463887E-2</v>
      </c>
      <c r="BB529" s="9">
        <f t="shared" si="340"/>
        <v>7.1868328581924535E-4</v>
      </c>
      <c r="BC529" s="9">
        <f t="shared" si="340"/>
        <v>6.0857681767124885E-4</v>
      </c>
      <c r="BD529" s="9">
        <f t="shared" ref="BD529:BF529" si="341">(BD517-BD514-(BD523-BD520))/BD519</f>
        <v>4.9438203119265157E-4</v>
      </c>
      <c r="BE529" s="9">
        <f t="shared" si="341"/>
        <v>3.7667500679916332E-4</v>
      </c>
      <c r="BF529" s="9">
        <f t="shared" si="341"/>
        <v>2.5555905921704927E-4</v>
      </c>
    </row>
  </sheetData>
  <mergeCells count="2">
    <mergeCell ref="A61:A62"/>
    <mergeCell ref="A64:A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21</vt:i4>
      </vt:variant>
    </vt:vector>
  </HeadingPairs>
  <TitlesOfParts>
    <vt:vector size="22" baseType="lpstr">
      <vt:lpstr>Données</vt:lpstr>
      <vt:lpstr>Gr Macro</vt:lpstr>
      <vt:lpstr>Gr inflation</vt:lpstr>
      <vt:lpstr>Gr émissions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(ener,shock)</vt:lpstr>
      <vt:lpstr>Auto (ener,base)</vt:lpstr>
      <vt:lpstr>Employment</vt:lpstr>
      <vt:lpstr>Investment</vt:lpstr>
      <vt:lpstr>Firms' emissions</vt:lpstr>
      <vt:lpstr>Capital intensity</vt:lpstr>
      <vt:lpstr>Energy intensity</vt:lpstr>
      <vt:lpstr>Gr VA secteurs (% dev)</vt:lpstr>
      <vt:lpstr>Gr VA secteurs (% share)</vt:lpstr>
      <vt:lpstr>Gr Y secteurs (% dev)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Florian Jacquetin</cp:lastModifiedBy>
  <dcterms:created xsi:type="dcterms:W3CDTF">2021-11-04T11:19:34Z</dcterms:created>
  <dcterms:modified xsi:type="dcterms:W3CDTF">2022-10-12T11:41:55Z</dcterms:modified>
</cp:coreProperties>
</file>