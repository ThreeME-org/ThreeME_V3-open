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wmf" ContentType="image/x-wmf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worksheets/sheet8.xml" ContentType="application/vnd.openxmlformats-officedocument.spreadsheetml.worksheet+xml"/>
  <Override PartName="/xl/worksheets/sheet9.xml" ContentType="application/vnd.openxmlformats-officedocument.spreadsheetml.worksheet+xml"/>
  <Override PartName="/xl/worksheets/sheet10.xml" ContentType="application/vnd.openxmlformats-officedocument.spreadsheetml.worksheet+xml"/>
  <Override PartName="/xl/worksheets/sheet11.xml" ContentType="application/vnd.openxmlformats-officedocument.spreadsheetml.worksheet+xml"/>
  <Override PartName="/xl/worksheets/sheet12.xml" ContentType="application/vnd.openxmlformats-officedocument.spreadsheetml.worksheet+xml"/>
  <Override PartName="/xl/worksheets/sheet13.xml" ContentType="application/vnd.openxmlformats-officedocument.spreadsheetml.worksheet+xml"/>
  <Override PartName="/xl/worksheets/sheet14.xml" ContentType="application/vnd.openxmlformats-officedocument.spreadsheetml.worksheet+xml"/>
  <Override PartName="/xl/worksheets/sheet15.xml" ContentType="application/vnd.openxmlformats-officedocument.spreadsheetml.worksheet+xml"/>
  <Override PartName="/xl/worksheets/sheet16.xml" ContentType="application/vnd.openxmlformats-officedocument.spreadsheetml.worksheet+xml"/>
  <Override PartName="/xl/worksheets/sheet17.xml" ContentType="application/vnd.openxmlformats-officedocument.spreadsheetml.worksheet+xml"/>
  <Override PartName="/xl/worksheets/sheet18.xml" ContentType="application/vnd.openxmlformats-officedocument.spreadsheetml.worksheet+xml"/>
  <Override PartName="/xl/worksheets/sheet19.xml" ContentType="application/vnd.openxmlformats-officedocument.spreadsheetml.worksheet+xml"/>
  <Override PartName="/xl/worksheets/sheet20.xml" ContentType="application/vnd.openxmlformats-officedocument.spreadsheetml.worksheet+xml"/>
  <Override PartName="/xl/worksheets/sheet21.xml" ContentType="application/vnd.openxmlformats-officedocument.spreadsheetml.worksheet+xml"/>
  <Override PartName="/xl/worksheets/sheet22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package/2006/relationships/metadata/core-properties" Target="docProps/core.xml"/><Relationship Id="rId2" Type="http://schemas.openxmlformats.org/package/2006/relationships/metadata/thumbnail" Target="docProps/thumbnail.wmf"/><Relationship Id="rId1" Type="http://schemas.openxmlformats.org/officeDocument/2006/relationships/officeDocument" Target="xl/workbook.xml"/><Relationship Id="rId4" Type="http://schemas.openxmlformats.org/officeDocument/2006/relationships/extended-properties" Target="docProps/app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mc:Ignorable="x15">
  <fileVersion appName="xl" lastEdited="6" lowestEdited="5" rupBuild="14420" codeName="{51196F13-6AD0-C1B8-E2B4-A1F9AE17003E}"/>
  <workbookPr showInkAnnotation="0" codeName="ThisWorkbook" autoCompressPictures="0"/>
  <mc:AlternateContent xmlns:mc="http://schemas.openxmlformats.org/markup-compatibility/2006">
    <mc:Choice Requires="x15">
      <x15ac:absPath xmlns:x15ac="http://schemas.microsoft.com/office/spreadsheetml/2010/11/ac" url="C:\Users\adeline.gueret\Documents\GITHUB\THREEME_V3\results\"/>
    </mc:Choice>
  </mc:AlternateContent>
  <bookViews>
    <workbookView xWindow="480" yWindow="480" windowWidth="19410" windowHeight="11010" tabRatio="500" firstSheet="5" activeTab="6"/>
  </bookViews>
  <sheets>
    <sheet name="ResultsEXR10" sheetId="7" r:id="rId1"/>
    <sheet name="ResultsEXPG1" sheetId="13" r:id="rId2"/>
    <sheet name="ResultsRSSC1" sheetId="18" r:id="rId3"/>
    <sheet name="ResultsVAT1" sheetId="26" r:id="rId4"/>
    <sheet name="ResultsINCT10" sheetId="27" r:id="rId5"/>
    <sheet name="ResultsWD1" sheetId="30" r:id="rId6"/>
    <sheet name="ResultsFF10" sheetId="31" r:id="rId7"/>
    <sheet name="WD1" sheetId="32" state="hidden" r:id="rId8"/>
    <sheet name="FF10" sheetId="33" state="hidden" r:id="rId9"/>
    <sheet name="VAT1" sheetId="28" state="hidden" r:id="rId10"/>
    <sheet name="INCT10" sheetId="29" state="hidden" r:id="rId11"/>
    <sheet name="EXPG1" sheetId="25" state="hidden" r:id="rId12"/>
    <sheet name="CSE" sheetId="19" state="hidden" r:id="rId13"/>
    <sheet name="ELEC" sheetId="20" state="hidden" r:id="rId14"/>
    <sheet name="EXR10" sheetId="12" state="hidden" r:id="rId15"/>
    <sheet name="RSSC1" sheetId="15" state="hidden" r:id="rId16"/>
    <sheet name="ResultsCSE" sheetId="16" state="hidden" r:id="rId17"/>
    <sheet name="ResultsELEC" sheetId="17" state="hidden" r:id="rId18"/>
    <sheet name="VAT" sheetId="22" state="hidden" r:id="rId19"/>
    <sheet name="IAPU" sheetId="23" state="hidden" r:id="rId20"/>
    <sheet name="ResultsVAT" sheetId="21" state="hidden" r:id="rId21"/>
    <sheet name="ResultsIAPU" sheetId="24" state="hidden" r:id="rId22"/>
  </sheets>
  <calcPr calcId="162913"/>
  <extLst>
    <ext xmlns:mx="http://schemas.microsoft.com/office/mac/excel/2008/main" uri="{7523E5D3-25F3-A5E0-1632-64F254C22452}">
      <mx:ArchID Flags="2"/>
    </ext>
  </extLst>
</workbook>
</file>

<file path=xl/calcChain.xml><?xml version="1.0" encoding="utf-8"?>
<calcChain xmlns="http://schemas.openxmlformats.org/spreadsheetml/2006/main">
  <c r="B4" i="27" l="1" a="1"/>
  <c r="B4" i="27" s="1"/>
  <c r="B4" i="26" a="1"/>
  <c r="E10" i="26" s="1"/>
  <c r="G21" i="27" l="1"/>
  <c r="C21" i="27"/>
  <c r="G19" i="27"/>
  <c r="E18" i="27"/>
  <c r="C17" i="27"/>
  <c r="G15" i="27"/>
  <c r="E14" i="27"/>
  <c r="C13" i="27"/>
  <c r="G11" i="27"/>
  <c r="E10" i="27"/>
  <c r="C9" i="27"/>
  <c r="E8" i="27"/>
  <c r="C7" i="27"/>
  <c r="E6" i="27"/>
  <c r="C5" i="27"/>
  <c r="E4" i="27"/>
  <c r="D22" i="27"/>
  <c r="B21" i="27"/>
  <c r="F19" i="27"/>
  <c r="B19" i="27"/>
  <c r="F17" i="27"/>
  <c r="D16" i="27"/>
  <c r="B15" i="27"/>
  <c r="F13" i="27"/>
  <c r="D12" i="27"/>
  <c r="B11" i="27"/>
  <c r="F9" i="27"/>
  <c r="D8" i="27"/>
  <c r="B5" i="27"/>
  <c r="G22" i="27"/>
  <c r="C20" i="27"/>
  <c r="C18" i="27"/>
  <c r="C16" i="27"/>
  <c r="E13" i="27"/>
  <c r="C12" i="27"/>
  <c r="G10" i="27"/>
  <c r="C8" i="27"/>
  <c r="C4" i="27"/>
  <c r="E22" i="27"/>
  <c r="E20" i="27"/>
  <c r="C19" i="27"/>
  <c r="G17" i="27"/>
  <c r="E16" i="27"/>
  <c r="C15" i="27"/>
  <c r="G13" i="27"/>
  <c r="E12" i="27"/>
  <c r="C11" i="27"/>
  <c r="G9" i="27"/>
  <c r="G7" i="27"/>
  <c r="G5" i="27"/>
  <c r="F21" i="27"/>
  <c r="D20" i="27"/>
  <c r="D18" i="27"/>
  <c r="B17" i="27"/>
  <c r="F15" i="27"/>
  <c r="D14" i="27"/>
  <c r="B13" i="27"/>
  <c r="F11" i="27"/>
  <c r="D10" i="27"/>
  <c r="B9" i="27"/>
  <c r="F7" i="27"/>
  <c r="B7" i="27"/>
  <c r="D6" i="27"/>
  <c r="F5" i="27"/>
  <c r="D4" i="27"/>
  <c r="C22" i="27"/>
  <c r="E21" i="27"/>
  <c r="G20" i="27"/>
  <c r="E19" i="27"/>
  <c r="G18" i="27"/>
  <c r="E17" i="27"/>
  <c r="G16" i="27"/>
  <c r="E15" i="27"/>
  <c r="G14" i="27"/>
  <c r="C14" i="27"/>
  <c r="G12" i="27"/>
  <c r="E11" i="27"/>
  <c r="C10" i="27"/>
  <c r="E9" i="27"/>
  <c r="G8" i="27"/>
  <c r="E7" i="27"/>
  <c r="G6" i="27"/>
  <c r="C6" i="27"/>
  <c r="E5" i="27"/>
  <c r="G4" i="27"/>
  <c r="F22" i="27"/>
  <c r="B22" i="27"/>
  <c r="D21" i="27"/>
  <c r="F20" i="27"/>
  <c r="B20" i="27"/>
  <c r="D19" i="27"/>
  <c r="F18" i="27"/>
  <c r="B18" i="27"/>
  <c r="D17" i="27"/>
  <c r="F16" i="27"/>
  <c r="B16" i="27"/>
  <c r="D15" i="27"/>
  <c r="F14" i="27"/>
  <c r="B14" i="27"/>
  <c r="D13" i="27"/>
  <c r="F12" i="27"/>
  <c r="B12" i="27"/>
  <c r="D11" i="27"/>
  <c r="F10" i="27"/>
  <c r="B10" i="27"/>
  <c r="D9" i="27"/>
  <c r="F8" i="27"/>
  <c r="B8" i="27"/>
  <c r="D7" i="27"/>
  <c r="F6" i="27"/>
  <c r="B6" i="27"/>
  <c r="D5" i="27"/>
  <c r="F4" i="27"/>
  <c r="D22" i="26"/>
  <c r="B21" i="26"/>
  <c r="F19" i="26"/>
  <c r="D18" i="26"/>
  <c r="B17" i="26"/>
  <c r="F15" i="26"/>
  <c r="D14" i="26"/>
  <c r="F13" i="26"/>
  <c r="D12" i="26"/>
  <c r="B11" i="26"/>
  <c r="F9" i="26"/>
  <c r="D8" i="26"/>
  <c r="F5" i="26"/>
  <c r="G22" i="26"/>
  <c r="E21" i="26"/>
  <c r="G20" i="26"/>
  <c r="C20" i="26"/>
  <c r="E19" i="26"/>
  <c r="G18" i="26"/>
  <c r="C18" i="26"/>
  <c r="E17" i="26"/>
  <c r="G16" i="26"/>
  <c r="C16" i="26"/>
  <c r="E15" i="26"/>
  <c r="G14" i="26"/>
  <c r="C14" i="26"/>
  <c r="E13" i="26"/>
  <c r="G12" i="26"/>
  <c r="C12" i="26"/>
  <c r="E11" i="26"/>
  <c r="G10" i="26"/>
  <c r="C10" i="26"/>
  <c r="E9" i="26"/>
  <c r="G8" i="26"/>
  <c r="C8" i="26"/>
  <c r="E7" i="26"/>
  <c r="G6" i="26"/>
  <c r="C6" i="26"/>
  <c r="E5" i="26"/>
  <c r="G4" i="26"/>
  <c r="C4" i="26"/>
  <c r="E22" i="26"/>
  <c r="G21" i="26"/>
  <c r="C21" i="26"/>
  <c r="E20" i="26"/>
  <c r="G19" i="26"/>
  <c r="E18" i="26"/>
  <c r="G17" i="26"/>
  <c r="C17" i="26"/>
  <c r="E16" i="26"/>
  <c r="G15" i="26"/>
  <c r="C15" i="26"/>
  <c r="E14" i="26"/>
  <c r="G13" i="26"/>
  <c r="C13" i="26"/>
  <c r="E12" i="26"/>
  <c r="G11" i="26"/>
  <c r="C11" i="26"/>
  <c r="G9" i="26"/>
  <c r="C9" i="26"/>
  <c r="E8" i="26"/>
  <c r="G7" i="26"/>
  <c r="C7" i="26"/>
  <c r="E6" i="26"/>
  <c r="G5" i="26"/>
  <c r="C5" i="26"/>
  <c r="E4" i="26"/>
  <c r="F21" i="26"/>
  <c r="D20" i="26"/>
  <c r="B19" i="26"/>
  <c r="F17" i="26"/>
  <c r="D16" i="26"/>
  <c r="B15" i="26"/>
  <c r="B13" i="26"/>
  <c r="F11" i="26"/>
  <c r="D10" i="26"/>
  <c r="B9" i="26"/>
  <c r="F7" i="26"/>
  <c r="B7" i="26"/>
  <c r="D6" i="26"/>
  <c r="B5" i="26"/>
  <c r="D4" i="26"/>
  <c r="C22" i="26"/>
  <c r="F22" i="26"/>
  <c r="B22" i="26"/>
  <c r="D21" i="26"/>
  <c r="F20" i="26"/>
  <c r="B20" i="26"/>
  <c r="D19" i="26"/>
  <c r="F18" i="26"/>
  <c r="B18" i="26"/>
  <c r="D17" i="26"/>
  <c r="F16" i="26"/>
  <c r="B16" i="26"/>
  <c r="D15" i="26"/>
  <c r="F14" i="26"/>
  <c r="B14" i="26"/>
  <c r="D13" i="26"/>
  <c r="F12" i="26"/>
  <c r="B12" i="26"/>
  <c r="D11" i="26"/>
  <c r="F10" i="26"/>
  <c r="B10" i="26"/>
  <c r="D9" i="26"/>
  <c r="F8" i="26"/>
  <c r="B8" i="26"/>
  <c r="D7" i="26"/>
  <c r="F6" i="26"/>
  <c r="B6" i="26"/>
  <c r="D5" i="26"/>
  <c r="F4" i="26"/>
  <c r="B4" i="26"/>
  <c r="C19" i="26"/>
  <c r="B4" i="13" a="1"/>
  <c r="C4" i="13" s="1"/>
  <c r="C21" i="13" l="1"/>
  <c r="E18" i="13"/>
  <c r="G15" i="13"/>
  <c r="C13" i="13"/>
  <c r="E10" i="13"/>
  <c r="G7" i="13"/>
  <c r="E6" i="13"/>
  <c r="B22" i="13"/>
  <c r="D19" i="13"/>
  <c r="F16" i="13"/>
  <c r="B14" i="13"/>
  <c r="D11" i="13"/>
  <c r="B10" i="13"/>
  <c r="D7" i="13"/>
  <c r="F4" i="13"/>
  <c r="G21" i="13"/>
  <c r="E20" i="13"/>
  <c r="C19" i="13"/>
  <c r="G17" i="13"/>
  <c r="E16" i="13"/>
  <c r="C15" i="13"/>
  <c r="G13" i="13"/>
  <c r="E12" i="13"/>
  <c r="C11" i="13"/>
  <c r="G9" i="13"/>
  <c r="E8" i="13"/>
  <c r="C7" i="13"/>
  <c r="G5" i="13"/>
  <c r="E4" i="13"/>
  <c r="E22" i="13"/>
  <c r="G19" i="13"/>
  <c r="C17" i="13"/>
  <c r="E14" i="13"/>
  <c r="G11" i="13"/>
  <c r="C9" i="13"/>
  <c r="C5" i="13"/>
  <c r="F20" i="13"/>
  <c r="B18" i="13"/>
  <c r="D15" i="13"/>
  <c r="F12" i="13"/>
  <c r="F8" i="13"/>
  <c r="B6" i="13"/>
  <c r="F22" i="13"/>
  <c r="D21" i="13"/>
  <c r="B20" i="13"/>
  <c r="F18" i="13"/>
  <c r="D17" i="13"/>
  <c r="B16" i="13"/>
  <c r="F14" i="13"/>
  <c r="D13" i="13"/>
  <c r="B12" i="13"/>
  <c r="F10" i="13"/>
  <c r="D9" i="13"/>
  <c r="B8" i="13"/>
  <c r="F6" i="13"/>
  <c r="D5" i="13"/>
  <c r="B4" i="13"/>
  <c r="D22" i="13"/>
  <c r="F21" i="13"/>
  <c r="B21" i="13"/>
  <c r="D20" i="13"/>
  <c r="F19" i="13"/>
  <c r="B19" i="13"/>
  <c r="D18" i="13"/>
  <c r="F17" i="13"/>
  <c r="B17" i="13"/>
  <c r="D16" i="13"/>
  <c r="F15" i="13"/>
  <c r="B15" i="13"/>
  <c r="D14" i="13"/>
  <c r="F13" i="13"/>
  <c r="B13" i="13"/>
  <c r="D12" i="13"/>
  <c r="F11" i="13"/>
  <c r="B11" i="13"/>
  <c r="D10" i="13"/>
  <c r="F9" i="13"/>
  <c r="B9" i="13"/>
  <c r="D8" i="13"/>
  <c r="F7" i="13"/>
  <c r="B7" i="13"/>
  <c r="D6" i="13"/>
  <c r="F5" i="13"/>
  <c r="B5" i="13"/>
  <c r="D4" i="13"/>
  <c r="G22" i="13"/>
  <c r="C22" i="13"/>
  <c r="E21" i="13"/>
  <c r="G20" i="13"/>
  <c r="C20" i="13"/>
  <c r="E19" i="13"/>
  <c r="G18" i="13"/>
  <c r="C18" i="13"/>
  <c r="E17" i="13"/>
  <c r="G16" i="13"/>
  <c r="C16" i="13"/>
  <c r="E15" i="13"/>
  <c r="G14" i="13"/>
  <c r="C14" i="13"/>
  <c r="E13" i="13"/>
  <c r="G12" i="13"/>
  <c r="C12" i="13"/>
  <c r="E11" i="13"/>
  <c r="G10" i="13"/>
  <c r="C10" i="13"/>
  <c r="E9" i="13"/>
  <c r="G8" i="13"/>
  <c r="C8" i="13"/>
  <c r="E7" i="13"/>
  <c r="G6" i="13"/>
  <c r="C6" i="13"/>
  <c r="E5" i="13"/>
  <c r="G4" i="13"/>
  <c r="B2" i="23" a="1"/>
  <c r="B3" i="23" s="1"/>
  <c r="B2" i="22" a="1"/>
  <c r="B3" i="22" s="1"/>
  <c r="F20" i="23" l="1"/>
  <c r="D19" i="23"/>
  <c r="B18" i="23"/>
  <c r="F16" i="23"/>
  <c r="D15" i="23"/>
  <c r="B14" i="23"/>
  <c r="F12" i="23"/>
  <c r="D11" i="23"/>
  <c r="B10" i="23"/>
  <c r="F8" i="23"/>
  <c r="D7" i="23"/>
  <c r="B6" i="23"/>
  <c r="F4" i="23"/>
  <c r="D3" i="23"/>
  <c r="B2" i="23"/>
  <c r="C19" i="23"/>
  <c r="E16" i="23"/>
  <c r="G13" i="23"/>
  <c r="C11" i="23"/>
  <c r="E8" i="23"/>
  <c r="G5" i="23"/>
  <c r="C3" i="23"/>
  <c r="C18" i="23"/>
  <c r="E15" i="23"/>
  <c r="G12" i="23"/>
  <c r="C10" i="23"/>
  <c r="C6" i="23"/>
  <c r="E3" i="23"/>
  <c r="D18" i="23"/>
  <c r="D14" i="23"/>
  <c r="F11" i="23"/>
  <c r="B9" i="23"/>
  <c r="B5" i="23"/>
  <c r="D2" i="23"/>
  <c r="E18" i="23"/>
  <c r="G15" i="23"/>
  <c r="C13" i="23"/>
  <c r="E10" i="23"/>
  <c r="G7" i="23"/>
  <c r="C5" i="23"/>
  <c r="G3" i="23"/>
  <c r="B20" i="23"/>
  <c r="D17" i="23"/>
  <c r="D13" i="23"/>
  <c r="F10" i="23"/>
  <c r="B8" i="23"/>
  <c r="B4" i="23"/>
  <c r="C20" i="23"/>
  <c r="G18" i="23"/>
  <c r="E17" i="23"/>
  <c r="C16" i="23"/>
  <c r="G14" i="23"/>
  <c r="E13" i="23"/>
  <c r="C12" i="23"/>
  <c r="G10" i="23"/>
  <c r="E9" i="23"/>
  <c r="C8" i="23"/>
  <c r="G6" i="23"/>
  <c r="E5" i="23"/>
  <c r="C4" i="23"/>
  <c r="G2" i="23"/>
  <c r="E20" i="23"/>
  <c r="G17" i="23"/>
  <c r="C15" i="23"/>
  <c r="E12" i="23"/>
  <c r="G9" i="23"/>
  <c r="C7" i="23"/>
  <c r="E4" i="23"/>
  <c r="G20" i="23"/>
  <c r="E19" i="23"/>
  <c r="G16" i="23"/>
  <c r="C14" i="23"/>
  <c r="E11" i="23"/>
  <c r="G8" i="23"/>
  <c r="E7" i="23"/>
  <c r="G4" i="23"/>
  <c r="C2" i="23"/>
  <c r="F19" i="23"/>
  <c r="B17" i="23"/>
  <c r="F15" i="23"/>
  <c r="B13" i="23"/>
  <c r="D10" i="23"/>
  <c r="F7" i="23"/>
  <c r="D6" i="23"/>
  <c r="F3" i="23"/>
  <c r="G19" i="23"/>
  <c r="C17" i="23"/>
  <c r="E14" i="23"/>
  <c r="G11" i="23"/>
  <c r="C9" i="23"/>
  <c r="E6" i="23"/>
  <c r="E2" i="23"/>
  <c r="F18" i="23"/>
  <c r="B16" i="23"/>
  <c r="F14" i="23"/>
  <c r="B12" i="23"/>
  <c r="D9" i="23"/>
  <c r="F6" i="23"/>
  <c r="D5" i="23"/>
  <c r="F2" i="23"/>
  <c r="D20" i="23"/>
  <c r="B19" i="23"/>
  <c r="F17" i="23"/>
  <c r="D16" i="23"/>
  <c r="B15" i="23"/>
  <c r="F13" i="23"/>
  <c r="D12" i="23"/>
  <c r="B11" i="23"/>
  <c r="F9" i="23"/>
  <c r="D8" i="23"/>
  <c r="B7" i="23"/>
  <c r="F5" i="23"/>
  <c r="D4" i="23"/>
  <c r="E20" i="22"/>
  <c r="E16" i="22"/>
  <c r="E12" i="22"/>
  <c r="E8" i="22"/>
  <c r="E4" i="22"/>
  <c r="D19" i="22"/>
  <c r="C18" i="22"/>
  <c r="C2" i="22"/>
  <c r="C19" i="22"/>
  <c r="G13" i="22"/>
  <c r="G9" i="22"/>
  <c r="G5" i="22"/>
  <c r="F20" i="22"/>
  <c r="D15" i="22"/>
  <c r="D11" i="22"/>
  <c r="D7" i="22"/>
  <c r="D3" i="22"/>
  <c r="E19" i="22"/>
  <c r="C14" i="22"/>
  <c r="C10" i="22"/>
  <c r="G4" i="22"/>
  <c r="D18" i="22"/>
  <c r="B13" i="22"/>
  <c r="B9" i="22"/>
  <c r="B5" i="22"/>
  <c r="G19" i="22"/>
  <c r="E14" i="22"/>
  <c r="E10" i="22"/>
  <c r="C5" i="22"/>
  <c r="B20" i="22"/>
  <c r="D17" i="22"/>
  <c r="B16" i="22"/>
  <c r="F14" i="22"/>
  <c r="D13" i="22"/>
  <c r="B12" i="22"/>
  <c r="F10" i="22"/>
  <c r="D9" i="22"/>
  <c r="B8" i="22"/>
  <c r="F6" i="22"/>
  <c r="D5" i="22"/>
  <c r="B4" i="22"/>
  <c r="F2" i="22"/>
  <c r="G17" i="22"/>
  <c r="C15" i="22"/>
  <c r="C11" i="22"/>
  <c r="C7" i="22"/>
  <c r="C3" i="22"/>
  <c r="B18" i="22"/>
  <c r="B14" i="22"/>
  <c r="B10" i="22"/>
  <c r="B6" i="22"/>
  <c r="B2" i="22"/>
  <c r="G16" i="22"/>
  <c r="G12" i="22"/>
  <c r="G8" i="22"/>
  <c r="C6" i="22"/>
  <c r="F19" i="22"/>
  <c r="F15" i="22"/>
  <c r="F11" i="22"/>
  <c r="F7" i="22"/>
  <c r="D2" i="22"/>
  <c r="C17" i="22"/>
  <c r="C13" i="22"/>
  <c r="C9" i="22"/>
  <c r="E6" i="22"/>
  <c r="E2" i="22"/>
  <c r="C20" i="22"/>
  <c r="G18" i="22"/>
  <c r="E17" i="22"/>
  <c r="C16" i="22"/>
  <c r="G14" i="22"/>
  <c r="E13" i="22"/>
  <c r="C12" i="22"/>
  <c r="G10" i="22"/>
  <c r="E9" i="22"/>
  <c r="C8" i="22"/>
  <c r="G6" i="22"/>
  <c r="E5" i="22"/>
  <c r="C4" i="22"/>
  <c r="G2" i="22"/>
  <c r="F16" i="22"/>
  <c r="F12" i="22"/>
  <c r="F8" i="22"/>
  <c r="F4" i="22"/>
  <c r="G20" i="22"/>
  <c r="E15" i="22"/>
  <c r="E11" i="22"/>
  <c r="E7" i="22"/>
  <c r="E3" i="22"/>
  <c r="B17" i="22"/>
  <c r="D14" i="22"/>
  <c r="D10" i="22"/>
  <c r="D6" i="22"/>
  <c r="F3" i="22"/>
  <c r="E18" i="22"/>
  <c r="G15" i="22"/>
  <c r="G11" i="22"/>
  <c r="G7" i="22"/>
  <c r="G3" i="22"/>
  <c r="F18" i="22"/>
  <c r="D20" i="22"/>
  <c r="B19" i="22"/>
  <c r="F17" i="22"/>
  <c r="D16" i="22"/>
  <c r="B15" i="22"/>
  <c r="F13" i="22"/>
  <c r="D12" i="22"/>
  <c r="B11" i="22"/>
  <c r="F9" i="22"/>
  <c r="D8" i="22"/>
  <c r="B7" i="22"/>
  <c r="F5" i="22"/>
  <c r="D4" i="22"/>
  <c r="B2" i="20" a="1"/>
  <c r="B2" i="20" s="1"/>
  <c r="B2" i="19" a="1"/>
  <c r="D2" i="19" s="1"/>
  <c r="B4" i="18" a="1"/>
  <c r="D4" i="18" s="1"/>
  <c r="B4" i="7" a="1"/>
  <c r="B4" i="7" s="1"/>
  <c r="E20" i="20" l="1"/>
  <c r="C2" i="19"/>
  <c r="E22" i="18"/>
  <c r="F20" i="18"/>
  <c r="G18" i="18"/>
  <c r="C17" i="18"/>
  <c r="D15" i="18"/>
  <c r="E13" i="18"/>
  <c r="G11" i="18"/>
  <c r="B10" i="18"/>
  <c r="C8" i="18"/>
  <c r="E6" i="18"/>
  <c r="F4" i="18"/>
  <c r="C18" i="19"/>
  <c r="C10" i="19"/>
  <c r="G4" i="19"/>
  <c r="G21" i="18"/>
  <c r="B20" i="18"/>
  <c r="C18" i="18"/>
  <c r="E16" i="18"/>
  <c r="F14" i="18"/>
  <c r="G12" i="18"/>
  <c r="C11" i="18"/>
  <c r="D9" i="18"/>
  <c r="E7" i="18"/>
  <c r="G5" i="18"/>
  <c r="B4" i="18"/>
  <c r="E15" i="19"/>
  <c r="E9" i="19"/>
  <c r="C4" i="19"/>
  <c r="G12" i="19"/>
  <c r="E7" i="19"/>
  <c r="E21" i="18"/>
  <c r="G19" i="18"/>
  <c r="B18" i="18"/>
  <c r="C16" i="18"/>
  <c r="E14" i="18"/>
  <c r="F12" i="18"/>
  <c r="G10" i="18"/>
  <c r="C9" i="18"/>
  <c r="D7" i="18"/>
  <c r="E5" i="18"/>
  <c r="F22" i="18"/>
  <c r="G20" i="18"/>
  <c r="C19" i="18"/>
  <c r="D17" i="18"/>
  <c r="E15" i="18"/>
  <c r="G13" i="18"/>
  <c r="B12" i="18"/>
  <c r="C10" i="18"/>
  <c r="E8" i="18"/>
  <c r="F6" i="18"/>
  <c r="G4" i="18"/>
  <c r="G20" i="19"/>
  <c r="C12" i="19"/>
  <c r="G6" i="19"/>
  <c r="D20" i="20"/>
  <c r="F19" i="20"/>
  <c r="B19" i="20"/>
  <c r="D18" i="20"/>
  <c r="F17" i="20"/>
  <c r="B17" i="20"/>
  <c r="D16" i="20"/>
  <c r="F15" i="20"/>
  <c r="B15" i="20"/>
  <c r="D14" i="20"/>
  <c r="F13" i="20"/>
  <c r="B13" i="20"/>
  <c r="D12" i="20"/>
  <c r="F11" i="20"/>
  <c r="B11" i="20"/>
  <c r="D10" i="20"/>
  <c r="F9" i="20"/>
  <c r="B9" i="20"/>
  <c r="D8" i="20"/>
  <c r="F7" i="20"/>
  <c r="B7" i="20"/>
  <c r="D6" i="20"/>
  <c r="F5" i="20"/>
  <c r="B5" i="20"/>
  <c r="D4" i="20"/>
  <c r="F3" i="20"/>
  <c r="B3" i="20"/>
  <c r="D2" i="20"/>
  <c r="G19" i="20"/>
  <c r="C19" i="20"/>
  <c r="E18" i="20"/>
  <c r="G17" i="20"/>
  <c r="C17" i="20"/>
  <c r="E16" i="20"/>
  <c r="G15" i="20"/>
  <c r="C15" i="20"/>
  <c r="E14" i="20"/>
  <c r="G13" i="20"/>
  <c r="C13" i="20"/>
  <c r="E12" i="20"/>
  <c r="G11" i="20"/>
  <c r="C11" i="20"/>
  <c r="E10" i="20"/>
  <c r="G9" i="20"/>
  <c r="C9" i="20"/>
  <c r="E8" i="20"/>
  <c r="G7" i="20"/>
  <c r="C7" i="20"/>
  <c r="E6" i="20"/>
  <c r="G5" i="20"/>
  <c r="C5" i="20"/>
  <c r="E4" i="20"/>
  <c r="G3" i="20"/>
  <c r="C3" i="20"/>
  <c r="E2" i="20"/>
  <c r="G20" i="20"/>
  <c r="C20" i="20"/>
  <c r="E19" i="20"/>
  <c r="G18" i="20"/>
  <c r="C18" i="20"/>
  <c r="E17" i="20"/>
  <c r="G16" i="20"/>
  <c r="C16" i="20"/>
  <c r="E15" i="20"/>
  <c r="G14" i="20"/>
  <c r="C14" i="20"/>
  <c r="E13" i="20"/>
  <c r="G12" i="20"/>
  <c r="C12" i="20"/>
  <c r="E11" i="20"/>
  <c r="G10" i="20"/>
  <c r="C10" i="20"/>
  <c r="E9" i="20"/>
  <c r="G8" i="20"/>
  <c r="C8" i="20"/>
  <c r="E7" i="20"/>
  <c r="G6" i="20"/>
  <c r="C6" i="20"/>
  <c r="E5" i="20"/>
  <c r="G4" i="20"/>
  <c r="C4" i="20"/>
  <c r="E3" i="20"/>
  <c r="G2" i="20"/>
  <c r="C2" i="20"/>
  <c r="F20" i="20"/>
  <c r="B20" i="20"/>
  <c r="D19" i="20"/>
  <c r="F18" i="20"/>
  <c r="B18" i="20"/>
  <c r="D17" i="20"/>
  <c r="F16" i="20"/>
  <c r="B16" i="20"/>
  <c r="D15" i="20"/>
  <c r="F14" i="20"/>
  <c r="B14" i="20"/>
  <c r="D13" i="20"/>
  <c r="F12" i="20"/>
  <c r="B12" i="20"/>
  <c r="D11" i="20"/>
  <c r="F10" i="20"/>
  <c r="B10" i="20"/>
  <c r="D9" i="20"/>
  <c r="F8" i="20"/>
  <c r="B8" i="20"/>
  <c r="D7" i="20"/>
  <c r="F6" i="20"/>
  <c r="B6" i="20"/>
  <c r="D5" i="20"/>
  <c r="F4" i="20"/>
  <c r="B4" i="20"/>
  <c r="D3" i="20"/>
  <c r="F2" i="20"/>
  <c r="E19" i="19"/>
  <c r="G16" i="19"/>
  <c r="C14" i="19"/>
  <c r="E11" i="19"/>
  <c r="G8" i="19"/>
  <c r="C6" i="19"/>
  <c r="E3" i="19"/>
  <c r="G18" i="19"/>
  <c r="C16" i="19"/>
  <c r="E13" i="19"/>
  <c r="G10" i="19"/>
  <c r="C8" i="19"/>
  <c r="E5" i="19"/>
  <c r="G2" i="19"/>
  <c r="C20" i="19"/>
  <c r="E17" i="19"/>
  <c r="G14" i="19"/>
  <c r="F20" i="19"/>
  <c r="B20" i="19"/>
  <c r="D19" i="19"/>
  <c r="F18" i="19"/>
  <c r="B18" i="19"/>
  <c r="D17" i="19"/>
  <c r="F16" i="19"/>
  <c r="B16" i="19"/>
  <c r="D15" i="19"/>
  <c r="F14" i="19"/>
  <c r="B14" i="19"/>
  <c r="D13" i="19"/>
  <c r="F12" i="19"/>
  <c r="B12" i="19"/>
  <c r="D11" i="19"/>
  <c r="F10" i="19"/>
  <c r="B10" i="19"/>
  <c r="D9" i="19"/>
  <c r="F8" i="19"/>
  <c r="B8" i="19"/>
  <c r="D7" i="19"/>
  <c r="F6" i="19"/>
  <c r="B6" i="19"/>
  <c r="D5" i="19"/>
  <c r="F4" i="19"/>
  <c r="B4" i="19"/>
  <c r="D3" i="19"/>
  <c r="F2" i="19"/>
  <c r="B2" i="19"/>
  <c r="E20" i="19"/>
  <c r="G19" i="19"/>
  <c r="C19" i="19"/>
  <c r="E18" i="19"/>
  <c r="G17" i="19"/>
  <c r="C17" i="19"/>
  <c r="E16" i="19"/>
  <c r="G15" i="19"/>
  <c r="C15" i="19"/>
  <c r="E14" i="19"/>
  <c r="G13" i="19"/>
  <c r="C13" i="19"/>
  <c r="E12" i="19"/>
  <c r="G11" i="19"/>
  <c r="C11" i="19"/>
  <c r="E10" i="19"/>
  <c r="G9" i="19"/>
  <c r="C9" i="19"/>
  <c r="E8" i="19"/>
  <c r="G7" i="19"/>
  <c r="C7" i="19"/>
  <c r="E6" i="19"/>
  <c r="G5" i="19"/>
  <c r="C5" i="19"/>
  <c r="E4" i="19"/>
  <c r="G3" i="19"/>
  <c r="C3" i="19"/>
  <c r="E2" i="19"/>
  <c r="D20" i="19"/>
  <c r="F19" i="19"/>
  <c r="B19" i="19"/>
  <c r="D18" i="19"/>
  <c r="F17" i="19"/>
  <c r="B17" i="19"/>
  <c r="D16" i="19"/>
  <c r="F15" i="19"/>
  <c r="B15" i="19"/>
  <c r="D14" i="19"/>
  <c r="F13" i="19"/>
  <c r="B13" i="19"/>
  <c r="D12" i="19"/>
  <c r="F11" i="19"/>
  <c r="B11" i="19"/>
  <c r="D10" i="19"/>
  <c r="F9" i="19"/>
  <c r="B9" i="19"/>
  <c r="D8" i="19"/>
  <c r="F7" i="19"/>
  <c r="B7" i="19"/>
  <c r="D6" i="19"/>
  <c r="F5" i="19"/>
  <c r="B5" i="19"/>
  <c r="D4" i="19"/>
  <c r="F3" i="19"/>
  <c r="B3" i="19"/>
  <c r="C22" i="18"/>
  <c r="D21" i="18"/>
  <c r="E20" i="18"/>
  <c r="E19" i="18"/>
  <c r="F18" i="18"/>
  <c r="G17" i="18"/>
  <c r="G16" i="18"/>
  <c r="B16" i="18"/>
  <c r="C15" i="18"/>
  <c r="C14" i="18"/>
  <c r="D13" i="18"/>
  <c r="E12" i="18"/>
  <c r="E11" i="18"/>
  <c r="F10" i="18"/>
  <c r="G9" i="18"/>
  <c r="G8" i="18"/>
  <c r="B8" i="18"/>
  <c r="C7" i="18"/>
  <c r="C6" i="18"/>
  <c r="D5" i="18"/>
  <c r="E4" i="18"/>
  <c r="G22" i="18"/>
  <c r="B22" i="18"/>
  <c r="C21" i="18"/>
  <c r="C20" i="18"/>
  <c r="D19" i="18"/>
  <c r="E18" i="18"/>
  <c r="E17" i="18"/>
  <c r="F16" i="18"/>
  <c r="G15" i="18"/>
  <c r="G14" i="18"/>
  <c r="B14" i="18"/>
  <c r="C13" i="18"/>
  <c r="C12" i="18"/>
  <c r="D11" i="18"/>
  <c r="E10" i="18"/>
  <c r="E9" i="18"/>
  <c r="F8" i="18"/>
  <c r="G7" i="18"/>
  <c r="G6" i="18"/>
  <c r="B6" i="18"/>
  <c r="C5" i="18"/>
  <c r="C4" i="18"/>
  <c r="D22" i="18"/>
  <c r="F21" i="18"/>
  <c r="B21" i="18"/>
  <c r="D20" i="18"/>
  <c r="F19" i="18"/>
  <c r="B19" i="18"/>
  <c r="D18" i="18"/>
  <c r="F17" i="18"/>
  <c r="B17" i="18"/>
  <c r="D16" i="18"/>
  <c r="F15" i="18"/>
  <c r="B15" i="18"/>
  <c r="D14" i="18"/>
  <c r="F13" i="18"/>
  <c r="B13" i="18"/>
  <c r="D12" i="18"/>
  <c r="F11" i="18"/>
  <c r="B11" i="18"/>
  <c r="D10" i="18"/>
  <c r="F9" i="18"/>
  <c r="B9" i="18"/>
  <c r="D8" i="18"/>
  <c r="F7" i="18"/>
  <c r="B7" i="18"/>
  <c r="D6" i="18"/>
  <c r="F5" i="18"/>
  <c r="B5" i="18"/>
  <c r="E22" i="7"/>
  <c r="D22" i="7"/>
  <c r="F21" i="7"/>
  <c r="B21" i="7"/>
  <c r="D20" i="7"/>
  <c r="F19" i="7"/>
  <c r="B19" i="7"/>
  <c r="D18" i="7"/>
  <c r="F17" i="7"/>
  <c r="B17" i="7"/>
  <c r="D16" i="7"/>
  <c r="F15" i="7"/>
  <c r="B15" i="7"/>
  <c r="D14" i="7"/>
  <c r="F13" i="7"/>
  <c r="B13" i="7"/>
  <c r="D12" i="7"/>
  <c r="F11" i="7"/>
  <c r="B11" i="7"/>
  <c r="D10" i="7"/>
  <c r="F9" i="7"/>
  <c r="B9" i="7"/>
  <c r="D8" i="7"/>
  <c r="F7" i="7"/>
  <c r="B7" i="7"/>
  <c r="D6" i="7"/>
  <c r="F5" i="7"/>
  <c r="B5" i="7"/>
  <c r="D4" i="7"/>
  <c r="G21" i="7"/>
  <c r="C21" i="7"/>
  <c r="E20" i="7"/>
  <c r="G19" i="7"/>
  <c r="C19" i="7"/>
  <c r="E18" i="7"/>
  <c r="G17" i="7"/>
  <c r="C17" i="7"/>
  <c r="E16" i="7"/>
  <c r="G15" i="7"/>
  <c r="C15" i="7"/>
  <c r="E14" i="7"/>
  <c r="G13" i="7"/>
  <c r="C13" i="7"/>
  <c r="E12" i="7"/>
  <c r="G11" i="7"/>
  <c r="C11" i="7"/>
  <c r="E10" i="7"/>
  <c r="G9" i="7"/>
  <c r="C9" i="7"/>
  <c r="E8" i="7"/>
  <c r="G7" i="7"/>
  <c r="C7" i="7"/>
  <c r="E6" i="7"/>
  <c r="G5" i="7"/>
  <c r="C5" i="7"/>
  <c r="E4" i="7"/>
  <c r="G22" i="7"/>
  <c r="C22" i="7"/>
  <c r="E21" i="7"/>
  <c r="G20" i="7"/>
  <c r="C20" i="7"/>
  <c r="E19" i="7"/>
  <c r="G18" i="7"/>
  <c r="C18" i="7"/>
  <c r="E17" i="7"/>
  <c r="G16" i="7"/>
  <c r="C16" i="7"/>
  <c r="E15" i="7"/>
  <c r="G14" i="7"/>
  <c r="C14" i="7"/>
  <c r="E13" i="7"/>
  <c r="G12" i="7"/>
  <c r="C12" i="7"/>
  <c r="E11" i="7"/>
  <c r="G10" i="7"/>
  <c r="C10" i="7"/>
  <c r="E9" i="7"/>
  <c r="G8" i="7"/>
  <c r="C8" i="7"/>
  <c r="E7" i="7"/>
  <c r="G6" i="7"/>
  <c r="C6" i="7"/>
  <c r="E5" i="7"/>
  <c r="G4" i="7"/>
  <c r="C4" i="7"/>
  <c r="F22" i="7"/>
  <c r="B22" i="7"/>
  <c r="D21" i="7"/>
  <c r="F20" i="7"/>
  <c r="B20" i="7"/>
  <c r="D19" i="7"/>
  <c r="F18" i="7"/>
  <c r="B18" i="7"/>
  <c r="D17" i="7"/>
  <c r="F16" i="7"/>
  <c r="B16" i="7"/>
  <c r="D15" i="7"/>
  <c r="F14" i="7"/>
  <c r="B14" i="7"/>
  <c r="D13" i="7"/>
  <c r="F12" i="7"/>
  <c r="B12" i="7"/>
  <c r="D11" i="7"/>
  <c r="F10" i="7"/>
  <c r="B10" i="7"/>
  <c r="D9" i="7"/>
  <c r="F8" i="7"/>
  <c r="B8" i="7"/>
  <c r="D7" i="7"/>
  <c r="F6" i="7"/>
  <c r="B6" i="7"/>
  <c r="D5" i="7"/>
  <c r="F4" i="7"/>
</calcChain>
</file>

<file path=xl/sharedStrings.xml><?xml version="1.0" encoding="utf-8"?>
<sst xmlns="http://schemas.openxmlformats.org/spreadsheetml/2006/main" count="388" uniqueCount="165">
  <si>
    <t>1 an</t>
  </si>
  <si>
    <t>2 ans</t>
  </si>
  <si>
    <t>3 ans</t>
  </si>
  <si>
    <t>5 ans</t>
  </si>
  <si>
    <t>10 ans</t>
  </si>
  <si>
    <t>35 ans</t>
  </si>
  <si>
    <t>PIB en volume</t>
  </si>
  <si>
    <t>VA du secteur marchand</t>
  </si>
  <si>
    <t>Consommation des ménages</t>
  </si>
  <si>
    <t>Investissement</t>
  </si>
  <si>
    <t>Investissement des SNF et SI</t>
  </si>
  <si>
    <t>Exportations</t>
  </si>
  <si>
    <t>Importations</t>
  </si>
  <si>
    <t>Prix à la consommation des ménages</t>
  </si>
  <si>
    <t>Prix de production marchande</t>
  </si>
  <si>
    <t>Salaire réel net</t>
  </si>
  <si>
    <t>Coût réel du travail</t>
  </si>
  <si>
    <t>Emploi salarié en milliers</t>
  </si>
  <si>
    <t>Taux de chômage (en points)</t>
  </si>
  <si>
    <t>Balance commerciale (en points de PIB)</t>
  </si>
  <si>
    <t>Emissions de CO2</t>
  </si>
  <si>
    <t>Energie finale</t>
  </si>
  <si>
    <t>Electricité finale</t>
  </si>
  <si>
    <t>Produits pétroliers (en Mtep ep)</t>
  </si>
  <si>
    <t>Gaz naturel (en Mtep ep)</t>
  </si>
  <si>
    <t>Hausse permanente de 1% de PIB en valeur de la taxe sur l'électricité</t>
  </si>
  <si>
    <t>Hausse permanente de 1% de PIB en valeur de la TVA</t>
  </si>
  <si>
    <t>Baisse permanente de 1% de PIB en valeur des cotisations employeurs</t>
  </si>
  <si>
    <t>Hausse permanente de 1% de PIB en volume des IAPU</t>
  </si>
  <si>
    <t xml:space="preserve">Dépréciation permanente de 10% de l'euro </t>
  </si>
  <si>
    <t>Hausse de la dépense publique d'un montant de 1 point de PIB</t>
  </si>
  <si>
    <t xml:space="preserve">Baisse des cotisations sociales employeurs de 1% du PIB ex ante </t>
  </si>
  <si>
    <t>Revenu disponible des ménages</t>
  </si>
  <si>
    <t>Taux d'épargne</t>
  </si>
  <si>
    <t>Prix de la consommation des ménages</t>
  </si>
  <si>
    <t xml:space="preserve">Prix de production </t>
  </si>
  <si>
    <t xml:space="preserve">Prix de VA </t>
  </si>
  <si>
    <t>Prix de CI</t>
  </si>
  <si>
    <t>Prix des exportations</t>
  </si>
  <si>
    <t>Prix des importations</t>
  </si>
  <si>
    <t xml:space="preserve">Salaire nominal brut </t>
  </si>
  <si>
    <t>Emploi salarié (en milliers)</t>
  </si>
  <si>
    <t>Taux de chômage</t>
  </si>
  <si>
    <t>Balance commerciale (en pts de PIB)</t>
  </si>
  <si>
    <t>Solde primaire des APU  (en pts de PIB)</t>
  </si>
  <si>
    <t xml:space="preserve">ThreeME </t>
  </si>
  <si>
    <t>Mesange</t>
  </si>
  <si>
    <t>ThreeME</t>
  </si>
  <si>
    <t>Baisse de l'impôt sur le revenu des ménages de 1% du PIB ex ante</t>
  </si>
  <si>
    <t>Hausse de la TVA de 1% du PIB ex ante</t>
  </si>
  <si>
    <t>50 ans</t>
  </si>
  <si>
    <t>100*(GDP_2/GDP_0-1)</t>
  </si>
  <si>
    <t>100*(CH_2/CH_0-1)</t>
  </si>
  <si>
    <t>100*(I_2/I_0-1)</t>
  </si>
  <si>
    <t>100*(X_2/X_0-1)</t>
  </si>
  <si>
    <t>100*(M_2/M_0-1)</t>
  </si>
  <si>
    <t>100*(DISPINC_AT_VAL_2/DISPINC_AT_VAL_0-1)</t>
  </si>
  <si>
    <t>100*(RSAV_H_VAL_2-RSAV_H_VAL_0)</t>
  </si>
  <si>
    <t>100*(PCH_2/PCH_0-1)</t>
  </si>
  <si>
    <t>100*(PY_2/PY_0-1)</t>
  </si>
  <si>
    <t>100*(PVA_2/PVA_0-1)</t>
  </si>
  <si>
    <t>100*(PCI_2/PCI_0-1)</t>
  </si>
  <si>
    <t>100*(PX_2/PCI_0-1)</t>
  </si>
  <si>
    <t>100*(PM_2/PCI_0-1)</t>
  </si>
  <si>
    <t>100*(W_2/W_0-1)</t>
  </si>
  <si>
    <t>100*((C_L_2/PVA_2)/(C_L_0/PVA_0)-1)</t>
  </si>
  <si>
    <t>100*(F_L_2/F_L_0-1)</t>
  </si>
  <si>
    <t>100*(UNR_2-UNR_0)</t>
  </si>
  <si>
    <t>100*(RBAL_TRADE_VAL_2-RBAL_TRADE_VAL_0)</t>
  </si>
  <si>
    <t>100*(RBAL_G_PRIM_VAL_2-RBAL_G_PRIM_VAL_0)</t>
  </si>
  <si>
    <t>100*(GDP_1/GDP_0-1)</t>
  </si>
  <si>
    <t>100*(CH_1/CH_0-1)</t>
  </si>
  <si>
    <t>100*(I_1/I_0-1)</t>
  </si>
  <si>
    <t>100*(X_1/X_0-1)</t>
  </si>
  <si>
    <t>100*(M_1/M_0-1)</t>
  </si>
  <si>
    <t>100*(DISPINC_AT_VAL_1/DISPINC_AT_VAL_0-1)</t>
  </si>
  <si>
    <t>100*(RSAV_H_VAL_1-RSAV_H_VAL_0)</t>
  </si>
  <si>
    <t>100*(PCH_1/PCH_0-1)</t>
  </si>
  <si>
    <t>100*(PY_1/PY_0-1)</t>
  </si>
  <si>
    <t>100*(PVA_1/PVA_0-1)</t>
  </si>
  <si>
    <t>100*(PCI_1/PCI_0-1)</t>
  </si>
  <si>
    <t>100*(PX_1/PCI_0-1)</t>
  </si>
  <si>
    <t>100*(PM_1/PCI_0-1)</t>
  </si>
  <si>
    <t>100*(W_1/W_0-1)</t>
  </si>
  <si>
    <t>100*((C_L_1/PVA_1)/(C_L_0/PVA_0)-1)</t>
  </si>
  <si>
    <t>100*(F_L_1/F_L_0-1)</t>
  </si>
  <si>
    <t>100*(UNR_1-UNR_0)</t>
  </si>
  <si>
    <t>100*(RBAL_TRADE_VAL_1-RBAL_TRADE_VAL_0)</t>
  </si>
  <si>
    <t>100*(RBAL_G_PRIM_VAL_1-RBAL_G_PRIM_VAL_0)</t>
  </si>
  <si>
    <t>100*(GDP_4/GDP_0-1)</t>
  </si>
  <si>
    <t>100*(CH_4/CH_0-1)</t>
  </si>
  <si>
    <t>100*(I_4/I_0-1)</t>
  </si>
  <si>
    <t>100*(X_4/X_0-1)</t>
  </si>
  <si>
    <t>100*(M_4/M_0-1)</t>
  </si>
  <si>
    <t>100*(DISPINC_AT_VAL_4/DISPINC_AT_VAL_0-1)</t>
  </si>
  <si>
    <t>100*(RSAV_H_VAL_4-RSAV_H_VAL_0)</t>
  </si>
  <si>
    <t>100*(PCH_4/PCH_0-1)</t>
  </si>
  <si>
    <t>100*(PY_4/PY_0-1)</t>
  </si>
  <si>
    <t>100*(PVA_4/PVA_0-1)</t>
  </si>
  <si>
    <t>100*(PCI_4/PCI_0-1)</t>
  </si>
  <si>
    <t>100*(PX_4/PCI_0-1)</t>
  </si>
  <si>
    <t>100*(PM_4/PCI_0-1)</t>
  </si>
  <si>
    <t>100*(W_4/W_0-1)</t>
  </si>
  <si>
    <t>100*((C_L_4/PVA_4)/(C_L_0/PVA_0)-1)</t>
  </si>
  <si>
    <t>100*(F_L_4/F_L_0-1)</t>
  </si>
  <si>
    <t>100*(UNR_4-UNR_0)</t>
  </si>
  <si>
    <t>100*(RBAL_TRADE_VAL_4-RBAL_TRADE_VAL_0)</t>
  </si>
  <si>
    <t>100*(RBAL_G_PRIM_VAL_4-RBAL_G_PRIM_VAL_0)</t>
  </si>
  <si>
    <t>100*(GDP_3/GDP_0-1)</t>
  </si>
  <si>
    <t>100*(CH_3/CH_0-1)</t>
  </si>
  <si>
    <t>100*(I_3/I_0-1)</t>
  </si>
  <si>
    <t>100*(X_3/X_0-1)</t>
  </si>
  <si>
    <t>100*(M_3/M_0-1)</t>
  </si>
  <si>
    <t>100*(DISPINC_AT_VAL_3/DISPINC_AT_VAL_0-1)</t>
  </si>
  <si>
    <t>100*(RSAV_H_VAL_3-RSAV_H_VAL_0)</t>
  </si>
  <si>
    <t>100*(PCH_3/PCH_0-1)</t>
  </si>
  <si>
    <t>100*(PY_3/PY_0-1)</t>
  </si>
  <si>
    <t>100*(PVA_3/PVA_0-1)</t>
  </si>
  <si>
    <t>100*(PCI_3/PCI_0-1)</t>
  </si>
  <si>
    <t>100*(PX_3/PCI_0-1)</t>
  </si>
  <si>
    <t>100*(PM_3/PCI_0-1)</t>
  </si>
  <si>
    <t>100*(W_3/W_0-1)</t>
  </si>
  <si>
    <t>100*((C_L_3/PVA_3)/(C_L_0/PVA_0)-1)</t>
  </si>
  <si>
    <t>100*(F_L_3/F_L_0-1)</t>
  </si>
  <si>
    <t>100*(UNR_3-UNR_0)</t>
  </si>
  <si>
    <t>100*(RBAL_TRADE_VAL_3-RBAL_TRADE_VAL_0)</t>
  </si>
  <si>
    <t>100*(RBAL_G_PRIM_VAL_3-RBAL_G_PRIM_VAL_0)</t>
  </si>
  <si>
    <t>100*(GDP_5/GDP_0-1)</t>
  </si>
  <si>
    <t>100*(CH_5/CH_0-1)</t>
  </si>
  <si>
    <t>100*(I_5/I_0-1)</t>
  </si>
  <si>
    <t>100*(X_5/X_0-1)</t>
  </si>
  <si>
    <t>100*(M_5/M_0-1)</t>
  </si>
  <si>
    <t>100*(DISPINC_AT_VAL_5/DISPINC_AT_VAL_0-1)</t>
  </si>
  <si>
    <t>100*(RSAV_H_VAL_5-RSAV_H_VAL_0)</t>
  </si>
  <si>
    <t>100*(PCH_5/PCH_0-1)</t>
  </si>
  <si>
    <t>100*(PY_5/PY_0-1)</t>
  </si>
  <si>
    <t>100*(PVA_5/PVA_0-1)</t>
  </si>
  <si>
    <t>100*(PCI_5/PCI_0-1)</t>
  </si>
  <si>
    <t>100*(PX_5/PCI_0-1)</t>
  </si>
  <si>
    <t>100*(PM_5/PCI_0-1)</t>
  </si>
  <si>
    <t>100*(W_5/W_0-1)</t>
  </si>
  <si>
    <t>100*((C_L_5/PVA_5)/(C_L_0/PVA_0)-1)</t>
  </si>
  <si>
    <t>100*(F_L_5/F_L_0-1)</t>
  </si>
  <si>
    <t>100*(UNR_5-UNR_0)</t>
  </si>
  <si>
    <t>100*(RBAL_TRADE_VAL_5-RBAL_TRADE_VAL_0)</t>
  </si>
  <si>
    <t>100*(RBAL_G_PRIM_VAL_5-RBAL_G_PRIM_VAL_0)</t>
  </si>
  <si>
    <t>100*(GDP_6/GDP_0-1)</t>
  </si>
  <si>
    <t>100*(CH_6/CH_0-1)</t>
  </si>
  <si>
    <t>100*(I_6/I_0-1)</t>
  </si>
  <si>
    <t>100*(X_6/X_0-1)</t>
  </si>
  <si>
    <t>100*(M_6/M_0-1)</t>
  </si>
  <si>
    <t>100*(DISPINC_AT_VAL_6/DISPINC_AT_VAL_0-1)</t>
  </si>
  <si>
    <t>100*(RSAV_H_VAL_6-RSAV_H_VAL_0)</t>
  </si>
  <si>
    <t>100*(PCH_6/PCH_0-1)</t>
  </si>
  <si>
    <t>100*(PY_6/PY_0-1)</t>
  </si>
  <si>
    <t>100*(PVA_6/PVA_0-1)</t>
  </si>
  <si>
    <t>100*(PCI_6/PCI_0-1)</t>
  </si>
  <si>
    <t>100*(PX_6/PCI_0-1)</t>
  </si>
  <si>
    <t>100*(PM_6/PCI_0-1)</t>
  </si>
  <si>
    <t>100*(W_6/W_0-1)</t>
  </si>
  <si>
    <t>100*((C_L_6/PVA_6)/(C_L_0/PVA_0)-1)</t>
  </si>
  <si>
    <t>100*(F_L_6/F_L_0-1)</t>
  </si>
  <si>
    <t>100*(UNR_6-UNR_0)</t>
  </si>
  <si>
    <t>100*(RBAL_TRADE_VAL_6-RBAL_TRADE_VAL_0)</t>
  </si>
  <si>
    <t>100*(RBAL_G_PRIM_VAL_6-RBAL_G_PRIM_VAL_0)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</si>
</sst>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mc:Ignorable="x14ac x16r2">
  <numFmts count="1">
    <numFmt numFmtId="164" formatCode="_(* #,##0.00_);_(* \(#,##0.00\);_(* &quot;-&quot;??_);_(@_)"/>
  </numFmts>
  <fonts count="9" x14ac:knownFonts="1">
    <font>
      <sz val="12"/>
      <color theme="1"/>
      <name val="Calibri"/>
      <family val="2"/>
      <scheme val="minor"/>
    </font>
    <font>
      <sz val="11"/>
      <color theme="1"/>
      <name val="Calibri"/>
      <family val="2"/>
      <scheme val="minor"/>
    </font>
    <font>
      <sz val="11"/>
      <color theme="1"/>
      <name val="Calibri"/>
      <family val="2"/>
      <scheme val="minor"/>
    </font>
    <font>
      <b/>
      <sz val="12"/>
      <color theme="1"/>
      <name val="Calibri"/>
      <family val="2"/>
      <scheme val="minor"/>
    </font>
    <font>
      <b/>
      <sz val="11"/>
      <color theme="1"/>
      <name val="Calibri"/>
      <family val="2"/>
      <scheme val="minor"/>
    </font>
    <font>
      <sz val="9"/>
      <color rgb="FF000000"/>
      <name val="Calibri"/>
      <family val="2"/>
      <scheme val="minor"/>
    </font>
    <font>
      <sz val="9"/>
      <color theme="1"/>
      <name val="Calibri"/>
      <family val="2"/>
      <scheme val="minor"/>
    </font>
    <font>
      <sz val="8"/>
      <color theme="1"/>
      <name val="Calibri"/>
      <family val="2"/>
      <scheme val="minor"/>
    </font>
    <font>
      <b/>
      <sz val="11"/>
      <color rgb="FFFF0000"/>
      <name val="Calibri"/>
      <family val="2"/>
      <scheme val="minor"/>
    </font>
  </fonts>
  <fills count="6">
    <fill>
      <patternFill patternType="none"/>
    </fill>
    <fill>
      <patternFill patternType="gray125"/>
    </fill>
    <fill>
      <patternFill patternType="solid">
        <fgColor rgb="FF92D050"/>
        <bgColor indexed="64"/>
      </patternFill>
    </fill>
    <fill>
      <patternFill patternType="solid">
        <fgColor rgb="FFFFC000"/>
        <bgColor indexed="64"/>
      </patternFill>
    </fill>
    <fill>
      <patternFill patternType="solid">
        <fgColor theme="0"/>
        <bgColor indexed="64"/>
      </patternFill>
    </fill>
    <fill>
      <patternFill patternType="solid">
        <fgColor theme="0" tint="-4.9989318521683403E-2"/>
        <bgColor indexed="64"/>
      </patternFill>
    </fill>
  </fills>
  <borders count="10">
    <border>
      <left/>
      <right/>
      <top/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theme="0" tint="-0.24994659260841701"/>
      </bottom>
      <diagonal/>
    </border>
    <border>
      <left style="thin">
        <color indexed="64"/>
      </left>
      <right style="thin">
        <color indexed="64"/>
      </right>
      <top style="thin">
        <color theme="0" tint="-0.24994659260841701"/>
      </top>
      <bottom style="thin">
        <color theme="0" tint="-0.24994659260841701"/>
      </bottom>
      <diagonal/>
    </border>
    <border>
      <left style="thin">
        <color indexed="64"/>
      </left>
      <right style="thin">
        <color indexed="64"/>
      </right>
      <top style="thin">
        <color theme="0" tint="-0.24994659260841701"/>
      </top>
      <bottom style="thin">
        <color indexed="64"/>
      </bottom>
      <diagonal/>
    </border>
    <border>
      <left/>
      <right/>
      <top/>
      <bottom style="thin">
        <color indexed="64"/>
      </bottom>
      <diagonal/>
    </border>
    <border>
      <left/>
      <right style="thin">
        <color indexed="64"/>
      </right>
      <top/>
      <bottom style="thin">
        <color indexed="64"/>
      </bottom>
      <diagonal/>
    </border>
    <border>
      <left/>
      <right style="thin">
        <color indexed="64"/>
      </right>
      <top/>
      <bottom/>
      <diagonal/>
    </border>
    <border>
      <left style="thin">
        <color indexed="64"/>
      </left>
      <right/>
      <top/>
      <bottom/>
      <diagonal/>
    </border>
    <border>
      <left style="thin">
        <color indexed="64"/>
      </left>
      <right/>
      <top/>
      <bottom style="thin">
        <color indexed="64"/>
      </bottom>
      <diagonal/>
    </border>
  </borders>
  <cellStyleXfs count="2">
    <xf numFmtId="0" fontId="0" fillId="0" borderId="0"/>
    <xf numFmtId="0" fontId="2" fillId="0" borderId="0"/>
  </cellStyleXfs>
  <cellXfs count="58">
    <xf numFmtId="0" fontId="0" fillId="0" borderId="0" xfId="0"/>
    <xf numFmtId="2" fontId="0" fillId="0" borderId="2" xfId="0" applyNumberFormat="1" applyBorder="1"/>
    <xf numFmtId="2" fontId="0" fillId="0" borderId="3" xfId="0" applyNumberFormat="1" applyBorder="1"/>
    <xf numFmtId="2" fontId="0" fillId="0" borderId="4" xfId="0" applyNumberFormat="1" applyBorder="1"/>
    <xf numFmtId="0" fontId="3" fillId="2" borderId="1" xfId="0" applyFont="1" applyFill="1" applyBorder="1" applyAlignment="1">
      <alignment wrapText="1"/>
    </xf>
    <xf numFmtId="0" fontId="3" fillId="2" borderId="1" xfId="0" applyFont="1" applyFill="1" applyBorder="1" applyAlignment="1">
      <alignment horizontal="center"/>
    </xf>
    <xf numFmtId="164" fontId="0" fillId="0" borderId="3" xfId="0" applyNumberFormat="1" applyBorder="1"/>
    <xf numFmtId="164" fontId="0" fillId="0" borderId="4" xfId="0" applyNumberFormat="1" applyBorder="1"/>
    <xf numFmtId="0" fontId="0" fillId="0" borderId="0" xfId="0" applyBorder="1"/>
    <xf numFmtId="0" fontId="4" fillId="3" borderId="5" xfId="0" applyFont="1" applyFill="1" applyBorder="1" applyAlignment="1">
      <alignment horizontal="center" vertical="center"/>
    </xf>
    <xf numFmtId="0" fontId="4" fillId="5" borderId="5" xfId="0" applyFont="1" applyFill="1" applyBorder="1" applyAlignment="1">
      <alignment horizontal="center" vertical="center"/>
    </xf>
    <xf numFmtId="0" fontId="4" fillId="3" borderId="6" xfId="0" applyFont="1" applyFill="1" applyBorder="1" applyAlignment="1">
      <alignment horizontal="center" vertical="center"/>
    </xf>
    <xf numFmtId="0" fontId="5" fillId="4" borderId="8" xfId="0" applyFont="1" applyFill="1" applyBorder="1" applyAlignment="1">
      <alignment horizontal="center" vertical="center" wrapText="1"/>
    </xf>
    <xf numFmtId="0" fontId="5" fillId="4" borderId="0" xfId="0" applyFont="1" applyFill="1" applyAlignment="1">
      <alignment horizontal="center" vertical="center" wrapText="1"/>
    </xf>
    <xf numFmtId="2" fontId="6" fillId="0" borderId="0" xfId="0" applyNumberFormat="1" applyFont="1" applyBorder="1" applyAlignment="1">
      <alignment horizontal="center" vertical="center"/>
    </xf>
    <xf numFmtId="2" fontId="6" fillId="0" borderId="7" xfId="0" applyNumberFormat="1" applyFont="1" applyBorder="1" applyAlignment="1">
      <alignment horizontal="center" vertical="center"/>
    </xf>
    <xf numFmtId="0" fontId="0" fillId="0" borderId="7" xfId="0" applyBorder="1"/>
    <xf numFmtId="0" fontId="0" fillId="0" borderId="6" xfId="0" applyBorder="1"/>
    <xf numFmtId="2" fontId="4" fillId="0" borderId="7" xfId="0" applyNumberFormat="1" applyFont="1" applyBorder="1"/>
    <xf numFmtId="2" fontId="7" fillId="0" borderId="0" xfId="0" applyNumberFormat="1" applyFont="1" applyBorder="1" applyAlignment="1">
      <alignment horizontal="center" vertical="center"/>
    </xf>
    <xf numFmtId="2" fontId="7" fillId="0" borderId="8" xfId="0" applyNumberFormat="1" applyFont="1" applyBorder="1" applyAlignment="1">
      <alignment horizontal="center" vertical="center"/>
    </xf>
    <xf numFmtId="2" fontId="7" fillId="0" borderId="7" xfId="0" applyNumberFormat="1" applyFont="1" applyBorder="1" applyAlignment="1">
      <alignment horizontal="center" vertical="center"/>
    </xf>
    <xf numFmtId="0" fontId="4" fillId="4" borderId="6" xfId="0" applyFont="1" applyFill="1" applyBorder="1" applyAlignment="1">
      <alignment wrapText="1"/>
    </xf>
    <xf numFmtId="0" fontId="4" fillId="3" borderId="9" xfId="0" applyFont="1" applyFill="1" applyBorder="1" applyAlignment="1">
      <alignment horizontal="center" vertical="center"/>
    </xf>
    <xf numFmtId="0" fontId="4" fillId="5" borderId="9" xfId="0" applyFont="1" applyFill="1" applyBorder="1" applyAlignment="1">
      <alignment horizontal="center" vertical="center"/>
    </xf>
    <xf numFmtId="0" fontId="4" fillId="5" borderId="6" xfId="0" applyFont="1" applyFill="1" applyBorder="1" applyAlignment="1">
      <alignment horizontal="center" vertical="center"/>
    </xf>
    <xf numFmtId="0" fontId="1" fillId="0" borderId="0" xfId="0" applyFont="1"/>
    <xf numFmtId="0" fontId="1" fillId="4" borderId="0" xfId="0" applyFont="1" applyFill="1" applyBorder="1"/>
    <xf numFmtId="0" fontId="1" fillId="4" borderId="7" xfId="0" applyFont="1" applyFill="1" applyBorder="1"/>
    <xf numFmtId="2" fontId="6" fillId="4" borderId="0" xfId="0" applyNumberFormat="1" applyFont="1" applyFill="1" applyBorder="1" applyAlignment="1">
      <alignment horizontal="center" vertical="center"/>
    </xf>
    <xf numFmtId="2" fontId="6" fillId="4" borderId="7" xfId="0" applyNumberFormat="1" applyFont="1" applyFill="1" applyBorder="1" applyAlignment="1">
      <alignment horizontal="center" vertical="center"/>
    </xf>
    <xf numFmtId="2" fontId="4" fillId="4" borderId="7" xfId="0" applyNumberFormat="1" applyFont="1" applyFill="1" applyBorder="1"/>
    <xf numFmtId="0" fontId="5" fillId="4" borderId="7" xfId="0" applyFont="1" applyFill="1" applyBorder="1" applyAlignment="1">
      <alignment horizontal="center" vertical="center" wrapText="1"/>
    </xf>
    <xf numFmtId="0" fontId="8" fillId="0" borderId="0" xfId="0" applyFont="1" applyAlignment="1">
      <alignment wrapText="1"/>
    </xf>
    <xf numFmtId="0" fontId="8" fillId="4" borderId="0" xfId="0" applyFont="1" applyFill="1" applyBorder="1" applyAlignment="1">
      <alignment horizontal="left" vertical="center" wrapText="1"/>
    </xf>
    <xf numFmtId="0" fontId="8" fillId="0" borderId="0" xfId="0" applyFont="1" applyBorder="1" applyAlignment="1">
      <alignment vertical="center" wrapText="1"/>
    </xf>
    <xf numFmtId="0" fontId="5" fillId="4" borderId="0" xfId="0" applyFont="1" applyFill="1" applyBorder="1" applyAlignment="1">
      <alignment horizontal="center" vertical="center" wrapText="1"/>
    </xf>
    <xf numFmtId="0" fontId="0" fillId="4" borderId="0" xfId="0" applyFill="1"/>
    <xf numFmtId="0" fontId="0" fillId="4" borderId="7" xfId="0" applyFill="1" applyBorder="1"/>
    <xf numFmtId="0" fontId="0" fillId="4" borderId="6" xfId="0" applyFill="1" applyBorder="1"/>
    <xf numFmtId="0" fontId="0" fillId="4" borderId="0" xfId="0" applyFill="1" applyBorder="1"/>
    <xf numFmtId="0" fontId="3" fillId="3" borderId="0" xfId="0" applyFont="1" applyFill="1" applyBorder="1" applyAlignment="1">
      <alignment horizontal="center" vertical="center"/>
    </xf>
    <xf numFmtId="0" fontId="3" fillId="3" borderId="7" xfId="0" applyFont="1" applyFill="1" applyBorder="1" applyAlignment="1">
      <alignment horizontal="center" vertical="center"/>
    </xf>
    <xf numFmtId="0" fontId="3" fillId="5" borderId="8" xfId="0" applyFont="1" applyFill="1" applyBorder="1" applyAlignment="1">
      <alignment horizontal="center" vertical="center"/>
    </xf>
    <xf numFmtId="0" fontId="3" fillId="5" borderId="0" xfId="0" applyFont="1" applyFill="1" applyBorder="1" applyAlignment="1">
      <alignment horizontal="center" vertical="center"/>
    </xf>
    <xf numFmtId="0" fontId="3" fillId="5" borderId="7" xfId="0" applyFont="1" applyFill="1" applyBorder="1" applyAlignment="1">
      <alignment horizontal="center" vertical="center"/>
    </xf>
    <xf numFmtId="0" fontId="3" fillId="3" borderId="8" xfId="0" applyFont="1" applyFill="1" applyBorder="1" applyAlignment="1">
      <alignment horizontal="center"/>
    </xf>
    <xf numFmtId="0" fontId="3" fillId="3" borderId="0" xfId="0" applyFont="1" applyFill="1" applyBorder="1" applyAlignment="1">
      <alignment horizontal="center"/>
    </xf>
    <xf numFmtId="0" fontId="3" fillId="3" borderId="7" xfId="0" applyFont="1" applyFill="1" applyBorder="1" applyAlignment="1">
      <alignment horizontal="center"/>
    </xf>
    <xf numFmtId="0" fontId="3" fillId="5" borderId="8" xfId="0" applyFont="1" applyFill="1" applyBorder="1" applyAlignment="1">
      <alignment horizontal="center"/>
    </xf>
    <xf numFmtId="0" fontId="3" fillId="5" borderId="0" xfId="0" applyFont="1" applyFill="1" applyBorder="1" applyAlignment="1">
      <alignment horizontal="center"/>
    </xf>
    <xf numFmtId="0" fontId="3" fillId="5" borderId="7" xfId="0" applyFont="1" applyFill="1" applyBorder="1" applyAlignment="1">
      <alignment horizontal="center"/>
    </xf>
    <xf numFmtId="0" fontId="4" fillId="3" borderId="0" xfId="0" applyFont="1" applyFill="1" applyBorder="1" applyAlignment="1">
      <alignment horizontal="center" vertical="center"/>
    </xf>
    <xf numFmtId="0" fontId="4" fillId="3" borderId="7" xfId="0" applyFont="1" applyFill="1" applyBorder="1" applyAlignment="1">
      <alignment horizontal="center" vertical="center"/>
    </xf>
    <xf numFmtId="0" fontId="4" fillId="5" borderId="8" xfId="0" applyFont="1" applyFill="1" applyBorder="1" applyAlignment="1">
      <alignment horizontal="center" vertical="center"/>
    </xf>
    <xf numFmtId="0" fontId="4" fillId="5" borderId="0" xfId="0" applyFont="1" applyFill="1" applyBorder="1" applyAlignment="1">
      <alignment horizontal="center" vertical="center"/>
    </xf>
    <xf numFmtId="0" fontId="4" fillId="5" borderId="7" xfId="0" applyFont="1" applyFill="1" applyBorder="1" applyAlignment="1">
      <alignment horizontal="center" vertical="center"/>
    </xf>
    <xf numFmtId="11" fontId="0" fillId="0" borderId="0" xfId="0" applyNumberFormat="1"/>
  </cellXfs>
  <cellStyles count="2">
    <cellStyle name="Normal" xfId="0" builtinId="0"/>
    <cellStyle name="Normal 2" xfId="1"/>
  </cellStyles>
  <dxfs count="0"/>
  <tableStyles count="0" defaultTableStyle="TableStyleMedium9" defaultPivotStyle="PivotStyleMedium4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worksheet" Target="worksheets/sheet8.xml"/><Relationship Id="rId13" Type="http://schemas.openxmlformats.org/officeDocument/2006/relationships/worksheet" Target="worksheets/sheet13.xml"/><Relationship Id="rId18" Type="http://schemas.openxmlformats.org/officeDocument/2006/relationships/worksheet" Target="worksheets/sheet18.xml"/><Relationship Id="rId26" Type="http://schemas.openxmlformats.org/officeDocument/2006/relationships/calcChain" Target="calcChain.xml"/><Relationship Id="rId3" Type="http://schemas.openxmlformats.org/officeDocument/2006/relationships/worksheet" Target="worksheets/sheet3.xml"/><Relationship Id="rId21" Type="http://schemas.openxmlformats.org/officeDocument/2006/relationships/worksheet" Target="worksheets/sheet21.xml"/><Relationship Id="rId7" Type="http://schemas.openxmlformats.org/officeDocument/2006/relationships/worksheet" Target="worksheets/sheet7.xml"/><Relationship Id="rId12" Type="http://schemas.openxmlformats.org/officeDocument/2006/relationships/worksheet" Target="worksheets/sheet12.xml"/><Relationship Id="rId17" Type="http://schemas.openxmlformats.org/officeDocument/2006/relationships/worksheet" Target="worksheets/sheet17.xml"/><Relationship Id="rId25" Type="http://schemas.openxmlformats.org/officeDocument/2006/relationships/sharedStrings" Target="sharedStrings.xml"/><Relationship Id="rId2" Type="http://schemas.openxmlformats.org/officeDocument/2006/relationships/worksheet" Target="worksheets/sheet2.xml"/><Relationship Id="rId16" Type="http://schemas.openxmlformats.org/officeDocument/2006/relationships/worksheet" Target="worksheets/sheet16.xml"/><Relationship Id="rId20" Type="http://schemas.openxmlformats.org/officeDocument/2006/relationships/worksheet" Target="worksheets/sheet20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worksheet" Target="worksheets/sheet11.xml"/><Relationship Id="rId24" Type="http://schemas.openxmlformats.org/officeDocument/2006/relationships/styles" Target="styles.xml"/><Relationship Id="rId5" Type="http://schemas.openxmlformats.org/officeDocument/2006/relationships/worksheet" Target="worksheets/sheet5.xml"/><Relationship Id="rId15" Type="http://schemas.openxmlformats.org/officeDocument/2006/relationships/worksheet" Target="worksheets/sheet15.xml"/><Relationship Id="rId23" Type="http://schemas.openxmlformats.org/officeDocument/2006/relationships/theme" Target="theme/theme1.xml"/><Relationship Id="rId10" Type="http://schemas.openxmlformats.org/officeDocument/2006/relationships/worksheet" Target="worksheets/sheet10.xml"/><Relationship Id="rId19" Type="http://schemas.openxmlformats.org/officeDocument/2006/relationships/worksheet" Target="worksheets/sheet19.xml"/><Relationship Id="rId4" Type="http://schemas.openxmlformats.org/officeDocument/2006/relationships/worksheet" Target="worksheets/sheet4.xml"/><Relationship Id="rId9" Type="http://schemas.openxmlformats.org/officeDocument/2006/relationships/worksheet" Target="worksheets/sheet9.xml"/><Relationship Id="rId14" Type="http://schemas.openxmlformats.org/officeDocument/2006/relationships/worksheet" Target="worksheets/sheet14.xml"/><Relationship Id="rId22" Type="http://schemas.openxmlformats.org/officeDocument/2006/relationships/worksheet" Target="worksheets/sheet22.xml"/><Relationship Id="rId27" Type="http://schemas.microsoft.com/office/2006/relationships/vbaProject" Target="vbaProject.bin"/></Relationships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">
      <a:majorFont>
        <a:latin typeface="Cambria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tint val="100000"/>
                <a:shade val="100000"/>
                <a:satMod val="130000"/>
              </a:schemeClr>
            </a:gs>
            <a:gs pos="100000">
              <a:schemeClr val="phClr">
                <a:tint val="50000"/>
                <a:shade val="100000"/>
                <a:satMod val="350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>
    <a:spDef>
      <a:spPr/>
      <a:bodyPr/>
      <a:lstStyle/>
      <a:style>
        <a:lnRef idx="1">
          <a:schemeClr val="accent1"/>
        </a:lnRef>
        <a:fillRef idx="3">
          <a:schemeClr val="accent1"/>
        </a:fillRef>
        <a:effectRef idx="2">
          <a:schemeClr val="accent1"/>
        </a:effectRef>
        <a:fontRef idx="minor">
          <a:schemeClr val="lt1"/>
        </a:fontRef>
      </a:style>
    </a:spDef>
    <a:lnDef>
      <a:spPr/>
      <a:bodyPr/>
      <a:lstStyle/>
      <a:style>
        <a:lnRef idx="2">
          <a:schemeClr val="accent1"/>
        </a:lnRef>
        <a:fillRef idx="0">
          <a:schemeClr val="accent1"/>
        </a:fillRef>
        <a:effectRef idx="1">
          <a:schemeClr val="accent1"/>
        </a:effectRef>
        <a:fontRef idx="minor">
          <a:schemeClr val="tx1"/>
        </a:fontRef>
      </a:style>
    </a:lnDef>
  </a:objectDefaults>
  <a:extraClrSchemeLst/>
</a:theme>
</file>

<file path=xl/worksheets/_rels/sheet1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.bin"/></Relationships>
</file>

<file path=xl/worksheets/_rels/sheet2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2.bin"/></Relationships>
</file>

<file path=xl/worksheets/_rels/sheet3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3.bin"/></Relationships>
</file>

<file path=xl/worksheets/_rels/sheet13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4.bin"/></Relationships>
</file>

<file path=xl/worksheets/_rels/sheet14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5.bin"/></Relationships>
</file>

<file path=xl/worksheets/_rels/sheet19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6.bin"/></Relationships>
</file>

<file path=xl/worksheets/_rels/sheet20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7.bin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Feuil2"/>
  <dimension ref="A1:M24"/>
  <sheetViews>
    <sheetView showGridLines="0" workbookViewId="0">
      <selection activeCell="G4" sqref="G4"/>
    </sheetView>
  </sheetViews>
  <sheetFormatPr baseColWidth="10" defaultColWidth="11" defaultRowHeight="15.75" x14ac:dyDescent="0.25"/>
  <cols>
    <col min="1" max="1" width="37.125" customWidth="1"/>
  </cols>
  <sheetData>
    <row r="1" spans="1:13" x14ac:dyDescent="0.25">
      <c r="A1" s="34" t="s">
        <v>29</v>
      </c>
    </row>
    <row r="2" spans="1:13" ht="29.25" customHeight="1" x14ac:dyDescent="0.25">
      <c r="A2" s="16"/>
      <c r="B2" s="41" t="s">
        <v>45</v>
      </c>
      <c r="C2" s="41"/>
      <c r="D2" s="41"/>
      <c r="E2" s="41"/>
      <c r="F2" s="41"/>
      <c r="G2" s="42"/>
      <c r="H2" s="43" t="s">
        <v>46</v>
      </c>
      <c r="I2" s="44"/>
      <c r="J2" s="44"/>
      <c r="K2" s="44"/>
      <c r="L2" s="44"/>
      <c r="M2" s="45"/>
    </row>
    <row r="3" spans="1:13" x14ac:dyDescent="0.25">
      <c r="A3" s="17"/>
      <c r="B3" s="9" t="s">
        <v>0</v>
      </c>
      <c r="C3" s="9" t="s">
        <v>1</v>
      </c>
      <c r="D3" s="9" t="s">
        <v>2</v>
      </c>
      <c r="E3" s="9" t="s">
        <v>3</v>
      </c>
      <c r="F3" s="9" t="s">
        <v>4</v>
      </c>
      <c r="G3" s="11" t="s">
        <v>50</v>
      </c>
      <c r="H3" s="24" t="s">
        <v>0</v>
      </c>
      <c r="I3" s="10" t="s">
        <v>1</v>
      </c>
      <c r="J3" s="10" t="s">
        <v>2</v>
      </c>
      <c r="K3" s="10" t="s">
        <v>3</v>
      </c>
      <c r="L3" s="10" t="s">
        <v>4</v>
      </c>
      <c r="M3" s="25" t="s">
        <v>5</v>
      </c>
    </row>
    <row r="4" spans="1:13" x14ac:dyDescent="0.25">
      <c r="A4" s="18" t="s">
        <v>6</v>
      </c>
      <c r="B4" s="14">
        <f t="array" ref="B4:G22">TRANSPOSE('EXR10'!$B$3:$T$8)</f>
        <v>9.3757999999999994E-2</v>
      </c>
      <c r="C4" s="14">
        <v>0.25870500000000002</v>
      </c>
      <c r="D4" s="14">
        <v>0.46767700000000001</v>
      </c>
      <c r="E4" s="14">
        <v>0.80463300000000004</v>
      </c>
      <c r="F4" s="14">
        <v>0.79262999999999995</v>
      </c>
      <c r="G4" s="15">
        <v>0.23064200000000001</v>
      </c>
      <c r="H4" s="12">
        <v>0.48</v>
      </c>
      <c r="I4" s="36">
        <v>0.96</v>
      </c>
      <c r="J4" s="36">
        <v>1.36</v>
      </c>
      <c r="K4" s="36">
        <v>1.39</v>
      </c>
      <c r="L4" s="36">
        <v>0.99</v>
      </c>
      <c r="M4" s="32">
        <v>0.02</v>
      </c>
    </row>
    <row r="5" spans="1:13" x14ac:dyDescent="0.25">
      <c r="A5" s="18" t="s">
        <v>8</v>
      </c>
      <c r="B5" s="14">
        <v>-1.0439860000000001</v>
      </c>
      <c r="C5" s="14">
        <v>-1.385435</v>
      </c>
      <c r="D5" s="14">
        <v>-1.277129</v>
      </c>
      <c r="E5" s="14">
        <v>-0.56142400000000003</v>
      </c>
      <c r="F5" s="14">
        <v>0.74014400000000002</v>
      </c>
      <c r="G5" s="15">
        <v>0.10921400000000001</v>
      </c>
      <c r="H5" s="12">
        <v>-0.03</v>
      </c>
      <c r="I5" s="36">
        <v>0.22</v>
      </c>
      <c r="J5" s="36">
        <v>0.69</v>
      </c>
      <c r="K5" s="36">
        <v>1.1599999999999999</v>
      </c>
      <c r="L5" s="36">
        <v>1.1000000000000001</v>
      </c>
      <c r="M5" s="32">
        <v>-0.03</v>
      </c>
    </row>
    <row r="6" spans="1:13" x14ac:dyDescent="0.25">
      <c r="A6" s="18" t="s">
        <v>9</v>
      </c>
      <c r="B6" s="14">
        <v>-0.11709600000000001</v>
      </c>
      <c r="C6" s="14">
        <v>-2.2029E-2</v>
      </c>
      <c r="D6" s="14">
        <v>0.174766</v>
      </c>
      <c r="E6" s="14">
        <v>0.62369699999999995</v>
      </c>
      <c r="F6" s="14">
        <v>1.3791420000000001</v>
      </c>
      <c r="G6" s="15">
        <v>1.7484420000000001</v>
      </c>
      <c r="H6" s="12">
        <v>0.7</v>
      </c>
      <c r="I6" s="36">
        <v>1.61</v>
      </c>
      <c r="J6" s="36">
        <v>2.2400000000000002</v>
      </c>
      <c r="K6" s="36">
        <v>1.94</v>
      </c>
      <c r="L6" s="36">
        <v>0.93</v>
      </c>
      <c r="M6" s="32">
        <v>0</v>
      </c>
    </row>
    <row r="7" spans="1:13" x14ac:dyDescent="0.25">
      <c r="A7" s="18" t="s">
        <v>11</v>
      </c>
      <c r="B7" s="14">
        <v>1.909907</v>
      </c>
      <c r="C7" s="14">
        <v>2.946593</v>
      </c>
      <c r="D7" s="14">
        <v>3.3940890000000001</v>
      </c>
      <c r="E7" s="14">
        <v>3.2295280000000002</v>
      </c>
      <c r="F7" s="14">
        <v>0.82189500000000004</v>
      </c>
      <c r="G7" s="15">
        <v>-0.32525999999999999</v>
      </c>
      <c r="H7" s="12">
        <v>1.33</v>
      </c>
      <c r="I7" s="36">
        <v>2.15</v>
      </c>
      <c r="J7" s="36">
        <v>2.37</v>
      </c>
      <c r="K7" s="36">
        <v>2.31</v>
      </c>
      <c r="L7" s="36">
        <v>1.76</v>
      </c>
      <c r="M7" s="32">
        <v>0.47</v>
      </c>
    </row>
    <row r="8" spans="1:13" x14ac:dyDescent="0.25">
      <c r="A8" s="18" t="s">
        <v>12</v>
      </c>
      <c r="B8" s="14">
        <v>-1.0601609999999999</v>
      </c>
      <c r="C8" s="14">
        <v>-1.4508289999999999</v>
      </c>
      <c r="D8" s="14">
        <v>-1.459346</v>
      </c>
      <c r="E8" s="14">
        <v>-0.96397100000000002</v>
      </c>
      <c r="F8" s="14">
        <v>0.37937599999999999</v>
      </c>
      <c r="G8" s="15">
        <v>0.35108899999999998</v>
      </c>
      <c r="H8" s="12">
        <v>0.38</v>
      </c>
      <c r="I8" s="36">
        <v>0.65</v>
      </c>
      <c r="J8" s="36">
        <v>1.1399999999999999</v>
      </c>
      <c r="K8" s="36">
        <v>1.07</v>
      </c>
      <c r="L8" s="36">
        <v>0.74</v>
      </c>
      <c r="M8" s="32">
        <v>0.28999999999999998</v>
      </c>
    </row>
    <row r="9" spans="1:13" x14ac:dyDescent="0.25">
      <c r="A9" s="18" t="s">
        <v>32</v>
      </c>
      <c r="B9" s="14">
        <v>0.898034</v>
      </c>
      <c r="C9" s="14">
        <v>1.9166609999999999</v>
      </c>
      <c r="D9" s="14">
        <v>3.1902439999999999</v>
      </c>
      <c r="E9" s="14">
        <v>5.9359000000000002</v>
      </c>
      <c r="F9" s="14">
        <v>11.16198</v>
      </c>
      <c r="G9" s="15">
        <v>10.48948</v>
      </c>
      <c r="H9" s="12">
        <v>-0.12</v>
      </c>
      <c r="I9" s="36">
        <v>0.35</v>
      </c>
      <c r="J9" s="36">
        <v>0.84</v>
      </c>
      <c r="K9" s="36">
        <v>1.28</v>
      </c>
      <c r="L9" s="36">
        <v>1.06</v>
      </c>
      <c r="M9" s="32">
        <v>-0.03</v>
      </c>
    </row>
    <row r="10" spans="1:13" x14ac:dyDescent="0.25">
      <c r="A10" s="18" t="s">
        <v>33</v>
      </c>
      <c r="B10" s="14">
        <v>-0.44667000000000001</v>
      </c>
      <c r="C10" s="14">
        <v>-2.9489000000000001E-2</v>
      </c>
      <c r="D10" s="14">
        <v>0.171377</v>
      </c>
      <c r="E10" s="14">
        <v>0.188862</v>
      </c>
      <c r="F10" s="14">
        <v>-2.9222000000000001E-2</v>
      </c>
      <c r="G10" s="15">
        <v>2.9450000000000001E-3</v>
      </c>
      <c r="H10" s="12">
        <v>-7.0000000000000007E-2</v>
      </c>
      <c r="I10" s="36">
        <v>0.11</v>
      </c>
      <c r="J10" s="36">
        <v>0.12</v>
      </c>
      <c r="K10" s="36">
        <v>0.1</v>
      </c>
      <c r="L10" s="36">
        <v>-0.03</v>
      </c>
      <c r="M10" s="32">
        <v>0</v>
      </c>
    </row>
    <row r="11" spans="1:13" x14ac:dyDescent="0.25">
      <c r="A11" s="18" t="s">
        <v>34</v>
      </c>
      <c r="B11" s="14">
        <v>2.470701</v>
      </c>
      <c r="C11" s="14">
        <v>3.382495</v>
      </c>
      <c r="D11" s="14">
        <v>4.3252829999999998</v>
      </c>
      <c r="E11" s="14">
        <v>6.3094979999999996</v>
      </c>
      <c r="F11" s="14">
        <v>10.38124</v>
      </c>
      <c r="G11" s="15">
        <v>10.365320000000001</v>
      </c>
      <c r="H11" s="12">
        <v>0.57999999999999996</v>
      </c>
      <c r="I11" s="36">
        <v>1.04</v>
      </c>
      <c r="J11" s="36">
        <v>1.46</v>
      </c>
      <c r="K11" s="36">
        <v>2.25</v>
      </c>
      <c r="L11" s="36">
        <v>3.26</v>
      </c>
      <c r="M11" s="32">
        <v>5.14</v>
      </c>
    </row>
    <row r="12" spans="1:13" x14ac:dyDescent="0.25">
      <c r="A12" s="18" t="s">
        <v>35</v>
      </c>
      <c r="B12" s="14">
        <v>1.182412</v>
      </c>
      <c r="C12" s="14">
        <v>2.2616360000000002</v>
      </c>
      <c r="D12" s="14">
        <v>3.3593609999999998</v>
      </c>
      <c r="E12" s="14">
        <v>5.6542510000000004</v>
      </c>
      <c r="F12" s="14">
        <v>10.374000000000001</v>
      </c>
      <c r="G12" s="15">
        <v>10.36773</v>
      </c>
      <c r="H12" s="12">
        <v>0.41</v>
      </c>
      <c r="I12" s="36">
        <v>0.92</v>
      </c>
      <c r="J12" s="36">
        <v>1.45</v>
      </c>
      <c r="K12" s="36">
        <v>2.39</v>
      </c>
      <c r="L12" s="36">
        <v>3.42</v>
      </c>
      <c r="M12" s="32">
        <v>5.2</v>
      </c>
    </row>
    <row r="13" spans="1:13" x14ac:dyDescent="0.25">
      <c r="A13" s="18" t="s">
        <v>36</v>
      </c>
      <c r="B13" s="14">
        <v>-0.35541499999999998</v>
      </c>
      <c r="C13" s="14">
        <v>0.90381400000000001</v>
      </c>
      <c r="D13" s="14">
        <v>2.1848260000000002</v>
      </c>
      <c r="E13" s="14">
        <v>4.866142</v>
      </c>
      <c r="F13" s="14">
        <v>10.388019999999999</v>
      </c>
      <c r="G13" s="15">
        <v>10.38855</v>
      </c>
      <c r="H13" s="12">
        <v>0.05</v>
      </c>
      <c r="I13" s="36">
        <v>0.44</v>
      </c>
      <c r="J13" s="36">
        <v>0.92</v>
      </c>
      <c r="K13" s="36">
        <v>1.81</v>
      </c>
      <c r="L13" s="36">
        <v>2.95</v>
      </c>
      <c r="M13" s="32">
        <v>5.22</v>
      </c>
    </row>
    <row r="14" spans="1:13" x14ac:dyDescent="0.25">
      <c r="A14" s="18" t="s">
        <v>37</v>
      </c>
      <c r="B14" s="14">
        <v>2.7058810000000002</v>
      </c>
      <c r="C14" s="14">
        <v>3.6057239999999999</v>
      </c>
      <c r="D14" s="14">
        <v>4.5220440000000002</v>
      </c>
      <c r="E14" s="14">
        <v>6.4350180000000003</v>
      </c>
      <c r="F14" s="14">
        <v>10.36008</v>
      </c>
      <c r="G14" s="15">
        <v>10.347060000000001</v>
      </c>
      <c r="H14" s="12">
        <v>0.67</v>
      </c>
      <c r="I14" s="36">
        <v>1.18</v>
      </c>
      <c r="J14" s="36">
        <v>1.66</v>
      </c>
      <c r="K14" s="36">
        <v>2.54</v>
      </c>
      <c r="L14" s="36">
        <v>3.5</v>
      </c>
      <c r="M14" s="32">
        <v>5.17</v>
      </c>
    </row>
    <row r="15" spans="1:13" x14ac:dyDescent="0.25">
      <c r="A15" s="18" t="s">
        <v>38</v>
      </c>
      <c r="B15" s="14">
        <v>1.6629179999999999</v>
      </c>
      <c r="C15" s="14">
        <v>2.9952770000000002</v>
      </c>
      <c r="D15" s="14">
        <v>4.181133</v>
      </c>
      <c r="E15" s="14">
        <v>6.3580509999999997</v>
      </c>
      <c r="F15" s="14">
        <v>10.454660000000001</v>
      </c>
      <c r="G15" s="15">
        <v>10.35834</v>
      </c>
      <c r="H15" s="12">
        <v>1.18</v>
      </c>
      <c r="I15" s="36">
        <v>1.74</v>
      </c>
      <c r="J15" s="36">
        <v>2.19</v>
      </c>
      <c r="K15" s="36">
        <v>3.01</v>
      </c>
      <c r="L15" s="36">
        <v>3.91</v>
      </c>
      <c r="M15" s="32">
        <v>5.33</v>
      </c>
    </row>
    <row r="16" spans="1:13" x14ac:dyDescent="0.25">
      <c r="A16" s="18" t="s">
        <v>39</v>
      </c>
      <c r="B16" s="14">
        <v>10</v>
      </c>
      <c r="C16" s="14">
        <v>10</v>
      </c>
      <c r="D16" s="14">
        <v>10</v>
      </c>
      <c r="E16" s="14">
        <v>10</v>
      </c>
      <c r="F16" s="14">
        <v>9.9999990000000007</v>
      </c>
      <c r="G16" s="15">
        <v>9.9999990000000007</v>
      </c>
      <c r="H16" s="12">
        <v>1.74</v>
      </c>
      <c r="I16" s="36">
        <v>2.34</v>
      </c>
      <c r="J16" s="36">
        <v>2.66</v>
      </c>
      <c r="K16" s="36">
        <v>3.3</v>
      </c>
      <c r="L16" s="36">
        <v>4.09</v>
      </c>
      <c r="M16" s="32">
        <v>5.35</v>
      </c>
    </row>
    <row r="17" spans="1:13" x14ac:dyDescent="0.25">
      <c r="A17" s="18" t="s">
        <v>40</v>
      </c>
      <c r="B17" s="14">
        <v>0.116997</v>
      </c>
      <c r="C17" s="14">
        <v>1.033603</v>
      </c>
      <c r="D17" s="14">
        <v>2.2622100000000001</v>
      </c>
      <c r="E17" s="14">
        <v>4.9720409999999999</v>
      </c>
      <c r="F17" s="14">
        <v>10.43289</v>
      </c>
      <c r="G17" s="15">
        <v>10.64981</v>
      </c>
      <c r="H17" s="12">
        <v>0.52</v>
      </c>
      <c r="I17" s="36">
        <v>1.47</v>
      </c>
      <c r="J17" s="36">
        <v>2.3199999999999998</v>
      </c>
      <c r="K17" s="36">
        <v>3.69</v>
      </c>
      <c r="L17" s="36">
        <v>4.6399999999999997</v>
      </c>
      <c r="M17" s="32">
        <v>5.25</v>
      </c>
    </row>
    <row r="18" spans="1:13" x14ac:dyDescent="0.25">
      <c r="A18" s="18" t="s">
        <v>16</v>
      </c>
      <c r="B18" s="14">
        <v>0.47409600000000002</v>
      </c>
      <c r="C18" s="14">
        <v>0.12862699999999999</v>
      </c>
      <c r="D18" s="14">
        <v>7.5729000000000005E-2</v>
      </c>
      <c r="E18" s="14">
        <v>0.10098500000000001</v>
      </c>
      <c r="F18" s="14">
        <v>4.0640999999999997E-2</v>
      </c>
      <c r="G18" s="15">
        <v>0.23666999999999999</v>
      </c>
      <c r="H18" s="12">
        <v>0.47</v>
      </c>
      <c r="I18" s="36">
        <v>1.02</v>
      </c>
      <c r="J18" s="36">
        <v>1.39</v>
      </c>
      <c r="K18" s="36">
        <v>1.85</v>
      </c>
      <c r="L18" s="36">
        <v>1.65</v>
      </c>
      <c r="M18" s="32">
        <v>0.03</v>
      </c>
    </row>
    <row r="19" spans="1:13" x14ac:dyDescent="0.25">
      <c r="A19" s="18" t="s">
        <v>41</v>
      </c>
      <c r="B19" s="14">
        <v>0.208145</v>
      </c>
      <c r="C19" s="14">
        <v>0.49817600000000001</v>
      </c>
      <c r="D19" s="14">
        <v>0.79074500000000003</v>
      </c>
      <c r="E19" s="14">
        <v>1.1917439999999999</v>
      </c>
      <c r="F19" s="14">
        <v>0.82084100000000004</v>
      </c>
      <c r="G19" s="15">
        <v>0.164659</v>
      </c>
      <c r="H19" s="12">
        <v>24</v>
      </c>
      <c r="I19" s="36">
        <v>90</v>
      </c>
      <c r="J19" s="36">
        <v>160</v>
      </c>
      <c r="K19" s="36">
        <v>186</v>
      </c>
      <c r="L19" s="36">
        <v>98</v>
      </c>
      <c r="M19" s="32">
        <v>2</v>
      </c>
    </row>
    <row r="20" spans="1:13" x14ac:dyDescent="0.25">
      <c r="A20" s="18" t="s">
        <v>42</v>
      </c>
      <c r="B20" s="14">
        <v>-0.156999</v>
      </c>
      <c r="C20" s="14">
        <v>-0.36288999999999999</v>
      </c>
      <c r="D20" s="14">
        <v>-0.56014299999999995</v>
      </c>
      <c r="E20" s="14">
        <v>-0.80787799999999999</v>
      </c>
      <c r="F20" s="14">
        <v>-0.50619499999999995</v>
      </c>
      <c r="G20" s="15">
        <v>-0.10649500000000001</v>
      </c>
      <c r="H20" s="12">
        <v>-0.1</v>
      </c>
      <c r="I20" s="36">
        <v>-0.38</v>
      </c>
      <c r="J20" s="36">
        <v>-0.67</v>
      </c>
      <c r="K20" s="36">
        <v>-0.78</v>
      </c>
      <c r="L20" s="36">
        <v>-0.41</v>
      </c>
      <c r="M20" s="32">
        <v>-0.01</v>
      </c>
    </row>
    <row r="21" spans="1:13" x14ac:dyDescent="0.25">
      <c r="A21" s="18" t="s">
        <v>43</v>
      </c>
      <c r="B21" s="14">
        <v>-1.446763</v>
      </c>
      <c r="C21" s="14">
        <v>-0.71826500000000004</v>
      </c>
      <c r="D21" s="14">
        <v>-0.28393699999999999</v>
      </c>
      <c r="E21" s="14">
        <v>0.12128700000000001</v>
      </c>
      <c r="F21" s="14">
        <v>0.22078500000000001</v>
      </c>
      <c r="G21" s="15">
        <v>-7.5106000000000006E-2</v>
      </c>
      <c r="H21" s="12">
        <v>0.09</v>
      </c>
      <c r="I21" s="36">
        <v>0.25</v>
      </c>
      <c r="J21" s="36">
        <v>0.21</v>
      </c>
      <c r="K21" s="36">
        <v>0.28000000000000003</v>
      </c>
      <c r="L21" s="36">
        <v>0.24</v>
      </c>
      <c r="M21" s="32">
        <v>0.04</v>
      </c>
    </row>
    <row r="22" spans="1:13" x14ac:dyDescent="0.25">
      <c r="A22" s="18" t="s">
        <v>44</v>
      </c>
      <c r="B22" s="14">
        <v>-0.515791</v>
      </c>
      <c r="C22" s="14">
        <v>-0.46571400000000002</v>
      </c>
      <c r="D22" s="14">
        <v>-0.28658699999999998</v>
      </c>
      <c r="E22" s="14">
        <v>0.14751500000000001</v>
      </c>
      <c r="F22" s="14">
        <v>0.902667</v>
      </c>
      <c r="G22" s="15">
        <v>-2.0830000000000001E-2</v>
      </c>
      <c r="H22" s="12">
        <v>0.11</v>
      </c>
      <c r="I22" s="36">
        <v>0.28000000000000003</v>
      </c>
      <c r="J22" s="36">
        <v>0.44</v>
      </c>
      <c r="K22" s="36">
        <v>0.41</v>
      </c>
      <c r="L22" s="36">
        <v>0.16</v>
      </c>
      <c r="M22" s="32">
        <v>-0.28000000000000003</v>
      </c>
    </row>
    <row r="23" spans="1:13" x14ac:dyDescent="0.25">
      <c r="A23" s="8"/>
      <c r="B23" s="8"/>
      <c r="C23" s="8"/>
      <c r="D23" s="8"/>
      <c r="E23" s="8"/>
      <c r="F23" s="8"/>
      <c r="G23" s="8"/>
      <c r="I23" s="8"/>
    </row>
    <row r="24" spans="1:13" x14ac:dyDescent="0.25">
      <c r="A24" s="8"/>
      <c r="B24" s="8"/>
      <c r="C24" s="8"/>
      <c r="D24" s="8"/>
      <c r="E24" s="8"/>
      <c r="F24" s="8"/>
      <c r="G24" s="8"/>
    </row>
  </sheetData>
  <mergeCells count="2">
    <mergeCell ref="B2:G2"/>
    <mergeCell ref="H2:M2"/>
  </mergeCells>
  <pageMargins left="0.7" right="0.7" top="0.75" bottom="0.75" header="0.3" footer="0.3"/>
  <pageSetup paperSize="9" orientation="portrait" r:id="rId1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Feuil3"/>
  <dimension ref="A1:M26"/>
  <sheetViews>
    <sheetView showGridLines="0" workbookViewId="0">
      <selection activeCell="G4" sqref="G4"/>
    </sheetView>
  </sheetViews>
  <sheetFormatPr baseColWidth="10" defaultColWidth="11" defaultRowHeight="15.75" x14ac:dyDescent="0.25"/>
  <cols>
    <col min="1" max="1" width="33.625" customWidth="1"/>
  </cols>
  <sheetData>
    <row r="1" spans="1:13" ht="36" customHeight="1" x14ac:dyDescent="0.25">
      <c r="A1" s="35" t="s">
        <v>30</v>
      </c>
      <c r="B1" s="8"/>
      <c r="C1" s="8"/>
      <c r="D1" s="8"/>
      <c r="E1" s="8"/>
      <c r="F1" s="8"/>
      <c r="G1" s="8"/>
    </row>
    <row r="2" spans="1:13" x14ac:dyDescent="0.25">
      <c r="A2" s="16"/>
      <c r="B2" s="46" t="s">
        <v>47</v>
      </c>
      <c r="C2" s="47"/>
      <c r="D2" s="47"/>
      <c r="E2" s="47"/>
      <c r="F2" s="47"/>
      <c r="G2" s="48"/>
      <c r="H2" s="49" t="s">
        <v>46</v>
      </c>
      <c r="I2" s="50"/>
      <c r="J2" s="50"/>
      <c r="K2" s="50"/>
      <c r="L2" s="50"/>
      <c r="M2" s="51"/>
    </row>
    <row r="3" spans="1:13" x14ac:dyDescent="0.25">
      <c r="A3" s="22"/>
      <c r="B3" s="23" t="s">
        <v>0</v>
      </c>
      <c r="C3" s="9" t="s">
        <v>1</v>
      </c>
      <c r="D3" s="9" t="s">
        <v>2</v>
      </c>
      <c r="E3" s="9" t="s">
        <v>3</v>
      </c>
      <c r="F3" s="9" t="s">
        <v>4</v>
      </c>
      <c r="G3" s="11" t="s">
        <v>50</v>
      </c>
      <c r="H3" s="24" t="s">
        <v>0</v>
      </c>
      <c r="I3" s="10" t="s">
        <v>1</v>
      </c>
      <c r="J3" s="10" t="s">
        <v>2</v>
      </c>
      <c r="K3" s="10" t="s">
        <v>3</v>
      </c>
      <c r="L3" s="10" t="s">
        <v>4</v>
      </c>
      <c r="M3" s="25" t="s">
        <v>5</v>
      </c>
    </row>
    <row r="4" spans="1:13" x14ac:dyDescent="0.25">
      <c r="A4" s="18" t="s">
        <v>6</v>
      </c>
      <c r="B4" s="20">
        <f t="array" ref="B4:G22">TRANSPOSE(EXPG1!$B$3:$T$8)</f>
        <v>1.091261</v>
      </c>
      <c r="C4" s="19">
        <v>1.233058</v>
      </c>
      <c r="D4" s="19">
        <v>1.320522</v>
      </c>
      <c r="E4" s="19">
        <v>1.3220540000000001</v>
      </c>
      <c r="F4" s="19">
        <v>0.92946499999999999</v>
      </c>
      <c r="G4" s="21">
        <v>0.38163000000000002</v>
      </c>
      <c r="H4" s="13">
        <v>0.78</v>
      </c>
      <c r="I4" s="13">
        <v>1.06</v>
      </c>
      <c r="J4" s="13">
        <v>1.03</v>
      </c>
      <c r="K4" s="13">
        <v>0.86</v>
      </c>
      <c r="L4" s="13">
        <v>0.53</v>
      </c>
      <c r="M4" s="32">
        <v>0.16</v>
      </c>
    </row>
    <row r="5" spans="1:13" x14ac:dyDescent="0.25">
      <c r="A5" s="18" t="s">
        <v>8</v>
      </c>
      <c r="B5" s="20">
        <v>0.31307699999999999</v>
      </c>
      <c r="C5" s="19">
        <v>0.68662699999999999</v>
      </c>
      <c r="D5" s="19">
        <v>1.0115719999999999</v>
      </c>
      <c r="E5" s="19">
        <v>1.4137219999999999</v>
      </c>
      <c r="F5" s="19">
        <v>1.453829</v>
      </c>
      <c r="G5" s="21">
        <v>0.48428100000000002</v>
      </c>
      <c r="H5" s="13">
        <v>0.69</v>
      </c>
      <c r="I5" s="13">
        <v>1.35</v>
      </c>
      <c r="J5" s="13">
        <v>1.64</v>
      </c>
      <c r="K5" s="13">
        <v>1.85</v>
      </c>
      <c r="L5" s="13">
        <v>1.63</v>
      </c>
      <c r="M5" s="32">
        <v>1.1499999999999999</v>
      </c>
    </row>
    <row r="6" spans="1:13" x14ac:dyDescent="0.25">
      <c r="A6" s="18" t="s">
        <v>9</v>
      </c>
      <c r="B6" s="20">
        <v>0.491643</v>
      </c>
      <c r="C6" s="19">
        <v>0.77291799999999999</v>
      </c>
      <c r="D6" s="19">
        <v>0.91297700000000004</v>
      </c>
      <c r="E6" s="19">
        <v>0.97092400000000001</v>
      </c>
      <c r="F6" s="19">
        <v>0.84429699999999996</v>
      </c>
      <c r="G6" s="21">
        <v>9.2481999999999995E-2</v>
      </c>
      <c r="H6" s="13">
        <v>1.24</v>
      </c>
      <c r="I6" s="13">
        <v>1.96</v>
      </c>
      <c r="J6" s="13">
        <v>1.83</v>
      </c>
      <c r="K6" s="13">
        <v>1.29</v>
      </c>
      <c r="L6" s="13">
        <v>0.76</v>
      </c>
      <c r="M6" s="32">
        <v>0.47</v>
      </c>
    </row>
    <row r="7" spans="1:13" x14ac:dyDescent="0.25">
      <c r="A7" s="18" t="s">
        <v>11</v>
      </c>
      <c r="B7" s="20">
        <v>-4.7245000000000002E-2</v>
      </c>
      <c r="C7" s="19">
        <v>-0.160914</v>
      </c>
      <c r="D7" s="19">
        <v>-0.33871499999999999</v>
      </c>
      <c r="E7" s="19">
        <v>-0.82102699999999995</v>
      </c>
      <c r="F7" s="19">
        <v>-1.909842</v>
      </c>
      <c r="G7" s="21">
        <v>-0.97006199999999998</v>
      </c>
      <c r="H7" s="13">
        <v>0</v>
      </c>
      <c r="I7" s="13">
        <v>-0.16</v>
      </c>
      <c r="J7" s="13">
        <v>-0.38</v>
      </c>
      <c r="K7" s="13">
        <v>-0.78</v>
      </c>
      <c r="L7" s="13">
        <v>-1.27</v>
      </c>
      <c r="M7" s="32">
        <v>-1.73</v>
      </c>
    </row>
    <row r="8" spans="1:13" x14ac:dyDescent="0.25">
      <c r="A8" s="18" t="s">
        <v>12</v>
      </c>
      <c r="B8" s="20">
        <v>0.59653500000000004</v>
      </c>
      <c r="C8" s="19">
        <v>0.92160200000000003</v>
      </c>
      <c r="D8" s="19">
        <v>1.1855089999999999</v>
      </c>
      <c r="E8" s="19">
        <v>1.548354</v>
      </c>
      <c r="F8" s="19">
        <v>1.7384010000000001</v>
      </c>
      <c r="G8" s="21">
        <v>0.73440899999999998</v>
      </c>
      <c r="H8" s="13">
        <v>0.98</v>
      </c>
      <c r="I8" s="13">
        <v>1.51</v>
      </c>
      <c r="J8" s="13">
        <v>1.45</v>
      </c>
      <c r="K8" s="13">
        <v>1.33</v>
      </c>
      <c r="L8" s="13">
        <v>1.1599999999999999</v>
      </c>
      <c r="M8" s="32">
        <v>1.03</v>
      </c>
    </row>
    <row r="9" spans="1:13" x14ac:dyDescent="0.25">
      <c r="A9" s="18" t="s">
        <v>32</v>
      </c>
      <c r="B9" s="20">
        <v>0.67673099999999997</v>
      </c>
      <c r="C9" s="19">
        <v>1.379459</v>
      </c>
      <c r="D9" s="19">
        <v>2.0471759999999999</v>
      </c>
      <c r="E9" s="19">
        <v>3.1620919999999999</v>
      </c>
      <c r="F9" s="19">
        <v>4.2754789999999998</v>
      </c>
      <c r="G9" s="21">
        <v>1.5796619999999999</v>
      </c>
      <c r="H9" s="13">
        <v>1.22</v>
      </c>
      <c r="I9" s="13">
        <v>1.57</v>
      </c>
      <c r="J9" s="13">
        <v>1.82</v>
      </c>
      <c r="K9" s="13">
        <v>1.98</v>
      </c>
      <c r="L9" s="13">
        <v>1.58</v>
      </c>
      <c r="M9" s="32">
        <v>1.1499999999999999</v>
      </c>
    </row>
    <row r="10" spans="1:13" x14ac:dyDescent="0.25">
      <c r="A10" s="18" t="s">
        <v>33</v>
      </c>
      <c r="B10" s="20">
        <v>0.13172600000000001</v>
      </c>
      <c r="C10" s="19">
        <v>0.121751</v>
      </c>
      <c r="D10" s="19">
        <v>6.8659999999999999E-2</v>
      </c>
      <c r="E10" s="19">
        <v>-2.3141999999999999E-2</v>
      </c>
      <c r="F10" s="19">
        <v>-4.6299E-2</v>
      </c>
      <c r="G10" s="21">
        <v>1.8829999999999999E-3</v>
      </c>
      <c r="H10" s="13">
        <v>0.46</v>
      </c>
      <c r="I10" s="13">
        <v>0.19</v>
      </c>
      <c r="J10" s="13">
        <v>0.15</v>
      </c>
      <c r="K10" s="13">
        <v>0.11</v>
      </c>
      <c r="L10" s="13">
        <v>-0.04</v>
      </c>
      <c r="M10" s="32">
        <v>0</v>
      </c>
    </row>
    <row r="11" spans="1:13" x14ac:dyDescent="0.25">
      <c r="A11" s="18" t="s">
        <v>34</v>
      </c>
      <c r="B11" s="20">
        <v>0.215003</v>
      </c>
      <c r="C11" s="19">
        <v>0.55131799999999997</v>
      </c>
      <c r="D11" s="19">
        <v>0.94783399999999995</v>
      </c>
      <c r="E11" s="19">
        <v>1.7502660000000001</v>
      </c>
      <c r="F11" s="19">
        <v>2.8343150000000001</v>
      </c>
      <c r="G11" s="21">
        <v>1.0879779999999999</v>
      </c>
      <c r="H11" s="13">
        <v>0.2</v>
      </c>
      <c r="I11" s="13">
        <v>0.57999999999999996</v>
      </c>
      <c r="J11" s="13">
        <v>0.94</v>
      </c>
      <c r="K11" s="13">
        <v>1.42</v>
      </c>
      <c r="L11" s="13">
        <v>1.88</v>
      </c>
      <c r="M11" s="32">
        <v>2.69</v>
      </c>
    </row>
    <row r="12" spans="1:13" x14ac:dyDescent="0.25">
      <c r="A12" s="18" t="s">
        <v>35</v>
      </c>
      <c r="B12" s="20">
        <v>0.25395800000000002</v>
      </c>
      <c r="C12" s="19">
        <v>0.65593800000000002</v>
      </c>
      <c r="D12" s="19">
        <v>1.1306369999999999</v>
      </c>
      <c r="E12" s="19">
        <v>2.0854979999999999</v>
      </c>
      <c r="F12" s="19">
        <v>3.3463699999999998</v>
      </c>
      <c r="G12" s="21">
        <v>1.2768440000000001</v>
      </c>
      <c r="H12" s="13">
        <v>0.32</v>
      </c>
      <c r="I12" s="13">
        <v>0.77</v>
      </c>
      <c r="J12" s="13">
        <v>1.21</v>
      </c>
      <c r="K12" s="13">
        <v>1.76</v>
      </c>
      <c r="L12" s="13">
        <v>2.17</v>
      </c>
      <c r="M12" s="32">
        <v>2.95</v>
      </c>
    </row>
    <row r="13" spans="1:13" x14ac:dyDescent="0.25">
      <c r="A13" s="18" t="s">
        <v>36</v>
      </c>
      <c r="B13" s="20">
        <v>0.29992400000000002</v>
      </c>
      <c r="C13" s="19">
        <v>0.77595899999999995</v>
      </c>
      <c r="D13" s="19">
        <v>1.3380339999999999</v>
      </c>
      <c r="E13" s="19">
        <v>2.4659650000000002</v>
      </c>
      <c r="F13" s="19">
        <v>3.942472</v>
      </c>
      <c r="G13" s="21">
        <v>1.4999450000000001</v>
      </c>
      <c r="H13" s="13">
        <v>0.15</v>
      </c>
      <c r="I13" s="13">
        <v>0.59</v>
      </c>
      <c r="J13" s="13">
        <v>0.99</v>
      </c>
      <c r="K13" s="13">
        <v>1.51</v>
      </c>
      <c r="L13" s="13">
        <v>2.0299999999999998</v>
      </c>
      <c r="M13" s="32">
        <v>3.04</v>
      </c>
    </row>
    <row r="14" spans="1:13" x14ac:dyDescent="0.25">
      <c r="A14" s="18" t="s">
        <v>37</v>
      </c>
      <c r="B14" s="20">
        <v>0.20815500000000001</v>
      </c>
      <c r="C14" s="19">
        <v>0.53651400000000005</v>
      </c>
      <c r="D14" s="19">
        <v>0.92438900000000002</v>
      </c>
      <c r="E14" s="19">
        <v>1.7073119999999999</v>
      </c>
      <c r="F14" s="19">
        <v>2.7533379999999998</v>
      </c>
      <c r="G14" s="21">
        <v>1.05518</v>
      </c>
      <c r="H14" s="13">
        <v>0.16</v>
      </c>
      <c r="I14" s="13">
        <v>0.55000000000000004</v>
      </c>
      <c r="J14" s="13">
        <v>0.96</v>
      </c>
      <c r="K14" s="13">
        <v>1.47</v>
      </c>
      <c r="L14" s="13">
        <v>1.88</v>
      </c>
      <c r="M14" s="32">
        <v>2.59</v>
      </c>
    </row>
    <row r="15" spans="1:13" x14ac:dyDescent="0.25">
      <c r="A15" s="18" t="s">
        <v>38</v>
      </c>
      <c r="B15" s="20">
        <v>0.1971</v>
      </c>
      <c r="C15" s="19">
        <v>0.53463099999999997</v>
      </c>
      <c r="D15" s="19">
        <v>0.94852599999999998</v>
      </c>
      <c r="E15" s="19">
        <v>1.796854</v>
      </c>
      <c r="F15" s="19">
        <v>2.9067599999999998</v>
      </c>
      <c r="G15" s="21">
        <v>1.1289880000000001</v>
      </c>
      <c r="H15" s="13">
        <v>0.08</v>
      </c>
      <c r="I15" s="13">
        <v>0.37</v>
      </c>
      <c r="J15" s="13">
        <v>0.7</v>
      </c>
      <c r="K15" s="13">
        <v>1.1599999999999999</v>
      </c>
      <c r="L15" s="13">
        <v>1.58</v>
      </c>
      <c r="M15" s="32">
        <v>2.09</v>
      </c>
    </row>
    <row r="16" spans="1:13" x14ac:dyDescent="0.25">
      <c r="A16" s="18" t="s">
        <v>39</v>
      </c>
      <c r="B16" s="20">
        <v>0</v>
      </c>
      <c r="C16" s="19">
        <v>-9.6099999999999994E-8</v>
      </c>
      <c r="D16" s="19">
        <v>-1.8799999999999999E-7</v>
      </c>
      <c r="E16" s="19">
        <v>-3.6199999999999999E-7</v>
      </c>
      <c r="F16" s="19">
        <v>-6.5600000000000005E-7</v>
      </c>
      <c r="G16" s="21">
        <v>-4.9999999999999998E-7</v>
      </c>
      <c r="H16" s="13">
        <v>0.13</v>
      </c>
      <c r="I16" s="13">
        <v>0.41</v>
      </c>
      <c r="J16" s="13">
        <v>0.7</v>
      </c>
      <c r="K16" s="13">
        <v>1.1299999999999999</v>
      </c>
      <c r="L16" s="13">
        <v>1.52</v>
      </c>
      <c r="M16" s="32">
        <v>1.96</v>
      </c>
    </row>
    <row r="17" spans="1:13" x14ac:dyDescent="0.25">
      <c r="A17" s="18" t="s">
        <v>40</v>
      </c>
      <c r="B17" s="20">
        <v>0.35858899999999999</v>
      </c>
      <c r="C17" s="19">
        <v>0.88199799999999995</v>
      </c>
      <c r="D17" s="19">
        <v>1.464672</v>
      </c>
      <c r="E17" s="19">
        <v>2.5771359999999999</v>
      </c>
      <c r="F17" s="19">
        <v>3.9860509999999998</v>
      </c>
      <c r="G17" s="21">
        <v>1.5842719999999999</v>
      </c>
      <c r="H17" s="13">
        <v>0.52</v>
      </c>
      <c r="I17" s="13">
        <v>1.34</v>
      </c>
      <c r="J17" s="13">
        <v>2.0299999999999998</v>
      </c>
      <c r="K17" s="13">
        <v>2.85</v>
      </c>
      <c r="L17" s="13">
        <v>2.89</v>
      </c>
      <c r="M17" s="32">
        <v>3.21</v>
      </c>
    </row>
    <row r="18" spans="1:13" x14ac:dyDescent="0.25">
      <c r="A18" s="18" t="s">
        <v>16</v>
      </c>
      <c r="B18" s="20">
        <v>5.849E-2</v>
      </c>
      <c r="C18" s="19">
        <v>0.105222</v>
      </c>
      <c r="D18" s="19">
        <v>0.12496599999999999</v>
      </c>
      <c r="E18" s="19">
        <v>0.10849499999999999</v>
      </c>
      <c r="F18" s="19">
        <v>4.1925999999999998E-2</v>
      </c>
      <c r="G18" s="21">
        <v>8.3081000000000002E-2</v>
      </c>
      <c r="H18" s="13">
        <v>0.37</v>
      </c>
      <c r="I18" s="13">
        <v>0.75</v>
      </c>
      <c r="J18" s="13">
        <v>1.03</v>
      </c>
      <c r="K18" s="13">
        <v>1.33</v>
      </c>
      <c r="L18" s="13">
        <v>0.84</v>
      </c>
      <c r="M18" s="32">
        <v>0.16</v>
      </c>
    </row>
    <row r="19" spans="1:13" x14ac:dyDescent="0.25">
      <c r="A19" s="18" t="s">
        <v>41</v>
      </c>
      <c r="B19" s="20">
        <v>0.66365099999999999</v>
      </c>
      <c r="C19" s="19">
        <v>1.120374</v>
      </c>
      <c r="D19" s="19">
        <v>1.3947830000000001</v>
      </c>
      <c r="E19" s="19">
        <v>1.5413779999999999</v>
      </c>
      <c r="F19" s="19">
        <v>0.91433500000000001</v>
      </c>
      <c r="G19" s="21">
        <v>0.39646100000000001</v>
      </c>
      <c r="H19" s="13">
        <v>33</v>
      </c>
      <c r="I19" s="13">
        <v>94</v>
      </c>
      <c r="J19" s="13">
        <v>107</v>
      </c>
      <c r="K19" s="13">
        <v>44</v>
      </c>
      <c r="L19" s="13">
        <v>-8</v>
      </c>
      <c r="M19" s="32">
        <v>-42</v>
      </c>
    </row>
    <row r="20" spans="1:13" x14ac:dyDescent="0.25">
      <c r="A20" s="18" t="s">
        <v>42</v>
      </c>
      <c r="B20" s="20">
        <v>-0.50026899999999996</v>
      </c>
      <c r="C20" s="19">
        <v>-0.80335100000000004</v>
      </c>
      <c r="D20" s="19">
        <v>-0.96460500000000005</v>
      </c>
      <c r="E20" s="19">
        <v>-1.0162709999999999</v>
      </c>
      <c r="F20" s="19">
        <v>-0.56687699999999996</v>
      </c>
      <c r="G20" s="21">
        <v>-0.25472800000000001</v>
      </c>
      <c r="H20" s="13">
        <v>-0.36</v>
      </c>
      <c r="I20" s="13">
        <v>-0.61</v>
      </c>
      <c r="J20" s="13">
        <v>-0.67</v>
      </c>
      <c r="K20" s="13">
        <v>-0.41</v>
      </c>
      <c r="L20" s="13">
        <v>-0.19</v>
      </c>
      <c r="M20" s="32">
        <v>-0.05</v>
      </c>
    </row>
    <row r="21" spans="1:13" x14ac:dyDescent="0.25">
      <c r="A21" s="18" t="s">
        <v>43</v>
      </c>
      <c r="B21" s="20">
        <v>-8.4959000000000007E-2</v>
      </c>
      <c r="C21" s="19">
        <v>-0.1012</v>
      </c>
      <c r="D21" s="19">
        <v>-9.8499000000000003E-2</v>
      </c>
      <c r="E21" s="19">
        <v>-8.1701999999999997E-2</v>
      </c>
      <c r="F21" s="19">
        <v>-0.10831300000000001</v>
      </c>
      <c r="G21" s="21">
        <v>-0.109323</v>
      </c>
      <c r="H21" s="13">
        <v>-0.3</v>
      </c>
      <c r="I21" s="13">
        <v>-0.5</v>
      </c>
      <c r="J21" s="13">
        <v>-0.54</v>
      </c>
      <c r="K21" s="13">
        <v>-0.62</v>
      </c>
      <c r="L21" s="13">
        <v>-0.71</v>
      </c>
      <c r="M21" s="32">
        <v>-0.79</v>
      </c>
    </row>
    <row r="22" spans="1:13" x14ac:dyDescent="0.25">
      <c r="A22" s="18" t="s">
        <v>44</v>
      </c>
      <c r="B22" s="20">
        <v>-0.54684100000000002</v>
      </c>
      <c r="C22" s="19">
        <v>-0.268872</v>
      </c>
      <c r="D22" s="19">
        <v>-8.5226999999999997E-2</v>
      </c>
      <c r="E22" s="19">
        <v>0.108727</v>
      </c>
      <c r="F22" s="19">
        <v>0.184668</v>
      </c>
      <c r="G22" s="21">
        <v>-0.27841500000000002</v>
      </c>
      <c r="H22" s="13">
        <v>-0.53</v>
      </c>
      <c r="I22" s="13">
        <v>-0.32</v>
      </c>
      <c r="J22" s="13">
        <v>-0.35</v>
      </c>
      <c r="K22" s="13">
        <v>-0.54</v>
      </c>
      <c r="L22" s="13">
        <v>-0.68</v>
      </c>
      <c r="M22" s="32">
        <v>-0.85</v>
      </c>
    </row>
    <row r="23" spans="1:13" x14ac:dyDescent="0.25">
      <c r="A23" s="8"/>
      <c r="B23" s="8"/>
      <c r="C23" s="8"/>
      <c r="D23" s="8"/>
      <c r="E23" s="8"/>
      <c r="F23" s="8"/>
      <c r="G23" s="8"/>
    </row>
    <row r="24" spans="1:13" x14ac:dyDescent="0.25">
      <c r="A24" s="8"/>
      <c r="B24" s="8"/>
      <c r="C24" s="8"/>
      <c r="D24" s="8"/>
      <c r="E24" s="8"/>
      <c r="F24" s="8"/>
      <c r="G24" s="8"/>
    </row>
    <row r="25" spans="1:13" x14ac:dyDescent="0.25">
      <c r="A25" s="8"/>
      <c r="B25" s="8"/>
      <c r="C25" s="8"/>
      <c r="D25" s="8"/>
      <c r="E25" s="8"/>
      <c r="F25" s="8"/>
      <c r="G25" s="8"/>
    </row>
    <row r="26" spans="1:13" x14ac:dyDescent="0.25">
      <c r="A26" s="8"/>
      <c r="B26" s="8"/>
      <c r="C26" s="8"/>
      <c r="D26" s="8"/>
      <c r="E26" s="8"/>
      <c r="F26" s="8"/>
      <c r="G26" s="8"/>
    </row>
  </sheetData>
  <mergeCells count="2">
    <mergeCell ref="B2:G2"/>
    <mergeCell ref="H2:M2"/>
  </mergeCells>
  <pageMargins left="0.7" right="0.7" top="0.75" bottom="0.75" header="0.3" footer="0.3"/>
  <pageSetup paperSize="9" orientation="portrait" r:id="rId1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Feuil4"/>
  <dimension ref="A1:M24"/>
  <sheetViews>
    <sheetView showGridLines="0" workbookViewId="0">
      <selection activeCell="G4" sqref="G4"/>
    </sheetView>
  </sheetViews>
  <sheetFormatPr baseColWidth="10" defaultColWidth="11" defaultRowHeight="15.75" x14ac:dyDescent="0.25"/>
  <cols>
    <col min="1" max="1" width="33.625" customWidth="1"/>
  </cols>
  <sheetData>
    <row r="1" spans="1:13" ht="29.25" customHeight="1" x14ac:dyDescent="0.25">
      <c r="A1" s="33" t="s">
        <v>31</v>
      </c>
      <c r="B1" s="26"/>
      <c r="C1" s="26"/>
      <c r="D1" s="26"/>
      <c r="E1" s="26"/>
      <c r="F1" s="26"/>
      <c r="G1" s="26"/>
    </row>
    <row r="2" spans="1:13" ht="20.25" customHeight="1" x14ac:dyDescent="0.25">
      <c r="A2" s="28"/>
      <c r="B2" s="52" t="s">
        <v>47</v>
      </c>
      <c r="C2" s="52"/>
      <c r="D2" s="52"/>
      <c r="E2" s="52"/>
      <c r="F2" s="52"/>
      <c r="G2" s="53"/>
      <c r="H2" s="54" t="s">
        <v>46</v>
      </c>
      <c r="I2" s="55"/>
      <c r="J2" s="55"/>
      <c r="K2" s="55"/>
      <c r="L2" s="55"/>
      <c r="M2" s="56"/>
    </row>
    <row r="3" spans="1:13" ht="16.5" customHeight="1" x14ac:dyDescent="0.25">
      <c r="A3" s="22"/>
      <c r="B3" s="9" t="s">
        <v>0</v>
      </c>
      <c r="C3" s="9" t="s">
        <v>1</v>
      </c>
      <c r="D3" s="9" t="s">
        <v>2</v>
      </c>
      <c r="E3" s="9" t="s">
        <v>3</v>
      </c>
      <c r="F3" s="9" t="s">
        <v>4</v>
      </c>
      <c r="G3" s="11" t="s">
        <v>50</v>
      </c>
      <c r="H3" s="24" t="s">
        <v>0</v>
      </c>
      <c r="I3" s="10" t="s">
        <v>1</v>
      </c>
      <c r="J3" s="10" t="s">
        <v>2</v>
      </c>
      <c r="K3" s="10" t="s">
        <v>3</v>
      </c>
      <c r="L3" s="10" t="s">
        <v>4</v>
      </c>
      <c r="M3" s="25" t="s">
        <v>5</v>
      </c>
    </row>
    <row r="4" spans="1:13" x14ac:dyDescent="0.25">
      <c r="A4" s="31" t="s">
        <v>6</v>
      </c>
      <c r="B4" s="29">
        <f t="array" ref="B4:G22">TRANSPOSE(RSSC1!$B$3:$T$8)</f>
        <v>0.212619</v>
      </c>
      <c r="C4" s="29">
        <v>0.45768799999999998</v>
      </c>
      <c r="D4" s="29">
        <v>0.65784500000000001</v>
      </c>
      <c r="E4" s="29">
        <v>0.87507699999999999</v>
      </c>
      <c r="F4" s="29">
        <v>0.858155</v>
      </c>
      <c r="G4" s="30">
        <v>0.75330399999999997</v>
      </c>
      <c r="H4" s="12">
        <v>0.2</v>
      </c>
      <c r="I4" s="36">
        <v>0.55000000000000004</v>
      </c>
      <c r="J4" s="36">
        <v>0.76</v>
      </c>
      <c r="K4" s="36">
        <v>0.97</v>
      </c>
      <c r="L4" s="36">
        <v>1.29</v>
      </c>
      <c r="M4" s="32">
        <v>1.73</v>
      </c>
    </row>
    <row r="5" spans="1:13" x14ac:dyDescent="0.25">
      <c r="A5" s="31" t="s">
        <v>8</v>
      </c>
      <c r="B5" s="29">
        <v>0.34065800000000002</v>
      </c>
      <c r="C5" s="29">
        <v>0.70736100000000002</v>
      </c>
      <c r="D5" s="29">
        <v>0.99117200000000005</v>
      </c>
      <c r="E5" s="29">
        <v>1.2867569999999999</v>
      </c>
      <c r="F5" s="29">
        <v>1.315248</v>
      </c>
      <c r="G5" s="30">
        <v>1.1298360000000001</v>
      </c>
      <c r="H5" s="12">
        <v>0.3</v>
      </c>
      <c r="I5" s="36">
        <v>0.73</v>
      </c>
      <c r="J5" s="36">
        <v>0.92</v>
      </c>
      <c r="K5" s="36">
        <v>1.21</v>
      </c>
      <c r="L5" s="36">
        <v>1.82</v>
      </c>
      <c r="M5" s="32">
        <v>2.33</v>
      </c>
    </row>
    <row r="6" spans="1:13" x14ac:dyDescent="0.25">
      <c r="A6" s="31" t="s">
        <v>9</v>
      </c>
      <c r="B6" s="29">
        <v>9.7850000000000006E-2</v>
      </c>
      <c r="C6" s="29">
        <v>0.28205999999999998</v>
      </c>
      <c r="D6" s="29">
        <v>0.46103899999999998</v>
      </c>
      <c r="E6" s="29">
        <v>0.65729899999999997</v>
      </c>
      <c r="F6" s="29">
        <v>0.50407000000000002</v>
      </c>
      <c r="G6" s="30">
        <v>2.2124000000000001E-2</v>
      </c>
      <c r="H6" s="12">
        <v>0.28000000000000003</v>
      </c>
      <c r="I6" s="36">
        <v>0.98</v>
      </c>
      <c r="J6" s="36">
        <v>1.38</v>
      </c>
      <c r="K6" s="36">
        <v>1.5</v>
      </c>
      <c r="L6" s="36">
        <v>1.63</v>
      </c>
      <c r="M6" s="32">
        <v>1.91</v>
      </c>
    </row>
    <row r="7" spans="1:13" x14ac:dyDescent="0.25">
      <c r="A7" s="31" t="s">
        <v>11</v>
      </c>
      <c r="B7" s="29">
        <v>0.10834100000000001</v>
      </c>
      <c r="C7" s="29">
        <v>0.26329000000000002</v>
      </c>
      <c r="D7" s="29">
        <v>0.41871799999999998</v>
      </c>
      <c r="E7" s="29">
        <v>0.63972499999999999</v>
      </c>
      <c r="F7" s="29">
        <v>0.67802300000000004</v>
      </c>
      <c r="G7" s="30">
        <v>0.82904199999999995</v>
      </c>
      <c r="H7" s="12">
        <v>0.18</v>
      </c>
      <c r="I7" s="36">
        <v>0.47</v>
      </c>
      <c r="J7" s="36">
        <v>0.67</v>
      </c>
      <c r="K7" s="36">
        <v>0.96</v>
      </c>
      <c r="L7" s="36">
        <v>1.25</v>
      </c>
      <c r="M7" s="32">
        <v>1.86</v>
      </c>
    </row>
    <row r="8" spans="1:13" x14ac:dyDescent="0.25">
      <c r="A8" s="31" t="s">
        <v>12</v>
      </c>
      <c r="B8" s="29">
        <v>0.11930300000000001</v>
      </c>
      <c r="C8" s="29">
        <v>0.27830300000000002</v>
      </c>
      <c r="D8" s="29">
        <v>0.42006399999999999</v>
      </c>
      <c r="E8" s="29">
        <v>0.59485900000000003</v>
      </c>
      <c r="F8" s="29">
        <v>0.64581599999999995</v>
      </c>
      <c r="G8" s="30">
        <v>0.41422199999999998</v>
      </c>
      <c r="H8" s="12">
        <v>0.32</v>
      </c>
      <c r="I8" s="36">
        <v>0.72</v>
      </c>
      <c r="J8" s="36">
        <v>0.86</v>
      </c>
      <c r="K8" s="36">
        <v>0.94</v>
      </c>
      <c r="L8" s="36">
        <v>1.1000000000000001</v>
      </c>
      <c r="M8" s="32">
        <v>1.25</v>
      </c>
    </row>
    <row r="9" spans="1:13" x14ac:dyDescent="0.25">
      <c r="A9" s="31" t="s">
        <v>32</v>
      </c>
      <c r="B9" s="29">
        <v>1.3377E-2</v>
      </c>
      <c r="C9" s="29">
        <v>2.6155999999999999E-2</v>
      </c>
      <c r="D9" s="29">
        <v>5.3994E-2</v>
      </c>
      <c r="E9" s="29">
        <v>0.16993</v>
      </c>
      <c r="F9" s="29">
        <v>0.46473399999999998</v>
      </c>
      <c r="G9" s="30">
        <v>6.4283999999999994E-2</v>
      </c>
      <c r="H9" s="12">
        <v>0.4</v>
      </c>
      <c r="I9" s="36">
        <v>0.65</v>
      </c>
      <c r="J9" s="36">
        <v>0.85</v>
      </c>
      <c r="K9" s="36">
        <v>1.32</v>
      </c>
      <c r="L9" s="36">
        <v>1.87</v>
      </c>
      <c r="M9" s="32">
        <v>2.33</v>
      </c>
    </row>
    <row r="10" spans="1:13" x14ac:dyDescent="0.25">
      <c r="A10" s="31" t="s">
        <v>33</v>
      </c>
      <c r="B10" s="29">
        <v>0.14327400000000001</v>
      </c>
      <c r="C10" s="29">
        <v>0.115761</v>
      </c>
      <c r="D10" s="29">
        <v>5.0008999999999998E-2</v>
      </c>
      <c r="E10" s="29">
        <v>-3.5623000000000002E-2</v>
      </c>
      <c r="F10" s="29">
        <v>-3.1401999999999999E-2</v>
      </c>
      <c r="G10" s="30">
        <v>3.7399999999999998E-4</v>
      </c>
      <c r="H10" s="12">
        <v>0.08</v>
      </c>
      <c r="I10" s="36">
        <v>-7.0000000000000007E-2</v>
      </c>
      <c r="J10" s="36">
        <v>-7.0000000000000007E-2</v>
      </c>
      <c r="K10" s="36">
        <v>0.09</v>
      </c>
      <c r="L10" s="36">
        <v>0.04</v>
      </c>
      <c r="M10" s="32">
        <v>0</v>
      </c>
    </row>
    <row r="11" spans="1:13" x14ac:dyDescent="0.25">
      <c r="A11" s="31" t="s">
        <v>34</v>
      </c>
      <c r="B11" s="29">
        <v>-0.48551899999999998</v>
      </c>
      <c r="C11" s="29">
        <v>-0.80471700000000002</v>
      </c>
      <c r="D11" s="29">
        <v>-0.98326400000000003</v>
      </c>
      <c r="E11" s="29">
        <v>-1.0633280000000001</v>
      </c>
      <c r="F11" s="29">
        <v>-0.804728</v>
      </c>
      <c r="G11" s="30">
        <v>-1.05406</v>
      </c>
      <c r="H11" s="12">
        <v>-0.36</v>
      </c>
      <c r="I11" s="36">
        <v>-0.7</v>
      </c>
      <c r="J11" s="36">
        <v>-0.87</v>
      </c>
      <c r="K11" s="36">
        <v>-1.0900000000000001</v>
      </c>
      <c r="L11" s="36">
        <v>-1.32</v>
      </c>
      <c r="M11" s="32">
        <v>-2.27</v>
      </c>
    </row>
    <row r="12" spans="1:13" x14ac:dyDescent="0.25">
      <c r="A12" s="31" t="s">
        <v>35</v>
      </c>
      <c r="B12" s="29">
        <v>-0.563913</v>
      </c>
      <c r="C12" s="29">
        <v>-0.93620899999999996</v>
      </c>
      <c r="D12" s="29">
        <v>-1.1414550000000001</v>
      </c>
      <c r="E12" s="29">
        <v>-1.2220690000000001</v>
      </c>
      <c r="F12" s="29">
        <v>-0.90791999999999995</v>
      </c>
      <c r="G12" s="30">
        <v>-1.2161679999999999</v>
      </c>
      <c r="H12" s="12">
        <v>-0.46</v>
      </c>
      <c r="I12" s="36">
        <v>-0.87</v>
      </c>
      <c r="J12" s="36">
        <v>-1.02</v>
      </c>
      <c r="K12" s="36">
        <v>-1.17</v>
      </c>
      <c r="L12" s="36">
        <v>-1.32</v>
      </c>
      <c r="M12" s="32">
        <v>-2.2400000000000002</v>
      </c>
    </row>
    <row r="13" spans="1:13" x14ac:dyDescent="0.25">
      <c r="A13" s="31" t="s">
        <v>36</v>
      </c>
      <c r="B13" s="29">
        <v>-0.663076</v>
      </c>
      <c r="C13" s="29">
        <v>-1.0999760000000001</v>
      </c>
      <c r="D13" s="29">
        <v>-1.3388789999999999</v>
      </c>
      <c r="E13" s="29">
        <v>-1.4269499999999999</v>
      </c>
      <c r="F13" s="29">
        <v>-1.052473</v>
      </c>
      <c r="G13" s="30">
        <v>-1.4209000000000001</v>
      </c>
      <c r="H13" s="12">
        <v>-0.49</v>
      </c>
      <c r="I13" s="36">
        <v>-0.89</v>
      </c>
      <c r="J13" s="36">
        <v>-1.06</v>
      </c>
      <c r="K13" s="36">
        <v>-1.32</v>
      </c>
      <c r="L13" s="36">
        <v>-1.62</v>
      </c>
      <c r="M13" s="32">
        <v>-2.77</v>
      </c>
    </row>
    <row r="14" spans="1:13" x14ac:dyDescent="0.25">
      <c r="A14" s="31" t="s">
        <v>37</v>
      </c>
      <c r="B14" s="29">
        <v>-0.46545500000000001</v>
      </c>
      <c r="C14" s="29">
        <v>-0.77356400000000003</v>
      </c>
      <c r="D14" s="29">
        <v>-0.94541799999999998</v>
      </c>
      <c r="E14" s="29">
        <v>-1.018788</v>
      </c>
      <c r="F14" s="29">
        <v>-0.76463800000000004</v>
      </c>
      <c r="G14" s="30">
        <v>-1.0131509999999999</v>
      </c>
      <c r="H14" s="12">
        <v>-0.51</v>
      </c>
      <c r="I14" s="36">
        <v>-0.95</v>
      </c>
      <c r="J14" s="36">
        <v>-1.0900000000000001</v>
      </c>
      <c r="K14" s="36">
        <v>-1.26</v>
      </c>
      <c r="L14" s="36">
        <v>-1.44</v>
      </c>
      <c r="M14" s="32">
        <v>-2.2999999999999998</v>
      </c>
    </row>
    <row r="15" spans="1:13" x14ac:dyDescent="0.25">
      <c r="A15" s="31" t="s">
        <v>38</v>
      </c>
      <c r="B15" s="29">
        <v>-0.450125</v>
      </c>
      <c r="C15" s="29">
        <v>-0.77666999999999997</v>
      </c>
      <c r="D15" s="29">
        <v>-0.96926999999999996</v>
      </c>
      <c r="E15" s="29">
        <v>-1.0578019999999999</v>
      </c>
      <c r="F15" s="29">
        <v>-0.77525299999999997</v>
      </c>
      <c r="G15" s="30">
        <v>-1.040856</v>
      </c>
      <c r="H15" s="12">
        <v>-0.28000000000000003</v>
      </c>
      <c r="I15" s="36">
        <v>-0.65</v>
      </c>
      <c r="J15" s="36">
        <v>-0.82</v>
      </c>
      <c r="K15" s="36">
        <v>-1.02</v>
      </c>
      <c r="L15" s="36">
        <v>-1.25</v>
      </c>
      <c r="M15" s="32">
        <v>-1.89</v>
      </c>
    </row>
    <row r="16" spans="1:13" x14ac:dyDescent="0.25">
      <c r="A16" s="31" t="s">
        <v>39</v>
      </c>
      <c r="B16" s="29">
        <v>0</v>
      </c>
      <c r="C16" s="29">
        <v>-9.6099999999999994E-8</v>
      </c>
      <c r="D16" s="29">
        <v>-1.8799999999999999E-7</v>
      </c>
      <c r="E16" s="29">
        <v>-3.6199999999999999E-7</v>
      </c>
      <c r="F16" s="29">
        <v>-6.5600000000000005E-7</v>
      </c>
      <c r="G16" s="30">
        <v>-4.9999999999999998E-7</v>
      </c>
      <c r="H16" s="12">
        <v>-0.3</v>
      </c>
      <c r="I16" s="36">
        <v>-0.6</v>
      </c>
      <c r="J16" s="36">
        <v>-0.79</v>
      </c>
      <c r="K16" s="36">
        <v>-1</v>
      </c>
      <c r="L16" s="36">
        <v>-1.18</v>
      </c>
      <c r="M16" s="32">
        <v>-1.76</v>
      </c>
    </row>
    <row r="17" spans="1:13" x14ac:dyDescent="0.25">
      <c r="A17" s="31" t="s">
        <v>40</v>
      </c>
      <c r="B17" s="29">
        <v>6.9204000000000002E-2</v>
      </c>
      <c r="C17" s="29">
        <v>8.8593000000000005E-2</v>
      </c>
      <c r="D17" s="29">
        <v>8.5720000000000005E-2</v>
      </c>
      <c r="E17" s="29">
        <v>0.124097</v>
      </c>
      <c r="F17" s="29">
        <v>0.40889599999999998</v>
      </c>
      <c r="G17" s="30">
        <v>1.8131999999999999E-2</v>
      </c>
      <c r="H17" s="12">
        <v>-0.14000000000000001</v>
      </c>
      <c r="I17" s="36">
        <v>-0.48</v>
      </c>
      <c r="J17" s="36">
        <v>-0.59</v>
      </c>
      <c r="K17" s="36">
        <v>-0.28000000000000003</v>
      </c>
      <c r="L17" s="36">
        <v>0.23</v>
      </c>
      <c r="M17" s="32">
        <v>-0.25</v>
      </c>
    </row>
    <row r="18" spans="1:13" x14ac:dyDescent="0.25">
      <c r="A18" s="31" t="s">
        <v>16</v>
      </c>
      <c r="B18" s="29">
        <v>-1.038538</v>
      </c>
      <c r="C18" s="29">
        <v>-0.58210700000000004</v>
      </c>
      <c r="D18" s="29">
        <v>-0.34423300000000001</v>
      </c>
      <c r="E18" s="29">
        <v>-0.216947</v>
      </c>
      <c r="F18" s="29">
        <v>-0.311832</v>
      </c>
      <c r="G18" s="30">
        <v>-0.32866899999999999</v>
      </c>
      <c r="H18" s="12">
        <v>-2.39</v>
      </c>
      <c r="I18" s="36">
        <v>-2.34</v>
      </c>
      <c r="J18" s="36">
        <v>-2.2799999999999998</v>
      </c>
      <c r="K18" s="36">
        <v>-1.71</v>
      </c>
      <c r="L18" s="36">
        <v>-0.9</v>
      </c>
      <c r="M18" s="32">
        <v>-0.21</v>
      </c>
    </row>
    <row r="19" spans="1:13" x14ac:dyDescent="0.25">
      <c r="A19" s="31" t="s">
        <v>41</v>
      </c>
      <c r="B19" s="29">
        <v>0.12698300000000001</v>
      </c>
      <c r="C19" s="29">
        <v>0.33776800000000001</v>
      </c>
      <c r="D19" s="29">
        <v>0.57182699999999997</v>
      </c>
      <c r="E19" s="29">
        <v>0.94947400000000004</v>
      </c>
      <c r="F19" s="29">
        <v>1.121046</v>
      </c>
      <c r="G19" s="30">
        <v>0.91991599999999996</v>
      </c>
      <c r="H19" s="12">
        <v>83</v>
      </c>
      <c r="I19" s="36">
        <v>210</v>
      </c>
      <c r="J19" s="36">
        <v>290</v>
      </c>
      <c r="K19" s="36">
        <v>316</v>
      </c>
      <c r="L19" s="36">
        <v>318</v>
      </c>
      <c r="M19" s="32">
        <v>362</v>
      </c>
    </row>
    <row r="20" spans="1:13" x14ac:dyDescent="0.25">
      <c r="A20" s="31" t="s">
        <v>42</v>
      </c>
      <c r="B20" s="29">
        <v>-9.5791000000000001E-2</v>
      </c>
      <c r="C20" s="29">
        <v>-0.24696799999999999</v>
      </c>
      <c r="D20" s="29">
        <v>-0.40719699999999998</v>
      </c>
      <c r="E20" s="29">
        <v>-0.64860700000000004</v>
      </c>
      <c r="F20" s="29">
        <v>-0.72544799999999998</v>
      </c>
      <c r="G20" s="30">
        <v>-0.59606099999999995</v>
      </c>
      <c r="H20" s="12">
        <v>-0.35</v>
      </c>
      <c r="I20" s="36">
        <v>-0.87</v>
      </c>
      <c r="J20" s="36">
        <v>-1.21</v>
      </c>
      <c r="K20" s="36">
        <v>-1.32</v>
      </c>
      <c r="L20" s="36">
        <v>-1.33</v>
      </c>
      <c r="M20" s="32">
        <v>-1.51</v>
      </c>
    </row>
    <row r="21" spans="1:13" x14ac:dyDescent="0.25">
      <c r="A21" s="31" t="s">
        <v>43</v>
      </c>
      <c r="B21" s="29">
        <v>-0.122985</v>
      </c>
      <c r="C21" s="29">
        <v>-0.21051800000000001</v>
      </c>
      <c r="D21" s="29">
        <v>-0.25794299999999998</v>
      </c>
      <c r="E21" s="29">
        <v>-0.26939999999999997</v>
      </c>
      <c r="F21" s="29">
        <v>-0.19691</v>
      </c>
      <c r="G21" s="30">
        <v>-0.17660699999999999</v>
      </c>
      <c r="H21" s="12">
        <v>-0.04</v>
      </c>
      <c r="I21" s="36">
        <v>-0.1</v>
      </c>
      <c r="J21" s="36">
        <v>-0.08</v>
      </c>
      <c r="K21" s="36">
        <v>0</v>
      </c>
      <c r="L21" s="36">
        <v>0.03</v>
      </c>
      <c r="M21" s="32">
        <v>0.14000000000000001</v>
      </c>
    </row>
    <row r="22" spans="1:13" x14ac:dyDescent="0.25">
      <c r="A22" s="31" t="s">
        <v>44</v>
      </c>
      <c r="B22" s="29">
        <v>-0.60231599999999996</v>
      </c>
      <c r="C22" s="29">
        <v>-0.36470999999999998</v>
      </c>
      <c r="D22" s="29">
        <v>-0.236396</v>
      </c>
      <c r="E22" s="29">
        <v>-0.158501</v>
      </c>
      <c r="F22" s="29">
        <v>-0.23542399999999999</v>
      </c>
      <c r="G22" s="30">
        <v>-0.28534500000000002</v>
      </c>
      <c r="H22" s="12">
        <v>-0.72</v>
      </c>
      <c r="I22" s="36">
        <v>-0.42</v>
      </c>
      <c r="J22" s="36">
        <v>-0.27</v>
      </c>
      <c r="K22" s="36">
        <v>-0.24</v>
      </c>
      <c r="L22" s="36">
        <v>-0.17</v>
      </c>
      <c r="M22" s="32">
        <v>0.03</v>
      </c>
    </row>
    <row r="23" spans="1:13" x14ac:dyDescent="0.25">
      <c r="A23" s="27"/>
      <c r="B23" s="27"/>
      <c r="C23" s="27"/>
      <c r="D23" s="27"/>
      <c r="E23" s="27"/>
      <c r="F23" s="27"/>
      <c r="G23" s="27"/>
    </row>
    <row r="24" spans="1:13" x14ac:dyDescent="0.25">
      <c r="A24" s="26"/>
      <c r="B24" s="26"/>
      <c r="C24" s="26"/>
      <c r="D24" s="26"/>
      <c r="E24" s="26"/>
      <c r="F24" s="26"/>
      <c r="G24" s="26"/>
    </row>
  </sheetData>
  <mergeCells count="2">
    <mergeCell ref="B2:G2"/>
    <mergeCell ref="H2:M2"/>
  </mergeCells>
  <pageMargins left="0.7" right="0.7" top="0.75" bottom="0.75" header="0.3" footer="0.3"/>
  <pageSetup paperSize="9" orientation="portrait" r:id="rId1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Feuil8"/>
  <dimension ref="A1:M24"/>
  <sheetViews>
    <sheetView topLeftCell="B1" workbookViewId="0">
      <selection activeCell="G4" sqref="G4"/>
    </sheetView>
  </sheetViews>
  <sheetFormatPr baseColWidth="10" defaultColWidth="11" defaultRowHeight="15.75" x14ac:dyDescent="0.25"/>
  <cols>
    <col min="1" max="1" width="37.125" style="37" customWidth="1"/>
    <col min="2" max="16384" width="11" style="37"/>
  </cols>
  <sheetData>
    <row r="1" spans="1:13" x14ac:dyDescent="0.25">
      <c r="A1" s="34" t="s">
        <v>49</v>
      </c>
    </row>
    <row r="2" spans="1:13" ht="29.25" customHeight="1" x14ac:dyDescent="0.25">
      <c r="A2" s="38"/>
      <c r="B2" s="41" t="s">
        <v>45</v>
      </c>
      <c r="C2" s="41"/>
      <c r="D2" s="41"/>
      <c r="E2" s="41"/>
      <c r="F2" s="41"/>
      <c r="G2" s="42"/>
      <c r="H2" s="43" t="s">
        <v>46</v>
      </c>
      <c r="I2" s="44"/>
      <c r="J2" s="44"/>
      <c r="K2" s="44"/>
      <c r="L2" s="44"/>
      <c r="M2" s="45"/>
    </row>
    <row r="3" spans="1:13" x14ac:dyDescent="0.25">
      <c r="A3" s="39"/>
      <c r="B3" s="9" t="s">
        <v>0</v>
      </c>
      <c r="C3" s="9" t="s">
        <v>1</v>
      </c>
      <c r="D3" s="9" t="s">
        <v>2</v>
      </c>
      <c r="E3" s="9" t="s">
        <v>3</v>
      </c>
      <c r="F3" s="9" t="s">
        <v>4</v>
      </c>
      <c r="G3" s="11" t="s">
        <v>50</v>
      </c>
      <c r="H3" s="24" t="s">
        <v>0</v>
      </c>
      <c r="I3" s="10" t="s">
        <v>1</v>
      </c>
      <c r="J3" s="10" t="s">
        <v>2</v>
      </c>
      <c r="K3" s="10" t="s">
        <v>3</v>
      </c>
      <c r="L3" s="10" t="s">
        <v>4</v>
      </c>
      <c r="M3" s="25" t="s">
        <v>5</v>
      </c>
    </row>
    <row r="4" spans="1:13" x14ac:dyDescent="0.25">
      <c r="A4" s="31" t="s">
        <v>6</v>
      </c>
      <c r="B4" s="29">
        <f t="array" ref="B4:G22">TRANSPOSE('VAT1'!$B$3:$T$8)</f>
        <v>-0.54599699999999995</v>
      </c>
      <c r="C4" s="29">
        <v>-0.76646599999999998</v>
      </c>
      <c r="D4" s="29">
        <v>-0.83450899999999995</v>
      </c>
      <c r="E4" s="29">
        <v>-0.83922699999999995</v>
      </c>
      <c r="F4" s="29">
        <v>-0.75632500000000003</v>
      </c>
      <c r="G4" s="30">
        <v>-0.35629300000000003</v>
      </c>
      <c r="H4" s="13">
        <v>-0.32</v>
      </c>
      <c r="I4" s="13">
        <v>-0.66</v>
      </c>
      <c r="J4" s="13">
        <v>-0.72</v>
      </c>
      <c r="K4" s="13">
        <v>-0.81</v>
      </c>
      <c r="L4" s="13">
        <v>-0.78</v>
      </c>
      <c r="M4" s="13">
        <v>-0.7</v>
      </c>
    </row>
    <row r="5" spans="1:13" x14ac:dyDescent="0.25">
      <c r="A5" s="31" t="s">
        <v>8</v>
      </c>
      <c r="B5" s="29">
        <v>-0.93795899999999999</v>
      </c>
      <c r="C5" s="29">
        <v>-1.289337</v>
      </c>
      <c r="D5" s="29">
        <v>-1.3842429999999999</v>
      </c>
      <c r="E5" s="29">
        <v>-1.381081</v>
      </c>
      <c r="F5" s="29">
        <v>-1.2322709999999999</v>
      </c>
      <c r="G5" s="30">
        <v>-0.58676700000000004</v>
      </c>
      <c r="H5" s="13">
        <v>-0.57999999999999996</v>
      </c>
      <c r="I5" s="13">
        <v>-1.04</v>
      </c>
      <c r="J5" s="13">
        <v>-1.1399999999999999</v>
      </c>
      <c r="K5" s="13">
        <v>-1.53</v>
      </c>
      <c r="L5" s="13">
        <v>-1.87</v>
      </c>
      <c r="M5" s="13">
        <v>-1.76</v>
      </c>
    </row>
    <row r="6" spans="1:13" x14ac:dyDescent="0.25">
      <c r="A6" s="31" t="s">
        <v>9</v>
      </c>
      <c r="B6" s="29">
        <v>-0.59596199999999999</v>
      </c>
      <c r="C6" s="29">
        <v>-0.95160599999999995</v>
      </c>
      <c r="D6" s="29">
        <v>-1.099869</v>
      </c>
      <c r="E6" s="29">
        <v>-1.0908439999999999</v>
      </c>
      <c r="F6" s="29">
        <v>-0.79034000000000004</v>
      </c>
      <c r="G6" s="30">
        <v>0.24230599999999999</v>
      </c>
      <c r="H6" s="13">
        <v>-0.45</v>
      </c>
      <c r="I6" s="13">
        <v>-1.36</v>
      </c>
      <c r="J6" s="13">
        <v>-1.44</v>
      </c>
      <c r="K6" s="13">
        <v>-1.34</v>
      </c>
      <c r="L6" s="13">
        <v>-1.1399999999999999</v>
      </c>
      <c r="M6" s="13">
        <v>-1.04</v>
      </c>
    </row>
    <row r="7" spans="1:13" x14ac:dyDescent="0.25">
      <c r="A7" s="31" t="s">
        <v>11</v>
      </c>
      <c r="B7" s="29">
        <v>-4.6042E-2</v>
      </c>
      <c r="C7" s="29">
        <v>-8.5807999999999995E-2</v>
      </c>
      <c r="D7" s="29">
        <v>-0.114011</v>
      </c>
      <c r="E7" s="29">
        <v>-0.159444</v>
      </c>
      <c r="F7" s="29">
        <v>-0.29022900000000001</v>
      </c>
      <c r="G7" s="30">
        <v>-0.45335900000000001</v>
      </c>
      <c r="H7" s="13">
        <v>-0.17</v>
      </c>
      <c r="I7" s="13">
        <v>-0.33</v>
      </c>
      <c r="J7" s="13">
        <v>-0.37</v>
      </c>
      <c r="K7" s="13">
        <v>-0.32</v>
      </c>
      <c r="L7" s="13">
        <v>0.02</v>
      </c>
      <c r="M7" s="13">
        <v>0.08</v>
      </c>
    </row>
    <row r="8" spans="1:13" x14ac:dyDescent="0.25">
      <c r="A8" s="31" t="s">
        <v>12</v>
      </c>
      <c r="B8" s="29">
        <v>-0.49129899999999999</v>
      </c>
      <c r="C8" s="29">
        <v>-0.73196300000000003</v>
      </c>
      <c r="D8" s="29">
        <v>-0.818573</v>
      </c>
      <c r="E8" s="29">
        <v>-0.82789000000000001</v>
      </c>
      <c r="F8" s="29">
        <v>-0.70934699999999995</v>
      </c>
      <c r="G8" s="30">
        <v>-0.18320700000000001</v>
      </c>
      <c r="H8" s="13">
        <v>-0.65</v>
      </c>
      <c r="I8" s="13">
        <v>-1.08</v>
      </c>
      <c r="J8" s="13">
        <v>-1.02</v>
      </c>
      <c r="K8" s="13">
        <v>-1.1299999999999999</v>
      </c>
      <c r="L8" s="13">
        <v>-1.18</v>
      </c>
      <c r="M8" s="13">
        <v>-1.1599999999999999</v>
      </c>
    </row>
    <row r="9" spans="1:13" x14ac:dyDescent="0.25">
      <c r="A9" s="31" t="s">
        <v>32</v>
      </c>
      <c r="B9" s="29">
        <v>0.409169</v>
      </c>
      <c r="C9" s="29">
        <v>0.452515</v>
      </c>
      <c r="D9" s="29">
        <v>0.49192000000000002</v>
      </c>
      <c r="E9" s="29">
        <v>0.52760099999999999</v>
      </c>
      <c r="F9" s="29">
        <v>0.64857200000000004</v>
      </c>
      <c r="G9" s="30">
        <v>0.83850599999999997</v>
      </c>
      <c r="H9" s="13">
        <v>-1.1000000000000001</v>
      </c>
      <c r="I9" s="13">
        <v>-1.01</v>
      </c>
      <c r="J9" s="13">
        <v>-1.22</v>
      </c>
      <c r="K9" s="13">
        <v>-1.73</v>
      </c>
      <c r="L9" s="13">
        <v>-1.88</v>
      </c>
      <c r="M9" s="13">
        <v>-1.76</v>
      </c>
    </row>
    <row r="10" spans="1:13" x14ac:dyDescent="0.25">
      <c r="A10" s="31" t="s">
        <v>33</v>
      </c>
      <c r="B10" s="29">
        <v>-0.39832699999999999</v>
      </c>
      <c r="C10" s="29">
        <v>-4.4665999999999997E-2</v>
      </c>
      <c r="D10" s="29">
        <v>7.6425000000000007E-2</v>
      </c>
      <c r="E10" s="29">
        <v>7.7485999999999999E-2</v>
      </c>
      <c r="F10" s="29">
        <v>2.4223999999999999E-2</v>
      </c>
      <c r="G10" s="30">
        <v>-7.1299999999999998E-4</v>
      </c>
      <c r="H10" s="13">
        <v>-0.45</v>
      </c>
      <c r="I10" s="13">
        <v>0.03</v>
      </c>
      <c r="J10" s="13">
        <v>-7.0000000000000007E-2</v>
      </c>
      <c r="K10" s="13">
        <v>-0.18</v>
      </c>
      <c r="L10" s="13">
        <v>-0.01</v>
      </c>
      <c r="M10" s="13">
        <v>0</v>
      </c>
    </row>
    <row r="11" spans="1:13" x14ac:dyDescent="0.25">
      <c r="A11" s="31" t="s">
        <v>34</v>
      </c>
      <c r="B11" s="29">
        <v>1.8103959999999999</v>
      </c>
      <c r="C11" s="29">
        <v>1.815323</v>
      </c>
      <c r="D11" s="29">
        <v>1.815598</v>
      </c>
      <c r="E11" s="29">
        <v>1.8472759999999999</v>
      </c>
      <c r="F11" s="29">
        <v>1.876765</v>
      </c>
      <c r="G11" s="30">
        <v>1.434493</v>
      </c>
      <c r="H11" s="13">
        <v>1.48</v>
      </c>
      <c r="I11" s="13">
        <v>1.58</v>
      </c>
      <c r="J11" s="13">
        <v>1.52</v>
      </c>
      <c r="K11" s="13">
        <v>1.3</v>
      </c>
      <c r="L11" s="13">
        <v>0.89</v>
      </c>
      <c r="M11" s="13">
        <v>0.76</v>
      </c>
    </row>
    <row r="12" spans="1:13" x14ac:dyDescent="0.25">
      <c r="A12" s="31" t="s">
        <v>35</v>
      </c>
      <c r="B12" s="29">
        <v>0.18699499999999999</v>
      </c>
      <c r="C12" s="29">
        <v>0.22495899999999999</v>
      </c>
      <c r="D12" s="29">
        <v>0.24501000000000001</v>
      </c>
      <c r="E12" s="29">
        <v>0.32424599999999998</v>
      </c>
      <c r="F12" s="29">
        <v>0.51703299999999996</v>
      </c>
      <c r="G12" s="30">
        <v>0.66966000000000003</v>
      </c>
      <c r="H12" s="13">
        <v>0.43</v>
      </c>
      <c r="I12" s="13">
        <v>0.54</v>
      </c>
      <c r="J12" s="13">
        <v>0.41</v>
      </c>
      <c r="K12" s="13">
        <v>0.05</v>
      </c>
      <c r="L12" s="13">
        <v>-0.41</v>
      </c>
      <c r="M12" s="13">
        <v>-0.51</v>
      </c>
    </row>
    <row r="13" spans="1:13" x14ac:dyDescent="0.25">
      <c r="A13" s="31" t="s">
        <v>36</v>
      </c>
      <c r="B13" s="29">
        <v>0.23291000000000001</v>
      </c>
      <c r="C13" s="29">
        <v>0.27554899999999999</v>
      </c>
      <c r="D13" s="29">
        <v>0.29254200000000002</v>
      </c>
      <c r="E13" s="29">
        <v>0.37433899999999998</v>
      </c>
      <c r="F13" s="29">
        <v>0.59543800000000002</v>
      </c>
      <c r="G13" s="30">
        <v>0.78522000000000003</v>
      </c>
      <c r="H13" s="13">
        <v>0.02</v>
      </c>
      <c r="I13" s="13">
        <v>0.12</v>
      </c>
      <c r="J13" s="13">
        <v>0.06</v>
      </c>
      <c r="K13" s="13">
        <v>-0.17</v>
      </c>
      <c r="L13" s="13">
        <v>-0.6</v>
      </c>
      <c r="M13" s="13">
        <v>-0.76</v>
      </c>
    </row>
    <row r="14" spans="1:13" x14ac:dyDescent="0.25">
      <c r="A14" s="31" t="s">
        <v>37</v>
      </c>
      <c r="B14" s="29">
        <v>0.141513</v>
      </c>
      <c r="C14" s="29">
        <v>0.17483299999999999</v>
      </c>
      <c r="D14" s="29">
        <v>0.19789100000000001</v>
      </c>
      <c r="E14" s="29">
        <v>0.27455800000000002</v>
      </c>
      <c r="F14" s="29">
        <v>0.43919799999999998</v>
      </c>
      <c r="G14" s="30">
        <v>0.55494699999999997</v>
      </c>
      <c r="H14" s="13">
        <v>0.72</v>
      </c>
      <c r="I14" s="13">
        <v>0.84</v>
      </c>
      <c r="J14" s="13">
        <v>0.76</v>
      </c>
      <c r="K14" s="13">
        <v>0.48</v>
      </c>
      <c r="L14" s="13">
        <v>0.06</v>
      </c>
      <c r="M14" s="13">
        <v>-0.02</v>
      </c>
    </row>
    <row r="15" spans="1:13" x14ac:dyDescent="0.25">
      <c r="A15" s="31" t="s">
        <v>38</v>
      </c>
      <c r="B15" s="29">
        <v>0.19209499999999999</v>
      </c>
      <c r="C15" s="29">
        <v>0.223631</v>
      </c>
      <c r="D15" s="29">
        <v>0.22519</v>
      </c>
      <c r="E15" s="29">
        <v>0.26613100000000001</v>
      </c>
      <c r="F15" s="29">
        <v>0.43679699999999999</v>
      </c>
      <c r="G15" s="30">
        <v>0.56636799999999998</v>
      </c>
      <c r="H15" s="13">
        <v>0.31</v>
      </c>
      <c r="I15" s="13">
        <v>0.47</v>
      </c>
      <c r="J15" s="13">
        <v>0.45</v>
      </c>
      <c r="K15" s="13">
        <v>0.27</v>
      </c>
      <c r="L15" s="13">
        <v>-0.09</v>
      </c>
      <c r="M15" s="13">
        <v>-0.14000000000000001</v>
      </c>
    </row>
    <row r="16" spans="1:13" x14ac:dyDescent="0.25">
      <c r="A16" s="31" t="s">
        <v>39</v>
      </c>
      <c r="B16" s="29">
        <v>0</v>
      </c>
      <c r="C16" s="29">
        <v>-9.6099999999999994E-8</v>
      </c>
      <c r="D16" s="29">
        <v>-1.8799999999999999E-7</v>
      </c>
      <c r="E16" s="29">
        <v>-3.6199999999999999E-7</v>
      </c>
      <c r="F16" s="29">
        <v>-6.5600000000000005E-7</v>
      </c>
      <c r="G16" s="30">
        <v>-4.9999999999999998E-7</v>
      </c>
      <c r="H16" s="13">
        <v>0.3</v>
      </c>
      <c r="I16" s="13">
        <v>0.4</v>
      </c>
      <c r="J16" s="13">
        <v>0.4</v>
      </c>
      <c r="K16" s="13">
        <v>0.23</v>
      </c>
      <c r="L16" s="13">
        <v>-0.14000000000000001</v>
      </c>
      <c r="M16" s="13">
        <v>-0.16</v>
      </c>
    </row>
    <row r="17" spans="1:13" x14ac:dyDescent="0.25">
      <c r="A17" s="31" t="s">
        <v>40</v>
      </c>
      <c r="B17" s="29">
        <v>-0.113512</v>
      </c>
      <c r="C17" s="29">
        <v>0.19291700000000001</v>
      </c>
      <c r="D17" s="29">
        <v>0.466833</v>
      </c>
      <c r="E17" s="29">
        <v>0.740645</v>
      </c>
      <c r="F17" s="29">
        <v>0.87045600000000001</v>
      </c>
      <c r="G17" s="30">
        <v>0.934535</v>
      </c>
      <c r="H17" s="13">
        <v>0.61</v>
      </c>
      <c r="I17" s="13">
        <v>0.65</v>
      </c>
      <c r="J17" s="13">
        <v>0.15</v>
      </c>
      <c r="K17" s="13">
        <v>-0.93</v>
      </c>
      <c r="L17" s="13">
        <v>-1.67</v>
      </c>
      <c r="M17" s="13">
        <v>-1.64</v>
      </c>
    </row>
    <row r="18" spans="1:13" x14ac:dyDescent="0.25">
      <c r="A18" s="31" t="s">
        <v>16</v>
      </c>
      <c r="B18" s="29">
        <v>-0.34561700000000001</v>
      </c>
      <c r="C18" s="29">
        <v>-8.2405000000000006E-2</v>
      </c>
      <c r="D18" s="29">
        <v>0.17378299999999999</v>
      </c>
      <c r="E18" s="29">
        <v>0.36493999999999999</v>
      </c>
      <c r="F18" s="29">
        <v>0.27339000000000002</v>
      </c>
      <c r="G18" s="30">
        <v>0.14815200000000001</v>
      </c>
      <c r="H18" s="13">
        <v>0.59</v>
      </c>
      <c r="I18" s="13">
        <v>0.53</v>
      </c>
      <c r="J18" s="13">
        <v>0.1</v>
      </c>
      <c r="K18" s="13">
        <v>-0.77</v>
      </c>
      <c r="L18" s="13">
        <v>-1.08</v>
      </c>
      <c r="M18" s="13">
        <v>-0.89</v>
      </c>
    </row>
    <row r="19" spans="1:13" x14ac:dyDescent="0.25">
      <c r="A19" s="31" t="s">
        <v>41</v>
      </c>
      <c r="B19" s="29">
        <v>-0.21093899999999999</v>
      </c>
      <c r="C19" s="29">
        <v>-0.447986</v>
      </c>
      <c r="D19" s="29">
        <v>-0.63350499999999998</v>
      </c>
      <c r="E19" s="29">
        <v>-0.83709999999999996</v>
      </c>
      <c r="F19" s="29">
        <v>-0.908717</v>
      </c>
      <c r="G19" s="30">
        <v>-0.45229200000000003</v>
      </c>
      <c r="H19" s="13">
        <v>-32</v>
      </c>
      <c r="I19" s="13">
        <v>-118</v>
      </c>
      <c r="J19" s="13">
        <v>-153</v>
      </c>
      <c r="K19" s="13">
        <v>-113</v>
      </c>
      <c r="L19" s="13">
        <v>-69</v>
      </c>
      <c r="M19" s="13">
        <v>-64</v>
      </c>
    </row>
    <row r="20" spans="1:13" x14ac:dyDescent="0.25">
      <c r="A20" s="31" t="s">
        <v>42</v>
      </c>
      <c r="B20" s="29">
        <v>0.15919700000000001</v>
      </c>
      <c r="C20" s="29">
        <v>0.32536900000000002</v>
      </c>
      <c r="D20" s="29">
        <v>0.44575599999999999</v>
      </c>
      <c r="E20" s="29">
        <v>0.56428400000000001</v>
      </c>
      <c r="F20" s="29">
        <v>0.59102399999999999</v>
      </c>
      <c r="G20" s="30">
        <v>0.29153499999999999</v>
      </c>
      <c r="H20" s="13">
        <v>0.13</v>
      </c>
      <c r="I20" s="13">
        <v>0.49</v>
      </c>
      <c r="J20" s="13">
        <v>0.64</v>
      </c>
      <c r="K20" s="13">
        <v>0.47</v>
      </c>
      <c r="L20" s="13">
        <v>0.28999999999999998</v>
      </c>
      <c r="M20" s="13">
        <v>0.27</v>
      </c>
    </row>
    <row r="21" spans="1:13" x14ac:dyDescent="0.25">
      <c r="A21" s="31" t="s">
        <v>43</v>
      </c>
      <c r="B21" s="29">
        <v>0.177394</v>
      </c>
      <c r="C21" s="29">
        <v>0.23328299999999999</v>
      </c>
      <c r="D21" s="29">
        <v>0.247868</v>
      </c>
      <c r="E21" s="29">
        <v>0.24995899999999999</v>
      </c>
      <c r="F21" s="29">
        <v>0.23308499999999999</v>
      </c>
      <c r="G21" s="30">
        <v>9.5084000000000002E-2</v>
      </c>
      <c r="H21" s="13">
        <v>0.17</v>
      </c>
      <c r="I21" s="13">
        <v>0.27</v>
      </c>
      <c r="J21" s="13">
        <v>0.24</v>
      </c>
      <c r="K21" s="13">
        <v>0.28000000000000003</v>
      </c>
      <c r="L21" s="13">
        <v>0.4</v>
      </c>
      <c r="M21" s="13">
        <v>0.41</v>
      </c>
    </row>
    <row r="22" spans="1:13" x14ac:dyDescent="0.25">
      <c r="A22" s="31" t="s">
        <v>44</v>
      </c>
      <c r="B22" s="29">
        <v>0.405194</v>
      </c>
      <c r="C22" s="29">
        <v>0.260436</v>
      </c>
      <c r="D22" s="29">
        <v>0.140902</v>
      </c>
      <c r="E22" s="29">
        <v>-1.685E-2</v>
      </c>
      <c r="F22" s="29">
        <v>6.685E-3</v>
      </c>
      <c r="G22" s="30">
        <v>0.14190800000000001</v>
      </c>
      <c r="H22" s="13">
        <v>0.8</v>
      </c>
      <c r="I22" s="13">
        <v>0.36</v>
      </c>
      <c r="J22" s="13">
        <v>0.28000000000000003</v>
      </c>
      <c r="K22" s="13">
        <v>0.37</v>
      </c>
      <c r="L22" s="13">
        <v>0.44</v>
      </c>
      <c r="M22" s="13">
        <v>0.47</v>
      </c>
    </row>
    <row r="23" spans="1:13" x14ac:dyDescent="0.25">
      <c r="A23" s="40"/>
      <c r="B23" s="40"/>
      <c r="C23" s="40"/>
      <c r="D23" s="40"/>
      <c r="E23" s="40"/>
      <c r="F23" s="40"/>
      <c r="G23" s="40"/>
      <c r="I23" s="40"/>
    </row>
    <row r="24" spans="1:13" x14ac:dyDescent="0.25">
      <c r="A24" s="40"/>
      <c r="B24" s="40"/>
      <c r="C24" s="40"/>
      <c r="D24" s="40"/>
      <c r="E24" s="40"/>
      <c r="F24" s="40"/>
      <c r="G24" s="40"/>
    </row>
  </sheetData>
  <mergeCells count="2">
    <mergeCell ref="B2:G2"/>
    <mergeCell ref="H2:M2"/>
  </mergeCells>
  <pageMargins left="0.7" right="0.7" top="0.75" bottom="0.75" header="0.3" footer="0.3"/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Feuil16"/>
  <dimension ref="A1:M24"/>
  <sheetViews>
    <sheetView workbookViewId="0">
      <selection activeCell="F27" sqref="F27"/>
    </sheetView>
  </sheetViews>
  <sheetFormatPr baseColWidth="10" defaultColWidth="11" defaultRowHeight="15.75" x14ac:dyDescent="0.25"/>
  <cols>
    <col min="1" max="1" width="37.125" style="37" customWidth="1"/>
    <col min="2" max="16384" width="11" style="37"/>
  </cols>
  <sheetData>
    <row r="1" spans="1:13" ht="30" x14ac:dyDescent="0.25">
      <c r="A1" s="34" t="s">
        <v>48</v>
      </c>
    </row>
    <row r="2" spans="1:13" ht="29.25" customHeight="1" x14ac:dyDescent="0.25">
      <c r="A2" s="38"/>
      <c r="B2" s="41" t="s">
        <v>45</v>
      </c>
      <c r="C2" s="41"/>
      <c r="D2" s="41"/>
      <c r="E2" s="41"/>
      <c r="F2" s="41"/>
      <c r="G2" s="42"/>
      <c r="H2" s="43" t="s">
        <v>46</v>
      </c>
      <c r="I2" s="44"/>
      <c r="J2" s="44"/>
      <c r="K2" s="44"/>
      <c r="L2" s="44"/>
      <c r="M2" s="45"/>
    </row>
    <row r="3" spans="1:13" x14ac:dyDescent="0.25">
      <c r="A3" s="39"/>
      <c r="B3" s="9" t="s">
        <v>0</v>
      </c>
      <c r="C3" s="9" t="s">
        <v>1</v>
      </c>
      <c r="D3" s="9" t="s">
        <v>2</v>
      </c>
      <c r="E3" s="9" t="s">
        <v>3</v>
      </c>
      <c r="F3" s="9" t="s">
        <v>4</v>
      </c>
      <c r="G3" s="11" t="s">
        <v>50</v>
      </c>
      <c r="H3" s="24" t="s">
        <v>0</v>
      </c>
      <c r="I3" s="10" t="s">
        <v>1</v>
      </c>
      <c r="J3" s="10" t="s">
        <v>2</v>
      </c>
      <c r="K3" s="10" t="s">
        <v>3</v>
      </c>
      <c r="L3" s="10" t="s">
        <v>4</v>
      </c>
      <c r="M3" s="25" t="s">
        <v>5</v>
      </c>
    </row>
    <row r="4" spans="1:13" x14ac:dyDescent="0.25">
      <c r="A4" s="31" t="s">
        <v>6</v>
      </c>
      <c r="B4" s="29">
        <f t="array" ref="B4:G22">TRANSPOSE(INCT10!$B$3:$T$8)</f>
        <v>0.57637300000000002</v>
      </c>
      <c r="C4" s="29">
        <v>0.88685700000000001</v>
      </c>
      <c r="D4" s="29">
        <v>1.0540769999999999</v>
      </c>
      <c r="E4" s="29">
        <v>1.150153</v>
      </c>
      <c r="F4" s="29">
        <v>0.92721900000000002</v>
      </c>
      <c r="G4" s="30">
        <v>0.72844600000000004</v>
      </c>
      <c r="H4" s="12">
        <v>0.41</v>
      </c>
      <c r="I4" s="36">
        <v>0.83</v>
      </c>
      <c r="J4" s="36">
        <v>0.88</v>
      </c>
      <c r="K4" s="36">
        <v>0.81</v>
      </c>
      <c r="L4" s="36">
        <v>0.87</v>
      </c>
      <c r="M4" s="32">
        <v>1.05</v>
      </c>
    </row>
    <row r="5" spans="1:13" x14ac:dyDescent="0.25">
      <c r="A5" s="31" t="s">
        <v>8</v>
      </c>
      <c r="B5" s="29">
        <v>1.1804429999999999</v>
      </c>
      <c r="C5" s="29">
        <v>1.8372900000000001</v>
      </c>
      <c r="D5" s="29">
        <v>2.2356129999999999</v>
      </c>
      <c r="E5" s="29">
        <v>2.6415139999999999</v>
      </c>
      <c r="F5" s="29">
        <v>2.7423000000000002</v>
      </c>
      <c r="G5" s="30">
        <v>2.3016930000000002</v>
      </c>
      <c r="H5" s="12">
        <v>0.81</v>
      </c>
      <c r="I5" s="36">
        <v>1.66</v>
      </c>
      <c r="J5" s="36">
        <v>1.9</v>
      </c>
      <c r="K5" s="36">
        <v>2.0099999999999998</v>
      </c>
      <c r="L5" s="36">
        <v>2.06</v>
      </c>
      <c r="M5" s="32">
        <v>2.27</v>
      </c>
    </row>
    <row r="6" spans="1:13" x14ac:dyDescent="0.25">
      <c r="A6" s="31" t="s">
        <v>9</v>
      </c>
      <c r="B6" s="29">
        <v>0.29191699999999998</v>
      </c>
      <c r="C6" s="29">
        <v>0.57948699999999997</v>
      </c>
      <c r="D6" s="29">
        <v>0.77961100000000005</v>
      </c>
      <c r="E6" s="29">
        <v>0.94564599999999999</v>
      </c>
      <c r="F6" s="29">
        <v>0.93097799999999997</v>
      </c>
      <c r="G6" s="30">
        <v>0.65131099999999997</v>
      </c>
      <c r="H6" s="12">
        <v>0.61</v>
      </c>
      <c r="I6" s="36">
        <v>1.6</v>
      </c>
      <c r="J6" s="36">
        <v>1.65</v>
      </c>
      <c r="K6" s="36">
        <v>1.23</v>
      </c>
      <c r="L6" s="36">
        <v>1.1499999999999999</v>
      </c>
      <c r="M6" s="32">
        <v>1.27</v>
      </c>
    </row>
    <row r="7" spans="1:13" x14ac:dyDescent="0.25">
      <c r="A7" s="31" t="s">
        <v>11</v>
      </c>
      <c r="B7" s="29">
        <v>-2.3917000000000001E-2</v>
      </c>
      <c r="C7" s="29">
        <v>-8.8992000000000002E-2</v>
      </c>
      <c r="D7" s="29">
        <v>-0.20032900000000001</v>
      </c>
      <c r="E7" s="29">
        <v>-0.53486199999999995</v>
      </c>
      <c r="F7" s="29">
        <v>-1.4315910000000001</v>
      </c>
      <c r="G7" s="30">
        <v>-1.3061640000000001</v>
      </c>
      <c r="H7" s="12">
        <v>0.04</v>
      </c>
      <c r="I7" s="36">
        <v>0.01</v>
      </c>
      <c r="J7" s="36">
        <v>-7.0000000000000007E-2</v>
      </c>
      <c r="K7" s="36">
        <v>-0.13</v>
      </c>
      <c r="L7" s="36">
        <v>0.01</v>
      </c>
      <c r="M7" s="32">
        <v>0.28000000000000003</v>
      </c>
    </row>
    <row r="8" spans="1:13" x14ac:dyDescent="0.25">
      <c r="A8" s="31" t="s">
        <v>12</v>
      </c>
      <c r="B8" s="29">
        <v>0.63239800000000002</v>
      </c>
      <c r="C8" s="29">
        <v>1.0686599999999999</v>
      </c>
      <c r="D8" s="29">
        <v>1.367845</v>
      </c>
      <c r="E8" s="29">
        <v>1.7297670000000001</v>
      </c>
      <c r="F8" s="29">
        <v>1.988356</v>
      </c>
      <c r="G8" s="30">
        <v>1.6695679999999999</v>
      </c>
      <c r="H8" s="12">
        <v>0.7</v>
      </c>
      <c r="I8" s="36">
        <v>1.42</v>
      </c>
      <c r="J8" s="36">
        <v>1.43</v>
      </c>
      <c r="K8" s="36">
        <v>1.27</v>
      </c>
      <c r="L8" s="36">
        <v>1.24</v>
      </c>
      <c r="M8" s="32">
        <v>1.31</v>
      </c>
    </row>
    <row r="9" spans="1:13" x14ac:dyDescent="0.25">
      <c r="A9" s="31" t="s">
        <v>32</v>
      </c>
      <c r="B9" s="29">
        <v>1.840652</v>
      </c>
      <c r="C9" s="29">
        <v>2.2988140000000001</v>
      </c>
      <c r="D9" s="29">
        <v>2.8031130000000002</v>
      </c>
      <c r="E9" s="29">
        <v>3.7378089999999999</v>
      </c>
      <c r="F9" s="29">
        <v>4.9236209999999998</v>
      </c>
      <c r="G9" s="30">
        <v>3.9228969999999999</v>
      </c>
      <c r="H9" s="12">
        <v>1.7</v>
      </c>
      <c r="I9" s="36">
        <v>1.82</v>
      </c>
      <c r="J9" s="36">
        <v>1.92</v>
      </c>
      <c r="K9" s="36">
        <v>2.04</v>
      </c>
      <c r="L9" s="36">
        <v>2.06</v>
      </c>
      <c r="M9" s="32">
        <v>2.27</v>
      </c>
    </row>
    <row r="10" spans="1:13" x14ac:dyDescent="0.25">
      <c r="A10" s="31" t="s">
        <v>33</v>
      </c>
      <c r="B10" s="29">
        <v>0.49355300000000002</v>
      </c>
      <c r="C10" s="29">
        <v>0.14177200000000001</v>
      </c>
      <c r="D10" s="29">
        <v>-3.9500000000000004E-3</v>
      </c>
      <c r="E10" s="29">
        <v>-8.6856000000000003E-2</v>
      </c>
      <c r="F10" s="29">
        <v>-5.3150999999999997E-2</v>
      </c>
      <c r="G10" s="30">
        <v>8.0699999999999999E-4</v>
      </c>
      <c r="H10" s="12">
        <v>0.75</v>
      </c>
      <c r="I10" s="36">
        <v>0.14000000000000001</v>
      </c>
      <c r="J10" s="36">
        <v>0.02</v>
      </c>
      <c r="K10" s="36">
        <v>0.03</v>
      </c>
      <c r="L10" s="36">
        <v>0</v>
      </c>
      <c r="M10" s="32">
        <v>0</v>
      </c>
    </row>
    <row r="11" spans="1:13" x14ac:dyDescent="0.25">
      <c r="A11" s="31" t="s">
        <v>34</v>
      </c>
      <c r="B11" s="29">
        <v>9.8185999999999996E-2</v>
      </c>
      <c r="C11" s="29">
        <v>0.29428599999999999</v>
      </c>
      <c r="D11" s="29">
        <v>0.55952199999999996</v>
      </c>
      <c r="E11" s="29">
        <v>1.1660330000000001</v>
      </c>
      <c r="F11" s="29">
        <v>2.1836660000000001</v>
      </c>
      <c r="G11" s="30">
        <v>1.5838140000000001</v>
      </c>
      <c r="H11" s="12">
        <v>0.04</v>
      </c>
      <c r="I11" s="36">
        <v>0.21</v>
      </c>
      <c r="J11" s="36">
        <v>0.34</v>
      </c>
      <c r="K11" s="36">
        <v>0.35</v>
      </c>
      <c r="L11" s="36">
        <v>0.14000000000000001</v>
      </c>
      <c r="M11" s="32">
        <v>-0.18</v>
      </c>
    </row>
    <row r="12" spans="1:13" x14ac:dyDescent="0.25">
      <c r="A12" s="31" t="s">
        <v>35</v>
      </c>
      <c r="B12" s="29">
        <v>0.116745</v>
      </c>
      <c r="C12" s="29">
        <v>0.35147099999999998</v>
      </c>
      <c r="D12" s="29">
        <v>0.66925000000000001</v>
      </c>
      <c r="E12" s="29">
        <v>1.3922859999999999</v>
      </c>
      <c r="F12" s="29">
        <v>2.5817619999999999</v>
      </c>
      <c r="G12" s="30">
        <v>1.8632280000000001</v>
      </c>
      <c r="H12" s="12">
        <v>0.04</v>
      </c>
      <c r="I12" s="36">
        <v>0.2</v>
      </c>
      <c r="J12" s="36">
        <v>0.33</v>
      </c>
      <c r="K12" s="36">
        <v>0.34</v>
      </c>
      <c r="L12" s="36">
        <v>0.12</v>
      </c>
      <c r="M12" s="32">
        <v>-0.19</v>
      </c>
    </row>
    <row r="13" spans="1:13" x14ac:dyDescent="0.25">
      <c r="A13" s="31" t="s">
        <v>36</v>
      </c>
      <c r="B13" s="29">
        <v>0.138042</v>
      </c>
      <c r="C13" s="29">
        <v>0.41618300000000003</v>
      </c>
      <c r="D13" s="29">
        <v>0.79280300000000004</v>
      </c>
      <c r="E13" s="29">
        <v>1.6480680000000001</v>
      </c>
      <c r="F13" s="29">
        <v>3.044467</v>
      </c>
      <c r="G13" s="30">
        <v>2.192339</v>
      </c>
      <c r="H13" s="12">
        <v>0.04</v>
      </c>
      <c r="I13" s="36">
        <v>0.26</v>
      </c>
      <c r="J13" s="36">
        <v>0.41</v>
      </c>
      <c r="K13" s="36">
        <v>0.41</v>
      </c>
      <c r="L13" s="36">
        <v>0.17</v>
      </c>
      <c r="M13" s="32">
        <v>-0.22</v>
      </c>
    </row>
    <row r="14" spans="1:13" x14ac:dyDescent="0.25">
      <c r="A14" s="31" t="s">
        <v>37</v>
      </c>
      <c r="B14" s="29">
        <v>9.5594999999999999E-2</v>
      </c>
      <c r="C14" s="29">
        <v>0.28723300000000002</v>
      </c>
      <c r="D14" s="29">
        <v>0.54665699999999995</v>
      </c>
      <c r="E14" s="29">
        <v>1.1386069999999999</v>
      </c>
      <c r="F14" s="29">
        <v>2.1225869999999998</v>
      </c>
      <c r="G14" s="30">
        <v>1.536667</v>
      </c>
      <c r="H14" s="12">
        <v>0.03</v>
      </c>
      <c r="I14" s="36">
        <v>0.18</v>
      </c>
      <c r="J14" s="36">
        <v>0.32</v>
      </c>
      <c r="K14" s="36">
        <v>0.35</v>
      </c>
      <c r="L14" s="36">
        <v>0.13</v>
      </c>
      <c r="M14" s="32">
        <v>-0.17</v>
      </c>
    </row>
    <row r="15" spans="1:13" x14ac:dyDescent="0.25">
      <c r="A15" s="31" t="s">
        <v>38</v>
      </c>
      <c r="B15" s="29">
        <v>9.9715999999999999E-2</v>
      </c>
      <c r="C15" s="29">
        <v>0.30165599999999998</v>
      </c>
      <c r="D15" s="29">
        <v>0.577546</v>
      </c>
      <c r="E15" s="29">
        <v>1.211114</v>
      </c>
      <c r="F15" s="29">
        <v>2.2510189999999999</v>
      </c>
      <c r="G15" s="30">
        <v>1.626879</v>
      </c>
      <c r="H15" s="12">
        <v>0.02</v>
      </c>
      <c r="I15" s="36">
        <v>0.14000000000000001</v>
      </c>
      <c r="J15" s="36">
        <v>0.26</v>
      </c>
      <c r="K15" s="36">
        <v>0.31</v>
      </c>
      <c r="L15" s="36">
        <v>0.12</v>
      </c>
      <c r="M15" s="32">
        <v>-0.15</v>
      </c>
    </row>
    <row r="16" spans="1:13" x14ac:dyDescent="0.25">
      <c r="A16" s="31" t="s">
        <v>39</v>
      </c>
      <c r="B16" s="29">
        <v>0</v>
      </c>
      <c r="C16" s="29">
        <v>-9.6099999999999994E-8</v>
      </c>
      <c r="D16" s="29">
        <v>-1.8799999999999999E-7</v>
      </c>
      <c r="E16" s="29">
        <v>-3.6199999999999999E-7</v>
      </c>
      <c r="F16" s="29">
        <v>-6.5600000000000005E-7</v>
      </c>
      <c r="G16" s="30">
        <v>-4.9999999999999998E-7</v>
      </c>
      <c r="H16" s="12">
        <v>0.05</v>
      </c>
      <c r="I16" s="36">
        <v>0.17</v>
      </c>
      <c r="J16" s="36">
        <v>0.27</v>
      </c>
      <c r="K16" s="36">
        <v>0.3</v>
      </c>
      <c r="L16" s="36">
        <v>0.11</v>
      </c>
      <c r="M16" s="32">
        <v>-0.13</v>
      </c>
    </row>
    <row r="17" spans="1:13" x14ac:dyDescent="0.25">
      <c r="A17" s="31" t="s">
        <v>40</v>
      </c>
      <c r="B17" s="29">
        <v>0.16139500000000001</v>
      </c>
      <c r="C17" s="29">
        <v>0.468497</v>
      </c>
      <c r="D17" s="29">
        <v>0.864958</v>
      </c>
      <c r="E17" s="29">
        <v>1.7220089999999999</v>
      </c>
      <c r="F17" s="29">
        <v>3.071504</v>
      </c>
      <c r="G17" s="30">
        <v>2.30131</v>
      </c>
      <c r="H17" s="12">
        <v>0.05</v>
      </c>
      <c r="I17" s="36">
        <v>0.09</v>
      </c>
      <c r="J17" s="36">
        <v>0.09</v>
      </c>
      <c r="K17" s="36">
        <v>0.05</v>
      </c>
      <c r="L17" s="36">
        <v>-0.16</v>
      </c>
      <c r="M17" s="32">
        <v>-0.25</v>
      </c>
    </row>
    <row r="18" spans="1:13" x14ac:dyDescent="0.25">
      <c r="A18" s="31" t="s">
        <v>16</v>
      </c>
      <c r="B18" s="29">
        <v>2.3321000000000001E-2</v>
      </c>
      <c r="C18" s="29">
        <v>5.2096999999999997E-2</v>
      </c>
      <c r="D18" s="29">
        <v>7.1586999999999998E-2</v>
      </c>
      <c r="E18" s="29">
        <v>7.2743000000000002E-2</v>
      </c>
      <c r="F18" s="29">
        <v>2.6238000000000001E-2</v>
      </c>
      <c r="G18" s="30">
        <v>0.10663400000000001</v>
      </c>
      <c r="H18" s="12">
        <v>0.01</v>
      </c>
      <c r="I18" s="36">
        <v>-0.16</v>
      </c>
      <c r="J18" s="36">
        <v>-0.32</v>
      </c>
      <c r="K18" s="36">
        <v>-0.35</v>
      </c>
      <c r="L18" s="36">
        <v>-0.33</v>
      </c>
      <c r="M18" s="32">
        <v>-0.03</v>
      </c>
    </row>
    <row r="19" spans="1:13" x14ac:dyDescent="0.25">
      <c r="A19" s="31" t="s">
        <v>41</v>
      </c>
      <c r="B19" s="29">
        <v>0.29597899999999999</v>
      </c>
      <c r="C19" s="29">
        <v>0.63305500000000003</v>
      </c>
      <c r="D19" s="29">
        <v>0.90268400000000004</v>
      </c>
      <c r="E19" s="29">
        <v>1.154013</v>
      </c>
      <c r="F19" s="29">
        <v>0.82537499999999997</v>
      </c>
      <c r="G19" s="30">
        <v>0.59327700000000005</v>
      </c>
      <c r="H19" s="12">
        <v>24</v>
      </c>
      <c r="I19" s="36">
        <v>109</v>
      </c>
      <c r="J19" s="36">
        <v>174</v>
      </c>
      <c r="K19" s="36">
        <v>184</v>
      </c>
      <c r="L19" s="36">
        <v>181</v>
      </c>
      <c r="M19" s="32">
        <v>200</v>
      </c>
    </row>
    <row r="20" spans="1:13" x14ac:dyDescent="0.25">
      <c r="A20" s="31" t="s">
        <v>42</v>
      </c>
      <c r="B20" s="29">
        <v>-0.22322400000000001</v>
      </c>
      <c r="C20" s="29">
        <v>-0.459119</v>
      </c>
      <c r="D20" s="29">
        <v>-0.63388299999999997</v>
      </c>
      <c r="E20" s="29">
        <v>-0.77221600000000001</v>
      </c>
      <c r="F20" s="29">
        <v>-0.51864200000000005</v>
      </c>
      <c r="G20" s="30">
        <v>-0.38401299999999999</v>
      </c>
      <c r="H20" s="12">
        <v>-0.1</v>
      </c>
      <c r="I20" s="36">
        <v>-0.45</v>
      </c>
      <c r="J20" s="36">
        <v>-0.72</v>
      </c>
      <c r="K20" s="36">
        <v>-0.77</v>
      </c>
      <c r="L20" s="36">
        <v>-0.75</v>
      </c>
      <c r="M20" s="32">
        <v>-0.83</v>
      </c>
    </row>
    <row r="21" spans="1:13" x14ac:dyDescent="0.25">
      <c r="A21" s="31" t="s">
        <v>43</v>
      </c>
      <c r="B21" s="29">
        <v>-0.12856999999999999</v>
      </c>
      <c r="C21" s="29">
        <v>-0.194107</v>
      </c>
      <c r="D21" s="29">
        <v>-0.21876699999999999</v>
      </c>
      <c r="E21" s="29">
        <v>-0.21875500000000001</v>
      </c>
      <c r="F21" s="29">
        <v>-0.22773199999999999</v>
      </c>
      <c r="G21" s="30">
        <v>-0.285916</v>
      </c>
      <c r="H21" s="12">
        <v>-0.21</v>
      </c>
      <c r="I21" s="36">
        <v>-0.44</v>
      </c>
      <c r="J21" s="36">
        <v>-0.47</v>
      </c>
      <c r="K21" s="36">
        <v>-0.44</v>
      </c>
      <c r="L21" s="36">
        <v>-0.38</v>
      </c>
      <c r="M21" s="32">
        <v>-0.33</v>
      </c>
    </row>
    <row r="22" spans="1:13" x14ac:dyDescent="0.25">
      <c r="A22" s="31" t="s">
        <v>44</v>
      </c>
      <c r="B22" s="29">
        <v>-0.71876200000000001</v>
      </c>
      <c r="C22" s="29">
        <v>-0.48091400000000001</v>
      </c>
      <c r="D22" s="29">
        <v>-0.30765999999999999</v>
      </c>
      <c r="E22" s="29">
        <v>-0.12123399999999999</v>
      </c>
      <c r="F22" s="29">
        <v>-6.1823000000000003E-2</v>
      </c>
      <c r="G22" s="30">
        <v>-0.45571800000000001</v>
      </c>
      <c r="H22" s="12">
        <v>-0.81</v>
      </c>
      <c r="I22" s="36">
        <v>-0.5</v>
      </c>
      <c r="J22" s="36">
        <v>-0.42</v>
      </c>
      <c r="K22" s="36">
        <v>-0.51</v>
      </c>
      <c r="L22" s="36">
        <v>-0.5</v>
      </c>
      <c r="M22" s="32">
        <v>-0.43</v>
      </c>
    </row>
    <row r="23" spans="1:13" x14ac:dyDescent="0.25">
      <c r="A23" s="40"/>
      <c r="B23" s="40"/>
      <c r="C23" s="40"/>
      <c r="D23" s="40"/>
      <c r="E23" s="40"/>
      <c r="F23" s="40"/>
      <c r="G23" s="40"/>
      <c r="I23" s="40"/>
    </row>
    <row r="24" spans="1:13" x14ac:dyDescent="0.25">
      <c r="A24" s="40"/>
      <c r="B24" s="40"/>
      <c r="C24" s="40"/>
      <c r="D24" s="40"/>
      <c r="E24" s="40"/>
      <c r="F24" s="40"/>
      <c r="G24" s="40"/>
    </row>
  </sheetData>
  <mergeCells count="2">
    <mergeCell ref="B2:G2"/>
    <mergeCell ref="H2:M2"/>
  </mergeCells>
  <pageMargins left="0.7" right="0.7" top="0.75" bottom="0.75" header="0.3" footer="0.3"/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Feuil19"/>
  <dimension ref="A1"/>
  <sheetViews>
    <sheetView workbookViewId="0"/>
  </sheetViews>
  <sheetFormatPr baseColWidth="10" defaultRowHeight="15.75" x14ac:dyDescent="0.25"/>
  <sheetData/>
  <pageMargins left="0.7" right="0.7" top="0.75" bottom="0.75" header="0.3" footer="0.3"/>
</worksheet>
</file>

<file path=xl/worksheets/sheet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Feuil20"/>
  <dimension ref="A1"/>
  <sheetViews>
    <sheetView tabSelected="1" workbookViewId="0">
      <selection activeCell="M28" sqref="M28"/>
    </sheetView>
  </sheetViews>
  <sheetFormatPr baseColWidth="10" defaultRowHeight="15.75" x14ac:dyDescent="0.25"/>
  <sheetData/>
  <pageMargins left="0.7" right="0.7" top="0.75" bottom="0.75" header="0.3" footer="0.3"/>
</worksheet>
</file>

<file path=xl/worksheets/sheet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Feuil21"/>
  <dimension ref="A1:T8"/>
  <sheetViews>
    <sheetView workbookViewId="0"/>
  </sheetViews>
  <sheetFormatPr baseColWidth="10" defaultRowHeight="15.75" x14ac:dyDescent="0.25"/>
  <sheetData>
    <row r="1" spans="1:20" x14ac:dyDescent="0.25">
      <c r="B1" t="s">
        <v>146</v>
      </c>
      <c r="C1" t="s">
        <v>147</v>
      </c>
      <c r="D1" t="s">
        <v>148</v>
      </c>
      <c r="E1" t="s">
        <v>149</v>
      </c>
      <c r="F1" t="s">
        <v>150</v>
      </c>
      <c r="G1" t="s">
        <v>151</v>
      </c>
      <c r="H1" t="s">
        <v>152</v>
      </c>
      <c r="I1" t="s">
        <v>153</v>
      </c>
      <c r="J1" t="s">
        <v>154</v>
      </c>
      <c r="K1" t="s">
        <v>155</v>
      </c>
      <c r="L1" t="s">
        <v>156</v>
      </c>
      <c r="M1" t="s">
        <v>157</v>
      </c>
      <c r="N1" t="s">
        <v>158</v>
      </c>
      <c r="O1" t="s">
        <v>159</v>
      </c>
      <c r="P1" t="s">
        <v>160</v>
      </c>
      <c r="Q1" t="s">
        <v>161</v>
      </c>
      <c r="R1" t="s">
        <v>162</v>
      </c>
      <c r="S1" t="s">
        <v>163</v>
      </c>
      <c r="T1" t="s">
        <v>164</v>
      </c>
    </row>
    <row r="3" spans="1:20" x14ac:dyDescent="0.25">
      <c r="A3">
        <v>2001</v>
      </c>
      <c r="B3">
        <v>2.3418220000000001</v>
      </c>
      <c r="C3">
        <v>0.64906699999999995</v>
      </c>
      <c r="D3">
        <v>1.705044</v>
      </c>
      <c r="E3">
        <v>9.8464849999999995</v>
      </c>
      <c r="F3">
        <v>2.6457630000000001</v>
      </c>
      <c r="G3">
        <v>1.426166</v>
      </c>
      <c r="H3">
        <v>0.27242499999999997</v>
      </c>
      <c r="I3">
        <v>0.46575899999999998</v>
      </c>
      <c r="J3">
        <v>0.55806800000000001</v>
      </c>
      <c r="K3">
        <v>0.664775</v>
      </c>
      <c r="L3">
        <v>0.45268399999999998</v>
      </c>
      <c r="M3">
        <v>0.58362199999999997</v>
      </c>
      <c r="N3">
        <v>0</v>
      </c>
      <c r="O3">
        <v>0.75679600000000002</v>
      </c>
      <c r="P3">
        <v>9.1413999999999995E-2</v>
      </c>
      <c r="Q3">
        <v>1.368236</v>
      </c>
      <c r="R3">
        <v>-1.0304139999999999</v>
      </c>
      <c r="S3">
        <v>1.8059780000000001</v>
      </c>
      <c r="T3">
        <v>0.92727599999999999</v>
      </c>
    </row>
    <row r="4" spans="1:20" x14ac:dyDescent="0.25">
      <c r="A4">
        <v>2002</v>
      </c>
      <c r="B4">
        <v>2.6461039999999998</v>
      </c>
      <c r="C4">
        <v>1.459052</v>
      </c>
      <c r="D4">
        <v>2.631869</v>
      </c>
      <c r="E4">
        <v>9.5241520000000008</v>
      </c>
      <c r="F4">
        <v>3.6866599999999998</v>
      </c>
      <c r="G4">
        <v>2.9899969999999998</v>
      </c>
      <c r="H4">
        <v>0.26534999999999997</v>
      </c>
      <c r="I4">
        <v>1.2083740000000001</v>
      </c>
      <c r="J4">
        <v>1.4480850000000001</v>
      </c>
      <c r="K4">
        <v>1.725414</v>
      </c>
      <c r="L4">
        <v>1.1757420000000001</v>
      </c>
      <c r="M4">
        <v>1.408968</v>
      </c>
      <c r="N4" s="57">
        <v>-9.6099999999999994E-8</v>
      </c>
      <c r="O4">
        <v>1.907575</v>
      </c>
      <c r="P4">
        <v>0.17907200000000001</v>
      </c>
      <c r="Q4">
        <v>2.404401</v>
      </c>
      <c r="R4">
        <v>-1.723868</v>
      </c>
      <c r="S4">
        <v>1.6856329999999999</v>
      </c>
      <c r="T4">
        <v>1.4993650000000001</v>
      </c>
    </row>
    <row r="5" spans="1:20" x14ac:dyDescent="0.25">
      <c r="A5">
        <v>2003</v>
      </c>
      <c r="B5">
        <v>2.8763580000000002</v>
      </c>
      <c r="C5">
        <v>2.1891430000000001</v>
      </c>
      <c r="D5">
        <v>3.0882010000000002</v>
      </c>
      <c r="E5">
        <v>9.0564160000000005</v>
      </c>
      <c r="F5">
        <v>4.3545489999999996</v>
      </c>
      <c r="G5">
        <v>4.5236140000000002</v>
      </c>
      <c r="H5">
        <v>0.15947900000000001</v>
      </c>
      <c r="I5">
        <v>2.1024430000000001</v>
      </c>
      <c r="J5">
        <v>2.5170590000000002</v>
      </c>
      <c r="K5">
        <v>2.9970910000000002</v>
      </c>
      <c r="L5">
        <v>2.0462379999999998</v>
      </c>
      <c r="M5">
        <v>2.352611</v>
      </c>
      <c r="N5" s="57">
        <v>-1.8799999999999999E-7</v>
      </c>
      <c r="O5">
        <v>3.2261959999999998</v>
      </c>
      <c r="P5">
        <v>0.222439</v>
      </c>
      <c r="Q5">
        <v>3.0612620000000001</v>
      </c>
      <c r="R5">
        <v>-2.1163889999999999</v>
      </c>
      <c r="S5">
        <v>1.6558200000000001</v>
      </c>
      <c r="T5">
        <v>1.863164</v>
      </c>
    </row>
    <row r="6" spans="1:20" x14ac:dyDescent="0.25">
      <c r="A6">
        <v>2005</v>
      </c>
      <c r="B6">
        <v>2.9682360000000001</v>
      </c>
      <c r="C6">
        <v>3.1421570000000001</v>
      </c>
      <c r="D6">
        <v>3.3698709999999998</v>
      </c>
      <c r="E6">
        <v>7.8472819999999999</v>
      </c>
      <c r="F6">
        <v>5.253959</v>
      </c>
      <c r="G6">
        <v>7.1929629999999998</v>
      </c>
      <c r="H6">
        <v>-3.8390000000000001E-2</v>
      </c>
      <c r="I6">
        <v>3.9719199999999999</v>
      </c>
      <c r="J6">
        <v>4.7387379999999997</v>
      </c>
      <c r="K6">
        <v>5.6326450000000001</v>
      </c>
      <c r="L6">
        <v>3.8623470000000002</v>
      </c>
      <c r="M6">
        <v>4.2726290000000002</v>
      </c>
      <c r="N6" s="57">
        <v>-3.6199999999999999E-7</v>
      </c>
      <c r="O6">
        <v>5.838819</v>
      </c>
      <c r="P6">
        <v>0.19517999999999999</v>
      </c>
      <c r="Q6">
        <v>3.487495</v>
      </c>
      <c r="R6">
        <v>-2.298095</v>
      </c>
      <c r="S6">
        <v>1.641062</v>
      </c>
      <c r="T6">
        <v>2.2206579999999998</v>
      </c>
    </row>
    <row r="7" spans="1:20" x14ac:dyDescent="0.25">
      <c r="A7">
        <v>2010</v>
      </c>
      <c r="B7">
        <v>2.3061600000000002</v>
      </c>
      <c r="C7">
        <v>3.4587129999999999</v>
      </c>
      <c r="D7">
        <v>3.3577189999999999</v>
      </c>
      <c r="E7">
        <v>5.0731390000000003</v>
      </c>
      <c r="F7">
        <v>5.9831729999999999</v>
      </c>
      <c r="G7">
        <v>10.400370000000001</v>
      </c>
      <c r="H7">
        <v>-9.4729999999999995E-2</v>
      </c>
      <c r="I7">
        <v>6.8223900000000004</v>
      </c>
      <c r="J7">
        <v>8.0745419999999992</v>
      </c>
      <c r="K7">
        <v>9.5629550000000005</v>
      </c>
      <c r="L7">
        <v>6.6117679999999996</v>
      </c>
      <c r="M7">
        <v>7.1197759999999999</v>
      </c>
      <c r="N7" s="57">
        <v>-6.5600000000000005E-7</v>
      </c>
      <c r="O7">
        <v>9.6357619999999997</v>
      </c>
      <c r="P7">
        <v>6.6452999999999998E-2</v>
      </c>
      <c r="Q7">
        <v>2.3239770000000002</v>
      </c>
      <c r="R7">
        <v>-1.4529209999999999</v>
      </c>
      <c r="S7">
        <v>1.5150129999999999</v>
      </c>
      <c r="T7">
        <v>2.3278189999999999</v>
      </c>
    </row>
    <row r="8" spans="1:20" x14ac:dyDescent="0.25">
      <c r="A8">
        <v>2035</v>
      </c>
      <c r="B8">
        <v>1.8367089999999999</v>
      </c>
      <c r="C8">
        <v>2.3236050000000001</v>
      </c>
      <c r="D8">
        <v>2.5379670000000001</v>
      </c>
      <c r="E8">
        <v>5.6471679999999997</v>
      </c>
      <c r="F8">
        <v>5.1526199999999998</v>
      </c>
      <c r="G8">
        <v>7.4099700000000004</v>
      </c>
      <c r="H8">
        <v>2.0479999999999999E-3</v>
      </c>
      <c r="I8">
        <v>4.9684629999999999</v>
      </c>
      <c r="J8">
        <v>5.8542860000000001</v>
      </c>
      <c r="K8">
        <v>6.9164510000000003</v>
      </c>
      <c r="L8">
        <v>4.8114140000000001</v>
      </c>
      <c r="M8">
        <v>5.084219</v>
      </c>
      <c r="N8" s="57">
        <v>-4.9999999999999998E-7</v>
      </c>
      <c r="O8">
        <v>7.2832910000000002</v>
      </c>
      <c r="P8">
        <v>0.343109</v>
      </c>
      <c r="Q8">
        <v>1.8268470000000001</v>
      </c>
      <c r="R8">
        <v>-1.1797070000000001</v>
      </c>
      <c r="S8">
        <v>1.353656</v>
      </c>
      <c r="T8">
        <v>1.2183139999999999</v>
      </c>
    </row>
  </sheetData>
  <pageMargins left="0.7" right="0.7" top="0.75" bottom="0.75" header="0.3" footer="0.3"/>
</worksheet>
</file>

<file path=xl/worksheets/sheet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Feuil22"/>
  <dimension ref="A1"/>
  <sheetViews>
    <sheetView workbookViewId="0"/>
  </sheetViews>
  <sheetFormatPr baseColWidth="10" defaultRowHeight="15.75" x14ac:dyDescent="0.25"/>
  <sheetData/>
  <pageMargins left="0.7" right="0.7" top="0.75" bottom="0.75" header="0.3" footer="0.3"/>
</worksheet>
</file>

<file path=xl/worksheets/sheet1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Feuil17"/>
  <dimension ref="A1:T8"/>
  <sheetViews>
    <sheetView workbookViewId="0"/>
  </sheetViews>
  <sheetFormatPr baseColWidth="10" defaultRowHeight="15.75" x14ac:dyDescent="0.25"/>
  <sheetData>
    <row r="1" spans="1:20" x14ac:dyDescent="0.25">
      <c r="B1" t="s">
        <v>127</v>
      </c>
      <c r="C1" t="s">
        <v>128</v>
      </c>
      <c r="D1" t="s">
        <v>129</v>
      </c>
      <c r="E1" t="s">
        <v>130</v>
      </c>
      <c r="F1" t="s">
        <v>131</v>
      </c>
      <c r="G1" t="s">
        <v>132</v>
      </c>
      <c r="H1" t="s">
        <v>133</v>
      </c>
      <c r="I1" t="s">
        <v>134</v>
      </c>
      <c r="J1" t="s">
        <v>135</v>
      </c>
      <c r="K1" t="s">
        <v>136</v>
      </c>
      <c r="L1" t="s">
        <v>137</v>
      </c>
      <c r="M1" t="s">
        <v>138</v>
      </c>
      <c r="N1" t="s">
        <v>139</v>
      </c>
      <c r="O1" t="s">
        <v>140</v>
      </c>
      <c r="P1" t="s">
        <v>141</v>
      </c>
      <c r="Q1" t="s">
        <v>142</v>
      </c>
      <c r="R1" t="s">
        <v>143</v>
      </c>
      <c r="S1" t="s">
        <v>144</v>
      </c>
      <c r="T1" t="s">
        <v>145</v>
      </c>
    </row>
    <row r="3" spans="1:20" x14ac:dyDescent="0.25">
      <c r="A3">
        <v>2001</v>
      </c>
      <c r="B3">
        <v>-0.54599699999999995</v>
      </c>
      <c r="C3">
        <v>-0.93795899999999999</v>
      </c>
      <c r="D3">
        <v>-0.59596199999999999</v>
      </c>
      <c r="E3">
        <v>-4.6042E-2</v>
      </c>
      <c r="F3">
        <v>-0.49129899999999999</v>
      </c>
      <c r="G3">
        <v>0.409169</v>
      </c>
      <c r="H3">
        <v>-0.39832699999999999</v>
      </c>
      <c r="I3">
        <v>1.8103959999999999</v>
      </c>
      <c r="J3">
        <v>0.18699499999999999</v>
      </c>
      <c r="K3">
        <v>0.23291000000000001</v>
      </c>
      <c r="L3">
        <v>0.141513</v>
      </c>
      <c r="M3">
        <v>0.19209499999999999</v>
      </c>
      <c r="N3">
        <v>0</v>
      </c>
      <c r="O3">
        <v>-0.113512</v>
      </c>
      <c r="P3">
        <v>-0.34561700000000001</v>
      </c>
      <c r="Q3">
        <v>-0.21093899999999999</v>
      </c>
      <c r="R3">
        <v>0.15919700000000001</v>
      </c>
      <c r="S3">
        <v>0.177394</v>
      </c>
      <c r="T3">
        <v>0.405194</v>
      </c>
    </row>
    <row r="4" spans="1:20" x14ac:dyDescent="0.25">
      <c r="A4">
        <v>2002</v>
      </c>
      <c r="B4">
        <v>-0.76646599999999998</v>
      </c>
      <c r="C4">
        <v>-1.289337</v>
      </c>
      <c r="D4">
        <v>-0.95160599999999995</v>
      </c>
      <c r="E4">
        <v>-8.5807999999999995E-2</v>
      </c>
      <c r="F4">
        <v>-0.73196300000000003</v>
      </c>
      <c r="G4">
        <v>0.452515</v>
      </c>
      <c r="H4">
        <v>-4.4665999999999997E-2</v>
      </c>
      <c r="I4">
        <v>1.815323</v>
      </c>
      <c r="J4">
        <v>0.22495899999999999</v>
      </c>
      <c r="K4">
        <v>0.27554899999999999</v>
      </c>
      <c r="L4">
        <v>0.17483299999999999</v>
      </c>
      <c r="M4">
        <v>0.223631</v>
      </c>
      <c r="N4" s="57">
        <v>-9.6099999999999994E-8</v>
      </c>
      <c r="O4">
        <v>0.19291700000000001</v>
      </c>
      <c r="P4">
        <v>-8.2405000000000006E-2</v>
      </c>
      <c r="Q4">
        <v>-0.447986</v>
      </c>
      <c r="R4">
        <v>0.32536900000000002</v>
      </c>
      <c r="S4">
        <v>0.23328299999999999</v>
      </c>
      <c r="T4">
        <v>0.260436</v>
      </c>
    </row>
    <row r="5" spans="1:20" x14ac:dyDescent="0.25">
      <c r="A5">
        <v>2003</v>
      </c>
      <c r="B5">
        <v>-0.83450899999999995</v>
      </c>
      <c r="C5">
        <v>-1.3842429999999999</v>
      </c>
      <c r="D5">
        <v>-1.099869</v>
      </c>
      <c r="E5">
        <v>-0.114011</v>
      </c>
      <c r="F5">
        <v>-0.818573</v>
      </c>
      <c r="G5">
        <v>0.49192000000000002</v>
      </c>
      <c r="H5">
        <v>7.6425000000000007E-2</v>
      </c>
      <c r="I5">
        <v>1.815598</v>
      </c>
      <c r="J5">
        <v>0.24501000000000001</v>
      </c>
      <c r="K5">
        <v>0.29254200000000002</v>
      </c>
      <c r="L5">
        <v>0.19789100000000001</v>
      </c>
      <c r="M5">
        <v>0.22519</v>
      </c>
      <c r="N5" s="57">
        <v>-1.8799999999999999E-7</v>
      </c>
      <c r="O5">
        <v>0.466833</v>
      </c>
      <c r="P5">
        <v>0.17378299999999999</v>
      </c>
      <c r="Q5">
        <v>-0.63350499999999998</v>
      </c>
      <c r="R5">
        <v>0.44575599999999999</v>
      </c>
      <c r="S5">
        <v>0.247868</v>
      </c>
      <c r="T5">
        <v>0.140902</v>
      </c>
    </row>
    <row r="6" spans="1:20" x14ac:dyDescent="0.25">
      <c r="A6">
        <v>2005</v>
      </c>
      <c r="B6">
        <v>-0.83922699999999995</v>
      </c>
      <c r="C6">
        <v>-1.381081</v>
      </c>
      <c r="D6">
        <v>-1.0908439999999999</v>
      </c>
      <c r="E6">
        <v>-0.159444</v>
      </c>
      <c r="F6">
        <v>-0.82789000000000001</v>
      </c>
      <c r="G6">
        <v>0.52760099999999999</v>
      </c>
      <c r="H6">
        <v>7.7485999999999999E-2</v>
      </c>
      <c r="I6">
        <v>1.8472759999999999</v>
      </c>
      <c r="J6">
        <v>0.32424599999999998</v>
      </c>
      <c r="K6">
        <v>0.37433899999999998</v>
      </c>
      <c r="L6">
        <v>0.27455800000000002</v>
      </c>
      <c r="M6">
        <v>0.26613100000000001</v>
      </c>
      <c r="N6" s="57">
        <v>-3.6199999999999999E-7</v>
      </c>
      <c r="O6">
        <v>0.740645</v>
      </c>
      <c r="P6">
        <v>0.36493999999999999</v>
      </c>
      <c r="Q6">
        <v>-0.83709999999999996</v>
      </c>
      <c r="R6">
        <v>0.56428400000000001</v>
      </c>
      <c r="S6">
        <v>0.24995899999999999</v>
      </c>
      <c r="T6">
        <v>-1.685E-2</v>
      </c>
    </row>
    <row r="7" spans="1:20" x14ac:dyDescent="0.25">
      <c r="A7">
        <v>2010</v>
      </c>
      <c r="B7">
        <v>-0.75632500000000003</v>
      </c>
      <c r="C7">
        <v>-1.2322709999999999</v>
      </c>
      <c r="D7">
        <v>-0.79034000000000004</v>
      </c>
      <c r="E7">
        <v>-0.29022900000000001</v>
      </c>
      <c r="F7">
        <v>-0.70934699999999995</v>
      </c>
      <c r="G7">
        <v>0.64857200000000004</v>
      </c>
      <c r="H7">
        <v>2.4223999999999999E-2</v>
      </c>
      <c r="I7">
        <v>1.876765</v>
      </c>
      <c r="J7">
        <v>0.51703299999999996</v>
      </c>
      <c r="K7">
        <v>0.59543800000000002</v>
      </c>
      <c r="L7">
        <v>0.43919799999999998</v>
      </c>
      <c r="M7">
        <v>0.43679699999999999</v>
      </c>
      <c r="N7" s="57">
        <v>-6.5600000000000005E-7</v>
      </c>
      <c r="O7">
        <v>0.87045600000000001</v>
      </c>
      <c r="P7">
        <v>0.27339000000000002</v>
      </c>
      <c r="Q7">
        <v>-0.908717</v>
      </c>
      <c r="R7">
        <v>0.59102399999999999</v>
      </c>
      <c r="S7">
        <v>0.23308499999999999</v>
      </c>
      <c r="T7">
        <v>6.685E-3</v>
      </c>
    </row>
    <row r="8" spans="1:20" x14ac:dyDescent="0.25">
      <c r="A8">
        <v>2035</v>
      </c>
      <c r="B8">
        <v>-0.35629300000000003</v>
      </c>
      <c r="C8">
        <v>-0.58676700000000004</v>
      </c>
      <c r="D8">
        <v>0.24230599999999999</v>
      </c>
      <c r="E8">
        <v>-0.45335900000000001</v>
      </c>
      <c r="F8">
        <v>-0.18320700000000001</v>
      </c>
      <c r="G8">
        <v>0.83850599999999997</v>
      </c>
      <c r="H8">
        <v>-7.1299999999999998E-4</v>
      </c>
      <c r="I8">
        <v>1.434493</v>
      </c>
      <c r="J8">
        <v>0.66966000000000003</v>
      </c>
      <c r="K8">
        <v>0.78522000000000003</v>
      </c>
      <c r="L8">
        <v>0.55494699999999997</v>
      </c>
      <c r="M8">
        <v>0.56636799999999998</v>
      </c>
      <c r="N8" s="57">
        <v>-4.9999999999999998E-7</v>
      </c>
      <c r="O8">
        <v>0.934535</v>
      </c>
      <c r="P8">
        <v>0.14815200000000001</v>
      </c>
      <c r="Q8">
        <v>-0.45229200000000003</v>
      </c>
      <c r="R8">
        <v>0.29153499999999999</v>
      </c>
      <c r="S8">
        <v>9.5084000000000002E-2</v>
      </c>
      <c r="T8">
        <v>0.14190800000000001</v>
      </c>
    </row>
  </sheetData>
  <pageMargins left="0.7" right="0.7" top="0.75" bottom="0.75" header="0.3" footer="0.3"/>
</worksheet>
</file>

<file path=xl/worksheets/sheet1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Feuil18"/>
  <dimension ref="A1:T8"/>
  <sheetViews>
    <sheetView workbookViewId="0"/>
  </sheetViews>
  <sheetFormatPr baseColWidth="10" defaultRowHeight="15.75" x14ac:dyDescent="0.25"/>
  <sheetData>
    <row r="1" spans="1:20" x14ac:dyDescent="0.25">
      <c r="B1" t="s">
        <v>89</v>
      </c>
      <c r="C1" t="s">
        <v>90</v>
      </c>
      <c r="D1" t="s">
        <v>91</v>
      </c>
      <c r="E1" t="s">
        <v>92</v>
      </c>
      <c r="F1" t="s">
        <v>93</v>
      </c>
      <c r="G1" t="s">
        <v>94</v>
      </c>
      <c r="H1" t="s">
        <v>95</v>
      </c>
      <c r="I1" t="s">
        <v>96</v>
      </c>
      <c r="J1" t="s">
        <v>97</v>
      </c>
      <c r="K1" t="s">
        <v>98</v>
      </c>
      <c r="L1" t="s">
        <v>99</v>
      </c>
      <c r="M1" t="s">
        <v>100</v>
      </c>
      <c r="N1" t="s">
        <v>101</v>
      </c>
      <c r="O1" t="s">
        <v>102</v>
      </c>
      <c r="P1" t="s">
        <v>103</v>
      </c>
      <c r="Q1" t="s">
        <v>104</v>
      </c>
      <c r="R1" t="s">
        <v>105</v>
      </c>
      <c r="S1" t="s">
        <v>106</v>
      </c>
      <c r="T1" t="s">
        <v>107</v>
      </c>
    </row>
    <row r="3" spans="1:20" x14ac:dyDescent="0.25">
      <c r="A3">
        <v>2001</v>
      </c>
      <c r="B3">
        <v>0.57637300000000002</v>
      </c>
      <c r="C3">
        <v>1.1804429999999999</v>
      </c>
      <c r="D3">
        <v>0.29191699999999998</v>
      </c>
      <c r="E3">
        <v>-2.3917000000000001E-2</v>
      </c>
      <c r="F3">
        <v>0.63239800000000002</v>
      </c>
      <c r="G3">
        <v>1.840652</v>
      </c>
      <c r="H3">
        <v>0.49355300000000002</v>
      </c>
      <c r="I3">
        <v>9.8185999999999996E-2</v>
      </c>
      <c r="J3">
        <v>0.116745</v>
      </c>
      <c r="K3">
        <v>0.138042</v>
      </c>
      <c r="L3">
        <v>9.5594999999999999E-2</v>
      </c>
      <c r="M3">
        <v>9.9715999999999999E-2</v>
      </c>
      <c r="N3">
        <v>0</v>
      </c>
      <c r="O3">
        <v>0.16139500000000001</v>
      </c>
      <c r="P3">
        <v>2.3321000000000001E-2</v>
      </c>
      <c r="Q3">
        <v>0.29597899999999999</v>
      </c>
      <c r="R3">
        <v>-0.22322400000000001</v>
      </c>
      <c r="S3">
        <v>-0.12856999999999999</v>
      </c>
      <c r="T3">
        <v>-0.71876200000000001</v>
      </c>
    </row>
    <row r="4" spans="1:20" x14ac:dyDescent="0.25">
      <c r="A4">
        <v>2002</v>
      </c>
      <c r="B4">
        <v>0.88685700000000001</v>
      </c>
      <c r="C4">
        <v>1.8372900000000001</v>
      </c>
      <c r="D4">
        <v>0.57948699999999997</v>
      </c>
      <c r="E4">
        <v>-8.8992000000000002E-2</v>
      </c>
      <c r="F4">
        <v>1.0686599999999999</v>
      </c>
      <c r="G4">
        <v>2.2988140000000001</v>
      </c>
      <c r="H4">
        <v>0.14177200000000001</v>
      </c>
      <c r="I4">
        <v>0.29428599999999999</v>
      </c>
      <c r="J4">
        <v>0.35147099999999998</v>
      </c>
      <c r="K4">
        <v>0.41618300000000003</v>
      </c>
      <c r="L4">
        <v>0.28723300000000002</v>
      </c>
      <c r="M4">
        <v>0.30165599999999998</v>
      </c>
      <c r="N4" s="57">
        <v>-9.6099999999999994E-8</v>
      </c>
      <c r="O4">
        <v>0.468497</v>
      </c>
      <c r="P4">
        <v>5.2096999999999997E-2</v>
      </c>
      <c r="Q4">
        <v>0.63305500000000003</v>
      </c>
      <c r="R4">
        <v>-0.459119</v>
      </c>
      <c r="S4">
        <v>-0.194107</v>
      </c>
      <c r="T4">
        <v>-0.48091400000000001</v>
      </c>
    </row>
    <row r="5" spans="1:20" x14ac:dyDescent="0.25">
      <c r="A5">
        <v>2003</v>
      </c>
      <c r="B5">
        <v>1.0540769999999999</v>
      </c>
      <c r="C5">
        <v>2.2356129999999999</v>
      </c>
      <c r="D5">
        <v>0.77961100000000005</v>
      </c>
      <c r="E5">
        <v>-0.20032900000000001</v>
      </c>
      <c r="F5">
        <v>1.367845</v>
      </c>
      <c r="G5">
        <v>2.8031130000000002</v>
      </c>
      <c r="H5">
        <v>-3.9500000000000004E-3</v>
      </c>
      <c r="I5">
        <v>0.55952199999999996</v>
      </c>
      <c r="J5">
        <v>0.66925000000000001</v>
      </c>
      <c r="K5">
        <v>0.79280300000000004</v>
      </c>
      <c r="L5">
        <v>0.54665699999999995</v>
      </c>
      <c r="M5">
        <v>0.577546</v>
      </c>
      <c r="N5" s="57">
        <v>-1.8799999999999999E-7</v>
      </c>
      <c r="O5">
        <v>0.864958</v>
      </c>
      <c r="P5">
        <v>7.1586999999999998E-2</v>
      </c>
      <c r="Q5">
        <v>0.90268400000000004</v>
      </c>
      <c r="R5">
        <v>-0.63388299999999997</v>
      </c>
      <c r="S5">
        <v>-0.21876699999999999</v>
      </c>
      <c r="T5">
        <v>-0.30765999999999999</v>
      </c>
    </row>
    <row r="6" spans="1:20" x14ac:dyDescent="0.25">
      <c r="A6">
        <v>2005</v>
      </c>
      <c r="B6">
        <v>1.150153</v>
      </c>
      <c r="C6">
        <v>2.6415139999999999</v>
      </c>
      <c r="D6">
        <v>0.94564599999999999</v>
      </c>
      <c r="E6">
        <v>-0.53486199999999995</v>
      </c>
      <c r="F6">
        <v>1.7297670000000001</v>
      </c>
      <c r="G6">
        <v>3.7378089999999999</v>
      </c>
      <c r="H6">
        <v>-8.6856000000000003E-2</v>
      </c>
      <c r="I6">
        <v>1.1660330000000001</v>
      </c>
      <c r="J6">
        <v>1.3922859999999999</v>
      </c>
      <c r="K6">
        <v>1.6480680000000001</v>
      </c>
      <c r="L6">
        <v>1.1386069999999999</v>
      </c>
      <c r="M6">
        <v>1.211114</v>
      </c>
      <c r="N6" s="57">
        <v>-3.6199999999999999E-7</v>
      </c>
      <c r="O6">
        <v>1.7220089999999999</v>
      </c>
      <c r="P6">
        <v>7.2743000000000002E-2</v>
      </c>
      <c r="Q6">
        <v>1.154013</v>
      </c>
      <c r="R6">
        <v>-0.77221600000000001</v>
      </c>
      <c r="S6">
        <v>-0.21875500000000001</v>
      </c>
      <c r="T6">
        <v>-0.12123399999999999</v>
      </c>
    </row>
    <row r="7" spans="1:20" x14ac:dyDescent="0.25">
      <c r="A7">
        <v>2010</v>
      </c>
      <c r="B7">
        <v>0.92721900000000002</v>
      </c>
      <c r="C7">
        <v>2.7423000000000002</v>
      </c>
      <c r="D7">
        <v>0.93097799999999997</v>
      </c>
      <c r="E7">
        <v>-1.4315910000000001</v>
      </c>
      <c r="F7">
        <v>1.988356</v>
      </c>
      <c r="G7">
        <v>4.9236209999999998</v>
      </c>
      <c r="H7">
        <v>-5.3150999999999997E-2</v>
      </c>
      <c r="I7">
        <v>2.1836660000000001</v>
      </c>
      <c r="J7">
        <v>2.5817619999999999</v>
      </c>
      <c r="K7">
        <v>3.044467</v>
      </c>
      <c r="L7">
        <v>2.1225869999999998</v>
      </c>
      <c r="M7">
        <v>2.2510189999999999</v>
      </c>
      <c r="N7" s="57">
        <v>-6.5600000000000005E-7</v>
      </c>
      <c r="O7">
        <v>3.071504</v>
      </c>
      <c r="P7">
        <v>2.6238000000000001E-2</v>
      </c>
      <c r="Q7">
        <v>0.82537499999999997</v>
      </c>
      <c r="R7">
        <v>-0.51864200000000005</v>
      </c>
      <c r="S7">
        <v>-0.22773199999999999</v>
      </c>
      <c r="T7">
        <v>-6.1823000000000003E-2</v>
      </c>
    </row>
    <row r="8" spans="1:20" x14ac:dyDescent="0.25">
      <c r="A8">
        <v>2035</v>
      </c>
      <c r="B8">
        <v>0.72844600000000004</v>
      </c>
      <c r="C8">
        <v>2.3016930000000002</v>
      </c>
      <c r="D8">
        <v>0.65131099999999997</v>
      </c>
      <c r="E8">
        <v>-1.3061640000000001</v>
      </c>
      <c r="F8">
        <v>1.6695679999999999</v>
      </c>
      <c r="G8">
        <v>3.9228969999999999</v>
      </c>
      <c r="H8">
        <v>8.0699999999999999E-4</v>
      </c>
      <c r="I8">
        <v>1.5838140000000001</v>
      </c>
      <c r="J8">
        <v>1.8632280000000001</v>
      </c>
      <c r="K8">
        <v>2.192339</v>
      </c>
      <c r="L8">
        <v>1.536667</v>
      </c>
      <c r="M8">
        <v>1.626879</v>
      </c>
      <c r="N8" s="57">
        <v>-4.9999999999999998E-7</v>
      </c>
      <c r="O8">
        <v>2.30131</v>
      </c>
      <c r="P8">
        <v>0.10663400000000001</v>
      </c>
      <c r="Q8">
        <v>0.59327700000000005</v>
      </c>
      <c r="R8">
        <v>-0.38401299999999999</v>
      </c>
      <c r="S8">
        <v>-0.285916</v>
      </c>
      <c r="T8">
        <v>-0.45571800000000001</v>
      </c>
    </row>
  </sheetData>
  <pageMargins left="0.7" right="0.7" top="0.75" bottom="0.75" header="0.3" footer="0.3"/>
</worksheet>
</file>

<file path=xl/worksheets/sheet1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Feuil1"/>
  <dimension ref="A1:T8"/>
  <sheetViews>
    <sheetView workbookViewId="0"/>
  </sheetViews>
  <sheetFormatPr baseColWidth="10" defaultRowHeight="15.75" x14ac:dyDescent="0.25"/>
  <sheetData>
    <row r="1" spans="1:20" x14ac:dyDescent="0.25">
      <c r="B1" t="s">
        <v>51</v>
      </c>
      <c r="C1" t="s">
        <v>52</v>
      </c>
      <c r="D1" t="s">
        <v>53</v>
      </c>
      <c r="E1" t="s">
        <v>54</v>
      </c>
      <c r="F1" t="s">
        <v>55</v>
      </c>
      <c r="G1" t="s">
        <v>56</v>
      </c>
      <c r="H1" t="s">
        <v>57</v>
      </c>
      <c r="I1" t="s">
        <v>58</v>
      </c>
      <c r="J1" t="s">
        <v>59</v>
      </c>
      <c r="K1" t="s">
        <v>60</v>
      </c>
      <c r="L1" t="s">
        <v>61</v>
      </c>
      <c r="M1" t="s">
        <v>62</v>
      </c>
      <c r="N1" t="s">
        <v>63</v>
      </c>
      <c r="O1" t="s">
        <v>64</v>
      </c>
      <c r="P1" t="s">
        <v>65</v>
      </c>
      <c r="Q1" t="s">
        <v>66</v>
      </c>
      <c r="R1" t="s">
        <v>67</v>
      </c>
      <c r="S1" t="s">
        <v>68</v>
      </c>
      <c r="T1" t="s">
        <v>69</v>
      </c>
    </row>
    <row r="3" spans="1:20" x14ac:dyDescent="0.25">
      <c r="A3">
        <v>2001</v>
      </c>
      <c r="B3">
        <v>1.091261</v>
      </c>
      <c r="C3">
        <v>0.31307699999999999</v>
      </c>
      <c r="D3">
        <v>0.491643</v>
      </c>
      <c r="E3">
        <v>-4.7245000000000002E-2</v>
      </c>
      <c r="F3">
        <v>0.59653500000000004</v>
      </c>
      <c r="G3">
        <v>0.67673099999999997</v>
      </c>
      <c r="H3">
        <v>0.13172600000000001</v>
      </c>
      <c r="I3">
        <v>0.215003</v>
      </c>
      <c r="J3">
        <v>0.25395800000000002</v>
      </c>
      <c r="K3">
        <v>0.29992400000000002</v>
      </c>
      <c r="L3">
        <v>0.20815500000000001</v>
      </c>
      <c r="M3">
        <v>0.1971</v>
      </c>
      <c r="N3">
        <v>0</v>
      </c>
      <c r="O3">
        <v>0.35858899999999999</v>
      </c>
      <c r="P3">
        <v>5.849E-2</v>
      </c>
      <c r="Q3">
        <v>0.66365099999999999</v>
      </c>
      <c r="R3">
        <v>-0.50026899999999996</v>
      </c>
      <c r="S3">
        <v>-8.4959000000000007E-2</v>
      </c>
      <c r="T3">
        <v>-0.54684100000000002</v>
      </c>
    </row>
    <row r="4" spans="1:20" x14ac:dyDescent="0.25">
      <c r="A4">
        <v>2002</v>
      </c>
      <c r="B4">
        <v>1.233058</v>
      </c>
      <c r="C4">
        <v>0.68662699999999999</v>
      </c>
      <c r="D4">
        <v>0.77291799999999999</v>
      </c>
      <c r="E4">
        <v>-0.160914</v>
      </c>
      <c r="F4">
        <v>0.92160200000000003</v>
      </c>
      <c r="G4">
        <v>1.379459</v>
      </c>
      <c r="H4">
        <v>0.121751</v>
      </c>
      <c r="I4">
        <v>0.55131799999999997</v>
      </c>
      <c r="J4">
        <v>0.65593800000000002</v>
      </c>
      <c r="K4">
        <v>0.77595899999999995</v>
      </c>
      <c r="L4">
        <v>0.53651400000000005</v>
      </c>
      <c r="M4">
        <v>0.53463099999999997</v>
      </c>
      <c r="N4" s="57">
        <v>-9.6099999999999994E-8</v>
      </c>
      <c r="O4">
        <v>0.88199799999999995</v>
      </c>
      <c r="P4">
        <v>0.105222</v>
      </c>
      <c r="Q4">
        <v>1.120374</v>
      </c>
      <c r="R4">
        <v>-0.80335100000000004</v>
      </c>
      <c r="S4">
        <v>-0.1012</v>
      </c>
      <c r="T4">
        <v>-0.268872</v>
      </c>
    </row>
    <row r="5" spans="1:20" x14ac:dyDescent="0.25">
      <c r="A5">
        <v>2003</v>
      </c>
      <c r="B5">
        <v>1.320522</v>
      </c>
      <c r="C5">
        <v>1.0115719999999999</v>
      </c>
      <c r="D5">
        <v>0.91297700000000004</v>
      </c>
      <c r="E5">
        <v>-0.33871499999999999</v>
      </c>
      <c r="F5">
        <v>1.1855089999999999</v>
      </c>
      <c r="G5">
        <v>2.0471759999999999</v>
      </c>
      <c r="H5">
        <v>6.8659999999999999E-2</v>
      </c>
      <c r="I5">
        <v>0.94783399999999995</v>
      </c>
      <c r="J5">
        <v>1.1306369999999999</v>
      </c>
      <c r="K5">
        <v>1.3380339999999999</v>
      </c>
      <c r="L5">
        <v>0.92438900000000002</v>
      </c>
      <c r="M5">
        <v>0.94852599999999998</v>
      </c>
      <c r="N5" s="57">
        <v>-1.8799999999999999E-7</v>
      </c>
      <c r="O5">
        <v>1.464672</v>
      </c>
      <c r="P5">
        <v>0.12496599999999999</v>
      </c>
      <c r="Q5">
        <v>1.3947830000000001</v>
      </c>
      <c r="R5">
        <v>-0.96460500000000005</v>
      </c>
      <c r="S5">
        <v>-9.8499000000000003E-2</v>
      </c>
      <c r="T5">
        <v>-8.5226999999999997E-2</v>
      </c>
    </row>
    <row r="6" spans="1:20" x14ac:dyDescent="0.25">
      <c r="A6">
        <v>2005</v>
      </c>
      <c r="B6">
        <v>1.3220540000000001</v>
      </c>
      <c r="C6">
        <v>1.4137219999999999</v>
      </c>
      <c r="D6">
        <v>0.97092400000000001</v>
      </c>
      <c r="E6">
        <v>-0.82102699999999995</v>
      </c>
      <c r="F6">
        <v>1.548354</v>
      </c>
      <c r="G6">
        <v>3.1620919999999999</v>
      </c>
      <c r="H6">
        <v>-2.3141999999999999E-2</v>
      </c>
      <c r="I6">
        <v>1.7502660000000001</v>
      </c>
      <c r="J6">
        <v>2.0854979999999999</v>
      </c>
      <c r="K6">
        <v>2.4659650000000002</v>
      </c>
      <c r="L6">
        <v>1.7073119999999999</v>
      </c>
      <c r="M6">
        <v>1.796854</v>
      </c>
      <c r="N6" s="57">
        <v>-3.6199999999999999E-7</v>
      </c>
      <c r="O6">
        <v>2.5771359999999999</v>
      </c>
      <c r="P6">
        <v>0.10849499999999999</v>
      </c>
      <c r="Q6">
        <v>1.5413779999999999</v>
      </c>
      <c r="R6">
        <v>-1.0162709999999999</v>
      </c>
      <c r="S6">
        <v>-8.1701999999999997E-2</v>
      </c>
      <c r="T6">
        <v>0.108727</v>
      </c>
    </row>
    <row r="7" spans="1:20" x14ac:dyDescent="0.25">
      <c r="A7">
        <v>2010</v>
      </c>
      <c r="B7">
        <v>0.92946499999999999</v>
      </c>
      <c r="C7">
        <v>1.453829</v>
      </c>
      <c r="D7">
        <v>0.84429699999999996</v>
      </c>
      <c r="E7">
        <v>-1.909842</v>
      </c>
      <c r="F7">
        <v>1.7384010000000001</v>
      </c>
      <c r="G7">
        <v>4.2754789999999998</v>
      </c>
      <c r="H7">
        <v>-4.6299E-2</v>
      </c>
      <c r="I7">
        <v>2.8343150000000001</v>
      </c>
      <c r="J7">
        <v>3.3463699999999998</v>
      </c>
      <c r="K7">
        <v>3.942472</v>
      </c>
      <c r="L7">
        <v>2.7533379999999998</v>
      </c>
      <c r="M7">
        <v>2.9067599999999998</v>
      </c>
      <c r="N7" s="57">
        <v>-6.5600000000000005E-7</v>
      </c>
      <c r="O7">
        <v>3.9860509999999998</v>
      </c>
      <c r="P7">
        <v>4.1925999999999998E-2</v>
      </c>
      <c r="Q7">
        <v>0.91433500000000001</v>
      </c>
      <c r="R7">
        <v>-0.56687699999999996</v>
      </c>
      <c r="S7">
        <v>-0.10831300000000001</v>
      </c>
      <c r="T7">
        <v>0.184668</v>
      </c>
    </row>
    <row r="8" spans="1:20" x14ac:dyDescent="0.25">
      <c r="A8">
        <v>2035</v>
      </c>
      <c r="B8">
        <v>0.38163000000000002</v>
      </c>
      <c r="C8">
        <v>0.48428100000000002</v>
      </c>
      <c r="D8">
        <v>9.2481999999999995E-2</v>
      </c>
      <c r="E8">
        <v>-0.97006199999999998</v>
      </c>
      <c r="F8">
        <v>0.73440899999999998</v>
      </c>
      <c r="G8">
        <v>1.5796619999999999</v>
      </c>
      <c r="H8">
        <v>1.8829999999999999E-3</v>
      </c>
      <c r="I8">
        <v>1.0879779999999999</v>
      </c>
      <c r="J8">
        <v>1.2768440000000001</v>
      </c>
      <c r="K8">
        <v>1.4999450000000001</v>
      </c>
      <c r="L8">
        <v>1.05518</v>
      </c>
      <c r="M8">
        <v>1.1289880000000001</v>
      </c>
      <c r="N8" s="57">
        <v>-4.9999999999999998E-7</v>
      </c>
      <c r="O8">
        <v>1.5842719999999999</v>
      </c>
      <c r="P8">
        <v>8.3081000000000002E-2</v>
      </c>
      <c r="Q8">
        <v>0.39646100000000001</v>
      </c>
      <c r="R8">
        <v>-0.25472800000000001</v>
      </c>
      <c r="S8">
        <v>-0.109323</v>
      </c>
      <c r="T8">
        <v>-0.27841500000000002</v>
      </c>
    </row>
  </sheetData>
  <pageMargins left="0.7" right="0.7" top="0.75" bottom="0.75" header="0.3" footer="0.3"/>
</worksheet>
</file>

<file path=xl/worksheets/sheet1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Feuil5"/>
  <dimension ref="A1:G20"/>
  <sheetViews>
    <sheetView showGridLines="0" workbookViewId="0">
      <selection activeCell="C5" sqref="C5"/>
    </sheetView>
  </sheetViews>
  <sheetFormatPr baseColWidth="10" defaultColWidth="11" defaultRowHeight="15.75" x14ac:dyDescent="0.25"/>
  <cols>
    <col min="1" max="1" width="33.625" customWidth="1"/>
  </cols>
  <sheetData>
    <row r="1" spans="1:7" ht="31.5" x14ac:dyDescent="0.25">
      <c r="A1" s="4" t="s">
        <v>27</v>
      </c>
      <c r="B1" s="5" t="s">
        <v>0</v>
      </c>
      <c r="C1" s="5" t="s">
        <v>1</v>
      </c>
      <c r="D1" s="5" t="s">
        <v>2</v>
      </c>
      <c r="E1" s="5" t="s">
        <v>3</v>
      </c>
      <c r="F1" s="5" t="s">
        <v>4</v>
      </c>
      <c r="G1" s="5" t="s">
        <v>5</v>
      </c>
    </row>
    <row r="2" spans="1:7" x14ac:dyDescent="0.25">
      <c r="A2" s="1" t="s">
        <v>6</v>
      </c>
      <c r="B2" s="1">
        <f t="array" ref="B2:G20">TRANSPOSE(ResultsCSE!$B$3:$T$8)</f>
        <v>0</v>
      </c>
      <c r="C2" s="1">
        <v>0</v>
      </c>
      <c r="D2" s="1">
        <v>0</v>
      </c>
      <c r="E2" s="1">
        <v>0</v>
      </c>
      <c r="F2" s="1">
        <v>0</v>
      </c>
      <c r="G2" s="1">
        <v>0</v>
      </c>
    </row>
    <row r="3" spans="1:7" x14ac:dyDescent="0.25">
      <c r="A3" s="2" t="s">
        <v>7</v>
      </c>
      <c r="B3" s="2">
        <v>0</v>
      </c>
      <c r="C3" s="2">
        <v>0</v>
      </c>
      <c r="D3" s="2">
        <v>0</v>
      </c>
      <c r="E3" s="2">
        <v>0</v>
      </c>
      <c r="F3" s="2">
        <v>0</v>
      </c>
      <c r="G3" s="2">
        <v>0</v>
      </c>
    </row>
    <row r="4" spans="1:7" x14ac:dyDescent="0.25">
      <c r="A4" s="2" t="s">
        <v>8</v>
      </c>
      <c r="B4" s="2">
        <v>0</v>
      </c>
      <c r="C4" s="2">
        <v>0</v>
      </c>
      <c r="D4" s="2">
        <v>0</v>
      </c>
      <c r="E4" s="2">
        <v>0</v>
      </c>
      <c r="F4" s="2">
        <v>0</v>
      </c>
      <c r="G4" s="2">
        <v>0</v>
      </c>
    </row>
    <row r="5" spans="1:7" x14ac:dyDescent="0.25">
      <c r="A5" s="2" t="s">
        <v>9</v>
      </c>
      <c r="B5" s="2">
        <v>0</v>
      </c>
      <c r="C5" s="2">
        <v>0</v>
      </c>
      <c r="D5" s="2">
        <v>0</v>
      </c>
      <c r="E5" s="2">
        <v>0</v>
      </c>
      <c r="F5" s="2">
        <v>0</v>
      </c>
      <c r="G5" s="2">
        <v>0</v>
      </c>
    </row>
    <row r="6" spans="1:7" x14ac:dyDescent="0.25">
      <c r="A6" s="2" t="s">
        <v>10</v>
      </c>
      <c r="B6" s="2">
        <v>0</v>
      </c>
      <c r="C6" s="2">
        <v>0</v>
      </c>
      <c r="D6" s="2">
        <v>0</v>
      </c>
      <c r="E6" s="2">
        <v>0</v>
      </c>
      <c r="F6" s="2">
        <v>0</v>
      </c>
      <c r="G6" s="2">
        <v>0</v>
      </c>
    </row>
    <row r="7" spans="1:7" x14ac:dyDescent="0.25">
      <c r="A7" s="2" t="s">
        <v>11</v>
      </c>
      <c r="B7" s="2">
        <v>0</v>
      </c>
      <c r="C7" s="2">
        <v>0</v>
      </c>
      <c r="D7" s="2">
        <v>0</v>
      </c>
      <c r="E7" s="2">
        <v>0</v>
      </c>
      <c r="F7" s="2">
        <v>0</v>
      </c>
      <c r="G7" s="2">
        <v>0</v>
      </c>
    </row>
    <row r="8" spans="1:7" x14ac:dyDescent="0.25">
      <c r="A8" s="2" t="s">
        <v>12</v>
      </c>
      <c r="B8" s="2">
        <v>0</v>
      </c>
      <c r="C8" s="2">
        <v>0</v>
      </c>
      <c r="D8" s="2">
        <v>0</v>
      </c>
      <c r="E8" s="2">
        <v>0</v>
      </c>
      <c r="F8" s="2">
        <v>0</v>
      </c>
      <c r="G8" s="2">
        <v>0</v>
      </c>
    </row>
    <row r="9" spans="1:7" x14ac:dyDescent="0.25">
      <c r="A9" s="2" t="s">
        <v>13</v>
      </c>
      <c r="B9" s="2">
        <v>0</v>
      </c>
      <c r="C9" s="2">
        <v>0</v>
      </c>
      <c r="D9" s="2">
        <v>0</v>
      </c>
      <c r="E9" s="2">
        <v>0</v>
      </c>
      <c r="F9" s="2">
        <v>0</v>
      </c>
      <c r="G9" s="2">
        <v>0</v>
      </c>
    </row>
    <row r="10" spans="1:7" x14ac:dyDescent="0.25">
      <c r="A10" s="2" t="s">
        <v>14</v>
      </c>
      <c r="B10" s="2">
        <v>0</v>
      </c>
      <c r="C10" s="2">
        <v>0</v>
      </c>
      <c r="D10" s="2">
        <v>0</v>
      </c>
      <c r="E10" s="2">
        <v>0</v>
      </c>
      <c r="F10" s="2">
        <v>0</v>
      </c>
      <c r="G10" s="2">
        <v>0</v>
      </c>
    </row>
    <row r="11" spans="1:7" x14ac:dyDescent="0.25">
      <c r="A11" s="2" t="s">
        <v>15</v>
      </c>
      <c r="B11" s="2">
        <v>0</v>
      </c>
      <c r="C11" s="2">
        <v>0</v>
      </c>
      <c r="D11" s="2">
        <v>0</v>
      </c>
      <c r="E11" s="2">
        <v>0</v>
      </c>
      <c r="F11" s="2">
        <v>0</v>
      </c>
      <c r="G11" s="2">
        <v>0</v>
      </c>
    </row>
    <row r="12" spans="1:7" x14ac:dyDescent="0.25">
      <c r="A12" s="2" t="s">
        <v>16</v>
      </c>
      <c r="B12" s="2">
        <v>0</v>
      </c>
      <c r="C12" s="2">
        <v>0</v>
      </c>
      <c r="D12" s="2">
        <v>0</v>
      </c>
      <c r="E12" s="2">
        <v>0</v>
      </c>
      <c r="F12" s="2">
        <v>0</v>
      </c>
      <c r="G12" s="2">
        <v>0</v>
      </c>
    </row>
    <row r="13" spans="1:7" x14ac:dyDescent="0.25">
      <c r="A13" s="2" t="s">
        <v>17</v>
      </c>
      <c r="B13" s="2">
        <v>0</v>
      </c>
      <c r="C13" s="2">
        <v>0</v>
      </c>
      <c r="D13" s="2">
        <v>0</v>
      </c>
      <c r="E13" s="2">
        <v>0</v>
      </c>
      <c r="F13" s="2">
        <v>0</v>
      </c>
      <c r="G13" s="2">
        <v>0</v>
      </c>
    </row>
    <row r="14" spans="1:7" x14ac:dyDescent="0.25">
      <c r="A14" s="2" t="s">
        <v>18</v>
      </c>
      <c r="B14" s="2">
        <v>0</v>
      </c>
      <c r="C14" s="2">
        <v>0</v>
      </c>
      <c r="D14" s="2">
        <v>0</v>
      </c>
      <c r="E14" s="2">
        <v>0</v>
      </c>
      <c r="F14" s="2">
        <v>0</v>
      </c>
      <c r="G14" s="2">
        <v>0</v>
      </c>
    </row>
    <row r="15" spans="1:7" x14ac:dyDescent="0.25">
      <c r="A15" s="2" t="s">
        <v>19</v>
      </c>
      <c r="B15" s="2">
        <v>0</v>
      </c>
      <c r="C15" s="2">
        <v>0</v>
      </c>
      <c r="D15" s="2">
        <v>0</v>
      </c>
      <c r="E15" s="2">
        <v>0</v>
      </c>
      <c r="F15" s="2">
        <v>0</v>
      </c>
      <c r="G15" s="2">
        <v>0</v>
      </c>
    </row>
    <row r="16" spans="1:7" x14ac:dyDescent="0.25">
      <c r="A16" s="2" t="s">
        <v>20</v>
      </c>
      <c r="B16" s="2">
        <v>0</v>
      </c>
      <c r="C16" s="2">
        <v>0</v>
      </c>
      <c r="D16" s="2">
        <v>0</v>
      </c>
      <c r="E16" s="2">
        <v>0</v>
      </c>
      <c r="F16" s="2">
        <v>0</v>
      </c>
      <c r="G16" s="2">
        <v>0</v>
      </c>
    </row>
    <row r="17" spans="1:7" x14ac:dyDescent="0.25">
      <c r="A17" s="2" t="s">
        <v>21</v>
      </c>
      <c r="B17" s="6">
        <v>0</v>
      </c>
      <c r="C17" s="6">
        <v>0</v>
      </c>
      <c r="D17" s="6">
        <v>0</v>
      </c>
      <c r="E17" s="6">
        <v>0</v>
      </c>
      <c r="F17" s="6">
        <v>0</v>
      </c>
      <c r="G17" s="6">
        <v>0</v>
      </c>
    </row>
    <row r="18" spans="1:7" x14ac:dyDescent="0.25">
      <c r="A18" s="2" t="s">
        <v>22</v>
      </c>
      <c r="B18" s="6">
        <v>0</v>
      </c>
      <c r="C18" s="6">
        <v>0</v>
      </c>
      <c r="D18" s="6">
        <v>0</v>
      </c>
      <c r="E18" s="6">
        <v>0</v>
      </c>
      <c r="F18" s="6">
        <v>0</v>
      </c>
      <c r="G18" s="6">
        <v>0</v>
      </c>
    </row>
    <row r="19" spans="1:7" x14ac:dyDescent="0.25">
      <c r="A19" s="2" t="s">
        <v>23</v>
      </c>
      <c r="B19" s="6">
        <v>0</v>
      </c>
      <c r="C19" s="6">
        <v>0</v>
      </c>
      <c r="D19" s="6">
        <v>0</v>
      </c>
      <c r="E19" s="6">
        <v>0</v>
      </c>
      <c r="F19" s="6">
        <v>0</v>
      </c>
      <c r="G19" s="6">
        <v>0</v>
      </c>
    </row>
    <row r="20" spans="1:7" x14ac:dyDescent="0.25">
      <c r="A20" s="3" t="s">
        <v>24</v>
      </c>
      <c r="B20" s="7">
        <v>0</v>
      </c>
      <c r="C20" s="7">
        <v>0</v>
      </c>
      <c r="D20" s="7">
        <v>0</v>
      </c>
      <c r="E20" s="7">
        <v>0</v>
      </c>
      <c r="F20" s="7">
        <v>0</v>
      </c>
      <c r="G20" s="7">
        <v>0</v>
      </c>
    </row>
  </sheetData>
  <pageMargins left="0.7" right="0.7" top="0.75" bottom="0.75" header="0.3" footer="0.3"/>
  <pageSetup paperSize="9" orientation="portrait" r:id="rId1"/>
</worksheet>
</file>

<file path=xl/worksheets/sheet1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Feuil6"/>
  <dimension ref="A1:G20"/>
  <sheetViews>
    <sheetView showGridLines="0" workbookViewId="0">
      <selection activeCell="B2" sqref="B2"/>
    </sheetView>
  </sheetViews>
  <sheetFormatPr baseColWidth="10" defaultColWidth="11" defaultRowHeight="15.75" x14ac:dyDescent="0.25"/>
  <cols>
    <col min="1" max="1" width="33.625" customWidth="1"/>
  </cols>
  <sheetData>
    <row r="1" spans="1:7" ht="31.5" x14ac:dyDescent="0.25">
      <c r="A1" s="4" t="s">
        <v>25</v>
      </c>
      <c r="B1" s="5" t="s">
        <v>0</v>
      </c>
      <c r="C1" s="5" t="s">
        <v>1</v>
      </c>
      <c r="D1" s="5" t="s">
        <v>2</v>
      </c>
      <c r="E1" s="5" t="s">
        <v>3</v>
      </c>
      <c r="F1" s="5" t="s">
        <v>4</v>
      </c>
      <c r="G1" s="5" t="s">
        <v>5</v>
      </c>
    </row>
    <row r="2" spans="1:7" x14ac:dyDescent="0.25">
      <c r="A2" s="1" t="s">
        <v>6</v>
      </c>
      <c r="B2" s="1">
        <f t="array" ref="B2:G20">TRANSPOSE(ResultsELEC!$B$3:$T$8)</f>
        <v>0</v>
      </c>
      <c r="C2" s="1">
        <v>0</v>
      </c>
      <c r="D2" s="1">
        <v>0</v>
      </c>
      <c r="E2" s="1">
        <v>0</v>
      </c>
      <c r="F2" s="1">
        <v>0</v>
      </c>
      <c r="G2" s="1">
        <v>0</v>
      </c>
    </row>
    <row r="3" spans="1:7" x14ac:dyDescent="0.25">
      <c r="A3" s="2" t="s">
        <v>7</v>
      </c>
      <c r="B3" s="2">
        <v>0</v>
      </c>
      <c r="C3" s="2">
        <v>0</v>
      </c>
      <c r="D3" s="2">
        <v>0</v>
      </c>
      <c r="E3" s="2">
        <v>0</v>
      </c>
      <c r="F3" s="2">
        <v>0</v>
      </c>
      <c r="G3" s="2">
        <v>0</v>
      </c>
    </row>
    <row r="4" spans="1:7" x14ac:dyDescent="0.25">
      <c r="A4" s="2" t="s">
        <v>8</v>
      </c>
      <c r="B4" s="2">
        <v>0</v>
      </c>
      <c r="C4" s="2">
        <v>0</v>
      </c>
      <c r="D4" s="2">
        <v>0</v>
      </c>
      <c r="E4" s="2">
        <v>0</v>
      </c>
      <c r="F4" s="2">
        <v>0</v>
      </c>
      <c r="G4" s="2">
        <v>0</v>
      </c>
    </row>
    <row r="5" spans="1:7" x14ac:dyDescent="0.25">
      <c r="A5" s="2" t="s">
        <v>9</v>
      </c>
      <c r="B5" s="2">
        <v>0</v>
      </c>
      <c r="C5" s="2">
        <v>0</v>
      </c>
      <c r="D5" s="2">
        <v>0</v>
      </c>
      <c r="E5" s="2">
        <v>0</v>
      </c>
      <c r="F5" s="2">
        <v>0</v>
      </c>
      <c r="G5" s="2">
        <v>0</v>
      </c>
    </row>
    <row r="6" spans="1:7" x14ac:dyDescent="0.25">
      <c r="A6" s="2" t="s">
        <v>10</v>
      </c>
      <c r="B6" s="2">
        <v>0</v>
      </c>
      <c r="C6" s="2">
        <v>0</v>
      </c>
      <c r="D6" s="2">
        <v>0</v>
      </c>
      <c r="E6" s="2">
        <v>0</v>
      </c>
      <c r="F6" s="2">
        <v>0</v>
      </c>
      <c r="G6" s="2">
        <v>0</v>
      </c>
    </row>
    <row r="7" spans="1:7" x14ac:dyDescent="0.25">
      <c r="A7" s="2" t="s">
        <v>11</v>
      </c>
      <c r="B7" s="2">
        <v>0</v>
      </c>
      <c r="C7" s="2">
        <v>0</v>
      </c>
      <c r="D7" s="2">
        <v>0</v>
      </c>
      <c r="E7" s="2">
        <v>0</v>
      </c>
      <c r="F7" s="2">
        <v>0</v>
      </c>
      <c r="G7" s="2">
        <v>0</v>
      </c>
    </row>
    <row r="8" spans="1:7" x14ac:dyDescent="0.25">
      <c r="A8" s="2" t="s">
        <v>12</v>
      </c>
      <c r="B8" s="2">
        <v>0</v>
      </c>
      <c r="C8" s="2">
        <v>0</v>
      </c>
      <c r="D8" s="2">
        <v>0</v>
      </c>
      <c r="E8" s="2">
        <v>0</v>
      </c>
      <c r="F8" s="2">
        <v>0</v>
      </c>
      <c r="G8" s="2">
        <v>0</v>
      </c>
    </row>
    <row r="9" spans="1:7" x14ac:dyDescent="0.25">
      <c r="A9" s="2" t="s">
        <v>13</v>
      </c>
      <c r="B9" s="2">
        <v>0</v>
      </c>
      <c r="C9" s="2">
        <v>0</v>
      </c>
      <c r="D9" s="2">
        <v>0</v>
      </c>
      <c r="E9" s="2">
        <v>0</v>
      </c>
      <c r="F9" s="2">
        <v>0</v>
      </c>
      <c r="G9" s="2">
        <v>0</v>
      </c>
    </row>
    <row r="10" spans="1:7" x14ac:dyDescent="0.25">
      <c r="A10" s="2" t="s">
        <v>14</v>
      </c>
      <c r="B10" s="2">
        <v>0</v>
      </c>
      <c r="C10" s="2">
        <v>0</v>
      </c>
      <c r="D10" s="2">
        <v>0</v>
      </c>
      <c r="E10" s="2">
        <v>0</v>
      </c>
      <c r="F10" s="2">
        <v>0</v>
      </c>
      <c r="G10" s="2">
        <v>0</v>
      </c>
    </row>
    <row r="11" spans="1:7" x14ac:dyDescent="0.25">
      <c r="A11" s="2" t="s">
        <v>15</v>
      </c>
      <c r="B11" s="2">
        <v>0</v>
      </c>
      <c r="C11" s="2">
        <v>0</v>
      </c>
      <c r="D11" s="2">
        <v>0</v>
      </c>
      <c r="E11" s="2">
        <v>0</v>
      </c>
      <c r="F11" s="2">
        <v>0</v>
      </c>
      <c r="G11" s="2">
        <v>0</v>
      </c>
    </row>
    <row r="12" spans="1:7" x14ac:dyDescent="0.25">
      <c r="A12" s="2" t="s">
        <v>16</v>
      </c>
      <c r="B12" s="2">
        <v>0</v>
      </c>
      <c r="C12" s="2">
        <v>0</v>
      </c>
      <c r="D12" s="2">
        <v>0</v>
      </c>
      <c r="E12" s="2">
        <v>0</v>
      </c>
      <c r="F12" s="2">
        <v>0</v>
      </c>
      <c r="G12" s="2">
        <v>0</v>
      </c>
    </row>
    <row r="13" spans="1:7" x14ac:dyDescent="0.25">
      <c r="A13" s="2" t="s">
        <v>17</v>
      </c>
      <c r="B13" s="2">
        <v>0</v>
      </c>
      <c r="C13" s="2">
        <v>0</v>
      </c>
      <c r="D13" s="2">
        <v>0</v>
      </c>
      <c r="E13" s="2">
        <v>0</v>
      </c>
      <c r="F13" s="2">
        <v>0</v>
      </c>
      <c r="G13" s="2">
        <v>0</v>
      </c>
    </row>
    <row r="14" spans="1:7" x14ac:dyDescent="0.25">
      <c r="A14" s="2" t="s">
        <v>18</v>
      </c>
      <c r="B14" s="2">
        <v>0</v>
      </c>
      <c r="C14" s="2">
        <v>0</v>
      </c>
      <c r="D14" s="2">
        <v>0</v>
      </c>
      <c r="E14" s="2">
        <v>0</v>
      </c>
      <c r="F14" s="2">
        <v>0</v>
      </c>
      <c r="G14" s="2">
        <v>0</v>
      </c>
    </row>
    <row r="15" spans="1:7" x14ac:dyDescent="0.25">
      <c r="A15" s="2" t="s">
        <v>19</v>
      </c>
      <c r="B15" s="2">
        <v>0</v>
      </c>
      <c r="C15" s="2">
        <v>0</v>
      </c>
      <c r="D15" s="2">
        <v>0</v>
      </c>
      <c r="E15" s="2">
        <v>0</v>
      </c>
      <c r="F15" s="2">
        <v>0</v>
      </c>
      <c r="G15" s="2">
        <v>0</v>
      </c>
    </row>
    <row r="16" spans="1:7" x14ac:dyDescent="0.25">
      <c r="A16" s="2" t="s">
        <v>20</v>
      </c>
      <c r="B16" s="2">
        <v>0</v>
      </c>
      <c r="C16" s="2">
        <v>0</v>
      </c>
      <c r="D16" s="2">
        <v>0</v>
      </c>
      <c r="E16" s="2">
        <v>0</v>
      </c>
      <c r="F16" s="2">
        <v>0</v>
      </c>
      <c r="G16" s="2">
        <v>0</v>
      </c>
    </row>
    <row r="17" spans="1:7" x14ac:dyDescent="0.25">
      <c r="A17" s="2" t="s">
        <v>21</v>
      </c>
      <c r="B17" s="6">
        <v>0</v>
      </c>
      <c r="C17" s="6">
        <v>0</v>
      </c>
      <c r="D17" s="6">
        <v>0</v>
      </c>
      <c r="E17" s="6">
        <v>0</v>
      </c>
      <c r="F17" s="6">
        <v>0</v>
      </c>
      <c r="G17" s="6">
        <v>0</v>
      </c>
    </row>
    <row r="18" spans="1:7" x14ac:dyDescent="0.25">
      <c r="A18" s="2" t="s">
        <v>22</v>
      </c>
      <c r="B18" s="6">
        <v>0</v>
      </c>
      <c r="C18" s="6">
        <v>0</v>
      </c>
      <c r="D18" s="6">
        <v>0</v>
      </c>
      <c r="E18" s="6">
        <v>0</v>
      </c>
      <c r="F18" s="6">
        <v>0</v>
      </c>
      <c r="G18" s="6">
        <v>0</v>
      </c>
    </row>
    <row r="19" spans="1:7" x14ac:dyDescent="0.25">
      <c r="A19" s="2" t="s">
        <v>23</v>
      </c>
      <c r="B19" s="6">
        <v>0</v>
      </c>
      <c r="C19" s="6">
        <v>0</v>
      </c>
      <c r="D19" s="6">
        <v>0</v>
      </c>
      <c r="E19" s="6">
        <v>0</v>
      </c>
      <c r="F19" s="6">
        <v>0</v>
      </c>
      <c r="G19" s="6">
        <v>0</v>
      </c>
    </row>
    <row r="20" spans="1:7" x14ac:dyDescent="0.25">
      <c r="A20" s="3" t="s">
        <v>24</v>
      </c>
      <c r="B20" s="7">
        <v>0</v>
      </c>
      <c r="C20" s="7">
        <v>0</v>
      </c>
      <c r="D20" s="7">
        <v>0</v>
      </c>
      <c r="E20" s="7">
        <v>0</v>
      </c>
      <c r="F20" s="7">
        <v>0</v>
      </c>
      <c r="G20" s="7">
        <v>0</v>
      </c>
    </row>
  </sheetData>
  <pageMargins left="0.7" right="0.7" top="0.75" bottom="0.75" header="0.3" footer="0.3"/>
  <pageSetup paperSize="9" orientation="portrait" r:id="rId1"/>
</worksheet>
</file>

<file path=xl/worksheets/sheet1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Feuil7"/>
  <dimension ref="A1:T8"/>
  <sheetViews>
    <sheetView workbookViewId="0">
      <selection activeCell="I22" sqref="I22"/>
    </sheetView>
  </sheetViews>
  <sheetFormatPr baseColWidth="10" defaultColWidth="11" defaultRowHeight="15.75" x14ac:dyDescent="0.25"/>
  <sheetData>
    <row r="1" spans="1:20" x14ac:dyDescent="0.25">
      <c r="B1" t="s">
        <v>70</v>
      </c>
      <c r="C1" t="s">
        <v>71</v>
      </c>
      <c r="D1" t="s">
        <v>72</v>
      </c>
      <c r="E1" t="s">
        <v>73</v>
      </c>
      <c r="F1" t="s">
        <v>74</v>
      </c>
      <c r="G1" t="s">
        <v>75</v>
      </c>
      <c r="H1" t="s">
        <v>76</v>
      </c>
      <c r="I1" t="s">
        <v>77</v>
      </c>
      <c r="J1" t="s">
        <v>78</v>
      </c>
      <c r="K1" t="s">
        <v>79</v>
      </c>
      <c r="L1" t="s">
        <v>80</v>
      </c>
      <c r="M1" t="s">
        <v>81</v>
      </c>
      <c r="N1" t="s">
        <v>82</v>
      </c>
      <c r="O1" t="s">
        <v>83</v>
      </c>
      <c r="P1" t="s">
        <v>84</v>
      </c>
      <c r="Q1" t="s">
        <v>85</v>
      </c>
      <c r="R1" t="s">
        <v>86</v>
      </c>
      <c r="S1" t="s">
        <v>87</v>
      </c>
      <c r="T1" t="s">
        <v>88</v>
      </c>
    </row>
    <row r="3" spans="1:20" x14ac:dyDescent="0.25">
      <c r="A3">
        <v>2001</v>
      </c>
      <c r="B3">
        <v>9.3757999999999994E-2</v>
      </c>
      <c r="C3">
        <v>-1.0439860000000001</v>
      </c>
      <c r="D3">
        <v>-0.11709600000000001</v>
      </c>
      <c r="E3">
        <v>1.909907</v>
      </c>
      <c r="F3">
        <v>-1.0601609999999999</v>
      </c>
      <c r="G3">
        <v>0.898034</v>
      </c>
      <c r="H3">
        <v>-0.44667000000000001</v>
      </c>
      <c r="I3">
        <v>2.470701</v>
      </c>
      <c r="J3">
        <v>1.182412</v>
      </c>
      <c r="K3">
        <v>-0.35541499999999998</v>
      </c>
      <c r="L3">
        <v>2.7058810000000002</v>
      </c>
      <c r="M3">
        <v>1.6629179999999999</v>
      </c>
      <c r="N3">
        <v>10</v>
      </c>
      <c r="O3">
        <v>0.116997</v>
      </c>
      <c r="P3">
        <v>0.47409600000000002</v>
      </c>
      <c r="Q3">
        <v>0.208145</v>
      </c>
      <c r="R3">
        <v>-0.156999</v>
      </c>
      <c r="S3">
        <v>-1.446763</v>
      </c>
      <c r="T3">
        <v>-0.515791</v>
      </c>
    </row>
    <row r="4" spans="1:20" x14ac:dyDescent="0.25">
      <c r="A4">
        <v>2002</v>
      </c>
      <c r="B4">
        <v>0.25870500000000002</v>
      </c>
      <c r="C4">
        <v>-1.385435</v>
      </c>
      <c r="D4">
        <v>-2.2029E-2</v>
      </c>
      <c r="E4">
        <v>2.946593</v>
      </c>
      <c r="F4">
        <v>-1.4508289999999999</v>
      </c>
      <c r="G4">
        <v>1.9166609999999999</v>
      </c>
      <c r="H4">
        <v>-2.9489000000000001E-2</v>
      </c>
      <c r="I4">
        <v>3.382495</v>
      </c>
      <c r="J4">
        <v>2.2616360000000002</v>
      </c>
      <c r="K4">
        <v>0.90381400000000001</v>
      </c>
      <c r="L4">
        <v>3.6057239999999999</v>
      </c>
      <c r="M4">
        <v>2.9952770000000002</v>
      </c>
      <c r="N4">
        <v>10</v>
      </c>
      <c r="O4">
        <v>1.033603</v>
      </c>
      <c r="P4">
        <v>0.12862699999999999</v>
      </c>
      <c r="Q4">
        <v>0.49817600000000001</v>
      </c>
      <c r="R4">
        <v>-0.36288999999999999</v>
      </c>
      <c r="S4">
        <v>-0.71826500000000004</v>
      </c>
      <c r="T4">
        <v>-0.46571400000000002</v>
      </c>
    </row>
    <row r="5" spans="1:20" x14ac:dyDescent="0.25">
      <c r="A5">
        <v>2003</v>
      </c>
      <c r="B5">
        <v>0.46767700000000001</v>
      </c>
      <c r="C5">
        <v>-1.277129</v>
      </c>
      <c r="D5">
        <v>0.174766</v>
      </c>
      <c r="E5">
        <v>3.3940890000000001</v>
      </c>
      <c r="F5">
        <v>-1.459346</v>
      </c>
      <c r="G5">
        <v>3.1902439999999999</v>
      </c>
      <c r="H5">
        <v>0.171377</v>
      </c>
      <c r="I5">
        <v>4.3252829999999998</v>
      </c>
      <c r="J5">
        <v>3.3593609999999998</v>
      </c>
      <c r="K5">
        <v>2.1848260000000002</v>
      </c>
      <c r="L5">
        <v>4.5220440000000002</v>
      </c>
      <c r="M5">
        <v>4.181133</v>
      </c>
      <c r="N5">
        <v>10</v>
      </c>
      <c r="O5">
        <v>2.2622100000000001</v>
      </c>
      <c r="P5">
        <v>7.5729000000000005E-2</v>
      </c>
      <c r="Q5">
        <v>0.79074500000000003</v>
      </c>
      <c r="R5">
        <v>-0.56014299999999995</v>
      </c>
      <c r="S5">
        <v>-0.28393699999999999</v>
      </c>
      <c r="T5">
        <v>-0.28658699999999998</v>
      </c>
    </row>
    <row r="6" spans="1:20" x14ac:dyDescent="0.25">
      <c r="A6">
        <v>2005</v>
      </c>
      <c r="B6">
        <v>0.80463300000000004</v>
      </c>
      <c r="C6">
        <v>-0.56142400000000003</v>
      </c>
      <c r="D6">
        <v>0.62369699999999995</v>
      </c>
      <c r="E6">
        <v>3.2295280000000002</v>
      </c>
      <c r="F6">
        <v>-0.96397100000000002</v>
      </c>
      <c r="G6">
        <v>5.9359000000000002</v>
      </c>
      <c r="H6">
        <v>0.188862</v>
      </c>
      <c r="I6">
        <v>6.3094979999999996</v>
      </c>
      <c r="J6">
        <v>5.6542510000000004</v>
      </c>
      <c r="K6">
        <v>4.866142</v>
      </c>
      <c r="L6">
        <v>6.4350180000000003</v>
      </c>
      <c r="M6">
        <v>6.3580509999999997</v>
      </c>
      <c r="N6">
        <v>10</v>
      </c>
      <c r="O6">
        <v>4.9720409999999999</v>
      </c>
      <c r="P6">
        <v>0.10098500000000001</v>
      </c>
      <c r="Q6">
        <v>1.1917439999999999</v>
      </c>
      <c r="R6">
        <v>-0.80787799999999999</v>
      </c>
      <c r="S6">
        <v>0.12128700000000001</v>
      </c>
      <c r="T6">
        <v>0.14751500000000001</v>
      </c>
    </row>
    <row r="7" spans="1:20" x14ac:dyDescent="0.25">
      <c r="A7">
        <v>2010</v>
      </c>
      <c r="B7">
        <v>0.79262999999999995</v>
      </c>
      <c r="C7">
        <v>0.74014400000000002</v>
      </c>
      <c r="D7">
        <v>1.3791420000000001</v>
      </c>
      <c r="E7">
        <v>0.82189500000000004</v>
      </c>
      <c r="F7">
        <v>0.37937599999999999</v>
      </c>
      <c r="G7">
        <v>11.16198</v>
      </c>
      <c r="H7">
        <v>-2.9222000000000001E-2</v>
      </c>
      <c r="I7">
        <v>10.38124</v>
      </c>
      <c r="J7">
        <v>10.374000000000001</v>
      </c>
      <c r="K7">
        <v>10.388019999999999</v>
      </c>
      <c r="L7">
        <v>10.36008</v>
      </c>
      <c r="M7">
        <v>10.454660000000001</v>
      </c>
      <c r="N7">
        <v>9.9999990000000007</v>
      </c>
      <c r="O7">
        <v>10.43289</v>
      </c>
      <c r="P7">
        <v>4.0640999999999997E-2</v>
      </c>
      <c r="Q7">
        <v>0.82084100000000004</v>
      </c>
      <c r="R7">
        <v>-0.50619499999999995</v>
      </c>
      <c r="S7">
        <v>0.22078500000000001</v>
      </c>
      <c r="T7">
        <v>0.902667</v>
      </c>
    </row>
    <row r="8" spans="1:20" x14ac:dyDescent="0.25">
      <c r="A8">
        <v>2035</v>
      </c>
      <c r="B8">
        <v>0.23064200000000001</v>
      </c>
      <c r="C8">
        <v>0.10921400000000001</v>
      </c>
      <c r="D8">
        <v>1.7484420000000001</v>
      </c>
      <c r="E8">
        <v>-0.32525999999999999</v>
      </c>
      <c r="F8">
        <v>0.35108899999999998</v>
      </c>
      <c r="G8">
        <v>10.48948</v>
      </c>
      <c r="H8">
        <v>2.9450000000000001E-3</v>
      </c>
      <c r="I8">
        <v>10.365320000000001</v>
      </c>
      <c r="J8">
        <v>10.36773</v>
      </c>
      <c r="K8">
        <v>10.38855</v>
      </c>
      <c r="L8">
        <v>10.347060000000001</v>
      </c>
      <c r="M8">
        <v>10.35834</v>
      </c>
      <c r="N8">
        <v>9.9999990000000007</v>
      </c>
      <c r="O8">
        <v>10.64981</v>
      </c>
      <c r="P8">
        <v>0.23666999999999999</v>
      </c>
      <c r="Q8">
        <v>0.164659</v>
      </c>
      <c r="R8">
        <v>-0.10649500000000001</v>
      </c>
      <c r="S8">
        <v>-7.5106000000000006E-2</v>
      </c>
      <c r="T8">
        <v>-2.0830000000000001E-2</v>
      </c>
    </row>
  </sheetData>
  <pageMargins left="0.7" right="0.7" top="0.75" bottom="0.75" header="0.3" footer="0.3"/>
</worksheet>
</file>

<file path=xl/worksheets/sheet1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Feuil9"/>
  <dimension ref="A1:T8"/>
  <sheetViews>
    <sheetView workbookViewId="0">
      <selection activeCell="R17" sqref="A1:R17"/>
    </sheetView>
  </sheetViews>
  <sheetFormatPr baseColWidth="10" defaultColWidth="11" defaultRowHeight="15.75" x14ac:dyDescent="0.25"/>
  <sheetData>
    <row r="1" spans="1:20" x14ac:dyDescent="0.25">
      <c r="B1" t="s">
        <v>108</v>
      </c>
      <c r="C1" t="s">
        <v>109</v>
      </c>
      <c r="D1" t="s">
        <v>110</v>
      </c>
      <c r="E1" t="s">
        <v>111</v>
      </c>
      <c r="F1" t="s">
        <v>112</v>
      </c>
      <c r="G1" t="s">
        <v>113</v>
      </c>
      <c r="H1" t="s">
        <v>114</v>
      </c>
      <c r="I1" t="s">
        <v>115</v>
      </c>
      <c r="J1" t="s">
        <v>116</v>
      </c>
      <c r="K1" t="s">
        <v>117</v>
      </c>
      <c r="L1" t="s">
        <v>118</v>
      </c>
      <c r="M1" t="s">
        <v>119</v>
      </c>
      <c r="N1" t="s">
        <v>120</v>
      </c>
      <c r="O1" t="s">
        <v>121</v>
      </c>
      <c r="P1" t="s">
        <v>122</v>
      </c>
      <c r="Q1" t="s">
        <v>123</v>
      </c>
      <c r="R1" t="s">
        <v>124</v>
      </c>
      <c r="S1" t="s">
        <v>125</v>
      </c>
      <c r="T1" t="s">
        <v>126</v>
      </c>
    </row>
    <row r="3" spans="1:20" x14ac:dyDescent="0.25">
      <c r="A3">
        <v>2001</v>
      </c>
      <c r="B3">
        <v>0.212619</v>
      </c>
      <c r="C3">
        <v>0.34065800000000002</v>
      </c>
      <c r="D3">
        <v>9.7850000000000006E-2</v>
      </c>
      <c r="E3">
        <v>0.10834100000000001</v>
      </c>
      <c r="F3">
        <v>0.11930300000000001</v>
      </c>
      <c r="G3">
        <v>1.3377E-2</v>
      </c>
      <c r="H3">
        <v>0.14327400000000001</v>
      </c>
      <c r="I3">
        <v>-0.48551899999999998</v>
      </c>
      <c r="J3">
        <v>-0.563913</v>
      </c>
      <c r="K3">
        <v>-0.663076</v>
      </c>
      <c r="L3">
        <v>-0.46545500000000001</v>
      </c>
      <c r="M3">
        <v>-0.450125</v>
      </c>
      <c r="N3">
        <v>0</v>
      </c>
      <c r="O3">
        <v>6.9204000000000002E-2</v>
      </c>
      <c r="P3">
        <v>-1.038538</v>
      </c>
      <c r="Q3">
        <v>0.12698300000000001</v>
      </c>
      <c r="R3">
        <v>-9.5791000000000001E-2</v>
      </c>
      <c r="S3">
        <v>-0.122985</v>
      </c>
      <c r="T3">
        <v>-0.60231599999999996</v>
      </c>
    </row>
    <row r="4" spans="1:20" x14ac:dyDescent="0.25">
      <c r="A4">
        <v>2002</v>
      </c>
      <c r="B4">
        <v>0.45768799999999998</v>
      </c>
      <c r="C4">
        <v>0.70736100000000002</v>
      </c>
      <c r="D4">
        <v>0.28205999999999998</v>
      </c>
      <c r="E4">
        <v>0.26329000000000002</v>
      </c>
      <c r="F4">
        <v>0.27830300000000002</v>
      </c>
      <c r="G4">
        <v>2.6155999999999999E-2</v>
      </c>
      <c r="H4">
        <v>0.115761</v>
      </c>
      <c r="I4">
        <v>-0.80471700000000002</v>
      </c>
      <c r="J4">
        <v>-0.93620899999999996</v>
      </c>
      <c r="K4">
        <v>-1.0999760000000001</v>
      </c>
      <c r="L4">
        <v>-0.77356400000000003</v>
      </c>
      <c r="M4">
        <v>-0.77666999999999997</v>
      </c>
      <c r="N4" s="57">
        <v>-9.6099999999999994E-8</v>
      </c>
      <c r="O4">
        <v>8.8593000000000005E-2</v>
      </c>
      <c r="P4">
        <v>-0.58210700000000004</v>
      </c>
      <c r="Q4">
        <v>0.33776800000000001</v>
      </c>
      <c r="R4">
        <v>-0.24696799999999999</v>
      </c>
      <c r="S4">
        <v>-0.21051800000000001</v>
      </c>
      <c r="T4">
        <v>-0.36470999999999998</v>
      </c>
    </row>
    <row r="5" spans="1:20" x14ac:dyDescent="0.25">
      <c r="A5">
        <v>2003</v>
      </c>
      <c r="B5">
        <v>0.65784500000000001</v>
      </c>
      <c r="C5">
        <v>0.99117200000000005</v>
      </c>
      <c r="D5">
        <v>0.46103899999999998</v>
      </c>
      <c r="E5">
        <v>0.41871799999999998</v>
      </c>
      <c r="F5">
        <v>0.42006399999999999</v>
      </c>
      <c r="G5">
        <v>5.3994E-2</v>
      </c>
      <c r="H5">
        <v>5.0008999999999998E-2</v>
      </c>
      <c r="I5">
        <v>-0.98326400000000003</v>
      </c>
      <c r="J5">
        <v>-1.1414550000000001</v>
      </c>
      <c r="K5">
        <v>-1.3388789999999999</v>
      </c>
      <c r="L5">
        <v>-0.94541799999999998</v>
      </c>
      <c r="M5">
        <v>-0.96926999999999996</v>
      </c>
      <c r="N5" s="57">
        <v>-1.8799999999999999E-7</v>
      </c>
      <c r="O5">
        <v>8.5720000000000005E-2</v>
      </c>
      <c r="P5">
        <v>-0.34423300000000001</v>
      </c>
      <c r="Q5">
        <v>0.57182699999999997</v>
      </c>
      <c r="R5">
        <v>-0.40719699999999998</v>
      </c>
      <c r="S5">
        <v>-0.25794299999999998</v>
      </c>
      <c r="T5">
        <v>-0.236396</v>
      </c>
    </row>
    <row r="6" spans="1:20" x14ac:dyDescent="0.25">
      <c r="A6">
        <v>2005</v>
      </c>
      <c r="B6">
        <v>0.87507699999999999</v>
      </c>
      <c r="C6">
        <v>1.2867569999999999</v>
      </c>
      <c r="D6">
        <v>0.65729899999999997</v>
      </c>
      <c r="E6">
        <v>0.63972499999999999</v>
      </c>
      <c r="F6">
        <v>0.59485900000000003</v>
      </c>
      <c r="G6">
        <v>0.16993</v>
      </c>
      <c r="H6">
        <v>-3.5623000000000002E-2</v>
      </c>
      <c r="I6">
        <v>-1.0633280000000001</v>
      </c>
      <c r="J6">
        <v>-1.2220690000000001</v>
      </c>
      <c r="K6">
        <v>-1.4269499999999999</v>
      </c>
      <c r="L6">
        <v>-1.018788</v>
      </c>
      <c r="M6">
        <v>-1.0578019999999999</v>
      </c>
      <c r="N6" s="57">
        <v>-3.6199999999999999E-7</v>
      </c>
      <c r="O6">
        <v>0.124097</v>
      </c>
      <c r="P6">
        <v>-0.216947</v>
      </c>
      <c r="Q6">
        <v>0.94947400000000004</v>
      </c>
      <c r="R6">
        <v>-0.64860700000000004</v>
      </c>
      <c r="S6">
        <v>-0.26939999999999997</v>
      </c>
      <c r="T6">
        <v>-0.158501</v>
      </c>
    </row>
    <row r="7" spans="1:20" x14ac:dyDescent="0.25">
      <c r="A7">
        <v>2010</v>
      </c>
      <c r="B7">
        <v>0.858155</v>
      </c>
      <c r="C7">
        <v>1.315248</v>
      </c>
      <c r="D7">
        <v>0.50407000000000002</v>
      </c>
      <c r="E7">
        <v>0.67802300000000004</v>
      </c>
      <c r="F7">
        <v>0.64581599999999995</v>
      </c>
      <c r="G7">
        <v>0.46473399999999998</v>
      </c>
      <c r="H7">
        <v>-3.1401999999999999E-2</v>
      </c>
      <c r="I7">
        <v>-0.804728</v>
      </c>
      <c r="J7">
        <v>-0.90791999999999995</v>
      </c>
      <c r="K7">
        <v>-1.052473</v>
      </c>
      <c r="L7">
        <v>-0.76463800000000004</v>
      </c>
      <c r="M7">
        <v>-0.77525299999999997</v>
      </c>
      <c r="N7" s="57">
        <v>-6.5600000000000005E-7</v>
      </c>
      <c r="O7">
        <v>0.40889599999999998</v>
      </c>
      <c r="P7">
        <v>-0.311832</v>
      </c>
      <c r="Q7">
        <v>1.121046</v>
      </c>
      <c r="R7">
        <v>-0.72544799999999998</v>
      </c>
      <c r="S7">
        <v>-0.19691</v>
      </c>
      <c r="T7">
        <v>-0.23542399999999999</v>
      </c>
    </row>
    <row r="8" spans="1:20" x14ac:dyDescent="0.25">
      <c r="A8">
        <v>2035</v>
      </c>
      <c r="B8">
        <v>0.75330399999999997</v>
      </c>
      <c r="C8">
        <v>1.1298360000000001</v>
      </c>
      <c r="D8">
        <v>2.2124000000000001E-2</v>
      </c>
      <c r="E8">
        <v>0.82904199999999995</v>
      </c>
      <c r="F8">
        <v>0.41422199999999998</v>
      </c>
      <c r="G8">
        <v>6.4283999999999994E-2</v>
      </c>
      <c r="H8">
        <v>3.7399999999999998E-4</v>
      </c>
      <c r="I8">
        <v>-1.05406</v>
      </c>
      <c r="J8">
        <v>-1.2161679999999999</v>
      </c>
      <c r="K8">
        <v>-1.4209000000000001</v>
      </c>
      <c r="L8">
        <v>-1.0131509999999999</v>
      </c>
      <c r="M8">
        <v>-1.040856</v>
      </c>
      <c r="N8" s="57">
        <v>-4.9999999999999998E-7</v>
      </c>
      <c r="O8">
        <v>1.8131999999999999E-2</v>
      </c>
      <c r="P8">
        <v>-0.32866899999999999</v>
      </c>
      <c r="Q8">
        <v>0.91991599999999996</v>
      </c>
      <c r="R8">
        <v>-0.59606099999999995</v>
      </c>
      <c r="S8">
        <v>-0.17660699999999999</v>
      </c>
      <c r="T8">
        <v>-0.28534500000000002</v>
      </c>
    </row>
  </sheetData>
  <pageMargins left="0.7" right="0.7" top="0.75" bottom="0.75" header="0.3" footer="0.3"/>
</worksheet>
</file>

<file path=xl/worksheets/sheet1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Feuil10"/>
  <dimension ref="A1"/>
  <sheetViews>
    <sheetView workbookViewId="0">
      <selection activeCell="R17" sqref="A1:R17"/>
    </sheetView>
  </sheetViews>
  <sheetFormatPr baseColWidth="10" defaultColWidth="11" defaultRowHeight="15.75" x14ac:dyDescent="0.25"/>
  <sheetData/>
  <pageMargins left="0.7" right="0.7" top="0.75" bottom="0.75" header="0.3" footer="0.3"/>
</worksheet>
</file>

<file path=xl/worksheets/sheet1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Feuil11"/>
  <dimension ref="A1"/>
  <sheetViews>
    <sheetView workbookViewId="0">
      <selection activeCell="R17" sqref="A1:R17"/>
    </sheetView>
  </sheetViews>
  <sheetFormatPr baseColWidth="10" defaultColWidth="11" defaultRowHeight="15.75" x14ac:dyDescent="0.25"/>
  <sheetData/>
  <pageMargins left="0.7" right="0.7" top="0.75" bottom="0.75" header="0.3" footer="0.3"/>
</worksheet>
</file>

<file path=xl/worksheets/sheet1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Feuil13"/>
  <dimension ref="A1:G20"/>
  <sheetViews>
    <sheetView showGridLines="0" workbookViewId="0">
      <selection activeCell="B4" sqref="B4"/>
    </sheetView>
  </sheetViews>
  <sheetFormatPr baseColWidth="10" defaultColWidth="11" defaultRowHeight="15.75" x14ac:dyDescent="0.25"/>
  <cols>
    <col min="1" max="1" width="33.625" customWidth="1"/>
    <col min="2" max="7" width="16" bestFit="1" customWidth="1"/>
  </cols>
  <sheetData>
    <row r="1" spans="1:7" ht="31.5" x14ac:dyDescent="0.25">
      <c r="A1" s="4" t="s">
        <v>26</v>
      </c>
      <c r="B1" s="5" t="s">
        <v>0</v>
      </c>
      <c r="C1" s="5" t="s">
        <v>1</v>
      </c>
      <c r="D1" s="5" t="s">
        <v>2</v>
      </c>
      <c r="E1" s="5" t="s">
        <v>3</v>
      </c>
      <c r="F1" s="5" t="s">
        <v>4</v>
      </c>
      <c r="G1" s="5" t="s">
        <v>5</v>
      </c>
    </row>
    <row r="2" spans="1:7" x14ac:dyDescent="0.25">
      <c r="A2" s="1" t="s">
        <v>6</v>
      </c>
      <c r="B2" s="1">
        <f t="array" ref="B2:G20">TRANSPOSE(ResultsVAT!$B$3:$T$8)</f>
        <v>0</v>
      </c>
      <c r="C2" s="1">
        <v>0</v>
      </c>
      <c r="D2" s="1">
        <v>0</v>
      </c>
      <c r="E2" s="1">
        <v>0</v>
      </c>
      <c r="F2" s="1">
        <v>0</v>
      </c>
      <c r="G2" s="1">
        <v>0</v>
      </c>
    </row>
    <row r="3" spans="1:7" x14ac:dyDescent="0.25">
      <c r="A3" s="2" t="s">
        <v>7</v>
      </c>
      <c r="B3" s="2">
        <v>0</v>
      </c>
      <c r="C3" s="2">
        <v>0</v>
      </c>
      <c r="D3" s="2">
        <v>0</v>
      </c>
      <c r="E3" s="2">
        <v>0</v>
      </c>
      <c r="F3" s="2">
        <v>0</v>
      </c>
      <c r="G3" s="2">
        <v>0</v>
      </c>
    </row>
    <row r="4" spans="1:7" x14ac:dyDescent="0.25">
      <c r="A4" s="2" t="s">
        <v>8</v>
      </c>
      <c r="B4" s="2">
        <v>0</v>
      </c>
      <c r="C4" s="2">
        <v>0</v>
      </c>
      <c r="D4" s="2">
        <v>0</v>
      </c>
      <c r="E4" s="2">
        <v>0</v>
      </c>
      <c r="F4" s="2">
        <v>0</v>
      </c>
      <c r="G4" s="2">
        <v>0</v>
      </c>
    </row>
    <row r="5" spans="1:7" x14ac:dyDescent="0.25">
      <c r="A5" s="2" t="s">
        <v>9</v>
      </c>
      <c r="B5" s="2">
        <v>0</v>
      </c>
      <c r="C5" s="2">
        <v>0</v>
      </c>
      <c r="D5" s="2">
        <v>0</v>
      </c>
      <c r="E5" s="2">
        <v>0</v>
      </c>
      <c r="F5" s="2">
        <v>0</v>
      </c>
      <c r="G5" s="2">
        <v>0</v>
      </c>
    </row>
    <row r="6" spans="1:7" x14ac:dyDescent="0.25">
      <c r="A6" s="2" t="s">
        <v>10</v>
      </c>
      <c r="B6" s="2">
        <v>0</v>
      </c>
      <c r="C6" s="2">
        <v>0</v>
      </c>
      <c r="D6" s="2">
        <v>0</v>
      </c>
      <c r="E6" s="2">
        <v>0</v>
      </c>
      <c r="F6" s="2">
        <v>0</v>
      </c>
      <c r="G6" s="2">
        <v>0</v>
      </c>
    </row>
    <row r="7" spans="1:7" x14ac:dyDescent="0.25">
      <c r="A7" s="2" t="s">
        <v>11</v>
      </c>
      <c r="B7" s="2">
        <v>0</v>
      </c>
      <c r="C7" s="2">
        <v>0</v>
      </c>
      <c r="D7" s="2">
        <v>0</v>
      </c>
      <c r="E7" s="2">
        <v>0</v>
      </c>
      <c r="F7" s="2">
        <v>0</v>
      </c>
      <c r="G7" s="2">
        <v>0</v>
      </c>
    </row>
    <row r="8" spans="1:7" x14ac:dyDescent="0.25">
      <c r="A8" s="2" t="s">
        <v>12</v>
      </c>
      <c r="B8" s="2">
        <v>0</v>
      </c>
      <c r="C8" s="2">
        <v>0</v>
      </c>
      <c r="D8" s="2">
        <v>0</v>
      </c>
      <c r="E8" s="2">
        <v>0</v>
      </c>
      <c r="F8" s="2">
        <v>0</v>
      </c>
      <c r="G8" s="2">
        <v>0</v>
      </c>
    </row>
    <row r="9" spans="1:7" x14ac:dyDescent="0.25">
      <c r="A9" s="2" t="s">
        <v>13</v>
      </c>
      <c r="B9" s="2">
        <v>0</v>
      </c>
      <c r="C9" s="2">
        <v>0</v>
      </c>
      <c r="D9" s="2">
        <v>0</v>
      </c>
      <c r="E9" s="2">
        <v>0</v>
      </c>
      <c r="F9" s="2">
        <v>0</v>
      </c>
      <c r="G9" s="2">
        <v>0</v>
      </c>
    </row>
    <row r="10" spans="1:7" x14ac:dyDescent="0.25">
      <c r="A10" s="2" t="s">
        <v>14</v>
      </c>
      <c r="B10" s="2">
        <v>0</v>
      </c>
      <c r="C10" s="2">
        <v>0</v>
      </c>
      <c r="D10" s="2">
        <v>0</v>
      </c>
      <c r="E10" s="2">
        <v>0</v>
      </c>
      <c r="F10" s="2">
        <v>0</v>
      </c>
      <c r="G10" s="2">
        <v>0</v>
      </c>
    </row>
    <row r="11" spans="1:7" x14ac:dyDescent="0.25">
      <c r="A11" s="2" t="s">
        <v>15</v>
      </c>
      <c r="B11" s="2">
        <v>0</v>
      </c>
      <c r="C11" s="2">
        <v>0</v>
      </c>
      <c r="D11" s="2">
        <v>0</v>
      </c>
      <c r="E11" s="2">
        <v>0</v>
      </c>
      <c r="F11" s="2">
        <v>0</v>
      </c>
      <c r="G11" s="2">
        <v>0</v>
      </c>
    </row>
    <row r="12" spans="1:7" x14ac:dyDescent="0.25">
      <c r="A12" s="2" t="s">
        <v>16</v>
      </c>
      <c r="B12" s="2">
        <v>0</v>
      </c>
      <c r="C12" s="2">
        <v>0</v>
      </c>
      <c r="D12" s="2">
        <v>0</v>
      </c>
      <c r="E12" s="2">
        <v>0</v>
      </c>
      <c r="F12" s="2">
        <v>0</v>
      </c>
      <c r="G12" s="2">
        <v>0</v>
      </c>
    </row>
    <row r="13" spans="1:7" x14ac:dyDescent="0.25">
      <c r="A13" s="2" t="s">
        <v>17</v>
      </c>
      <c r="B13" s="2">
        <v>0</v>
      </c>
      <c r="C13" s="2">
        <v>0</v>
      </c>
      <c r="D13" s="2">
        <v>0</v>
      </c>
      <c r="E13" s="2">
        <v>0</v>
      </c>
      <c r="F13" s="2">
        <v>0</v>
      </c>
      <c r="G13" s="2">
        <v>0</v>
      </c>
    </row>
    <row r="14" spans="1:7" x14ac:dyDescent="0.25">
      <c r="A14" s="2" t="s">
        <v>18</v>
      </c>
      <c r="B14" s="2">
        <v>0</v>
      </c>
      <c r="C14" s="2">
        <v>0</v>
      </c>
      <c r="D14" s="2">
        <v>0</v>
      </c>
      <c r="E14" s="2">
        <v>0</v>
      </c>
      <c r="F14" s="2">
        <v>0</v>
      </c>
      <c r="G14" s="2">
        <v>0</v>
      </c>
    </row>
    <row r="15" spans="1:7" x14ac:dyDescent="0.25">
      <c r="A15" s="2" t="s">
        <v>19</v>
      </c>
      <c r="B15" s="2">
        <v>0</v>
      </c>
      <c r="C15" s="2">
        <v>0</v>
      </c>
      <c r="D15" s="2">
        <v>0</v>
      </c>
      <c r="E15" s="2">
        <v>0</v>
      </c>
      <c r="F15" s="2">
        <v>0</v>
      </c>
      <c r="G15" s="2">
        <v>0</v>
      </c>
    </row>
    <row r="16" spans="1:7" x14ac:dyDescent="0.25">
      <c r="A16" s="2" t="s">
        <v>20</v>
      </c>
      <c r="B16" s="2">
        <v>0</v>
      </c>
      <c r="C16" s="2">
        <v>0</v>
      </c>
      <c r="D16" s="2">
        <v>0</v>
      </c>
      <c r="E16" s="2">
        <v>0</v>
      </c>
      <c r="F16" s="2">
        <v>0</v>
      </c>
      <c r="G16" s="2">
        <v>0</v>
      </c>
    </row>
    <row r="17" spans="1:7" x14ac:dyDescent="0.25">
      <c r="A17" s="2" t="s">
        <v>21</v>
      </c>
      <c r="B17" s="6">
        <v>0</v>
      </c>
      <c r="C17" s="6">
        <v>0</v>
      </c>
      <c r="D17" s="6">
        <v>0</v>
      </c>
      <c r="E17" s="6">
        <v>0</v>
      </c>
      <c r="F17" s="6">
        <v>0</v>
      </c>
      <c r="G17" s="6">
        <v>0</v>
      </c>
    </row>
    <row r="18" spans="1:7" x14ac:dyDescent="0.25">
      <c r="A18" s="2" t="s">
        <v>22</v>
      </c>
      <c r="B18" s="6">
        <v>0</v>
      </c>
      <c r="C18" s="6">
        <v>0</v>
      </c>
      <c r="D18" s="6">
        <v>0</v>
      </c>
      <c r="E18" s="6">
        <v>0</v>
      </c>
      <c r="F18" s="6">
        <v>0</v>
      </c>
      <c r="G18" s="6">
        <v>0</v>
      </c>
    </row>
    <row r="19" spans="1:7" x14ac:dyDescent="0.25">
      <c r="A19" s="2" t="s">
        <v>23</v>
      </c>
      <c r="B19" s="6">
        <v>0</v>
      </c>
      <c r="C19" s="6">
        <v>0</v>
      </c>
      <c r="D19" s="6">
        <v>0</v>
      </c>
      <c r="E19" s="6">
        <v>0</v>
      </c>
      <c r="F19" s="6">
        <v>0</v>
      </c>
      <c r="G19" s="6">
        <v>0</v>
      </c>
    </row>
    <row r="20" spans="1:7" x14ac:dyDescent="0.25">
      <c r="A20" s="3" t="s">
        <v>24</v>
      </c>
      <c r="B20" s="7">
        <v>0</v>
      </c>
      <c r="C20" s="7">
        <v>0</v>
      </c>
      <c r="D20" s="7">
        <v>0</v>
      </c>
      <c r="E20" s="7">
        <v>0</v>
      </c>
      <c r="F20" s="7">
        <v>0</v>
      </c>
      <c r="G20" s="7">
        <v>0</v>
      </c>
    </row>
  </sheetData>
  <pageMargins left="0.7" right="0.7" top="0.75" bottom="0.75" header="0.3" footer="0.3"/>
  <pageSetup paperSize="9" orientation="portrait" r:id="rId1"/>
</worksheet>
</file>

<file path=xl/worksheets/sheet2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Feuil14"/>
  <dimension ref="A1:G20"/>
  <sheetViews>
    <sheetView showGridLines="0" workbookViewId="0">
      <selection activeCell="G12" sqref="G12"/>
    </sheetView>
  </sheetViews>
  <sheetFormatPr baseColWidth="10" defaultColWidth="11" defaultRowHeight="15.75" x14ac:dyDescent="0.25"/>
  <cols>
    <col min="1" max="1" width="33.625" customWidth="1"/>
    <col min="2" max="7" width="16" bestFit="1" customWidth="1"/>
  </cols>
  <sheetData>
    <row r="1" spans="1:7" ht="31.5" x14ac:dyDescent="0.25">
      <c r="A1" s="4" t="s">
        <v>28</v>
      </c>
      <c r="B1" s="5" t="s">
        <v>0</v>
      </c>
      <c r="C1" s="5" t="s">
        <v>1</v>
      </c>
      <c r="D1" s="5" t="s">
        <v>2</v>
      </c>
      <c r="E1" s="5" t="s">
        <v>3</v>
      </c>
      <c r="F1" s="5" t="s">
        <v>4</v>
      </c>
      <c r="G1" s="5" t="s">
        <v>5</v>
      </c>
    </row>
    <row r="2" spans="1:7" x14ac:dyDescent="0.25">
      <c r="A2" s="1" t="s">
        <v>6</v>
      </c>
      <c r="B2" s="1">
        <f t="array" ref="B2:G20">TRANSPOSE(ResultsIAPU!$B$3:$T$8)</f>
        <v>0</v>
      </c>
      <c r="C2" s="1">
        <v>0</v>
      </c>
      <c r="D2" s="1">
        <v>0</v>
      </c>
      <c r="E2" s="1">
        <v>0</v>
      </c>
      <c r="F2" s="1">
        <v>0</v>
      </c>
      <c r="G2" s="1">
        <v>0</v>
      </c>
    </row>
    <row r="3" spans="1:7" x14ac:dyDescent="0.25">
      <c r="A3" s="2" t="s">
        <v>7</v>
      </c>
      <c r="B3" s="2">
        <v>0</v>
      </c>
      <c r="C3" s="2">
        <v>0</v>
      </c>
      <c r="D3" s="2">
        <v>0</v>
      </c>
      <c r="E3" s="2">
        <v>0</v>
      </c>
      <c r="F3" s="2">
        <v>0</v>
      </c>
      <c r="G3" s="2">
        <v>0</v>
      </c>
    </row>
    <row r="4" spans="1:7" x14ac:dyDescent="0.25">
      <c r="A4" s="2" t="s">
        <v>8</v>
      </c>
      <c r="B4" s="2">
        <v>0</v>
      </c>
      <c r="C4" s="2">
        <v>0</v>
      </c>
      <c r="D4" s="2">
        <v>0</v>
      </c>
      <c r="E4" s="2">
        <v>0</v>
      </c>
      <c r="F4" s="2">
        <v>0</v>
      </c>
      <c r="G4" s="2">
        <v>0</v>
      </c>
    </row>
    <row r="5" spans="1:7" x14ac:dyDescent="0.25">
      <c r="A5" s="2" t="s">
        <v>9</v>
      </c>
      <c r="B5" s="2">
        <v>0</v>
      </c>
      <c r="C5" s="2">
        <v>0</v>
      </c>
      <c r="D5" s="2">
        <v>0</v>
      </c>
      <c r="E5" s="2">
        <v>0</v>
      </c>
      <c r="F5" s="2">
        <v>0</v>
      </c>
      <c r="G5" s="2">
        <v>0</v>
      </c>
    </row>
    <row r="6" spans="1:7" x14ac:dyDescent="0.25">
      <c r="A6" s="2" t="s">
        <v>10</v>
      </c>
      <c r="B6" s="2">
        <v>0</v>
      </c>
      <c r="C6" s="2">
        <v>0</v>
      </c>
      <c r="D6" s="2">
        <v>0</v>
      </c>
      <c r="E6" s="2">
        <v>0</v>
      </c>
      <c r="F6" s="2">
        <v>0</v>
      </c>
      <c r="G6" s="2">
        <v>0</v>
      </c>
    </row>
    <row r="7" spans="1:7" x14ac:dyDescent="0.25">
      <c r="A7" s="2" t="s">
        <v>11</v>
      </c>
      <c r="B7" s="2">
        <v>0</v>
      </c>
      <c r="C7" s="2">
        <v>0</v>
      </c>
      <c r="D7" s="2">
        <v>0</v>
      </c>
      <c r="E7" s="2">
        <v>0</v>
      </c>
      <c r="F7" s="2">
        <v>0</v>
      </c>
      <c r="G7" s="2">
        <v>0</v>
      </c>
    </row>
    <row r="8" spans="1:7" x14ac:dyDescent="0.25">
      <c r="A8" s="2" t="s">
        <v>12</v>
      </c>
      <c r="B8" s="2">
        <v>0</v>
      </c>
      <c r="C8" s="2">
        <v>0</v>
      </c>
      <c r="D8" s="2">
        <v>0</v>
      </c>
      <c r="E8" s="2">
        <v>0</v>
      </c>
      <c r="F8" s="2">
        <v>0</v>
      </c>
      <c r="G8" s="2">
        <v>0</v>
      </c>
    </row>
    <row r="9" spans="1:7" x14ac:dyDescent="0.25">
      <c r="A9" s="2" t="s">
        <v>13</v>
      </c>
      <c r="B9" s="2">
        <v>0</v>
      </c>
      <c r="C9" s="2">
        <v>0</v>
      </c>
      <c r="D9" s="2">
        <v>0</v>
      </c>
      <c r="E9" s="2">
        <v>0</v>
      </c>
      <c r="F9" s="2">
        <v>0</v>
      </c>
      <c r="G9" s="2">
        <v>0</v>
      </c>
    </row>
    <row r="10" spans="1:7" x14ac:dyDescent="0.25">
      <c r="A10" s="2" t="s">
        <v>14</v>
      </c>
      <c r="B10" s="2">
        <v>0</v>
      </c>
      <c r="C10" s="2">
        <v>0</v>
      </c>
      <c r="D10" s="2">
        <v>0</v>
      </c>
      <c r="E10" s="2">
        <v>0</v>
      </c>
      <c r="F10" s="2">
        <v>0</v>
      </c>
      <c r="G10" s="2">
        <v>0</v>
      </c>
    </row>
    <row r="11" spans="1:7" x14ac:dyDescent="0.25">
      <c r="A11" s="2" t="s">
        <v>15</v>
      </c>
      <c r="B11" s="2">
        <v>0</v>
      </c>
      <c r="C11" s="2">
        <v>0</v>
      </c>
      <c r="D11" s="2">
        <v>0</v>
      </c>
      <c r="E11" s="2">
        <v>0</v>
      </c>
      <c r="F11" s="2">
        <v>0</v>
      </c>
      <c r="G11" s="2">
        <v>0</v>
      </c>
    </row>
    <row r="12" spans="1:7" x14ac:dyDescent="0.25">
      <c r="A12" s="2" t="s">
        <v>16</v>
      </c>
      <c r="B12" s="2">
        <v>0</v>
      </c>
      <c r="C12" s="2">
        <v>0</v>
      </c>
      <c r="D12" s="2">
        <v>0</v>
      </c>
      <c r="E12" s="2">
        <v>0</v>
      </c>
      <c r="F12" s="2">
        <v>0</v>
      </c>
      <c r="G12" s="2">
        <v>0</v>
      </c>
    </row>
    <row r="13" spans="1:7" x14ac:dyDescent="0.25">
      <c r="A13" s="2" t="s">
        <v>17</v>
      </c>
      <c r="B13" s="2">
        <v>0</v>
      </c>
      <c r="C13" s="2">
        <v>0</v>
      </c>
      <c r="D13" s="2">
        <v>0</v>
      </c>
      <c r="E13" s="2">
        <v>0</v>
      </c>
      <c r="F13" s="2">
        <v>0</v>
      </c>
      <c r="G13" s="2">
        <v>0</v>
      </c>
    </row>
    <row r="14" spans="1:7" x14ac:dyDescent="0.25">
      <c r="A14" s="2" t="s">
        <v>18</v>
      </c>
      <c r="B14" s="2">
        <v>0</v>
      </c>
      <c r="C14" s="2">
        <v>0</v>
      </c>
      <c r="D14" s="2">
        <v>0</v>
      </c>
      <c r="E14" s="2">
        <v>0</v>
      </c>
      <c r="F14" s="2">
        <v>0</v>
      </c>
      <c r="G14" s="2">
        <v>0</v>
      </c>
    </row>
    <row r="15" spans="1:7" x14ac:dyDescent="0.25">
      <c r="A15" s="2" t="s">
        <v>19</v>
      </c>
      <c r="B15" s="2">
        <v>0</v>
      </c>
      <c r="C15" s="2">
        <v>0</v>
      </c>
      <c r="D15" s="2">
        <v>0</v>
      </c>
      <c r="E15" s="2">
        <v>0</v>
      </c>
      <c r="F15" s="2">
        <v>0</v>
      </c>
      <c r="G15" s="2">
        <v>0</v>
      </c>
    </row>
    <row r="16" spans="1:7" x14ac:dyDescent="0.25">
      <c r="A16" s="2" t="s">
        <v>20</v>
      </c>
      <c r="B16" s="2">
        <v>0</v>
      </c>
      <c r="C16" s="2">
        <v>0</v>
      </c>
      <c r="D16" s="2">
        <v>0</v>
      </c>
      <c r="E16" s="2">
        <v>0</v>
      </c>
      <c r="F16" s="2">
        <v>0</v>
      </c>
      <c r="G16" s="2">
        <v>0</v>
      </c>
    </row>
    <row r="17" spans="1:7" x14ac:dyDescent="0.25">
      <c r="A17" s="2" t="s">
        <v>21</v>
      </c>
      <c r="B17" s="6">
        <v>0</v>
      </c>
      <c r="C17" s="6">
        <v>0</v>
      </c>
      <c r="D17" s="6">
        <v>0</v>
      </c>
      <c r="E17" s="6">
        <v>0</v>
      </c>
      <c r="F17" s="6">
        <v>0</v>
      </c>
      <c r="G17" s="6">
        <v>0</v>
      </c>
    </row>
    <row r="18" spans="1:7" x14ac:dyDescent="0.25">
      <c r="A18" s="2" t="s">
        <v>22</v>
      </c>
      <c r="B18" s="6">
        <v>0</v>
      </c>
      <c r="C18" s="6">
        <v>0</v>
      </c>
      <c r="D18" s="6">
        <v>0</v>
      </c>
      <c r="E18" s="6">
        <v>0</v>
      </c>
      <c r="F18" s="6">
        <v>0</v>
      </c>
      <c r="G18" s="6">
        <v>0</v>
      </c>
    </row>
    <row r="19" spans="1:7" x14ac:dyDescent="0.25">
      <c r="A19" s="2" t="s">
        <v>23</v>
      </c>
      <c r="B19" s="6">
        <v>0</v>
      </c>
      <c r="C19" s="6">
        <v>0</v>
      </c>
      <c r="D19" s="6">
        <v>0</v>
      </c>
      <c r="E19" s="6">
        <v>0</v>
      </c>
      <c r="F19" s="6">
        <v>0</v>
      </c>
      <c r="G19" s="6">
        <v>0</v>
      </c>
    </row>
    <row r="20" spans="1:7" x14ac:dyDescent="0.25">
      <c r="A20" s="3" t="s">
        <v>24</v>
      </c>
      <c r="B20" s="7">
        <v>0</v>
      </c>
      <c r="C20" s="7">
        <v>0</v>
      </c>
      <c r="D20" s="7">
        <v>0</v>
      </c>
      <c r="E20" s="7">
        <v>0</v>
      </c>
      <c r="F20" s="7">
        <v>0</v>
      </c>
      <c r="G20" s="7">
        <v>0</v>
      </c>
    </row>
  </sheetData>
  <pageMargins left="0.7" right="0.7" top="0.75" bottom="0.75" header="0.3" footer="0.3"/>
  <pageSetup paperSize="9" orientation="portrait" r:id="rId1"/>
</worksheet>
</file>

<file path=xl/worksheets/sheet2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Feuil12"/>
  <dimension ref="A1"/>
  <sheetViews>
    <sheetView workbookViewId="0">
      <selection activeCell="D39" sqref="D39"/>
    </sheetView>
  </sheetViews>
  <sheetFormatPr baseColWidth="10" defaultColWidth="11" defaultRowHeight="15.75" x14ac:dyDescent="0.25"/>
  <sheetData/>
  <pageMargins left="0.7" right="0.7" top="0.75" bottom="0.75" header="0.3" footer="0.3"/>
</worksheet>
</file>

<file path=xl/worksheets/sheet2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Feuil15"/>
  <dimension ref="A1"/>
  <sheetViews>
    <sheetView workbookViewId="0">
      <selection activeCell="F39" sqref="F39"/>
    </sheetView>
  </sheetViews>
  <sheetFormatPr baseColWidth="10" defaultColWidth="11" defaultRowHeight="15.75" x14ac:dyDescent="0.25"/>
  <sheetData/>
  <pageMargins left="0.7" right="0.7" top="0.75" bottom="0.75" header="0.3" footer="0.3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Feuilles de calcul</vt:lpstr>
      </vt:variant>
      <vt:variant>
        <vt:i4>22</vt:i4>
      </vt:variant>
    </vt:vector>
  </HeadingPairs>
  <TitlesOfParts>
    <vt:vector size="22" baseType="lpstr">
      <vt:lpstr>ResultsEXR10</vt:lpstr>
      <vt:lpstr>ResultsEXPG1</vt:lpstr>
      <vt:lpstr>ResultsRSSC1</vt:lpstr>
      <vt:lpstr>ResultsVAT1</vt:lpstr>
      <vt:lpstr>ResultsINCT10</vt:lpstr>
      <vt:lpstr>ResultsWD1</vt:lpstr>
      <vt:lpstr>ResultsFF10</vt:lpstr>
      <vt:lpstr>WD1</vt:lpstr>
      <vt:lpstr>FF10</vt:lpstr>
      <vt:lpstr>VAT1</vt:lpstr>
      <vt:lpstr>INCT10</vt:lpstr>
      <vt:lpstr>EXPG1</vt:lpstr>
      <vt:lpstr>CSE</vt:lpstr>
      <vt:lpstr>ELEC</vt:lpstr>
      <vt:lpstr>EXR10</vt:lpstr>
      <vt:lpstr>RSSC1</vt:lpstr>
      <vt:lpstr>ResultsCSE</vt:lpstr>
      <vt:lpstr>ResultsELEC</vt:lpstr>
      <vt:lpstr>VAT</vt:lpstr>
      <vt:lpstr>IAPU</vt:lpstr>
      <vt:lpstr>ResultsVAT</vt:lpstr>
      <vt:lpstr>ResultsIAPU</vt:lpstr>
    </vt:vector>
  </TitlesOfParts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Aurélien Saussay</dc:creator>
  <cp:lastModifiedBy>Adeline</cp:lastModifiedBy>
  <dcterms:created xsi:type="dcterms:W3CDTF">2014-09-05T13:26:46Z</dcterms:created>
  <dcterms:modified xsi:type="dcterms:W3CDTF">2019-01-08T15:24:14Z</dcterms:modified>
</cp:coreProperties>
</file>