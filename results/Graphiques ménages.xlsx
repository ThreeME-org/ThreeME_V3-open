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CQUETINF\Documents\documents\ThreeME_V3-ADEME\results\"/>
    </mc:Choice>
  </mc:AlternateContent>
  <bookViews>
    <workbookView minimized="1" xWindow="0" yWindow="0" windowWidth="19200" windowHeight="5890" firstSheet="1" activeTab="1"/>
  </bookViews>
  <sheets>
    <sheet name="Données" sheetId="2" r:id="rId1"/>
    <sheet name="Gr Macro" sheetId="5" r:id="rId2"/>
    <sheet name="Gr inflation" sheetId="6" r:id="rId3"/>
    <sheet name="Gr émissions" sheetId="7" r:id="rId4"/>
    <sheet name="Gr secteurs (% VA)" sheetId="12" r:id="rId5"/>
    <sheet name="Gr secteurs (%)" sheetId="13" r:id="rId6"/>
  </sheets>
  <externalReferences>
    <externalReference r:id="rId7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79" i="2" l="1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T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L78" i="2"/>
  <c r="AK78" i="2"/>
  <c r="AJ78" i="2"/>
  <c r="AI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S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AL76" i="2"/>
  <c r="AK76" i="2"/>
  <c r="AJ76" i="2"/>
  <c r="AI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T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L74" i="2"/>
  <c r="AK74" i="2"/>
  <c r="AJ74" i="2"/>
  <c r="AI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AL73" i="2"/>
  <c r="AK73" i="2"/>
  <c r="AJ73" i="2"/>
  <c r="AI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L69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L68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T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AL57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L53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B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S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B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B49" i="2"/>
  <c r="A49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U48" i="2"/>
  <c r="T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B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B45" i="2"/>
  <c r="A45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B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B43" i="2"/>
  <c r="A43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S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T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B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35" i="2"/>
  <c r="AL34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33" i="2"/>
  <c r="AL32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29" i="2"/>
  <c r="AL28" i="2"/>
  <c r="AK28" i="2"/>
  <c r="AJ28" i="2"/>
  <c r="AI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28" i="2"/>
  <c r="AL27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B25" i="2"/>
  <c r="A25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B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B20" i="2"/>
  <c r="A20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B19" i="2"/>
  <c r="A19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B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A14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AL11" i="2"/>
  <c r="AK11" i="2"/>
  <c r="AJ11" i="2"/>
  <c r="AI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B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AL5" i="2"/>
  <c r="AK5" i="2"/>
  <c r="AJ5" i="2"/>
  <c r="AI5" i="2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A5" i="2"/>
  <c r="AL4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T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4" i="2"/>
  <c r="AL63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D95" i="2" l="1"/>
  <c r="C94" i="2"/>
  <c r="C93" i="2"/>
  <c r="C92" i="2"/>
  <c r="D91" i="2"/>
  <c r="C91" i="2"/>
  <c r="C90" i="2"/>
  <c r="B60" i="2"/>
  <c r="B63" i="2" s="1"/>
  <c r="B59" i="2"/>
  <c r="B62" i="2" s="1"/>
  <c r="E59" i="2"/>
  <c r="F59" i="2"/>
  <c r="N59" i="2"/>
  <c r="U59" i="2"/>
  <c r="V59" i="2"/>
  <c r="AD59" i="2"/>
  <c r="AK59" i="2"/>
  <c r="AL59" i="2"/>
  <c r="K60" i="2"/>
  <c r="R60" i="2"/>
  <c r="S60" i="2"/>
  <c r="AA60" i="2"/>
  <c r="AH60" i="2"/>
  <c r="AI60" i="2"/>
  <c r="C87" i="2" l="1"/>
  <c r="D93" i="2"/>
  <c r="E95" i="2"/>
  <c r="C95" i="2"/>
  <c r="D94" i="2"/>
  <c r="D92" i="2"/>
  <c r="D90" i="2"/>
  <c r="E90" i="2"/>
  <c r="E93" i="2"/>
  <c r="E91" i="2"/>
  <c r="E94" i="2"/>
  <c r="C86" i="2"/>
  <c r="D82" i="2"/>
  <c r="E84" i="2"/>
  <c r="E83" i="2"/>
  <c r="E92" i="2"/>
  <c r="D86" i="2"/>
  <c r="D83" i="2"/>
  <c r="C82" i="2"/>
  <c r="D84" i="2"/>
  <c r="E86" i="2"/>
  <c r="C85" i="2"/>
  <c r="D87" i="2"/>
  <c r="E85" i="2"/>
  <c r="C83" i="2"/>
  <c r="D85" i="2"/>
  <c r="E87" i="2"/>
  <c r="E82" i="2"/>
  <c r="C84" i="2"/>
  <c r="AL60" i="2"/>
  <c r="AD60" i="2"/>
  <c r="V60" i="2"/>
  <c r="N60" i="2"/>
  <c r="F60" i="2"/>
  <c r="AG59" i="2"/>
  <c r="Y59" i="2"/>
  <c r="Q59" i="2"/>
  <c r="I59" i="2"/>
  <c r="AF60" i="2"/>
  <c r="X60" i="2"/>
  <c r="P60" i="2"/>
  <c r="H60" i="2"/>
  <c r="AI59" i="2"/>
  <c r="AA59" i="2"/>
  <c r="S59" i="2"/>
  <c r="K59" i="2"/>
  <c r="AK60" i="2"/>
  <c r="X59" i="2"/>
  <c r="AE60" i="2"/>
  <c r="W60" i="2"/>
  <c r="O60" i="2"/>
  <c r="G60" i="2"/>
  <c r="AH59" i="2"/>
  <c r="Z59" i="2"/>
  <c r="R59" i="2"/>
  <c r="J59" i="2"/>
  <c r="AB60" i="2"/>
  <c r="T60" i="2"/>
  <c r="L60" i="2"/>
  <c r="D60" i="2"/>
  <c r="AE59" i="2"/>
  <c r="O59" i="2"/>
  <c r="G59" i="2"/>
  <c r="Y60" i="2"/>
  <c r="I60" i="2"/>
  <c r="AB59" i="2"/>
  <c r="L59" i="2"/>
  <c r="H59" i="2"/>
  <c r="P59" i="2"/>
  <c r="AF59" i="2"/>
  <c r="E60" i="2"/>
  <c r="M60" i="2"/>
  <c r="U60" i="2"/>
  <c r="AC60" i="2"/>
  <c r="AG60" i="2"/>
  <c r="D59" i="2"/>
  <c r="T59" i="2"/>
  <c r="AJ59" i="2"/>
  <c r="Q60" i="2"/>
  <c r="M59" i="2"/>
  <c r="AC59" i="2"/>
  <c r="J60" i="2"/>
  <c r="Z60" i="2"/>
  <c r="W59" i="2"/>
  <c r="AJ60" i="2"/>
</calcChain>
</file>

<file path=xl/sharedStrings.xml><?xml version="1.0" encoding="utf-8"?>
<sst xmlns="http://schemas.openxmlformats.org/spreadsheetml/2006/main" count="44" uniqueCount="20">
  <si>
    <t>Macro</t>
  </si>
  <si>
    <t>Inflation</t>
  </si>
  <si>
    <t>Emissions</t>
  </si>
  <si>
    <t>IPC</t>
  </si>
  <si>
    <t>Baseline</t>
  </si>
  <si>
    <t>Scénario 2</t>
  </si>
  <si>
    <t>NZ50</t>
  </si>
  <si>
    <t>Agriculture</t>
  </si>
  <si>
    <t>Industrie</t>
  </si>
  <si>
    <t>Transports</t>
  </si>
  <si>
    <t>Services</t>
  </si>
  <si>
    <t>Electricité</t>
  </si>
  <si>
    <t>Pétrole et gaz</t>
  </si>
  <si>
    <t>Valeur ajoutée sectorielle baseline</t>
  </si>
  <si>
    <t>Valeur ajoutée sectorielle shock</t>
  </si>
  <si>
    <t>VA</t>
  </si>
  <si>
    <t>Année</t>
  </si>
  <si>
    <t>2030</t>
  </si>
  <si>
    <t>2040</t>
  </si>
  <si>
    <t>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</si>
</sst>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4" fontId="0" fillId="0" borderId="0" xfId="0" applyNumberFormat="1"/>
    <xf numFmtId="3" fontId="0" fillId="0" borderId="0" xfId="0" applyNumberFormat="1"/>
    <xf numFmtId="0" fontId="0" fillId="0" borderId="0" xfId="0" applyAlignment="1"/>
    <xf numFmtId="0" fontId="0" fillId="0" borderId="0" xfId="0" quotePrefix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chartsheet" Target="chartsheets/sheet2.xml"/><Relationship Id="rId7" Type="http://schemas.openxmlformats.org/officeDocument/2006/relationships/externalLink" Target="externalLinks/externalLink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calcChain" Target="calcChain.xml"/><Relationship Id="rId5" Type="http://schemas.openxmlformats.org/officeDocument/2006/relationships/chartsheet" Target="chartsheets/sheet4.xml"/><Relationship Id="rId10" Type="http://schemas.openxmlformats.org/officeDocument/2006/relationships/sharedStrings" Target="sharedStrings.xml"/><Relationship Id="rId4" Type="http://schemas.openxmlformats.org/officeDocument/2006/relationships/chartsheet" Target="chartsheets/sheet3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Impact macroéconomique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stacked"/>
        <c:varyColors val="0"/>
        <c:ser>
          <c:idx val="2"/>
          <c:order val="2"/>
          <c:tx>
            <c:strRef>
              <c:f>Données!$B$6</c:f>
              <c:strCache>
                <c:ptCount val="1"/>
                <c:pt idx="0">
                  <c:v>Consommation des ménages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Données!$C$6:$AL$6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-2.3041608361778494E-2</c:v>
                </c:pt>
                <c:pt idx="7">
                  <c:v>-1.2731610104386434E-2</c:v>
                </c:pt>
                <c:pt idx="8">
                  <c:v>6.9290429138546078E-2</c:v>
                </c:pt>
                <c:pt idx="9">
                  <c:v>0.27499885234053018</c:v>
                </c:pt>
                <c:pt idx="10">
                  <c:v>0.6533857269672706</c:v>
                </c:pt>
                <c:pt idx="11">
                  <c:v>0.95109302215970193</c:v>
                </c:pt>
                <c:pt idx="12">
                  <c:v>1.2626511427862002</c:v>
                </c:pt>
                <c:pt idx="13">
                  <c:v>1.5748448433952615</c:v>
                </c:pt>
                <c:pt idx="14">
                  <c:v>1.8664612781165313</c:v>
                </c:pt>
                <c:pt idx="15">
                  <c:v>2.1289243474472119</c:v>
                </c:pt>
                <c:pt idx="16">
                  <c:v>2.3780386778325004</c:v>
                </c:pt>
                <c:pt idx="17">
                  <c:v>2.5849304212193185</c:v>
                </c:pt>
                <c:pt idx="18">
                  <c:v>2.7544898314397206</c:v>
                </c:pt>
                <c:pt idx="19">
                  <c:v>2.9026950171829156</c:v>
                </c:pt>
                <c:pt idx="20">
                  <c:v>3.043393801423703</c:v>
                </c:pt>
                <c:pt idx="21">
                  <c:v>3.1622399084046293</c:v>
                </c:pt>
                <c:pt idx="22">
                  <c:v>3.2717324408897337</c:v>
                </c:pt>
                <c:pt idx="23">
                  <c:v>3.3747373430934751</c:v>
                </c:pt>
                <c:pt idx="24">
                  <c:v>3.4717892111796766</c:v>
                </c:pt>
                <c:pt idx="25">
                  <c:v>3.563872940033487</c:v>
                </c:pt>
                <c:pt idx="26">
                  <c:v>3.6952752485966229</c:v>
                </c:pt>
                <c:pt idx="27">
                  <c:v>3.8677507979137742</c:v>
                </c:pt>
                <c:pt idx="28">
                  <c:v>4.0812946562652472</c:v>
                </c:pt>
                <c:pt idx="29">
                  <c:v>4.3307049314490937</c:v>
                </c:pt>
                <c:pt idx="30">
                  <c:v>4.6085580191907596</c:v>
                </c:pt>
                <c:pt idx="31">
                  <c:v>4.8402451747866841</c:v>
                </c:pt>
                <c:pt idx="32">
                  <c:v>5.0227853185601852</c:v>
                </c:pt>
                <c:pt idx="33">
                  <c:v>5.157723972558645</c:v>
                </c:pt>
                <c:pt idx="34">
                  <c:v>5.2511206033321596</c:v>
                </c:pt>
                <c:pt idx="35">
                  <c:v>5.3108067563914325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DF-4FA2-B0C9-EB7B6F86A366}"/>
            </c:ext>
          </c:extLst>
        </c:ser>
        <c:ser>
          <c:idx val="4"/>
          <c:order val="4"/>
          <c:tx>
            <c:strRef>
              <c:f>Données!$B$8</c:f>
              <c:strCache>
                <c:ptCount val="1"/>
                <c:pt idx="0">
                  <c:v>Dépenses publiques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Données!$C$8:$AL$8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DF-4FA2-B0C9-EB7B6F86A366}"/>
            </c:ext>
          </c:extLst>
        </c:ser>
        <c:ser>
          <c:idx val="5"/>
          <c:order val="5"/>
          <c:tx>
            <c:strRef>
              <c:f>Données!$B$9</c:f>
              <c:strCache>
                <c:ptCount val="1"/>
                <c:pt idx="0">
                  <c:v>Investissement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Données!$C$9:$AL$9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-1.1370162013878821E-2</c:v>
                </c:pt>
                <c:pt idx="7">
                  <c:v>-5.9292024957930095E-2</c:v>
                </c:pt>
                <c:pt idx="8">
                  <c:v>-0.13938715916498204</c:v>
                </c:pt>
                <c:pt idx="9">
                  <c:v>-0.24693539269072737</c:v>
                </c:pt>
                <c:pt idx="10">
                  <c:v>-0.37827892768480292</c:v>
                </c:pt>
                <c:pt idx="11">
                  <c:v>-0.48656735218243874</c:v>
                </c:pt>
                <c:pt idx="12">
                  <c:v>-0.56547816185971023</c:v>
                </c:pt>
                <c:pt idx="13">
                  <c:v>-0.61872756541539231</c:v>
                </c:pt>
                <c:pt idx="14">
                  <c:v>-0.65413260222262215</c:v>
                </c:pt>
                <c:pt idx="15">
                  <c:v>-0.67886204082355273</c:v>
                </c:pt>
                <c:pt idx="16">
                  <c:v>-0.69780546709918612</c:v>
                </c:pt>
                <c:pt idx="17">
                  <c:v>-0.72271587697463779</c:v>
                </c:pt>
                <c:pt idx="18">
                  <c:v>-0.7588151411914924</c:v>
                </c:pt>
                <c:pt idx="19">
                  <c:v>-0.80593752801774932</c:v>
                </c:pt>
                <c:pt idx="20">
                  <c:v>-0.86153665615779917</c:v>
                </c:pt>
                <c:pt idx="21">
                  <c:v>-0.91999053716225132</c:v>
                </c:pt>
                <c:pt idx="22">
                  <c:v>-0.97813761720541637</c:v>
                </c:pt>
                <c:pt idx="23">
                  <c:v>-1.0343542820860949</c:v>
                </c:pt>
                <c:pt idx="24">
                  <c:v>-1.0877036375303386</c:v>
                </c:pt>
                <c:pt idx="25">
                  <c:v>-1.1375408714958108</c:v>
                </c:pt>
                <c:pt idx="26">
                  <c:v>-1.1403902555657008</c:v>
                </c:pt>
                <c:pt idx="27">
                  <c:v>-1.1128227438050746</c:v>
                </c:pt>
                <c:pt idx="28">
                  <c:v>-1.0646125642349658</c:v>
                </c:pt>
                <c:pt idx="29">
                  <c:v>-0.99962916944253433</c:v>
                </c:pt>
                <c:pt idx="30">
                  <c:v>-0.91919960491547437</c:v>
                </c:pt>
                <c:pt idx="31">
                  <c:v>-0.85832611196507336</c:v>
                </c:pt>
                <c:pt idx="32">
                  <c:v>-0.80352801350749548</c:v>
                </c:pt>
                <c:pt idx="33">
                  <c:v>-0.74668559980982474</c:v>
                </c:pt>
                <c:pt idx="34">
                  <c:v>-0.68436267228400505</c:v>
                </c:pt>
                <c:pt idx="35">
                  <c:v>-0.61522583669217601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DF-4FA2-B0C9-EB7B6F86A366}"/>
            </c:ext>
          </c:extLst>
        </c:ser>
        <c:ser>
          <c:idx val="6"/>
          <c:order val="6"/>
          <c:tx>
            <c:strRef>
              <c:f>Données!$B$10</c:f>
              <c:strCache>
                <c:ptCount val="1"/>
                <c:pt idx="0">
                  <c:v>Variations de stocks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Données!$C$10:$AL$10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4DF-4FA2-B0C9-EB7B6F86A366}"/>
            </c:ext>
          </c:extLst>
        </c:ser>
        <c:ser>
          <c:idx val="7"/>
          <c:order val="7"/>
          <c:tx>
            <c:strRef>
              <c:f>Données!$B$11</c:f>
              <c:strCache>
                <c:ptCount val="1"/>
                <c:pt idx="0">
                  <c:v>Exportations nettes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Données!$C$11:$AL$11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-2.2646824835193865E-2</c:v>
                </c:pt>
                <c:pt idx="7">
                  <c:v>-3.7132724839171044E-3</c:v>
                </c:pt>
                <c:pt idx="8">
                  <c:v>2.1033028072537652E-2</c:v>
                </c:pt>
                <c:pt idx="9">
                  <c:v>2.0780297218131349E-2</c:v>
                </c:pt>
                <c:pt idx="10">
                  <c:v>-3.5644890464696183E-2</c:v>
                </c:pt>
                <c:pt idx="11">
                  <c:v>-0.14556264233774205</c:v>
                </c:pt>
                <c:pt idx="12">
                  <c:v>-0.2931627838388815</c:v>
                </c:pt>
                <c:pt idx="13">
                  <c:v>-0.46192761973024032</c:v>
                </c:pt>
                <c:pt idx="14">
                  <c:v>-0.64208564387796729</c:v>
                </c:pt>
                <c:pt idx="15">
                  <c:v>-0.8311252851986598</c:v>
                </c:pt>
                <c:pt idx="16">
                  <c:v>-0.99626302941140366</c:v>
                </c:pt>
                <c:pt idx="17">
                  <c:v>-1.1476695416016052</c:v>
                </c:pt>
                <c:pt idx="18">
                  <c:v>-1.2847862184548295</c:v>
                </c:pt>
                <c:pt idx="19">
                  <c:v>-1.4172428842318405</c:v>
                </c:pt>
                <c:pt idx="20">
                  <c:v>-1.5541372379976786</c:v>
                </c:pt>
                <c:pt idx="21">
                  <c:v>-1.7000869472126756</c:v>
                </c:pt>
                <c:pt idx="22">
                  <c:v>-1.8521999312276751</c:v>
                </c:pt>
                <c:pt idx="23">
                  <c:v>-2.0106718501139618</c:v>
                </c:pt>
                <c:pt idx="24">
                  <c:v>-2.1760615784118178</c:v>
                </c:pt>
                <c:pt idx="25">
                  <c:v>-2.3494035417624453</c:v>
                </c:pt>
                <c:pt idx="26">
                  <c:v>-2.341649852939216</c:v>
                </c:pt>
                <c:pt idx="27">
                  <c:v>-2.3649213377997778</c:v>
                </c:pt>
                <c:pt idx="28">
                  <c:v>-2.4093376578003709</c:v>
                </c:pt>
                <c:pt idx="29">
                  <c:v>-2.4724199591291747</c:v>
                </c:pt>
                <c:pt idx="30">
                  <c:v>-2.552606425662677</c:v>
                </c:pt>
                <c:pt idx="31">
                  <c:v>-2.7907931291358854</c:v>
                </c:pt>
                <c:pt idx="32">
                  <c:v>-3.0049917213279991</c:v>
                </c:pt>
                <c:pt idx="33">
                  <c:v>-3.2024747017624726</c:v>
                </c:pt>
                <c:pt idx="34">
                  <c:v>-3.3862078569607785</c:v>
                </c:pt>
                <c:pt idx="35">
                  <c:v>-3.5587619852728309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8260000"/>
        <c:axId val="6982609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Données!$B$5</c15:sqref>
                        </c15:formulaRef>
                      </c:ext>
                    </c:extLst>
                    <c:strCache>
                      <c:ptCount val="1"/>
                      <c:pt idx="0">
                        <c:v>VA du secteur marchand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Données!$C$5:$AL$5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-6.9187796629854859E-2</c:v>
                      </c:pt>
                      <c:pt idx="7">
                        <c:v>-9.1142699030299923E-2</c:v>
                      </c:pt>
                      <c:pt idx="8">
                        <c:v>-6.4780280496412601E-2</c:v>
                      </c:pt>
                      <c:pt idx="9">
                        <c:v>3.3546413422280708E-2</c:v>
                      </c:pt>
                      <c:pt idx="10">
                        <c:v>0.22308990714541288</c:v>
                      </c:pt>
                      <c:pt idx="11">
                        <c:v>0.2814242756987273</c:v>
                      </c:pt>
                      <c:pt idx="12">
                        <c:v>0.34156118054717854</c:v>
                      </c:pt>
                      <c:pt idx="13">
                        <c:v>0.40598220681127284</c:v>
                      </c:pt>
                      <c:pt idx="14">
                        <c:v>0.45527280262300795</c:v>
                      </c:pt>
                      <c:pt idx="15">
                        <c:v>0.47582314602003795</c:v>
                      </c:pt>
                      <c:pt idx="16">
                        <c:v>0.52283512001274346</c:v>
                      </c:pt>
                      <c:pt idx="17">
                        <c:v>0.53385062984268039</c:v>
                      </c:pt>
                      <c:pt idx="18">
                        <c:v>0.50760416088901916</c:v>
                      </c:pt>
                      <c:pt idx="19">
                        <c:v>0.45009961023432243</c:v>
                      </c:pt>
                      <c:pt idx="20">
                        <c:v>0.36868108620917717</c:v>
                      </c:pt>
                      <c:pt idx="21">
                        <c:v>0.24849704267901895</c:v>
                      </c:pt>
                      <c:pt idx="22">
                        <c:v>0.11040321610220616</c:v>
                      </c:pt>
                      <c:pt idx="23">
                        <c:v>-4.0704147746306596E-2</c:v>
                      </c:pt>
                      <c:pt idx="24">
                        <c:v>-0.20358728568883322</c:v>
                      </c:pt>
                      <c:pt idx="25">
                        <c:v>-0.37743112855458394</c:v>
                      </c:pt>
                      <c:pt idx="26">
                        <c:v>-0.22298040574428857</c:v>
                      </c:pt>
                      <c:pt idx="27">
                        <c:v>-2.915834053237587E-2</c:v>
                      </c:pt>
                      <c:pt idx="28">
                        <c:v>0.20649785497386386</c:v>
                      </c:pt>
                      <c:pt idx="29">
                        <c:v>0.47716257669305762</c:v>
                      </c:pt>
                      <c:pt idx="30">
                        <c:v>0.77531423002104027</c:v>
                      </c:pt>
                      <c:pt idx="31">
                        <c:v>0.79956694816840646</c:v>
                      </c:pt>
                      <c:pt idx="32">
                        <c:v>0.79542952651037169</c:v>
                      </c:pt>
                      <c:pt idx="33">
                        <c:v>0.76397977090316704</c:v>
                      </c:pt>
                      <c:pt idx="34">
                        <c:v>0.71206448301770475</c:v>
                      </c:pt>
                      <c:pt idx="35">
                        <c:v>0.64650939225145976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4DF-4FA2-B0C9-EB7B6F86A366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Données!$B$7</c15:sqref>
                        </c15:formulaRef>
                      </c:ext>
                    </c:extLst>
                    <c:strCache>
                      <c:ptCount val="1"/>
                      <c:pt idx="0">
                        <c:v>Consommation des ménages automobile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Données!$C$3:$AL$3</c15:sqref>
                        </c15:formulaRef>
                      </c:ext>
                    </c:extLst>
                    <c:numCache>
                      <c:formatCode>m/d/yyyy</c:formatCode>
                      <c:ptCount val="36"/>
                      <c:pt idx="0">
                        <c:v>42005</c:v>
                      </c:pt>
                      <c:pt idx="1">
                        <c:v>42370</c:v>
                      </c:pt>
                      <c:pt idx="2">
                        <c:v>42736</c:v>
                      </c:pt>
                      <c:pt idx="3">
                        <c:v>43101</c:v>
                      </c:pt>
                      <c:pt idx="4">
                        <c:v>43466</c:v>
                      </c:pt>
                      <c:pt idx="5">
                        <c:v>43831</c:v>
                      </c:pt>
                      <c:pt idx="6">
                        <c:v>44197</c:v>
                      </c:pt>
                      <c:pt idx="7">
                        <c:v>44562</c:v>
                      </c:pt>
                      <c:pt idx="8">
                        <c:v>44927</c:v>
                      </c:pt>
                      <c:pt idx="9">
                        <c:v>45292</c:v>
                      </c:pt>
                      <c:pt idx="10">
                        <c:v>45658</c:v>
                      </c:pt>
                      <c:pt idx="11">
                        <c:v>46023</c:v>
                      </c:pt>
                      <c:pt idx="12">
                        <c:v>46388</c:v>
                      </c:pt>
                      <c:pt idx="13">
                        <c:v>46753</c:v>
                      </c:pt>
                      <c:pt idx="14">
                        <c:v>47119</c:v>
                      </c:pt>
                      <c:pt idx="15">
                        <c:v>47484</c:v>
                      </c:pt>
                      <c:pt idx="16">
                        <c:v>47849</c:v>
                      </c:pt>
                      <c:pt idx="17">
                        <c:v>48214</c:v>
                      </c:pt>
                      <c:pt idx="18">
                        <c:v>48580</c:v>
                      </c:pt>
                      <c:pt idx="19">
                        <c:v>48945</c:v>
                      </c:pt>
                      <c:pt idx="20">
                        <c:v>49310</c:v>
                      </c:pt>
                      <c:pt idx="21">
                        <c:v>49675</c:v>
                      </c:pt>
                      <c:pt idx="22">
                        <c:v>50041</c:v>
                      </c:pt>
                      <c:pt idx="23">
                        <c:v>50406</c:v>
                      </c:pt>
                      <c:pt idx="24">
                        <c:v>50771</c:v>
                      </c:pt>
                      <c:pt idx="25">
                        <c:v>51136</c:v>
                      </c:pt>
                      <c:pt idx="26">
                        <c:v>51502</c:v>
                      </c:pt>
                      <c:pt idx="27">
                        <c:v>51867</c:v>
                      </c:pt>
                      <c:pt idx="28">
                        <c:v>52232</c:v>
                      </c:pt>
                      <c:pt idx="29">
                        <c:v>52597</c:v>
                      </c:pt>
                      <c:pt idx="30">
                        <c:v>52963</c:v>
                      </c:pt>
                      <c:pt idx="31">
                        <c:v>53328</c:v>
                      </c:pt>
                      <c:pt idx="32">
                        <c:v>53693</c:v>
                      </c:pt>
                      <c:pt idx="33">
                        <c:v>54058</c:v>
                      </c:pt>
                      <c:pt idx="34">
                        <c:v>54424</c:v>
                      </c:pt>
                      <c:pt idx="35">
                        <c:v>54789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Données!$C$7:$AL$7</c15:sqref>
                        </c15:formulaRef>
                      </c:ext>
                    </c:extLst>
                    <c:numCache>
                      <c:formatCode>#\ ##0.0</c:formatCode>
                      <c:ptCount val="3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-2.7495343988091178E-3</c:v>
                      </c:pt>
                      <c:pt idx="7">
                        <c:v>-1.4419714622023938E-2</c:v>
                      </c:pt>
                      <c:pt idx="8">
                        <c:v>-1.8079334173408866E-2</c:v>
                      </c:pt>
                      <c:pt idx="9">
                        <c:v>-1.1123083919905432E-2</c:v>
                      </c:pt>
                      <c:pt idx="10">
                        <c:v>-8.1685555363324028E-4</c:v>
                      </c:pt>
                      <c:pt idx="11">
                        <c:v>5.50655345333309E-2</c:v>
                      </c:pt>
                      <c:pt idx="12">
                        <c:v>0.12161945805883324</c:v>
                      </c:pt>
                      <c:pt idx="13">
                        <c:v>0.17400853116167894</c:v>
                      </c:pt>
                      <c:pt idx="14">
                        <c:v>0.20809173646738605</c:v>
                      </c:pt>
                      <c:pt idx="15">
                        <c:v>0.22821913774776478</c:v>
                      </c:pt>
                      <c:pt idx="16">
                        <c:v>0.23378718483279454</c:v>
                      </c:pt>
                      <c:pt idx="17">
                        <c:v>0.22146935468508941</c:v>
                      </c:pt>
                      <c:pt idx="18">
                        <c:v>0.19875301199825374</c:v>
                      </c:pt>
                      <c:pt idx="19">
                        <c:v>0.17454539059637117</c:v>
                      </c:pt>
                      <c:pt idx="20">
                        <c:v>0.15372227614659509</c:v>
                      </c:pt>
                      <c:pt idx="21">
                        <c:v>0.14312080361620586</c:v>
                      </c:pt>
                      <c:pt idx="22">
                        <c:v>0.13714723953644337</c:v>
                      </c:pt>
                      <c:pt idx="23">
                        <c:v>0.13241477070742833</c:v>
                      </c:pt>
                      <c:pt idx="24">
                        <c:v>0.12774217518885125</c:v>
                      </c:pt>
                      <c:pt idx="25">
                        <c:v>0.12269376762893351</c:v>
                      </c:pt>
                      <c:pt idx="26">
                        <c:v>0.12584969209929531</c:v>
                      </c:pt>
                      <c:pt idx="27">
                        <c:v>0.13245012363299261</c:v>
                      </c:pt>
                      <c:pt idx="28">
                        <c:v>0.14025989695284297</c:v>
                      </c:pt>
                      <c:pt idx="29">
                        <c:v>0.14838742589952353</c:v>
                      </c:pt>
                      <c:pt idx="30">
                        <c:v>0.15625794389106962</c:v>
                      </c:pt>
                      <c:pt idx="31">
                        <c:v>0.16078451608172437</c:v>
                      </c:pt>
                      <c:pt idx="32">
                        <c:v>0.16039860550531729</c:v>
                      </c:pt>
                      <c:pt idx="33">
                        <c:v>0.15566259725182399</c:v>
                      </c:pt>
                      <c:pt idx="34">
                        <c:v>0.14779835481041034</c:v>
                      </c:pt>
                      <c:pt idx="35">
                        <c:v>0.13797188971998364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4DF-4FA2-B0C9-EB7B6F86A366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0"/>
          <c:order val="0"/>
          <c:tx>
            <c:strRef>
              <c:f>Données!$B$4</c:f>
              <c:strCache>
                <c:ptCount val="1"/>
                <c:pt idx="0">
                  <c:v>PIB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Données!$C$4:$AL$4</c:f>
              <c:numCache>
                <c:formatCode>#\ ##0.0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-5.7058574605395318E-2</c:v>
                </c:pt>
                <c:pt idx="7">
                  <c:v>-7.5736899466016805E-2</c:v>
                </c:pt>
                <c:pt idx="8">
                  <c:v>-4.9063725720699392E-2</c:v>
                </c:pt>
                <c:pt idx="9">
                  <c:v>4.8843776287221807E-2</c:v>
                </c:pt>
                <c:pt idx="10">
                  <c:v>0.23946187455461398</c:v>
                </c:pt>
                <c:pt idx="11">
                  <c:v>0.31896307615082442</c:v>
                </c:pt>
                <c:pt idx="12">
                  <c:v>0.4040101897739401</c:v>
                </c:pt>
                <c:pt idx="13">
                  <c:v>0.49418968332746172</c:v>
                </c:pt>
                <c:pt idx="14">
                  <c:v>0.57024302850694486</c:v>
                </c:pt>
                <c:pt idx="15">
                  <c:v>0.61893699393267276</c:v>
                </c:pt>
                <c:pt idx="16">
                  <c:v>0.68397019816510696</c:v>
                </c:pt>
                <c:pt idx="17">
                  <c:v>0.71454498282725876</c:v>
                </c:pt>
                <c:pt idx="18">
                  <c:v>0.71088846531643934</c:v>
                </c:pt>
                <c:pt idx="19">
                  <c:v>0.67951459858126562</c:v>
                </c:pt>
                <c:pt idx="20">
                  <c:v>0.62771993219250533</c:v>
                </c:pt>
                <c:pt idx="21">
                  <c:v>0.54216243626499239</c:v>
                </c:pt>
                <c:pt idx="22">
                  <c:v>0.44139492850026052</c:v>
                </c:pt>
                <c:pt idx="23">
                  <c:v>0.32971121679301607</c:v>
                </c:pt>
                <c:pt idx="24">
                  <c:v>0.20802401262010051</c:v>
                </c:pt>
                <c:pt idx="25">
                  <c:v>7.6928512543350536E-2</c:v>
                </c:pt>
                <c:pt idx="26">
                  <c:v>0.21323515131881354</c:v>
                </c:pt>
                <c:pt idx="27">
                  <c:v>0.39000675231248838</c:v>
                </c:pt>
                <c:pt idx="28">
                  <c:v>0.60734445336929621</c:v>
                </c:pt>
                <c:pt idx="29">
                  <c:v>0.85865578127473086</c:v>
                </c:pt>
                <c:pt idx="30">
                  <c:v>1.1367519806102289</c:v>
                </c:pt>
                <c:pt idx="31">
                  <c:v>1.1911259442043187</c:v>
                </c:pt>
                <c:pt idx="32">
                  <c:v>1.2142655889074705</c:v>
                </c:pt>
                <c:pt idx="33">
                  <c:v>1.2085636403542876</c:v>
                </c:pt>
                <c:pt idx="34">
                  <c:v>1.180550076601028</c:v>
                </c:pt>
                <c:pt idx="35">
                  <c:v>1.1368189393755834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DF-4FA2-B0C9-EB7B6F86A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8260000"/>
        <c:axId val="698260984"/>
      </c:lineChart>
      <c:dateAx>
        <c:axId val="698260000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Inflation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Données!$B$59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Données!$C$59:$AL$59</c:f>
              <c:numCache>
                <c:formatCode>#\ ##0.0</c:formatCode>
                <c:ptCount val="36"/>
                <c:pt idx="1">
                  <c:v>0</c:v>
                </c:pt>
                <c:pt idx="2">
                  <c:v>2.5358688395997087</c:v>
                </c:pt>
                <c:pt idx="3">
                  <c:v>3.0602198309924944</c:v>
                </c:pt>
                <c:pt idx="4">
                  <c:v>2.0765994606193994</c:v>
                </c:pt>
                <c:pt idx="5">
                  <c:v>0.65940633905816615</c:v>
                </c:pt>
                <c:pt idx="6">
                  <c:v>1.8731668472581786</c:v>
                </c:pt>
                <c:pt idx="7">
                  <c:v>1.70027830971613</c:v>
                </c:pt>
                <c:pt idx="8">
                  <c:v>1.7890574517874569</c:v>
                </c:pt>
                <c:pt idx="9">
                  <c:v>1.9429883444796126</c:v>
                </c:pt>
                <c:pt idx="10">
                  <c:v>2.0840138642599593</c:v>
                </c:pt>
                <c:pt idx="11">
                  <c:v>2.1762762053308515</c:v>
                </c:pt>
                <c:pt idx="12">
                  <c:v>2.216619532684172</c:v>
                </c:pt>
                <c:pt idx="13">
                  <c:v>2.2305971024702664</c:v>
                </c:pt>
                <c:pt idx="14">
                  <c:v>2.2404376645484003</c:v>
                </c:pt>
                <c:pt idx="15">
                  <c:v>2.2503257240800378</c:v>
                </c:pt>
                <c:pt idx="16">
                  <c:v>2.2403667072925293</c:v>
                </c:pt>
                <c:pt idx="17">
                  <c:v>2.2152529508466356</c:v>
                </c:pt>
                <c:pt idx="18">
                  <c:v>2.1798622438459425</c:v>
                </c:pt>
                <c:pt idx="19">
                  <c:v>2.1387325201941865</c:v>
                </c:pt>
                <c:pt idx="20">
                  <c:v>2.1003761362175188</c:v>
                </c:pt>
                <c:pt idx="21">
                  <c:v>2.0444213492917473</c:v>
                </c:pt>
                <c:pt idx="22">
                  <c:v>1.9806776454222019</c:v>
                </c:pt>
                <c:pt idx="23">
                  <c:v>1.9167748011004182</c:v>
                </c:pt>
                <c:pt idx="24">
                  <c:v>1.8569523129464693</c:v>
                </c:pt>
                <c:pt idx="25">
                  <c:v>1.8204225462590706</c:v>
                </c:pt>
                <c:pt idx="26">
                  <c:v>1.73483807938275</c:v>
                </c:pt>
                <c:pt idx="27">
                  <c:v>1.6330816525108816</c:v>
                </c:pt>
                <c:pt idx="28">
                  <c:v>1.5335231192402876</c:v>
                </c:pt>
                <c:pt idx="29">
                  <c:v>1.4424406126786415</c:v>
                </c:pt>
                <c:pt idx="30">
                  <c:v>1.3632757706270926</c:v>
                </c:pt>
                <c:pt idx="31">
                  <c:v>1.3289783840165104</c:v>
                </c:pt>
                <c:pt idx="32">
                  <c:v>1.3206763797868559</c:v>
                </c:pt>
                <c:pt idx="33">
                  <c:v>1.3277872877396568</c:v>
                </c:pt>
                <c:pt idx="34">
                  <c:v>1.3447116002966331</c:v>
                </c:pt>
                <c:pt idx="35">
                  <c:v>1.3685624757080017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BB1-4F3D-B713-AB83A709E486}"/>
            </c:ext>
          </c:extLst>
        </c:ser>
        <c:ser>
          <c:idx val="1"/>
          <c:order val="1"/>
          <c:tx>
            <c:strRef>
              <c:f>Données!$B$60</c:f>
              <c:strCache>
                <c:ptCount val="1"/>
                <c:pt idx="0">
                  <c:v>NZ50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Données!$C$60:$AL$60</c:f>
              <c:numCache>
                <c:formatCode>#\ ##0.0</c:formatCode>
                <c:ptCount val="36"/>
                <c:pt idx="1">
                  <c:v>1.3777997503391815</c:v>
                </c:pt>
                <c:pt idx="2">
                  <c:v>2.5358688395997087</c:v>
                </c:pt>
                <c:pt idx="3">
                  <c:v>3.0602198309924944</c:v>
                </c:pt>
                <c:pt idx="4">
                  <c:v>2.0765994606193994</c:v>
                </c:pt>
                <c:pt idx="5">
                  <c:v>0.65940633905816615</c:v>
                </c:pt>
                <c:pt idx="6">
                  <c:v>1.9196987551109768</c:v>
                </c:pt>
                <c:pt idx="7">
                  <c:v>2.290722766783948</c:v>
                </c:pt>
                <c:pt idx="8">
                  <c:v>2.7523700114427729</c:v>
                </c:pt>
                <c:pt idx="9">
                  <c:v>3.3663249387063887</c:v>
                </c:pt>
                <c:pt idx="10">
                  <c:v>4.073561205071119</c:v>
                </c:pt>
                <c:pt idx="11">
                  <c:v>3.6244953311195927</c:v>
                </c:pt>
                <c:pt idx="12">
                  <c:v>3.5667474185132386</c:v>
                </c:pt>
                <c:pt idx="13">
                  <c:v>3.5357099692057803</c:v>
                </c:pt>
                <c:pt idx="14">
                  <c:v>3.5151563322908475</c:v>
                </c:pt>
                <c:pt idx="15">
                  <c:v>3.4900308387856072</c:v>
                </c:pt>
                <c:pt idx="16">
                  <c:v>3.5506693909378439</c:v>
                </c:pt>
                <c:pt idx="17">
                  <c:v>3.625483042694122</c:v>
                </c:pt>
                <c:pt idx="18">
                  <c:v>3.6665243426599048</c:v>
                </c:pt>
                <c:pt idx="19">
                  <c:v>3.670476453993099</c:v>
                </c:pt>
                <c:pt idx="20">
                  <c:v>3.6505267199814506</c:v>
                </c:pt>
                <c:pt idx="21">
                  <c:v>3.5095813610347859</c:v>
                </c:pt>
                <c:pt idx="22">
                  <c:v>3.387216066081522</c:v>
                </c:pt>
                <c:pt idx="23">
                  <c:v>3.2532487280650724</c:v>
                </c:pt>
                <c:pt idx="24">
                  <c:v>3.1108715166357825</c:v>
                </c:pt>
                <c:pt idx="25">
                  <c:v>2.9782366574401031</c:v>
                </c:pt>
                <c:pt idx="26">
                  <c:v>2.8083315937281528</c:v>
                </c:pt>
                <c:pt idx="27">
                  <c:v>2.6729889571801335</c:v>
                </c:pt>
                <c:pt idx="28">
                  <c:v>2.5325328226411647</c:v>
                </c:pt>
                <c:pt idx="29">
                  <c:v>2.3924886886594887</c:v>
                </c:pt>
                <c:pt idx="30">
                  <c:v>2.2555205389464872</c:v>
                </c:pt>
                <c:pt idx="31">
                  <c:v>2.0937683558258646</c:v>
                </c:pt>
                <c:pt idx="32">
                  <c:v>1.9569677042454714</c:v>
                </c:pt>
                <c:pt idx="33">
                  <c:v>1.8261716142298656</c:v>
                </c:pt>
                <c:pt idx="34">
                  <c:v>1.701798891412909</c:v>
                </c:pt>
                <c:pt idx="35">
                  <c:v>1.5820882136203807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BB1-4F3D-B713-AB83A709E4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4197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8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Emissions énergétiques</a:t>
            </a:r>
            <a:r>
              <a:rPr lang="fr-FR" baseline="0"/>
              <a:t> (MtCO2)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8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Données!$B$62</c:f>
              <c:strCache>
                <c:ptCount val="1"/>
                <c:pt idx="0">
                  <c:v>Baseline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Données!$C$62:$AL$62</c:f>
              <c:numCache>
                <c:formatCode>#,##0</c:formatCode>
                <c:ptCount val="36"/>
                <c:pt idx="0">
                  <c:v>468.73646830000001</c:v>
                </c:pt>
                <c:pt idx="1">
                  <c:v>471.22783589999995</c:v>
                </c:pt>
                <c:pt idx="2">
                  <c:v>470.6819739</c:v>
                </c:pt>
                <c:pt idx="3">
                  <c:v>468.43159259999999</c:v>
                </c:pt>
                <c:pt idx="4">
                  <c:v>470.1173354</c:v>
                </c:pt>
                <c:pt idx="5">
                  <c:v>478.47781369999996</c:v>
                </c:pt>
                <c:pt idx="6">
                  <c:v>485.48455449999994</c:v>
                </c:pt>
                <c:pt idx="7">
                  <c:v>493.23333100000002</c:v>
                </c:pt>
                <c:pt idx="8">
                  <c:v>501.31266779999999</c:v>
                </c:pt>
                <c:pt idx="9">
                  <c:v>509.61007130000002</c:v>
                </c:pt>
                <c:pt idx="10">
                  <c:v>518.23992229999999</c:v>
                </c:pt>
                <c:pt idx="11">
                  <c:v>527.05789110000001</c:v>
                </c:pt>
                <c:pt idx="12">
                  <c:v>536.18000630000006</c:v>
                </c:pt>
                <c:pt idx="13">
                  <c:v>545.65882970000007</c:v>
                </c:pt>
                <c:pt idx="14">
                  <c:v>555.49857840000004</c:v>
                </c:pt>
                <c:pt idx="15">
                  <c:v>565.67585389999999</c:v>
                </c:pt>
                <c:pt idx="16">
                  <c:v>575.64220160000002</c:v>
                </c:pt>
                <c:pt idx="17">
                  <c:v>585.72765200000003</c:v>
                </c:pt>
                <c:pt idx="18">
                  <c:v>595.97291840000003</c:v>
                </c:pt>
                <c:pt idx="19">
                  <c:v>606.38682349999999</c:v>
                </c:pt>
                <c:pt idx="20">
                  <c:v>616.89504250000005</c:v>
                </c:pt>
                <c:pt idx="21">
                  <c:v>627.11722010000005</c:v>
                </c:pt>
                <c:pt idx="22">
                  <c:v>637.39899609999998</c:v>
                </c:pt>
                <c:pt idx="23">
                  <c:v>647.80310050000003</c:v>
                </c:pt>
                <c:pt idx="24">
                  <c:v>658.35785490000001</c:v>
                </c:pt>
                <c:pt idx="25">
                  <c:v>668.85181660000001</c:v>
                </c:pt>
                <c:pt idx="26">
                  <c:v>677.1337585</c:v>
                </c:pt>
                <c:pt idx="27">
                  <c:v>684.87906870000006</c:v>
                </c:pt>
                <c:pt idx="28">
                  <c:v>692.37703729999998</c:v>
                </c:pt>
                <c:pt idx="29">
                  <c:v>699.7355685</c:v>
                </c:pt>
                <c:pt idx="30">
                  <c:v>707.02282919999993</c:v>
                </c:pt>
                <c:pt idx="31">
                  <c:v>715.76015949999999</c:v>
                </c:pt>
                <c:pt idx="32">
                  <c:v>724.97078439999996</c:v>
                </c:pt>
                <c:pt idx="33">
                  <c:v>734.52096030000007</c:v>
                </c:pt>
                <c:pt idx="34">
                  <c:v>744.38263370000004</c:v>
                </c:pt>
                <c:pt idx="35">
                  <c:v>754.54359680000005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77-4536-83C1-10BD609DBC68}"/>
            </c:ext>
          </c:extLst>
        </c:ser>
        <c:ser>
          <c:idx val="1"/>
          <c:order val="1"/>
          <c:tx>
            <c:strRef>
              <c:f>Données!$B$63</c:f>
              <c:strCache>
                <c:ptCount val="1"/>
                <c:pt idx="0">
                  <c:v>NZ50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Données!$C$3:$AL$3</c:f>
              <c:numCache>
                <c:formatCode>m/d/yyyy</c:formatCode>
                <c:ptCount val="36"/>
                <c:pt idx="0">
                  <c:v>42005</c:v>
                </c:pt>
                <c:pt idx="1">
                  <c:v>42370</c:v>
                </c:pt>
                <c:pt idx="2">
                  <c:v>42736</c:v>
                </c:pt>
                <c:pt idx="3">
                  <c:v>43101</c:v>
                </c:pt>
                <c:pt idx="4">
                  <c:v>43466</c:v>
                </c:pt>
                <c:pt idx="5">
                  <c:v>43831</c:v>
                </c:pt>
                <c:pt idx="6">
                  <c:v>44197</c:v>
                </c:pt>
                <c:pt idx="7">
                  <c:v>44562</c:v>
                </c:pt>
                <c:pt idx="8">
                  <c:v>44927</c:v>
                </c:pt>
                <c:pt idx="9">
                  <c:v>45292</c:v>
                </c:pt>
                <c:pt idx="10">
                  <c:v>45658</c:v>
                </c:pt>
                <c:pt idx="11">
                  <c:v>46023</c:v>
                </c:pt>
                <c:pt idx="12">
                  <c:v>46388</c:v>
                </c:pt>
                <c:pt idx="13">
                  <c:v>46753</c:v>
                </c:pt>
                <c:pt idx="14">
                  <c:v>47119</c:v>
                </c:pt>
                <c:pt idx="15">
                  <c:v>47484</c:v>
                </c:pt>
                <c:pt idx="16">
                  <c:v>47849</c:v>
                </c:pt>
                <c:pt idx="17">
                  <c:v>48214</c:v>
                </c:pt>
                <c:pt idx="18">
                  <c:v>48580</c:v>
                </c:pt>
                <c:pt idx="19">
                  <c:v>48945</c:v>
                </c:pt>
                <c:pt idx="20">
                  <c:v>49310</c:v>
                </c:pt>
                <c:pt idx="21">
                  <c:v>49675</c:v>
                </c:pt>
                <c:pt idx="22">
                  <c:v>50041</c:v>
                </c:pt>
                <c:pt idx="23">
                  <c:v>50406</c:v>
                </c:pt>
                <c:pt idx="24">
                  <c:v>50771</c:v>
                </c:pt>
                <c:pt idx="25">
                  <c:v>51136</c:v>
                </c:pt>
                <c:pt idx="26">
                  <c:v>51502</c:v>
                </c:pt>
                <c:pt idx="27">
                  <c:v>51867</c:v>
                </c:pt>
                <c:pt idx="28">
                  <c:v>52232</c:v>
                </c:pt>
                <c:pt idx="29">
                  <c:v>52597</c:v>
                </c:pt>
                <c:pt idx="30">
                  <c:v>52963</c:v>
                </c:pt>
                <c:pt idx="31">
                  <c:v>53328</c:v>
                </c:pt>
                <c:pt idx="32">
                  <c:v>53693</c:v>
                </c:pt>
                <c:pt idx="33">
                  <c:v>54058</c:v>
                </c:pt>
                <c:pt idx="34">
                  <c:v>54424</c:v>
                </c:pt>
                <c:pt idx="35">
                  <c:v>54789</c:v>
                </c:pt>
              </c:numCache>
            </c:numRef>
          </c:cat>
          <c:val>
            <c:numRef>
              <c:f>Données!$C$63:$AL$63</c:f>
              <c:numCache>
                <c:formatCode>#,##0</c:formatCode>
                <c:ptCount val="36"/>
                <c:pt idx="0">
                  <c:v>468.73646830000001</c:v>
                </c:pt>
                <c:pt idx="1">
                  <c:v>471.22783589999995</c:v>
                </c:pt>
                <c:pt idx="2">
                  <c:v>470.6819739</c:v>
                </c:pt>
                <c:pt idx="3">
                  <c:v>468.43159259999999</c:v>
                </c:pt>
                <c:pt idx="4">
                  <c:v>470.1173354</c:v>
                </c:pt>
                <c:pt idx="5">
                  <c:v>478.47781369999996</c:v>
                </c:pt>
                <c:pt idx="6">
                  <c:v>485.24382059999999</c:v>
                </c:pt>
                <c:pt idx="7">
                  <c:v>491.07807520000006</c:v>
                </c:pt>
                <c:pt idx="8">
                  <c:v>495.76141230000002</c:v>
                </c:pt>
                <c:pt idx="9">
                  <c:v>499.26709009999996</c:v>
                </c:pt>
                <c:pt idx="10">
                  <c:v>501.59731199999999</c:v>
                </c:pt>
                <c:pt idx="11">
                  <c:v>506.17145600000003</c:v>
                </c:pt>
                <c:pt idx="12">
                  <c:v>512.82160959999999</c:v>
                </c:pt>
                <c:pt idx="13">
                  <c:v>521.04819469999995</c:v>
                </c:pt>
                <c:pt idx="14">
                  <c:v>530.35351360000004</c:v>
                </c:pt>
                <c:pt idx="15">
                  <c:v>540.35065610000004</c:v>
                </c:pt>
                <c:pt idx="16">
                  <c:v>550.14357150000001</c:v>
                </c:pt>
                <c:pt idx="17">
                  <c:v>559.55211570000006</c:v>
                </c:pt>
                <c:pt idx="18">
                  <c:v>568.41312989999994</c:v>
                </c:pt>
                <c:pt idx="19">
                  <c:v>576.72470210000006</c:v>
                </c:pt>
                <c:pt idx="20">
                  <c:v>584.4973066</c:v>
                </c:pt>
                <c:pt idx="21">
                  <c:v>591.83548889999997</c:v>
                </c:pt>
                <c:pt idx="22">
                  <c:v>599.11502359999997</c:v>
                </c:pt>
                <c:pt idx="23">
                  <c:v>606.38249450000001</c:v>
                </c:pt>
                <c:pt idx="24">
                  <c:v>613.63763759999995</c:v>
                </c:pt>
                <c:pt idx="25">
                  <c:v>620.66174360000002</c:v>
                </c:pt>
                <c:pt idx="26">
                  <c:v>627.39956960000006</c:v>
                </c:pt>
                <c:pt idx="27">
                  <c:v>634.16391210000006</c:v>
                </c:pt>
                <c:pt idx="28">
                  <c:v>640.98233279999999</c:v>
                </c:pt>
                <c:pt idx="29">
                  <c:v>647.85692510000001</c:v>
                </c:pt>
                <c:pt idx="30">
                  <c:v>654.78924099999995</c:v>
                </c:pt>
                <c:pt idx="31">
                  <c:v>661.79459010000005</c:v>
                </c:pt>
                <c:pt idx="32">
                  <c:v>668.95930920000001</c:v>
                </c:pt>
                <c:pt idx="33">
                  <c:v>676.26691990000006</c:v>
                </c:pt>
                <c:pt idx="34">
                  <c:v>683.6897798</c:v>
                </c:pt>
                <c:pt idx="35">
                  <c:v>691.20282339999994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677-4536-83C1-10BD609DBC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8260000"/>
        <c:axId val="698260984"/>
      </c:lineChart>
      <c:dateAx>
        <c:axId val="698260000"/>
        <c:scaling>
          <c:orientation val="minMax"/>
          <c:min val="43831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984"/>
        <c:crosses val="autoZero"/>
        <c:auto val="1"/>
        <c:lblOffset val="100"/>
        <c:baseTimeUnit val="years"/>
        <c:majorUnit val="5"/>
        <c:majorTimeUnit val="years"/>
      </c:dateAx>
      <c:valAx>
        <c:axId val="698260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6982600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>
          <a:latin typeface="Marianne Light" panose="02000000000000000000" pitchFamily="50" charset="0"/>
        </a:defRPr>
      </a:pPr>
      <a:endParaRPr lang="fr-F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pts de VA)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Données!$B$82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Données!$C$82:$E$82</c:f>
              <c:numCache>
                <c:formatCode>#,##0</c:formatCode>
                <c:ptCount val="3"/>
                <c:pt idx="0">
                  <c:v>1.5536271105167211E-2</c:v>
                </c:pt>
                <c:pt idx="1">
                  <c:v>1.0536838421521451E-2</c:v>
                </c:pt>
                <c:pt idx="2">
                  <c:v>2.6942056604214525E-2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EF-431D-9A51-747E617C00CC}"/>
            </c:ext>
          </c:extLst>
        </c:ser>
        <c:ser>
          <c:idx val="1"/>
          <c:order val="1"/>
          <c:tx>
            <c:strRef>
              <c:f>Données!$B$83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Données!$C$83:$E$83</c:f>
              <c:numCache>
                <c:formatCode>#,##0</c:formatCode>
                <c:ptCount val="3"/>
                <c:pt idx="0">
                  <c:v>-11.092882141861548</c:v>
                </c:pt>
                <c:pt idx="1">
                  <c:v>-32.672941787060054</c:v>
                </c:pt>
                <c:pt idx="2">
                  <c:v>-23.967844214976807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EF-431D-9A51-747E617C00CC}"/>
            </c:ext>
          </c:extLst>
        </c:ser>
        <c:ser>
          <c:idx val="2"/>
          <c:order val="2"/>
          <c:tx>
            <c:strRef>
              <c:f>Données!$B$84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Données!$C$84:$E$84</c:f>
              <c:numCache>
                <c:formatCode>#,##0</c:formatCode>
                <c:ptCount val="3"/>
                <c:pt idx="0">
                  <c:v>1.8373295429715926E-4</c:v>
                </c:pt>
                <c:pt idx="1">
                  <c:v>-0.28663952599852038</c:v>
                </c:pt>
                <c:pt idx="2">
                  <c:v>-0.24839854309703216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EF-431D-9A51-747E617C00CC}"/>
            </c:ext>
          </c:extLst>
        </c:ser>
        <c:ser>
          <c:idx val="3"/>
          <c:order val="3"/>
          <c:tx>
            <c:strRef>
              <c:f>Données!$B$85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Données!$C$85:$E$85</c:f>
              <c:numCache>
                <c:formatCode>#,##0</c:formatCode>
                <c:ptCount val="3"/>
                <c:pt idx="0">
                  <c:v>28.667139734985202</c:v>
                </c:pt>
                <c:pt idx="1">
                  <c:v>21.324548815466905</c:v>
                </c:pt>
                <c:pt idx="2">
                  <c:v>50.124355321147796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3EF-431D-9A51-747E617C00CC}"/>
            </c:ext>
          </c:extLst>
        </c:ser>
        <c:ser>
          <c:idx val="4"/>
          <c:order val="4"/>
          <c:tx>
            <c:strRef>
              <c:f>Données!$B$86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Données!$C$86:$E$86</c:f>
              <c:numCache>
                <c:formatCode>#,##0</c:formatCode>
                <c:ptCount val="3"/>
                <c:pt idx="0">
                  <c:v>-5.1051652893351139E-2</c:v>
                </c:pt>
                <c:pt idx="1">
                  <c:v>-9.6924038626710535E-2</c:v>
                </c:pt>
                <c:pt idx="2">
                  <c:v>-8.3062899795903297E-2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EF-431D-9A51-747E617C00CC}"/>
            </c:ext>
          </c:extLst>
        </c:ser>
        <c:ser>
          <c:idx val="5"/>
          <c:order val="5"/>
          <c:tx>
            <c:strRef>
              <c:f>Données!$B$87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Données!$C$81:$E$81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Données!$C$87:$E$87</c:f>
              <c:numCache>
                <c:formatCode>#,##0</c:formatCode>
                <c:ptCount val="3"/>
                <c:pt idx="0">
                  <c:v>7.8022867283372417</c:v>
                </c:pt>
                <c:pt idx="1">
                  <c:v>16.534318581211277</c:v>
                </c:pt>
                <c:pt idx="2">
                  <c:v>9.6667112349090925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3EF-431D-9A51-747E617C0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r>
              <a:rPr lang="fr-FR"/>
              <a:t>Valeur</a:t>
            </a:r>
            <a:r>
              <a:rPr lang="fr-FR" baseline="0"/>
              <a:t> ajoutée sectorielle (en %)</a:t>
            </a:r>
          </a:p>
          <a:p>
            <a:pPr>
              <a:defRPr/>
            </a:pP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Données!$B$90</c:f>
              <c:strCache>
                <c:ptCount val="1"/>
                <c:pt idx="0">
                  <c:v>Agriculture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Données!$C$90:$E$90</c:f>
              <c:numCache>
                <c:formatCode>0.0%</c:formatCode>
                <c:ptCount val="3"/>
                <c:pt idx="0">
                  <c:v>8.6447239128280007E-3</c:v>
                </c:pt>
                <c:pt idx="1">
                  <c:v>5.8529101638657988E-3</c:v>
                </c:pt>
                <c:pt idx="2">
                  <c:v>1.5312961853068963E-2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82-485E-9582-B510024133C5}"/>
            </c:ext>
          </c:extLst>
        </c:ser>
        <c:ser>
          <c:idx val="1"/>
          <c:order val="1"/>
          <c:tx>
            <c:strRef>
              <c:f>Données!$B$91</c:f>
              <c:strCache>
                <c:ptCount val="1"/>
                <c:pt idx="0">
                  <c:v>Industrie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Données!$C$91:$E$91</c:f>
              <c:numCache>
                <c:formatCode>0.0%</c:formatCode>
                <c:ptCount val="3"/>
                <c:pt idx="0">
                  <c:v>-1.1456287994080605E-2</c:v>
                </c:pt>
                <c:pt idx="1">
                  <c:v>-3.2291578053458392E-2</c:v>
                </c:pt>
                <c:pt idx="2">
                  <c:v>-2.2846296231336383E-2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82-485E-9582-B510024133C5}"/>
            </c:ext>
          </c:extLst>
        </c:ser>
        <c:ser>
          <c:idx val="2"/>
          <c:order val="2"/>
          <c:tx>
            <c:strRef>
              <c:f>Données!$B$92</c:f>
              <c:strCache>
                <c:ptCount val="1"/>
                <c:pt idx="0">
                  <c:v>Transports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Données!$C$92:$E$92</c:f>
              <c:numCache>
                <c:formatCode>0.0%</c:formatCode>
                <c:ptCount val="3"/>
                <c:pt idx="0">
                  <c:v>1.2856344294487343E-5</c:v>
                </c:pt>
                <c:pt idx="1">
                  <c:v>-2.0461203342003076E-2</c:v>
                </c:pt>
                <c:pt idx="2">
                  <c:v>-1.8539472011811831E-2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282-485E-9582-B510024133C5}"/>
            </c:ext>
          </c:extLst>
        </c:ser>
        <c:ser>
          <c:idx val="3"/>
          <c:order val="3"/>
          <c:tx>
            <c:strRef>
              <c:f>Données!$B$93</c:f>
              <c:strCache>
                <c:ptCount val="1"/>
                <c:pt idx="0">
                  <c:v>Services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Données!$C$93:$E$93</c:f>
              <c:numCache>
                <c:formatCode>0.0%</c:formatCode>
                <c:ptCount val="3"/>
                <c:pt idx="0">
                  <c:v>9.3602768142595494E-3</c:v>
                </c:pt>
                <c:pt idx="1">
                  <c:v>6.8314523546337824E-3</c:v>
                </c:pt>
                <c:pt idx="2">
                  <c:v>1.6142010055493872E-2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282-485E-9582-B510024133C5}"/>
            </c:ext>
          </c:extLst>
        </c:ser>
        <c:ser>
          <c:idx val="4"/>
          <c:order val="4"/>
          <c:tx>
            <c:strRef>
              <c:f>Données!$B$94</c:f>
              <c:strCache>
                <c:ptCount val="1"/>
                <c:pt idx="0">
                  <c:v>Pétrole et gaz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Données!$C$94:$E$94</c:f>
              <c:numCache>
                <c:formatCode>0.0%</c:formatCode>
                <c:ptCount val="3"/>
                <c:pt idx="0">
                  <c:v>0.45677271392181051</c:v>
                </c:pt>
                <c:pt idx="1">
                  <c:v>0.86900222715538189</c:v>
                </c:pt>
                <c:pt idx="2">
                  <c:v>0.77936462788719196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82-485E-9582-B510024133C5}"/>
            </c:ext>
          </c:extLst>
        </c:ser>
        <c:ser>
          <c:idx val="5"/>
          <c:order val="5"/>
          <c:tx>
            <c:strRef>
              <c:f>Données!$B$95</c:f>
              <c:strCache>
                <c:ptCount val="1"/>
                <c:pt idx="0">
                  <c:v>Electricité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Données!$C$89:$E$89</c:f>
              <c:strCache>
                <c:ptCount val="3"/>
                <c:pt idx="0">
                  <c:v>2030</c:v>
                </c:pt>
                <c:pt idx="1">
                  <c:v>2040</c:v>
                </c:pt>
                <c:pt idx="2">
                  <c:v>2050</c:v>
                </c:pt>
              </c:strCache>
            </c:strRef>
          </c:cat>
          <c:val>
            <c:numRef>
              <c:f>Données!$C$95:$E$95</c:f>
              <c:numCache>
                <c:formatCode>0.0%</c:formatCode>
                <c:ptCount val="3"/>
                <c:pt idx="0">
                  <c:v>-5.3222732984646859E-3</c:v>
                </c:pt>
                <c:pt idx="1">
                  <c:v>-1.5151457452167394E-2</c:v>
                </c:pt>
                <c:pt idx="2">
                  <c:v>-8.3903941804086557E-3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282-485E-9582-B510024133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3301600"/>
        <c:axId val="793302256"/>
      </c:barChart>
      <c:catAx>
        <c:axId val="79330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2256"/>
        <c:crosses val="autoZero"/>
        <c:auto val="1"/>
        <c:lblAlgn val="ctr"/>
        <c:lblOffset val="100"/>
        <c:noMultiLvlLbl val="0"/>
      </c:catAx>
      <c:valAx>
        <c:axId val="7933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arianne Light" panose="02000000000000000000" pitchFamily="50" charset="0"/>
                <a:ea typeface="+mn-ea"/>
                <a:cs typeface="+mn-cs"/>
              </a:defRPr>
            </a:pPr>
            <a:endParaRPr lang="fr-FR"/>
          </a:p>
        </c:txPr>
        <c:crossAx val="793301600"/>
        <c:crosses val="autoZero"/>
        <c:crossBetween val="between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arianne Light" panose="02000000000000000000" pitchFamily="50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>
          <a:latin typeface="Marianne Light" panose="02000000000000000000" pitchFamily="50" charset="0"/>
        </a:defRPr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70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0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89143" cy="6059714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1-11-05_01-09-55_Result_Fran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"/>
      <sheetName val="date"/>
      <sheetName val="Emissions"/>
      <sheetName val="Consumption"/>
      <sheetName val="Value_Added"/>
      <sheetName val="INV"/>
      <sheetName val="Labor"/>
      <sheetName val="Final_nrj"/>
      <sheetName val="Primary_nrj"/>
      <sheetName val="Energy_Mix"/>
      <sheetName val="Transports"/>
      <sheetName val="Hybrid"/>
      <sheetName val="Tab-macro"/>
      <sheetName val="Tab-baseline"/>
      <sheetName val="Macro"/>
      <sheetName val="Baseline"/>
      <sheetName val="produits-secteurs V2-V3"/>
      <sheetName val="Sect&amp;Com_V3"/>
      <sheetName val="2021-11-05_01-09-55_Result_Fran"/>
    </sheetNames>
    <sheetDataSet>
      <sheetData sheetId="0">
        <row r="485">
          <cell r="F485">
            <v>129.1535753</v>
          </cell>
          <cell r="G485">
            <v>128.5248594</v>
          </cell>
          <cell r="H485">
            <v>126.4731139</v>
          </cell>
          <cell r="I485">
            <v>124.0876378</v>
          </cell>
          <cell r="J485">
            <v>123.1983372</v>
          </cell>
          <cell r="K485">
            <v>123.69220009999999</v>
          </cell>
          <cell r="L485">
            <v>123.2242248</v>
          </cell>
          <cell r="M485">
            <v>122.66258120000001</v>
          </cell>
          <cell r="N485">
            <v>121.9241533</v>
          </cell>
          <cell r="O485">
            <v>120.99811649999999</v>
          </cell>
          <cell r="P485">
            <v>119.8841018</v>
          </cell>
          <cell r="Q485">
            <v>119.80768329999999</v>
          </cell>
          <cell r="R485">
            <v>120.23543720000001</v>
          </cell>
          <cell r="S485">
            <v>120.9009899</v>
          </cell>
          <cell r="T485">
            <v>121.66956519999999</v>
          </cell>
          <cell r="U485">
            <v>122.47505889999999</v>
          </cell>
          <cell r="V485">
            <v>123.1907004</v>
          </cell>
          <cell r="W485">
            <v>123.784317</v>
          </cell>
          <cell r="X485">
            <v>124.2293488</v>
          </cell>
          <cell r="Y485">
            <v>124.5401707</v>
          </cell>
          <cell r="Z485">
            <v>124.7217722</v>
          </cell>
          <cell r="AA485">
            <v>124.9639323</v>
          </cell>
          <cell r="AB485">
            <v>125.2069281</v>
          </cell>
          <cell r="AC485">
            <v>125.4233134</v>
          </cell>
          <cell r="AD485">
            <v>125.60208919999999</v>
          </cell>
          <cell r="AE485">
            <v>125.6670665</v>
          </cell>
          <cell r="AF485">
            <v>125.7614627</v>
          </cell>
          <cell r="AG485">
            <v>125.84251449999999</v>
          </cell>
          <cell r="AH485">
            <v>125.8889582</v>
          </cell>
          <cell r="AI485">
            <v>125.89276479999999</v>
          </cell>
          <cell r="AJ485">
            <v>125.85283579999999</v>
          </cell>
          <cell r="AK485">
            <v>125.81601190000001</v>
          </cell>
          <cell r="AL485">
            <v>125.7603263</v>
          </cell>
          <cell r="AM485">
            <v>125.67546110000001</v>
          </cell>
          <cell r="AN485">
            <v>125.5576295</v>
          </cell>
          <cell r="AO485">
            <v>125.406362</v>
          </cell>
        </row>
        <row r="857">
          <cell r="F857">
            <v>339.58289300000001</v>
          </cell>
          <cell r="G857">
            <v>342.70297649999998</v>
          </cell>
          <cell r="H857">
            <v>344.20886000000002</v>
          </cell>
          <cell r="I857">
            <v>344.34395480000001</v>
          </cell>
          <cell r="J857">
            <v>346.91899819999998</v>
          </cell>
          <cell r="K857">
            <v>354.78561359999998</v>
          </cell>
          <cell r="L857">
            <v>362.01959579999999</v>
          </cell>
          <cell r="M857">
            <v>368.41549400000002</v>
          </cell>
          <cell r="N857">
            <v>373.83725900000002</v>
          </cell>
          <cell r="O857">
            <v>378.26897359999998</v>
          </cell>
          <cell r="P857">
            <v>381.71321019999999</v>
          </cell>
          <cell r="Q857">
            <v>386.36377270000003</v>
          </cell>
          <cell r="R857">
            <v>392.58617240000001</v>
          </cell>
          <cell r="S857">
            <v>400.1472048</v>
          </cell>
          <cell r="T857">
            <v>408.68394840000002</v>
          </cell>
          <cell r="U857">
            <v>417.87559720000002</v>
          </cell>
          <cell r="V857">
            <v>426.95287109999998</v>
          </cell>
          <cell r="W857">
            <v>435.76779870000001</v>
          </cell>
          <cell r="X857">
            <v>444.18378109999998</v>
          </cell>
          <cell r="Y857">
            <v>452.18453140000003</v>
          </cell>
          <cell r="Z857">
            <v>459.77553440000003</v>
          </cell>
          <cell r="AA857">
            <v>466.87155660000002</v>
          </cell>
          <cell r="AB857">
            <v>473.9080955</v>
          </cell>
          <cell r="AC857">
            <v>480.95918110000002</v>
          </cell>
          <cell r="AD857">
            <v>488.03554839999998</v>
          </cell>
          <cell r="AE857">
            <v>494.99467709999999</v>
          </cell>
          <cell r="AF857">
            <v>501.63810690000003</v>
          </cell>
          <cell r="AG857">
            <v>508.32139760000001</v>
          </cell>
          <cell r="AH857">
            <v>515.09337459999995</v>
          </cell>
          <cell r="AI857">
            <v>521.9641603</v>
          </cell>
          <cell r="AJ857">
            <v>528.93640519999997</v>
          </cell>
          <cell r="AK857">
            <v>535.97857820000002</v>
          </cell>
          <cell r="AL857">
            <v>543.19898290000003</v>
          </cell>
          <cell r="AM857">
            <v>550.59145880000005</v>
          </cell>
          <cell r="AN857">
            <v>558.13215030000003</v>
          </cell>
          <cell r="AO857">
            <v>565.7964614</v>
          </cell>
        </row>
        <row r="911">
          <cell r="F911">
            <v>129.1535753</v>
          </cell>
          <cell r="G911">
            <v>128.5248594</v>
          </cell>
          <cell r="H911">
            <v>126.4731139</v>
          </cell>
          <cell r="I911">
            <v>124.0876378</v>
          </cell>
          <cell r="J911">
            <v>123.1983372</v>
          </cell>
          <cell r="K911">
            <v>123.69220009999999</v>
          </cell>
          <cell r="L911">
            <v>123.2262317</v>
          </cell>
          <cell r="M911">
            <v>123.20249250000001</v>
          </cell>
          <cell r="N911">
            <v>123.3498677</v>
          </cell>
          <cell r="O911">
            <v>123.56838260000001</v>
          </cell>
          <cell r="P911">
            <v>123.86125269999999</v>
          </cell>
          <cell r="Q911">
            <v>124.15120570000001</v>
          </cell>
          <cell r="R911">
            <v>124.453507</v>
          </cell>
          <cell r="S911">
            <v>124.7792938</v>
          </cell>
          <cell r="T911">
            <v>125.1330495</v>
          </cell>
          <cell r="U911">
            <v>125.5136785</v>
          </cell>
          <cell r="V911">
            <v>125.91324179999999</v>
          </cell>
          <cell r="W911">
            <v>126.3238856</v>
          </cell>
          <cell r="X911">
            <v>126.7394527</v>
          </cell>
          <cell r="Y911">
            <v>127.1554094</v>
          </cell>
          <cell r="Z911">
            <v>127.5393559</v>
          </cell>
          <cell r="AA911">
            <v>127.9300669</v>
          </cell>
          <cell r="AB911">
            <v>128.31533630000001</v>
          </cell>
          <cell r="AC911">
            <v>128.68908189999999</v>
          </cell>
          <cell r="AD911">
            <v>129.0487502</v>
          </cell>
          <cell r="AE911">
            <v>129.31387079999999</v>
          </cell>
          <cell r="AF911">
            <v>129.55248420000001</v>
          </cell>
          <cell r="AG911">
            <v>129.75048169999999</v>
          </cell>
          <cell r="AH911">
            <v>129.9005564</v>
          </cell>
          <cell r="AI911">
            <v>130.00223600000001</v>
          </cell>
          <cell r="AJ911">
            <v>130.05766399999999</v>
          </cell>
          <cell r="AK911">
            <v>130.08405870000001</v>
          </cell>
          <cell r="AL911">
            <v>130.09769399999999</v>
          </cell>
          <cell r="AM911">
            <v>130.1108093</v>
          </cell>
          <cell r="AN911">
            <v>130.13188020000001</v>
          </cell>
          <cell r="AO911">
            <v>130.1664064</v>
          </cell>
        </row>
        <row r="1283">
          <cell r="F1283">
            <v>339.58289300000001</v>
          </cell>
          <cell r="G1283">
            <v>342.70297649999998</v>
          </cell>
          <cell r="H1283">
            <v>344.20886000000002</v>
          </cell>
          <cell r="I1283">
            <v>344.34395480000001</v>
          </cell>
          <cell r="J1283">
            <v>346.91899819999998</v>
          </cell>
          <cell r="K1283">
            <v>354.78561359999998</v>
          </cell>
          <cell r="L1283">
            <v>362.25832279999997</v>
          </cell>
          <cell r="M1283">
            <v>370.03083850000002</v>
          </cell>
          <cell r="N1283">
            <v>377.96280009999998</v>
          </cell>
          <cell r="O1283">
            <v>386.04168870000001</v>
          </cell>
          <cell r="P1283">
            <v>394.37866960000002</v>
          </cell>
          <cell r="Q1283">
            <v>402.90668540000001</v>
          </cell>
          <cell r="R1283">
            <v>411.7264993</v>
          </cell>
          <cell r="S1283">
            <v>420.87953590000001</v>
          </cell>
          <cell r="T1283">
            <v>430.36552890000002</v>
          </cell>
          <cell r="U1283">
            <v>440.16217540000002</v>
          </cell>
          <cell r="V1283">
            <v>449.72895979999998</v>
          </cell>
          <cell r="W1283">
            <v>459.40376639999999</v>
          </cell>
          <cell r="X1283">
            <v>469.23346570000001</v>
          </cell>
          <cell r="Y1283">
            <v>479.23141409999999</v>
          </cell>
          <cell r="Z1283">
            <v>489.35568660000001</v>
          </cell>
          <cell r="AA1283">
            <v>499.18715320000001</v>
          </cell>
          <cell r="AB1283">
            <v>509.08365980000002</v>
          </cell>
          <cell r="AC1283">
            <v>519.11401860000001</v>
          </cell>
          <cell r="AD1283">
            <v>529.30910470000003</v>
          </cell>
          <cell r="AE1283">
            <v>539.53794579999999</v>
          </cell>
          <cell r="AF1283">
            <v>547.58127430000002</v>
          </cell>
          <cell r="AG1283">
            <v>555.12858700000004</v>
          </cell>
          <cell r="AH1283">
            <v>562.47648089999996</v>
          </cell>
          <cell r="AI1283">
            <v>569.73333249999996</v>
          </cell>
          <cell r="AJ1283">
            <v>576.9651652</v>
          </cell>
          <cell r="AK1283">
            <v>585.67610079999997</v>
          </cell>
          <cell r="AL1283">
            <v>594.87309040000002</v>
          </cell>
          <cell r="AM1283">
            <v>604.41015100000004</v>
          </cell>
          <cell r="AN1283">
            <v>614.25075349999997</v>
          </cell>
          <cell r="AO1283">
            <v>624.37719040000002</v>
          </cell>
        </row>
        <row r="1365">
          <cell r="C1365" t="str">
            <v>PIB</v>
          </cell>
          <cell r="E1365" t="str">
            <v>100*(GDP_2/GDP_0-1)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-5.7058574605395318E-2</v>
          </cell>
          <cell r="M1365">
            <v>-7.5736899466016805E-2</v>
          </cell>
          <cell r="N1365">
            <v>-4.9063725720699392E-2</v>
          </cell>
          <cell r="O1365">
            <v>4.8843776287221807E-2</v>
          </cell>
          <cell r="P1365">
            <v>0.23946187455461398</v>
          </cell>
          <cell r="Q1365">
            <v>0.31896307615082442</v>
          </cell>
          <cell r="R1365">
            <v>0.4040101897739401</v>
          </cell>
          <cell r="S1365">
            <v>0.49418968332746172</v>
          </cell>
          <cell r="T1365">
            <v>0.57024302850694486</v>
          </cell>
          <cell r="U1365">
            <v>0.61893699393267276</v>
          </cell>
          <cell r="V1365">
            <v>0.68397019816510696</v>
          </cell>
          <cell r="W1365">
            <v>0.71454498282725876</v>
          </cell>
          <cell r="X1365">
            <v>0.71088846531643934</v>
          </cell>
          <cell r="Y1365">
            <v>0.67951459858126562</v>
          </cell>
          <cell r="Z1365">
            <v>0.62771993219250533</v>
          </cell>
          <cell r="AA1365">
            <v>0.54216243626499239</v>
          </cell>
          <cell r="AB1365">
            <v>0.44139492850026052</v>
          </cell>
          <cell r="AC1365">
            <v>0.32971121679301607</v>
          </cell>
          <cell r="AD1365">
            <v>0.20802401262010051</v>
          </cell>
          <cell r="AE1365">
            <v>7.6928512543350536E-2</v>
          </cell>
          <cell r="AF1365">
            <v>0.21323515131881354</v>
          </cell>
          <cell r="AG1365">
            <v>0.39000675231248838</v>
          </cell>
          <cell r="AH1365">
            <v>0.60734445336929621</v>
          </cell>
          <cell r="AI1365">
            <v>0.85865578127473086</v>
          </cell>
          <cell r="AJ1365">
            <v>1.1367519806102289</v>
          </cell>
          <cell r="AK1365">
            <v>1.1911259442043187</v>
          </cell>
          <cell r="AL1365">
            <v>1.2142655889074705</v>
          </cell>
          <cell r="AM1365">
            <v>1.2085636403542876</v>
          </cell>
          <cell r="AN1365">
            <v>1.180550076601028</v>
          </cell>
          <cell r="AO1365">
            <v>1.1368189393755834</v>
          </cell>
        </row>
        <row r="1366">
          <cell r="C1366" t="str">
            <v>VA du secteur marchand</v>
          </cell>
          <cell r="E1366" t="str">
            <v>100*((VA_2-VA_spub_2)/(VA_0-VA_spub_0)-1)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0</v>
          </cell>
          <cell r="K1366">
            <v>0</v>
          </cell>
          <cell r="L1366">
            <v>-6.9187796629854859E-2</v>
          </cell>
          <cell r="M1366">
            <v>-9.1142699030299923E-2</v>
          </cell>
          <cell r="N1366">
            <v>-6.4780280496412601E-2</v>
          </cell>
          <cell r="O1366">
            <v>3.3546413422280708E-2</v>
          </cell>
          <cell r="P1366">
            <v>0.22308990714541288</v>
          </cell>
          <cell r="Q1366">
            <v>0.2814242756987273</v>
          </cell>
          <cell r="R1366">
            <v>0.34156118054717854</v>
          </cell>
          <cell r="S1366">
            <v>0.40598220681127284</v>
          </cell>
          <cell r="T1366">
            <v>0.45527280262300795</v>
          </cell>
          <cell r="U1366">
            <v>0.47582314602003795</v>
          </cell>
          <cell r="V1366">
            <v>0.52283512001274346</v>
          </cell>
          <cell r="W1366">
            <v>0.53385062984268039</v>
          </cell>
          <cell r="X1366">
            <v>0.50760416088901916</v>
          </cell>
          <cell r="Y1366">
            <v>0.45009961023432243</v>
          </cell>
          <cell r="Z1366">
            <v>0.36868108620917717</v>
          </cell>
          <cell r="AA1366">
            <v>0.24849704267901895</v>
          </cell>
          <cell r="AB1366">
            <v>0.11040321610220616</v>
          </cell>
          <cell r="AC1366">
            <v>-4.0704147746306596E-2</v>
          </cell>
          <cell r="AD1366">
            <v>-0.20358728568883322</v>
          </cell>
          <cell r="AE1366">
            <v>-0.37743112855458394</v>
          </cell>
          <cell r="AF1366">
            <v>-0.22298040574428857</v>
          </cell>
          <cell r="AG1366">
            <v>-2.915834053237587E-2</v>
          </cell>
          <cell r="AH1366">
            <v>0.20649785497386386</v>
          </cell>
          <cell r="AI1366">
            <v>0.47716257669305762</v>
          </cell>
          <cell r="AJ1366">
            <v>0.77531423002104027</v>
          </cell>
          <cell r="AK1366">
            <v>0.79956694816840646</v>
          </cell>
          <cell r="AL1366">
            <v>0.79542952651037169</v>
          </cell>
          <cell r="AM1366">
            <v>0.76397977090316704</v>
          </cell>
          <cell r="AN1366">
            <v>0.71206448301770475</v>
          </cell>
          <cell r="AO1366">
            <v>0.64650939225145976</v>
          </cell>
        </row>
        <row r="1367">
          <cell r="C1367" t="str">
            <v>Consommation des ménages</v>
          </cell>
          <cell r="E1367" t="str">
            <v>100*((CH_2-CH_0)/GDP_0)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0</v>
          </cell>
          <cell r="K1367">
            <v>0</v>
          </cell>
          <cell r="L1367">
            <v>-2.3041608361778494E-2</v>
          </cell>
          <cell r="M1367">
            <v>-1.2731610104386434E-2</v>
          </cell>
          <cell r="N1367">
            <v>6.9290429138546078E-2</v>
          </cell>
          <cell r="O1367">
            <v>0.27499885234053018</v>
          </cell>
          <cell r="P1367">
            <v>0.6533857269672706</v>
          </cell>
          <cell r="Q1367">
            <v>0.95109302215970193</v>
          </cell>
          <cell r="R1367">
            <v>1.2626511427862002</v>
          </cell>
          <cell r="S1367">
            <v>1.5748448433952615</v>
          </cell>
          <cell r="T1367">
            <v>1.8664612781165313</v>
          </cell>
          <cell r="U1367">
            <v>2.1289243474472119</v>
          </cell>
          <cell r="V1367">
            <v>2.3780386778325004</v>
          </cell>
          <cell r="W1367">
            <v>2.5849304212193185</v>
          </cell>
          <cell r="X1367">
            <v>2.7544898314397206</v>
          </cell>
          <cell r="Y1367">
            <v>2.9026950171829156</v>
          </cell>
          <cell r="Z1367">
            <v>3.043393801423703</v>
          </cell>
          <cell r="AA1367">
            <v>3.1622399084046293</v>
          </cell>
          <cell r="AB1367">
            <v>3.2717324408897337</v>
          </cell>
          <cell r="AC1367">
            <v>3.3747373430934751</v>
          </cell>
          <cell r="AD1367">
            <v>3.4717892111796766</v>
          </cell>
          <cell r="AE1367">
            <v>3.563872940033487</v>
          </cell>
          <cell r="AF1367">
            <v>3.6952752485966229</v>
          </cell>
          <cell r="AG1367">
            <v>3.8677507979137742</v>
          </cell>
          <cell r="AH1367">
            <v>4.0812946562652472</v>
          </cell>
          <cell r="AI1367">
            <v>4.3307049314490937</v>
          </cell>
          <cell r="AJ1367">
            <v>4.6085580191907596</v>
          </cell>
          <cell r="AK1367">
            <v>4.8402451747866841</v>
          </cell>
          <cell r="AL1367">
            <v>5.0227853185601852</v>
          </cell>
          <cell r="AM1367">
            <v>5.157723972558645</v>
          </cell>
          <cell r="AN1367">
            <v>5.2511206033321596</v>
          </cell>
          <cell r="AO1367">
            <v>5.3108067563914325</v>
          </cell>
        </row>
        <row r="1368">
          <cell r="C1368" t="str">
            <v>Consommation des ménages automobile</v>
          </cell>
          <cell r="E1368" t="str">
            <v>100*((CH_cveh_2-CH_cveh_0)/GDP_0)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0</v>
          </cell>
          <cell r="K1368">
            <v>0</v>
          </cell>
          <cell r="L1368">
            <v>-2.7495343988091178E-3</v>
          </cell>
          <cell r="M1368">
            <v>-1.4419714622023938E-2</v>
          </cell>
          <cell r="N1368">
            <v>-1.8079334173408866E-2</v>
          </cell>
          <cell r="O1368">
            <v>-1.1123083919905432E-2</v>
          </cell>
          <cell r="P1368">
            <v>-8.1685555363324028E-4</v>
          </cell>
          <cell r="Q1368">
            <v>5.50655345333309E-2</v>
          </cell>
          <cell r="R1368">
            <v>0.12161945805883324</v>
          </cell>
          <cell r="S1368">
            <v>0.17400853116167894</v>
          </cell>
          <cell r="T1368">
            <v>0.20809173646738605</v>
          </cell>
          <cell r="U1368">
            <v>0.22821913774776478</v>
          </cell>
          <cell r="V1368">
            <v>0.23378718483279454</v>
          </cell>
          <cell r="W1368">
            <v>0.22146935468508941</v>
          </cell>
          <cell r="X1368">
            <v>0.19875301199825374</v>
          </cell>
          <cell r="Y1368">
            <v>0.17454539059637117</v>
          </cell>
          <cell r="Z1368">
            <v>0.15372227614659509</v>
          </cell>
          <cell r="AA1368">
            <v>0.14312080361620586</v>
          </cell>
          <cell r="AB1368">
            <v>0.13714723953644337</v>
          </cell>
          <cell r="AC1368">
            <v>0.13241477070742833</v>
          </cell>
          <cell r="AD1368">
            <v>0.12774217518885125</v>
          </cell>
          <cell r="AE1368">
            <v>0.12269376762893351</v>
          </cell>
          <cell r="AF1368">
            <v>0.12584969209929531</v>
          </cell>
          <cell r="AG1368">
            <v>0.13245012363299261</v>
          </cell>
          <cell r="AH1368">
            <v>0.14025989695284297</v>
          </cell>
          <cell r="AI1368">
            <v>0.14838742589952353</v>
          </cell>
          <cell r="AJ1368">
            <v>0.15625794389106962</v>
          </cell>
          <cell r="AK1368">
            <v>0.16078451608172437</v>
          </cell>
          <cell r="AL1368">
            <v>0.16039860550531729</v>
          </cell>
          <cell r="AM1368">
            <v>0.15566259725182399</v>
          </cell>
          <cell r="AN1368">
            <v>0.14779835481041034</v>
          </cell>
          <cell r="AO1368">
            <v>0.13797188971998364</v>
          </cell>
        </row>
        <row r="1369">
          <cell r="C1369" t="str">
            <v>Dépenses publiques</v>
          </cell>
          <cell r="E1369" t="str">
            <v>100*((G_2-G_0)/GDP_0)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0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</row>
        <row r="1370">
          <cell r="C1370" t="str">
            <v>Investissement</v>
          </cell>
          <cell r="E1370" t="str">
            <v>100*((I_2-I_0)/GDP_0)</v>
          </cell>
          <cell r="F1370">
            <v>0</v>
          </cell>
          <cell r="G1370">
            <v>0</v>
          </cell>
          <cell r="H1370">
            <v>0</v>
          </cell>
          <cell r="I1370">
            <v>0</v>
          </cell>
          <cell r="J1370">
            <v>0</v>
          </cell>
          <cell r="K1370">
            <v>0</v>
          </cell>
          <cell r="L1370">
            <v>-1.1370162013878821E-2</v>
          </cell>
          <cell r="M1370">
            <v>-5.9292024957930095E-2</v>
          </cell>
          <cell r="N1370">
            <v>-0.13938715916498204</v>
          </cell>
          <cell r="O1370">
            <v>-0.24693539269072737</v>
          </cell>
          <cell r="P1370">
            <v>-0.37827892768480292</v>
          </cell>
          <cell r="Q1370">
            <v>-0.48656735218243874</v>
          </cell>
          <cell r="R1370">
            <v>-0.56547816185971023</v>
          </cell>
          <cell r="S1370">
            <v>-0.61872756541539231</v>
          </cell>
          <cell r="T1370">
            <v>-0.65413260222262215</v>
          </cell>
          <cell r="U1370">
            <v>-0.67886204082355273</v>
          </cell>
          <cell r="V1370">
            <v>-0.69780546709918612</v>
          </cell>
          <cell r="W1370">
            <v>-0.72271587697463779</v>
          </cell>
          <cell r="X1370">
            <v>-0.7588151411914924</v>
          </cell>
          <cell r="Y1370">
            <v>-0.80593752801774932</v>
          </cell>
          <cell r="Z1370">
            <v>-0.86153665615779917</v>
          </cell>
          <cell r="AA1370">
            <v>-0.91999053716225132</v>
          </cell>
          <cell r="AB1370">
            <v>-0.97813761720541637</v>
          </cell>
          <cell r="AC1370">
            <v>-1.0343542820860949</v>
          </cell>
          <cell r="AD1370">
            <v>-1.0877036375303386</v>
          </cell>
          <cell r="AE1370">
            <v>-1.1375408714958108</v>
          </cell>
          <cell r="AF1370">
            <v>-1.1403902555657008</v>
          </cell>
          <cell r="AG1370">
            <v>-1.1128227438050746</v>
          </cell>
          <cell r="AH1370">
            <v>-1.0646125642349658</v>
          </cell>
          <cell r="AI1370">
            <v>-0.99962916944253433</v>
          </cell>
          <cell r="AJ1370">
            <v>-0.91919960491547437</v>
          </cell>
          <cell r="AK1370">
            <v>-0.85832611196507336</v>
          </cell>
          <cell r="AL1370">
            <v>-0.80352801350749548</v>
          </cell>
          <cell r="AM1370">
            <v>-0.74668559980982474</v>
          </cell>
          <cell r="AN1370">
            <v>-0.68436267228400505</v>
          </cell>
          <cell r="AO1370">
            <v>-0.61522583669217601</v>
          </cell>
        </row>
        <row r="1371">
          <cell r="C1371" t="str">
            <v>Variations de stocks</v>
          </cell>
          <cell r="E1371" t="str">
            <v>100*((DS_2-DS_0)/GDP_0)</v>
          </cell>
          <cell r="F1371">
            <v>0</v>
          </cell>
          <cell r="G1371">
            <v>0</v>
          </cell>
          <cell r="H1371">
            <v>0</v>
          </cell>
          <cell r="I1371">
            <v>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</row>
        <row r="1372">
          <cell r="C1372" t="str">
            <v>Exportations nettes</v>
          </cell>
          <cell r="E1372" t="str">
            <v>100*((X_2-X_0)/GDP_0)-100*((M_2-M_0)/GDP_0)</v>
          </cell>
          <cell r="F1372">
            <v>0</v>
          </cell>
          <cell r="G1372">
            <v>0</v>
          </cell>
          <cell r="H1372">
            <v>0</v>
          </cell>
          <cell r="I1372">
            <v>0</v>
          </cell>
          <cell r="J1372">
            <v>0</v>
          </cell>
          <cell r="K1372">
            <v>0</v>
          </cell>
          <cell r="L1372">
            <v>-2.2646824835193865E-2</v>
          </cell>
          <cell r="M1372">
            <v>-3.7132724839171044E-3</v>
          </cell>
          <cell r="N1372">
            <v>2.1033028072537652E-2</v>
          </cell>
          <cell r="O1372">
            <v>2.0780297218131349E-2</v>
          </cell>
          <cell r="P1372">
            <v>-3.5644890464696183E-2</v>
          </cell>
          <cell r="Q1372">
            <v>-0.14556264233774205</v>
          </cell>
          <cell r="R1372">
            <v>-0.2931627838388815</v>
          </cell>
          <cell r="S1372">
            <v>-0.46192761973024032</v>
          </cell>
          <cell r="T1372">
            <v>-0.64208564387796729</v>
          </cell>
          <cell r="U1372">
            <v>-0.8311252851986598</v>
          </cell>
          <cell r="V1372">
            <v>-0.99626302941140366</v>
          </cell>
          <cell r="W1372">
            <v>-1.1476695416016052</v>
          </cell>
          <cell r="X1372">
            <v>-1.2847862184548295</v>
          </cell>
          <cell r="Y1372">
            <v>-1.4172428842318405</v>
          </cell>
          <cell r="Z1372">
            <v>-1.5541372379976786</v>
          </cell>
          <cell r="AA1372">
            <v>-1.7000869472126756</v>
          </cell>
          <cell r="AB1372">
            <v>-1.8521999312276751</v>
          </cell>
          <cell r="AC1372">
            <v>-2.0106718501139618</v>
          </cell>
          <cell r="AD1372">
            <v>-2.1760615784118178</v>
          </cell>
          <cell r="AE1372">
            <v>-2.3494035417624453</v>
          </cell>
          <cell r="AF1372">
            <v>-2.341649852939216</v>
          </cell>
          <cell r="AG1372">
            <v>-2.3649213377997778</v>
          </cell>
          <cell r="AH1372">
            <v>-2.4093376578003709</v>
          </cell>
          <cell r="AI1372">
            <v>-2.4724199591291747</v>
          </cell>
          <cell r="AJ1372">
            <v>-2.552606425662677</v>
          </cell>
          <cell r="AK1372">
            <v>-2.7907931291358854</v>
          </cell>
          <cell r="AL1372">
            <v>-3.0049917213279991</v>
          </cell>
          <cell r="AM1372">
            <v>-3.2024747017624726</v>
          </cell>
          <cell r="AN1372">
            <v>-3.3862078569607785</v>
          </cell>
          <cell r="AO1372">
            <v>-3.5587619852728309</v>
          </cell>
        </row>
        <row r="1373">
          <cell r="C1373" t="str">
            <v>Consommation des ménages</v>
          </cell>
          <cell r="E1373" t="str">
            <v>100*((CH_2-CH_ccon_2-(CH_0-CH_ccon_0))/GDP_0)</v>
          </cell>
          <cell r="F1373">
            <v>0</v>
          </cell>
          <cell r="G1373">
            <v>0</v>
          </cell>
          <cell r="H1373">
            <v>0</v>
          </cell>
          <cell r="I1373">
            <v>0</v>
          </cell>
          <cell r="J1373">
            <v>0</v>
          </cell>
          <cell r="K1373">
            <v>0</v>
          </cell>
          <cell r="L1373">
            <v>-2.2647807714149756E-2</v>
          </cell>
          <cell r="M1373">
            <v>-1.1574419343870936E-2</v>
          </cell>
          <cell r="N1373">
            <v>7.1328410851093607E-2</v>
          </cell>
          <cell r="O1373">
            <v>0.27701445532197672</v>
          </cell>
          <cell r="P1373">
            <v>0.65341783686773602</v>
          </cell>
          <cell r="Q1373">
            <v>0.94951110854918064</v>
          </cell>
          <cell r="R1373">
            <v>1.2575057589188792</v>
          </cell>
          <cell r="S1373">
            <v>1.56465641935153</v>
          </cell>
          <cell r="T1373">
            <v>1.8507523634459626</v>
          </cell>
          <cell r="U1373">
            <v>2.107921362890441</v>
          </cell>
          <cell r="V1373">
            <v>2.3521624095626712</v>
          </cell>
          <cell r="W1373">
            <v>2.5552256831794216</v>
          </cell>
          <cell r="X1373">
            <v>2.7219907149922848</v>
          </cell>
          <cell r="Y1373">
            <v>2.8680978282998888</v>
          </cell>
          <cell r="Z1373">
            <v>3.0070022503758902</v>
          </cell>
          <cell r="AA1373">
            <v>3.1243584901021033</v>
          </cell>
          <cell r="AB1373">
            <v>3.2322819475299185</v>
          </cell>
          <cell r="AC1373">
            <v>3.3335749526106579</v>
          </cell>
          <cell r="AD1373">
            <v>3.4288136354866867</v>
          </cell>
          <cell r="AE1373">
            <v>3.5190129657863416</v>
          </cell>
          <cell r="AF1373">
            <v>3.6479795402605313</v>
          </cell>
          <cell r="AG1373">
            <v>3.8175294035299236</v>
          </cell>
          <cell r="AH1373">
            <v>4.0277444704659358</v>
          </cell>
          <cell r="AI1373">
            <v>4.2734945452513058</v>
          </cell>
          <cell r="AJ1373">
            <v>4.5473999050362899</v>
          </cell>
          <cell r="AK1373">
            <v>4.7757605533680341</v>
          </cell>
          <cell r="AL1373">
            <v>4.9554873565705542</v>
          </cell>
          <cell r="AM1373">
            <v>5.0880591329672784</v>
          </cell>
          <cell r="AN1373">
            <v>5.1794807726471532</v>
          </cell>
          <cell r="AO1373">
            <v>5.2375359818816793</v>
          </cell>
        </row>
        <row r="1374">
          <cell r="C1374" t="str">
            <v>Investissement</v>
          </cell>
          <cell r="E1374" t="str">
            <v>100*((I_2+CH_ccon_2-(I_0+CH_ccon_0))/GDP_0)</v>
          </cell>
          <cell r="F1374">
            <v>0</v>
          </cell>
          <cell r="G1374">
            <v>0</v>
          </cell>
          <cell r="H1374">
            <v>0</v>
          </cell>
          <cell r="I1374">
            <v>0</v>
          </cell>
          <cell r="J1374">
            <v>0</v>
          </cell>
          <cell r="K1374">
            <v>0</v>
          </cell>
          <cell r="L1374">
            <v>-1.1763962661514756E-2</v>
          </cell>
          <cell r="M1374">
            <v>-6.0449215718454997E-2</v>
          </cell>
          <cell r="N1374">
            <v>-0.14142514087752495</v>
          </cell>
          <cell r="O1374">
            <v>-0.24895099567217391</v>
          </cell>
          <cell r="P1374">
            <v>-0.37831103758526841</v>
          </cell>
          <cell r="Q1374">
            <v>-0.48498543857192183</v>
          </cell>
          <cell r="R1374">
            <v>-0.56033277799238079</v>
          </cell>
          <cell r="S1374">
            <v>-0.60853914137166099</v>
          </cell>
          <cell r="T1374">
            <v>-0.63842368755204915</v>
          </cell>
          <cell r="U1374">
            <v>-0.65785905626678187</v>
          </cell>
          <cell r="V1374">
            <v>-0.67192919882935309</v>
          </cell>
          <cell r="W1374">
            <v>-0.69301113893474064</v>
          </cell>
          <cell r="X1374">
            <v>-0.72631602474405643</v>
          </cell>
          <cell r="Y1374">
            <v>-0.77134033913472266</v>
          </cell>
          <cell r="Z1374">
            <v>-0.82514510510999006</v>
          </cell>
          <cell r="AA1374">
            <v>-0.88210911885972498</v>
          </cell>
          <cell r="AB1374">
            <v>-0.93868712384560737</v>
          </cell>
          <cell r="AC1374">
            <v>-0.9931918916032817</v>
          </cell>
          <cell r="AD1374">
            <v>-1.0447280618373487</v>
          </cell>
          <cell r="AE1374">
            <v>-1.0926808972486655</v>
          </cell>
          <cell r="AF1374">
            <v>-1.0930945472296025</v>
          </cell>
          <cell r="AG1374">
            <v>-1.0626013494212212</v>
          </cell>
          <cell r="AH1374">
            <v>-1.0110623784356507</v>
          </cell>
          <cell r="AI1374">
            <v>-0.94241878324475026</v>
          </cell>
          <cell r="AJ1374">
            <v>-0.85804149076100844</v>
          </cell>
          <cell r="AK1374">
            <v>-0.79384149054642028</v>
          </cell>
          <cell r="AL1374">
            <v>-0.7362300515178587</v>
          </cell>
          <cell r="AM1374">
            <v>-0.67702076021846136</v>
          </cell>
          <cell r="AN1374">
            <v>-0.61272284159900126</v>
          </cell>
          <cell r="AO1374">
            <v>-0.5419550621824204</v>
          </cell>
        </row>
        <row r="1375">
          <cell r="C1375" t="str">
            <v>Investissement entreprises</v>
          </cell>
          <cell r="E1375" t="str">
            <v>100*((I_2-IA_spub_2-(I_0-IA_spub_0))/GDP_0)</v>
          </cell>
          <cell r="F1375">
            <v>0</v>
          </cell>
          <cell r="G1375">
            <v>0</v>
          </cell>
          <cell r="H1375">
            <v>0</v>
          </cell>
          <cell r="I1375">
            <v>0</v>
          </cell>
          <cell r="J1375">
            <v>0</v>
          </cell>
          <cell r="K1375">
            <v>0</v>
          </cell>
          <cell r="L1375">
            <v>-1.0953372713832264E-2</v>
          </cell>
          <cell r="M1375">
            <v>-5.5093821270264957E-2</v>
          </cell>
          <cell r="N1375">
            <v>-0.1285884958680098</v>
          </cell>
          <cell r="O1375">
            <v>-0.22711890610155644</v>
          </cell>
          <cell r="P1375">
            <v>-0.34732340562651087</v>
          </cell>
          <cell r="Q1375">
            <v>-0.4478479019195597</v>
          </cell>
          <cell r="R1375">
            <v>-0.52190304037168012</v>
          </cell>
          <cell r="S1375">
            <v>-0.57242221797791326</v>
          </cell>
          <cell r="T1375">
            <v>-0.60651981475583572</v>
          </cell>
          <cell r="U1375">
            <v>-0.63087853314984765</v>
          </cell>
          <cell r="V1375">
            <v>-0.64961351509367893</v>
          </cell>
          <cell r="W1375">
            <v>-0.67395891019679666</v>
          </cell>
          <cell r="X1375">
            <v>-0.70902472786701065</v>
          </cell>
          <cell r="Y1375">
            <v>-0.75478138643873316</v>
          </cell>
          <cell r="Z1375">
            <v>-0.80888096972498613</v>
          </cell>
          <cell r="AA1375">
            <v>-0.86616438836336573</v>
          </cell>
          <cell r="AB1375">
            <v>-0.92353466668644302</v>
          </cell>
          <cell r="AC1375">
            <v>-0.9793767107936171</v>
          </cell>
          <cell r="AD1375">
            <v>-1.03275250475154</v>
          </cell>
          <cell r="AE1375">
            <v>-1.0830176379419152</v>
          </cell>
          <cell r="AF1375">
            <v>-1.0871151961973975</v>
          </cell>
          <cell r="AG1375">
            <v>-1.0613190317173333</v>
          </cell>
          <cell r="AH1375">
            <v>-1.015213164893124</v>
          </cell>
          <cell r="AI1375">
            <v>-0.95262497557086301</v>
          </cell>
          <cell r="AJ1375">
            <v>-0.87489613898314667</v>
          </cell>
          <cell r="AK1375">
            <v>-0.81683918278658385</v>
          </cell>
          <cell r="AL1375">
            <v>-0.76508688408400727</v>
          </cell>
          <cell r="AM1375">
            <v>-0.71161658056252053</v>
          </cell>
          <cell r="AN1375">
            <v>-0.65298951832552565</v>
          </cell>
          <cell r="AO1375">
            <v>-0.5878307145182966</v>
          </cell>
        </row>
        <row r="1376">
          <cell r="C1376" t="str">
            <v>Investissement ménages</v>
          </cell>
          <cell r="E1376" t="str">
            <v>100*((CH_ccon_2-CH_ccon_0)/GDP_0)</v>
          </cell>
          <cell r="F1376">
            <v>0</v>
          </cell>
          <cell r="G1376">
            <v>0</v>
          </cell>
          <cell r="H1376">
            <v>0</v>
          </cell>
          <cell r="I1376">
            <v>0</v>
          </cell>
          <cell r="J1376">
            <v>0</v>
          </cell>
          <cell r="K1376">
            <v>0</v>
          </cell>
          <cell r="L1376">
            <v>-3.9380064763608542E-4</v>
          </cell>
          <cell r="M1376">
            <v>-1.1571907605221129E-3</v>
          </cell>
          <cell r="N1376">
            <v>-2.0379817125430596E-3</v>
          </cell>
          <cell r="O1376">
            <v>-2.0156029814481034E-3</v>
          </cell>
          <cell r="P1376">
            <v>-3.2109900466753374E-5</v>
          </cell>
          <cell r="Q1376">
            <v>1.5819136105182719E-3</v>
          </cell>
          <cell r="R1376">
            <v>5.145383867328439E-3</v>
          </cell>
          <cell r="S1376">
            <v>1.0188424043732451E-2</v>
          </cell>
          <cell r="T1376">
            <v>1.5708914670573199E-2</v>
          </cell>
          <cell r="U1376">
            <v>2.1002984556770177E-2</v>
          </cell>
          <cell r="V1376">
            <v>2.587626826983009E-2</v>
          </cell>
          <cell r="W1376">
            <v>2.9704738039899193E-2</v>
          </cell>
          <cell r="X1376">
            <v>3.2499116447436485E-2</v>
          </cell>
          <cell r="Y1376">
            <v>3.4597188883025085E-2</v>
          </cell>
          <cell r="Z1376">
            <v>3.6391551047811201E-2</v>
          </cell>
          <cell r="AA1376">
            <v>3.7881418302523125E-2</v>
          </cell>
          <cell r="AB1376">
            <v>3.9450493359811004E-2</v>
          </cell>
          <cell r="AC1376">
            <v>4.1162390482812734E-2</v>
          </cell>
          <cell r="AD1376">
            <v>4.2975575692988911E-2</v>
          </cell>
          <cell r="AE1376">
            <v>4.4859974247147993E-2</v>
          </cell>
          <cell r="AF1376">
            <v>4.7295708336097378E-2</v>
          </cell>
          <cell r="AG1376">
            <v>5.0221394383852758E-2</v>
          </cell>
          <cell r="AH1376">
            <v>5.3550185799315024E-2</v>
          </cell>
          <cell r="AI1376">
            <v>5.7210386197784187E-2</v>
          </cell>
          <cell r="AJ1376">
            <v>6.1158114154464614E-2</v>
          </cell>
          <cell r="AK1376">
            <v>6.4484621418653479E-2</v>
          </cell>
          <cell r="AL1376">
            <v>6.729796198963757E-2</v>
          </cell>
          <cell r="AM1376">
            <v>6.9664839591365074E-2</v>
          </cell>
          <cell r="AN1376">
            <v>7.1639830685005901E-2</v>
          </cell>
          <cell r="AO1376">
            <v>7.3270774509755152E-2</v>
          </cell>
        </row>
        <row r="1377">
          <cell r="C1377" t="str">
            <v>Investissement public</v>
          </cell>
          <cell r="E1377" t="str">
            <v>100*((IA_spub_2-IA_spub_0)/GDP_0)</v>
          </cell>
          <cell r="F1377">
            <v>0</v>
          </cell>
          <cell r="G1377">
            <v>0</v>
          </cell>
          <cell r="H1377">
            <v>0</v>
          </cell>
          <cell r="I1377">
            <v>0</v>
          </cell>
          <cell r="J1377">
            <v>0</v>
          </cell>
          <cell r="K1377">
            <v>0</v>
          </cell>
          <cell r="L1377">
            <v>-4.1678930004625871E-4</v>
          </cell>
          <cell r="M1377">
            <v>-4.1982036876645409E-3</v>
          </cell>
          <cell r="N1377">
            <v>-1.0798663296972783E-2</v>
          </cell>
          <cell r="O1377">
            <v>-1.981648658916952E-2</v>
          </cell>
          <cell r="P1377">
            <v>-3.0955522058293699E-2</v>
          </cell>
          <cell r="Q1377">
            <v>-3.871945026287682E-2</v>
          </cell>
          <cell r="R1377">
            <v>-4.3575121488030361E-2</v>
          </cell>
          <cell r="S1377">
            <v>-4.6305347437478307E-2</v>
          </cell>
          <cell r="T1377">
            <v>-4.761278746678542E-2</v>
          </cell>
          <cell r="U1377">
            <v>-4.7983507673706252E-2</v>
          </cell>
          <cell r="V1377">
            <v>-4.8191952005508722E-2</v>
          </cell>
          <cell r="W1377">
            <v>-4.8756966777839666E-2</v>
          </cell>
          <cell r="X1377">
            <v>-4.9790413324483258E-2</v>
          </cell>
          <cell r="Y1377">
            <v>-5.1156141579015914E-2</v>
          </cell>
          <cell r="Z1377">
            <v>-5.2655686432813334E-2</v>
          </cell>
          <cell r="AA1377">
            <v>-5.3826148798885587E-2</v>
          </cell>
          <cell r="AB1377">
            <v>-5.460295051897586E-2</v>
          </cell>
          <cell r="AC1377">
            <v>-5.4977571292475394E-2</v>
          </cell>
          <cell r="AD1377">
            <v>-5.495113277879899E-2</v>
          </cell>
          <cell r="AE1377">
            <v>-5.4523233553893893E-2</v>
          </cell>
          <cell r="AF1377">
            <v>-5.3275059368300751E-2</v>
          </cell>
          <cell r="AG1377">
            <v>-5.150371208773822E-2</v>
          </cell>
          <cell r="AH1377">
            <v>-4.9399399341841545E-2</v>
          </cell>
          <cell r="AI1377">
            <v>-4.7004193871672713E-2</v>
          </cell>
          <cell r="AJ1377">
            <v>-4.4303465932328243E-2</v>
          </cell>
          <cell r="AK1377">
            <v>-4.1486929178490964E-2</v>
          </cell>
          <cell r="AL1377">
            <v>-3.8441129423488873E-2</v>
          </cell>
          <cell r="AM1377">
            <v>-3.5069019247303192E-2</v>
          </cell>
          <cell r="AN1377">
            <v>-3.1373153958480851E-2</v>
          </cell>
          <cell r="AO1377">
            <v>-2.7395122173878531E-2</v>
          </cell>
        </row>
        <row r="1378">
          <cell r="C1378" t="str">
            <v>Consommation des ménages</v>
          </cell>
          <cell r="E1378" t="str">
            <v>100*(CH_2/CH_0-1)</v>
          </cell>
          <cell r="F1378">
            <v>0</v>
          </cell>
          <cell r="G1378">
            <v>0</v>
          </cell>
          <cell r="H1378">
            <v>0</v>
          </cell>
          <cell r="I1378">
            <v>0</v>
          </cell>
          <cell r="J1378">
            <v>0</v>
          </cell>
          <cell r="K1378">
            <v>0</v>
          </cell>
          <cell r="L1378">
            <v>-4.1674626852228336E-2</v>
          </cell>
          <cell r="M1378">
            <v>-2.3022003491868226E-2</v>
          </cell>
          <cell r="N1378">
            <v>0.12534512936548392</v>
          </cell>
          <cell r="O1378">
            <v>0.4979940220441792</v>
          </cell>
          <cell r="P1378">
            <v>1.1847392809019475</v>
          </cell>
          <cell r="Q1378">
            <v>1.7270258857452481</v>
          </cell>
          <cell r="R1378">
            <v>2.2955726147774413</v>
          </cell>
          <cell r="S1378">
            <v>2.8655910813332408</v>
          </cell>
          <cell r="T1378">
            <v>3.3980210887509577</v>
          </cell>
          <cell r="U1378">
            <v>3.8772129321593019</v>
          </cell>
          <cell r="V1378">
            <v>4.3293591467155723</v>
          </cell>
          <cell r="W1378">
            <v>4.7053597416769177</v>
          </cell>
          <cell r="X1378">
            <v>5.0145748585405991</v>
          </cell>
          <cell r="Y1378">
            <v>5.2864308457077236</v>
          </cell>
          <cell r="Z1378">
            <v>5.5472039477840518</v>
          </cell>
          <cell r="AA1378">
            <v>5.7664937857300202</v>
          </cell>
          <cell r="AB1378">
            <v>5.971456512831308</v>
          </cell>
          <cell r="AC1378">
            <v>6.167505842974319</v>
          </cell>
          <cell r="AD1378">
            <v>6.3556840502478229</v>
          </cell>
          <cell r="AE1378">
            <v>6.5403029788654754</v>
          </cell>
          <cell r="AF1378">
            <v>6.7839087567136191</v>
          </cell>
          <cell r="AG1378">
            <v>7.1108495168648478</v>
          </cell>
          <cell r="AH1378">
            <v>7.5216005023411414</v>
          </cell>
          <cell r="AI1378">
            <v>8.0069544318832619</v>
          </cell>
          <cell r="AJ1378">
            <v>8.5533680939313008</v>
          </cell>
          <cell r="AK1378">
            <v>9.034098771040199</v>
          </cell>
          <cell r="AL1378">
            <v>9.4258307585091128</v>
          </cell>
          <cell r="AM1378">
            <v>9.7288703229408746</v>
          </cell>
          <cell r="AN1378">
            <v>9.9526179459822792</v>
          </cell>
          <cell r="AO1378">
            <v>10.110555632641338</v>
          </cell>
        </row>
        <row r="1379">
          <cell r="C1379" t="str">
            <v>Consommation des ménages automobile</v>
          </cell>
          <cell r="E1379" t="str">
            <v>100*(CH_cveh_2/CH_cveh_0-1)</v>
          </cell>
          <cell r="F1379">
            <v>0</v>
          </cell>
          <cell r="G1379">
            <v>0</v>
          </cell>
          <cell r="H1379">
            <v>0</v>
          </cell>
          <cell r="I1379">
            <v>0</v>
          </cell>
          <cell r="J1379">
            <v>0</v>
          </cell>
          <cell r="K1379">
            <v>0</v>
          </cell>
          <cell r="L1379">
            <v>-7.8485621868862321E-2</v>
          </cell>
          <cell r="M1379">
            <v>-0.41426542092125596</v>
          </cell>
          <cell r="N1379">
            <v>-0.52477362808664996</v>
          </cell>
          <cell r="O1379">
            <v>-0.32670937776799747</v>
          </cell>
          <cell r="P1379">
            <v>-2.4264740096602289E-2</v>
          </cell>
          <cell r="Q1379">
            <v>1.6528907238783308</v>
          </cell>
          <cell r="R1379">
            <v>3.6827805013989856</v>
          </cell>
          <cell r="S1379">
            <v>5.3082124753102811</v>
          </cell>
          <cell r="T1379">
            <v>6.3913589314362307</v>
          </cell>
          <cell r="U1379">
            <v>7.0586698749339094</v>
          </cell>
          <cell r="V1379">
            <v>7.2828564815217156</v>
          </cell>
          <cell r="W1379">
            <v>6.9554812649104347</v>
          </cell>
          <cell r="X1379">
            <v>6.2979060026994604</v>
          </cell>
          <cell r="Y1379">
            <v>5.5837583794899004</v>
          </cell>
          <cell r="Z1379">
            <v>4.9688252288524914</v>
          </cell>
          <cell r="AA1379">
            <v>4.6732557976895794</v>
          </cell>
          <cell r="AB1379">
            <v>4.5263931165017812</v>
          </cell>
          <cell r="AC1379">
            <v>4.4192031958777855</v>
          </cell>
          <cell r="AD1379">
            <v>4.3125154901082707</v>
          </cell>
          <cell r="AE1379">
            <v>4.1948800312134438</v>
          </cell>
          <cell r="AF1379">
            <v>4.3512111060083125</v>
          </cell>
          <cell r="AG1379">
            <v>4.6373293104878144</v>
          </cell>
          <cell r="AH1379">
            <v>4.9763771201321916</v>
          </cell>
          <cell r="AI1379">
            <v>5.3360315561848948</v>
          </cell>
          <cell r="AJ1379">
            <v>5.6941445244560684</v>
          </cell>
          <cell r="AK1379">
            <v>5.9386132527649682</v>
          </cell>
          <cell r="AL1379">
            <v>5.9963229115991723</v>
          </cell>
          <cell r="AM1379">
            <v>5.8839489380113186</v>
          </cell>
          <cell r="AN1379">
            <v>5.6447883322171766</v>
          </cell>
          <cell r="AO1379">
            <v>5.3218101857932743</v>
          </cell>
        </row>
        <row r="1380">
          <cell r="C1380" t="str">
            <v>Dépenses publiques</v>
          </cell>
          <cell r="E1380" t="str">
            <v>100*(G_2/G_0-1)</v>
          </cell>
          <cell r="F1380">
            <v>0</v>
          </cell>
          <cell r="G1380">
            <v>0</v>
          </cell>
          <cell r="H1380">
            <v>0</v>
          </cell>
          <cell r="I1380">
            <v>0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0</v>
          </cell>
          <cell r="Z1380">
            <v>0</v>
          </cell>
          <cell r="AA1380">
            <v>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</row>
        <row r="1381">
          <cell r="C1381" t="str">
            <v>Investissement</v>
          </cell>
          <cell r="E1381" t="str">
            <v>100*(I_2/I_0-1)</v>
          </cell>
          <cell r="F1381">
            <v>0</v>
          </cell>
          <cell r="G1381">
            <v>0</v>
          </cell>
          <cell r="H1381">
            <v>0</v>
          </cell>
          <cell r="I1381">
            <v>0</v>
          </cell>
          <cell r="J1381">
            <v>0</v>
          </cell>
          <cell r="K1381">
            <v>0</v>
          </cell>
          <cell r="L1381">
            <v>-5.2745798838227387E-2</v>
          </cell>
          <cell r="M1381">
            <v>-0.27392074413288281</v>
          </cell>
          <cell r="N1381">
            <v>-0.64123174309795861</v>
          </cell>
          <cell r="O1381">
            <v>-1.1315230612436</v>
          </cell>
          <cell r="P1381">
            <v>-1.727404233162888</v>
          </cell>
          <cell r="Q1381">
            <v>-2.2145287587010065</v>
          </cell>
          <cell r="R1381">
            <v>-2.5651681120964498</v>
          </cell>
          <cell r="S1381">
            <v>-2.7968346273368527</v>
          </cell>
          <cell r="T1381">
            <v>-2.9453915630048622</v>
          </cell>
          <cell r="U1381">
            <v>-3.0435875677897628</v>
          </cell>
          <cell r="V1381">
            <v>-3.1127635837509549</v>
          </cell>
          <cell r="W1381">
            <v>-3.2069869584009703</v>
          </cell>
          <cell r="X1381">
            <v>-3.3484810578297552</v>
          </cell>
          <cell r="Y1381">
            <v>-3.5355706783390617</v>
          </cell>
          <cell r="Z1381">
            <v>-3.7560728008579014</v>
          </cell>
          <cell r="AA1381">
            <v>-3.9843781785137256</v>
          </cell>
          <cell r="AB1381">
            <v>-4.2082783173175926</v>
          </cell>
          <cell r="AC1381">
            <v>-4.4205714049348472</v>
          </cell>
          <cell r="AD1381">
            <v>-4.6175207995080676</v>
          </cell>
          <cell r="AE1381">
            <v>-4.7961786590306481</v>
          </cell>
          <cell r="AF1381">
            <v>-4.7705471705303708</v>
          </cell>
          <cell r="AG1381">
            <v>-4.6231205555380956</v>
          </cell>
          <cell r="AH1381">
            <v>-4.3945078894624405</v>
          </cell>
          <cell r="AI1381">
            <v>-4.1015221258612904</v>
          </cell>
          <cell r="AJ1381">
            <v>-3.7505578097510539</v>
          </cell>
          <cell r="AK1381">
            <v>-3.4870242587403677</v>
          </cell>
          <cell r="AL1381">
            <v>-3.2508111727947209</v>
          </cell>
          <cell r="AM1381">
            <v>-3.0097278768664304</v>
          </cell>
          <cell r="AN1381">
            <v>-2.7499643788610695</v>
          </cell>
          <cell r="AO1381">
            <v>-2.4659398345576844</v>
          </cell>
        </row>
        <row r="1382">
          <cell r="C1382" t="str">
            <v>Investissement entreprises</v>
          </cell>
          <cell r="E1382" t="str">
            <v>100*((I_2-IA_spub_2)/(I_0-IA_spub_0)-1)</v>
          </cell>
          <cell r="F1382">
            <v>0</v>
          </cell>
          <cell r="G1382">
            <v>0</v>
          </cell>
          <cell r="H1382">
            <v>0</v>
          </cell>
          <cell r="I1382">
            <v>0</v>
          </cell>
          <cell r="J1382">
            <v>0</v>
          </cell>
          <cell r="K1382">
            <v>0</v>
          </cell>
          <cell r="L1382">
            <v>-5.5316755317802446E-2</v>
          </cell>
          <cell r="M1382">
            <v>-0.27688470134832333</v>
          </cell>
          <cell r="N1382">
            <v>-0.64301920702701798</v>
          </cell>
          <cell r="O1382">
            <v>-1.1303475014334152</v>
          </cell>
          <cell r="P1382">
            <v>-1.7211973706410144</v>
          </cell>
          <cell r="Q1382">
            <v>-2.2101059870829109</v>
          </cell>
          <cell r="R1382">
            <v>-2.564822454347504</v>
          </cell>
          <cell r="S1382">
            <v>-2.8007120432182453</v>
          </cell>
          <cell r="T1382">
            <v>-2.9533725986677917</v>
          </cell>
          <cell r="U1382">
            <v>-3.0559949646733253</v>
          </cell>
          <cell r="V1382">
            <v>-3.1281820742191213</v>
          </cell>
          <cell r="W1382">
            <v>-3.2256720738912281</v>
          </cell>
          <cell r="X1382">
            <v>-3.3718538019772315</v>
          </cell>
          <cell r="Y1382">
            <v>-3.5654799719512575</v>
          </cell>
          <cell r="Z1382">
            <v>-3.7943029821001284</v>
          </cell>
          <cell r="AA1382">
            <v>-4.0330384217914901</v>
          </cell>
          <cell r="AB1382">
            <v>-4.2686647208732165</v>
          </cell>
          <cell r="AC1382">
            <v>-4.4934558943945602</v>
          </cell>
          <cell r="AD1382">
            <v>-4.7033681088002215</v>
          </cell>
          <cell r="AE1382">
            <v>-4.8952894977735255</v>
          </cell>
          <cell r="AF1382">
            <v>-4.8727373618249636</v>
          </cell>
          <cell r="AG1382">
            <v>-4.7222289840866178</v>
          </cell>
          <cell r="AH1382">
            <v>-4.4864561228182502</v>
          </cell>
          <cell r="AI1382">
            <v>-4.1832174801398452</v>
          </cell>
          <cell r="AJ1382">
            <v>-3.8193960362085333</v>
          </cell>
          <cell r="AK1382">
            <v>-3.5492688229142977</v>
          </cell>
          <cell r="AL1382">
            <v>-3.309322604185938</v>
          </cell>
          <cell r="AM1382">
            <v>-3.0655494216740076</v>
          </cell>
          <cell r="AN1382">
            <v>-2.8032113363261169</v>
          </cell>
          <cell r="AO1382">
            <v>-2.5162178865596574</v>
          </cell>
        </row>
        <row r="1383">
          <cell r="C1383" t="str">
            <v>Exportations</v>
          </cell>
          <cell r="E1383" t="str">
            <v>100*(X_2/X_0-1)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-0.15853887334600358</v>
          </cell>
          <cell r="M1383">
            <v>-0.24758965903368679</v>
          </cell>
          <cell r="N1383">
            <v>-0.31734299001534572</v>
          </cell>
          <cell r="O1383">
            <v>-0.41682286829837212</v>
          </cell>
          <cell r="P1383">
            <v>-0.61161464099149798</v>
          </cell>
          <cell r="Q1383">
            <v>-0.92660946578725367</v>
          </cell>
          <cell r="R1383">
            <v>-1.277101473843667</v>
          </cell>
          <cell r="S1383">
            <v>-1.6567541526850693</v>
          </cell>
          <cell r="T1383">
            <v>-2.0692292375014354</v>
          </cell>
          <cell r="U1383">
            <v>-2.5228099356977229</v>
          </cell>
          <cell r="V1383">
            <v>-2.8976430245374218</v>
          </cell>
          <cell r="W1383">
            <v>-3.2807674650079943</v>
          </cell>
          <cell r="X1383">
            <v>-3.6639335884279256</v>
          </cell>
          <cell r="Y1383">
            <v>-4.0566678558490725</v>
          </cell>
          <cell r="Z1383">
            <v>-4.4690168831562289</v>
          </cell>
          <cell r="AA1383">
            <v>-4.9174713223683275</v>
          </cell>
          <cell r="AB1383">
            <v>-5.3764958650800887</v>
          </cell>
          <cell r="AC1383">
            <v>-5.8460174474889826</v>
          </cell>
          <cell r="AD1383">
            <v>-6.3279904515759711</v>
          </cell>
          <cell r="AE1383">
            <v>-6.8237422465087683</v>
          </cell>
          <cell r="AF1383">
            <v>-6.512234623753665</v>
          </cell>
          <cell r="AG1383">
            <v>-6.2008216481116651</v>
          </cell>
          <cell r="AH1383">
            <v>-5.8954004563753877</v>
          </cell>
          <cell r="AI1383">
            <v>-5.6016164921039113</v>
          </cell>
          <cell r="AJ1383">
            <v>-5.3232853752012588</v>
          </cell>
          <cell r="AK1383">
            <v>-5.7336475921219376</v>
          </cell>
          <cell r="AL1383">
            <v>-6.1340910439373175</v>
          </cell>
          <cell r="AM1383">
            <v>-6.5202652074396239</v>
          </cell>
          <cell r="AN1383">
            <v>-6.8907064952352881</v>
          </cell>
          <cell r="AO1383">
            <v>-7.2459084080813252</v>
          </cell>
        </row>
        <row r="1384">
          <cell r="C1384" t="str">
            <v>Importations</v>
          </cell>
          <cell r="E1384" t="str">
            <v>100*(M_2/M_0-1)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0</v>
          </cell>
          <cell r="K1384">
            <v>0</v>
          </cell>
          <cell r="L1384">
            <v>-8.2539311493778911E-2</v>
          </cell>
          <cell r="M1384">
            <v>-0.23493915091864492</v>
          </cell>
          <cell r="N1384">
            <v>-0.38784347506642947</v>
          </cell>
          <cell r="O1384">
            <v>-0.48934005863067176</v>
          </cell>
          <cell r="P1384">
            <v>-0.50493791723933423</v>
          </cell>
          <cell r="Q1384">
            <v>-0.47165558163944077</v>
          </cell>
          <cell r="R1384">
            <v>-0.356866837672698</v>
          </cell>
          <cell r="S1384">
            <v>-0.20859670659140184</v>
          </cell>
          <cell r="T1384">
            <v>-6.288397882989738E-2</v>
          </cell>
          <cell r="U1384">
            <v>6.3030902504435105E-2</v>
          </cell>
          <cell r="V1384">
            <v>0.19460279111109813</v>
          </cell>
          <cell r="W1384">
            <v>0.26920934300993515</v>
          </cell>
          <cell r="X1384">
            <v>0.29376252503152678</v>
          </cell>
          <cell r="Y1384">
            <v>0.28933628338554396</v>
          </cell>
          <cell r="Z1384">
            <v>0.27374519985763346</v>
          </cell>
          <cell r="AA1384">
            <v>0.25390085515226701</v>
          </cell>
          <cell r="AB1384">
            <v>0.23807525019807763</v>
          </cell>
          <cell r="AC1384">
            <v>0.22612017762384529</v>
          </cell>
          <cell r="AD1384">
            <v>0.21702271740471346</v>
          </cell>
          <cell r="AE1384">
            <v>0.20953670544661129</v>
          </cell>
          <cell r="AF1384">
            <v>0.53303935685069526</v>
          </cell>
          <cell r="AG1384">
            <v>0.94510792873638838</v>
          </cell>
          <cell r="AH1384">
            <v>1.4100245002724554</v>
          </cell>
          <cell r="AI1384">
            <v>1.9164581342548281</v>
          </cell>
          <cell r="AJ1384">
            <v>2.4577671431684323</v>
          </cell>
          <cell r="AK1384">
            <v>2.7394442345088921</v>
          </cell>
          <cell r="AL1384">
            <v>2.9490520873190151</v>
          </cell>
          <cell r="AM1384">
            <v>3.1158471106563113</v>
          </cell>
          <cell r="AN1384">
            <v>3.2515309840767559</v>
          </cell>
          <cell r="AO1384">
            <v>3.3641847962553761</v>
          </cell>
        </row>
        <row r="1385">
          <cell r="C1385" t="str">
            <v>Consommation des ménages</v>
          </cell>
          <cell r="E1385" t="str">
            <v>100*((CH_2-CH_ccon_2)/(CH_0-CH_ccon_0)-1)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0</v>
          </cell>
          <cell r="K1385">
            <v>0</v>
          </cell>
          <cell r="L1385">
            <v>-4.1578326555968825E-2</v>
          </cell>
          <cell r="M1385">
            <v>-2.1245002633529797E-2</v>
          </cell>
          <cell r="N1385">
            <v>0.1309788574703985</v>
          </cell>
          <cell r="O1385">
            <v>0.50921199471229972</v>
          </cell>
          <cell r="P1385">
            <v>1.2026509738234159</v>
          </cell>
          <cell r="Q1385">
            <v>1.7500935228856651</v>
          </cell>
          <cell r="R1385">
            <v>2.3205619939324906</v>
          </cell>
          <cell r="S1385">
            <v>2.8897716906263637</v>
          </cell>
          <cell r="T1385">
            <v>3.4199454736202117</v>
          </cell>
          <cell r="U1385">
            <v>3.8965124406859175</v>
          </cell>
          <cell r="V1385">
            <v>4.3464531470253753</v>
          </cell>
          <cell r="W1385">
            <v>4.7210528756622017</v>
          </cell>
          <cell r="X1385">
            <v>5.029784261783532</v>
          </cell>
          <cell r="Y1385">
            <v>5.3018839320666311</v>
          </cell>
          <cell r="Z1385">
            <v>5.5632814355592641</v>
          </cell>
          <cell r="AA1385">
            <v>5.7831709076800797</v>
          </cell>
          <cell r="AB1385">
            <v>5.9883553749644491</v>
          </cell>
          <cell r="AC1385">
            <v>6.184208931195645</v>
          </cell>
          <cell r="AD1385">
            <v>6.3718614568189391</v>
          </cell>
          <cell r="AE1385">
            <v>6.5557065032970208</v>
          </cell>
          <cell r="AF1385">
            <v>6.7985898469691719</v>
          </cell>
          <cell r="AG1385">
            <v>7.1250944485189649</v>
          </cell>
          <cell r="AH1385">
            <v>7.5358732205981216</v>
          </cell>
          <cell r="AI1385">
            <v>8.0217170072713451</v>
          </cell>
          <cell r="AJ1385">
            <v>8.5689590542345595</v>
          </cell>
          <cell r="AK1385">
            <v>9.0504496402008741</v>
          </cell>
          <cell r="AL1385">
            <v>9.4425130535320534</v>
          </cell>
          <cell r="AM1385">
            <v>9.7453368848907438</v>
          </cell>
          <cell r="AN1385">
            <v>9.9683725317724736</v>
          </cell>
          <cell r="AO1385">
            <v>10.125233327048555</v>
          </cell>
        </row>
        <row r="1386">
          <cell r="C1386" t="str">
            <v>Investissement</v>
          </cell>
          <cell r="E1386" t="str">
            <v>100*((I_2+CH_ccon_2)/(I_0+CH_ccon_0)-1)</v>
          </cell>
          <cell r="F1386">
            <v>0</v>
          </cell>
          <cell r="G1386">
            <v>0</v>
          </cell>
          <cell r="H1386">
            <v>0</v>
          </cell>
          <cell r="I1386">
            <v>0</v>
          </cell>
          <cell r="J1386">
            <v>0</v>
          </cell>
          <cell r="K1386">
            <v>0</v>
          </cell>
          <cell r="L1386">
            <v>-5.2574960935247717E-2</v>
          </cell>
          <cell r="M1386">
            <v>-0.26905852982672673</v>
          </cell>
          <cell r="N1386">
            <v>-0.62690771575977244</v>
          </cell>
          <cell r="O1386">
            <v>-1.0994137681197502</v>
          </cell>
          <cell r="P1386">
            <v>-1.6652918705573172</v>
          </cell>
          <cell r="Q1386">
            <v>-2.1282613891311697</v>
          </cell>
          <cell r="R1386">
            <v>-2.4513065939226197</v>
          </cell>
          <cell r="S1386">
            <v>-2.6533379410662583</v>
          </cell>
          <cell r="T1386">
            <v>-2.7733265359422998</v>
          </cell>
          <cell r="U1386">
            <v>-2.8459466477064432</v>
          </cell>
          <cell r="V1386">
            <v>-2.8926405366211716</v>
          </cell>
          <cell r="W1386">
            <v>-2.9682488300031062</v>
          </cell>
          <cell r="X1386">
            <v>-3.094168427134969</v>
          </cell>
          <cell r="Y1386">
            <v>-3.2673249516115166</v>
          </cell>
          <cell r="Z1386">
            <v>-3.4743162288365936</v>
          </cell>
          <cell r="AA1386">
            <v>-3.6903533356716145</v>
          </cell>
          <cell r="AB1386">
            <v>-3.9019976813312152</v>
          </cell>
          <cell r="AC1386">
            <v>-4.1020562109404635</v>
          </cell>
          <cell r="AD1386">
            <v>-4.2870919481832637</v>
          </cell>
          <cell r="AE1386">
            <v>-4.4544724997057301</v>
          </cell>
          <cell r="AF1386">
            <v>-4.4222422302311548</v>
          </cell>
          <cell r="AG1386">
            <v>-4.2701487619194012</v>
          </cell>
          <cell r="AH1386">
            <v>-4.0378936417275524</v>
          </cell>
          <cell r="AI1386">
            <v>-3.7420019506550828</v>
          </cell>
          <cell r="AJ1386">
            <v>-3.3887768881828428</v>
          </cell>
          <cell r="AK1386">
            <v>-3.1223907157640451</v>
          </cell>
          <cell r="AL1386">
            <v>-2.8843911368051423</v>
          </cell>
          <cell r="AM1386">
            <v>-2.6432179846758275</v>
          </cell>
          <cell r="AN1386">
            <v>-2.3852218386337665</v>
          </cell>
          <cell r="AO1386">
            <v>-2.1047837257685553</v>
          </cell>
        </row>
        <row r="1387">
          <cell r="C1387" t="str">
            <v>Investissement ménages</v>
          </cell>
          <cell r="E1387" t="str">
            <v>100*((CH_ccon_2)/(CH_ccon_0)-1)</v>
          </cell>
          <cell r="F1387">
            <v>0</v>
          </cell>
          <cell r="G1387">
            <v>0</v>
          </cell>
          <cell r="H1387">
            <v>0</v>
          </cell>
          <cell r="I1387">
            <v>0</v>
          </cell>
          <cell r="J1387">
            <v>0</v>
          </cell>
          <cell r="K1387">
            <v>0</v>
          </cell>
          <cell r="L1387">
            <v>-4.807881556123661E-2</v>
          </cell>
          <cell r="M1387">
            <v>-0.14090556700908641</v>
          </cell>
          <cell r="N1387">
            <v>-0.24800316009500056</v>
          </cell>
          <cell r="O1387">
            <v>-0.24559521613405355</v>
          </cell>
          <cell r="P1387">
            <v>-3.9220133463024887E-3</v>
          </cell>
          <cell r="Q1387">
            <v>0.19379731761908214</v>
          </cell>
          <cell r="R1387">
            <v>0.632074025097773</v>
          </cell>
          <cell r="S1387">
            <v>1.2540676139177531</v>
          </cell>
          <cell r="T1387">
            <v>1.9358809231524443</v>
          </cell>
          <cell r="U1387">
            <v>2.5898159715391778</v>
          </cell>
          <cell r="V1387">
            <v>3.1892180918974056</v>
          </cell>
          <cell r="W1387">
            <v>3.6590829157322036</v>
          </cell>
          <cell r="X1387">
            <v>4.0012036549026853</v>
          </cell>
          <cell r="Y1387">
            <v>4.2576781380791795</v>
          </cell>
          <cell r="Z1387">
            <v>4.4779127898406212</v>
          </cell>
          <cell r="AA1387">
            <v>4.6585031307267766</v>
          </cell>
          <cell r="AB1387">
            <v>4.8500713135369855</v>
          </cell>
          <cell r="AC1387">
            <v>5.0605715816927077</v>
          </cell>
          <cell r="AD1387">
            <v>5.2851057524278877</v>
          </cell>
          <cell r="AE1387">
            <v>5.5224318189038835</v>
          </cell>
          <cell r="AF1387">
            <v>5.815311738628659</v>
          </cell>
          <cell r="AG1387">
            <v>6.172762855032432</v>
          </cell>
          <cell r="AH1387">
            <v>6.5837240025768962</v>
          </cell>
          <cell r="AI1387">
            <v>7.0392760031029455</v>
          </cell>
          <cell r="AJ1387">
            <v>7.5341065907368332</v>
          </cell>
          <cell r="AK1387">
            <v>7.9679806017692201</v>
          </cell>
          <cell r="AL1387">
            <v>8.340759495219995</v>
          </cell>
          <cell r="AM1387">
            <v>8.6601370092735266</v>
          </cell>
          <cell r="AN1387">
            <v>8.9320001728254717</v>
          </cell>
          <cell r="AO1387">
            <v>9.1612545243435974</v>
          </cell>
        </row>
        <row r="1388">
          <cell r="C1388" t="str">
            <v>Investissement public</v>
          </cell>
          <cell r="E1388" t="str">
            <v>100*((IA_spub_2)/(IA_spub_0)-1)</v>
          </cell>
          <cell r="F1388">
            <v>0</v>
          </cell>
          <cell r="G1388">
            <v>0</v>
          </cell>
          <cell r="H1388">
            <v>0</v>
          </cell>
          <cell r="I1388">
            <v>0</v>
          </cell>
          <cell r="J1388">
            <v>0</v>
          </cell>
          <cell r="K1388">
            <v>0</v>
          </cell>
          <cell r="L1388">
            <v>-2.3744051720420156E-2</v>
          </cell>
          <cell r="M1388">
            <v>-0.24018037167194972</v>
          </cell>
          <cell r="N1388">
            <v>-0.62068620361585003</v>
          </cell>
          <cell r="O1388">
            <v>-1.1451729929599086</v>
          </cell>
          <cell r="P1388">
            <v>-1.800244034166476</v>
          </cell>
          <cell r="Q1388">
            <v>-2.2670016024639694</v>
          </cell>
          <cell r="R1388">
            <v>-2.5693153373062771</v>
          </cell>
          <cell r="S1388">
            <v>-2.7497741544879384</v>
          </cell>
          <cell r="T1388">
            <v>-2.8473733431128911</v>
          </cell>
          <cell r="U1388">
            <v>-2.8893527704288102</v>
          </cell>
          <cell r="V1388">
            <v>-2.9188358009500481</v>
          </cell>
          <cell r="W1388">
            <v>-2.9692386595697173</v>
          </cell>
          <cell r="X1388">
            <v>-3.0476506061720587</v>
          </cell>
          <cell r="Y1388">
            <v>-3.1461723636156513</v>
          </cell>
          <cell r="Z1388">
            <v>-3.2526317893398771</v>
          </cell>
          <cell r="AA1388">
            <v>-3.3365665688498525</v>
          </cell>
          <cell r="AB1388">
            <v>-3.3957780563484308</v>
          </cell>
          <cell r="AC1388">
            <v>-3.429597871269352</v>
          </cell>
          <cell r="AD1388">
            <v>-3.4381261918329131</v>
          </cell>
          <cell r="AE1388">
            <v>-3.4205693716833241</v>
          </cell>
          <cell r="AF1388">
            <v>-3.3408482670303719</v>
          </cell>
          <cell r="AG1388">
            <v>-3.2273432646370059</v>
          </cell>
          <cell r="AH1388">
            <v>-3.0921378769630636</v>
          </cell>
          <cell r="AI1388">
            <v>-2.9384808339879998</v>
          </cell>
          <cell r="AJ1388">
            <v>-2.7660589658930923</v>
          </cell>
          <cell r="AK1388">
            <v>-2.5920183842035205</v>
          </cell>
          <cell r="AL1388">
            <v>-2.4046283605467011</v>
          </cell>
          <cell r="AM1388">
            <v>-2.197681655117012</v>
          </cell>
          <cell r="AN1388">
            <v>-1.9707994217301406</v>
          </cell>
          <cell r="AO1388">
            <v>-1.7259360622684627</v>
          </cell>
        </row>
        <row r="1389">
          <cell r="C1389" t="str">
            <v>Revenu disponible des ménages</v>
          </cell>
          <cell r="E1389" t="str">
            <v>100*(DISPINC_AT_VAL_2/DISPINC_AT_VAL_0-1)</v>
          </cell>
          <cell r="F1389">
            <v>0</v>
          </cell>
          <cell r="G1389">
            <v>0</v>
          </cell>
          <cell r="H1389">
            <v>0</v>
          </cell>
          <cell r="I1389">
            <v>0</v>
          </cell>
          <cell r="J1389">
            <v>0</v>
          </cell>
          <cell r="K1389">
            <v>0</v>
          </cell>
          <cell r="L1389">
            <v>-1.5540211320264063E-2</v>
          </cell>
          <cell r="M1389">
            <v>0.61732935642153652</v>
          </cell>
          <cell r="N1389">
            <v>1.7771122103479531</v>
          </cell>
          <cell r="O1389">
            <v>3.6693233398369385</v>
          </cell>
          <cell r="P1389">
            <v>6.5195934766551611</v>
          </cell>
          <cell r="Q1389">
            <v>8.4635102552904193</v>
          </cell>
          <cell r="R1389">
            <v>10.488333637974701</v>
          </cell>
          <cell r="S1389">
            <v>12.492010018133204</v>
          </cell>
          <cell r="T1389">
            <v>14.440712006943567</v>
          </cell>
          <cell r="U1389">
            <v>16.3245319219522</v>
          </cell>
          <cell r="V1389">
            <v>18.312140076572536</v>
          </cell>
          <cell r="W1389">
            <v>20.339039236362112</v>
          </cell>
          <cell r="X1389">
            <v>22.427536437758523</v>
          </cell>
          <cell r="Y1389">
            <v>24.584019905383169</v>
          </cell>
          <cell r="Z1389">
            <v>26.802245384952084</v>
          </cell>
          <cell r="AA1389">
            <v>28.882892481937851</v>
          </cell>
          <cell r="AB1389">
            <v>30.924485379643141</v>
          </cell>
          <cell r="AC1389">
            <v>32.898209747064968</v>
          </cell>
          <cell r="AD1389">
            <v>34.781965529741242</v>
          </cell>
          <cell r="AE1389">
            <v>36.560566260996886</v>
          </cell>
          <cell r="AF1389">
            <v>38.362445085561767</v>
          </cell>
          <cell r="AG1389">
            <v>40.255143967547255</v>
          </cell>
          <cell r="AH1389">
            <v>42.214634345516068</v>
          </cell>
          <cell r="AI1389">
            <v>44.215040639323909</v>
          </cell>
          <cell r="AJ1389">
            <v>46.226439701769138</v>
          </cell>
          <cell r="AK1389">
            <v>47.905758562757697</v>
          </cell>
          <cell r="AL1389">
            <v>49.298057323029276</v>
          </cell>
          <cell r="AM1389">
            <v>50.395814851148344</v>
          </cell>
          <cell r="AN1389">
            <v>51.20141476276283</v>
          </cell>
          <cell r="AO1389">
            <v>51.722818871019548</v>
          </cell>
        </row>
        <row r="1390">
          <cell r="C1390" t="str">
            <v>Revenu disponible réel des ménages</v>
          </cell>
          <cell r="E1390" t="str">
            <v>100*(DISPINC_AT_VAL_2/DISPINC_AT_VAL_0-1)-100*(PCH_2/PCH_0-1)</v>
          </cell>
          <cell r="F1390">
            <v>0</v>
          </cell>
          <cell r="G1390">
            <v>0</v>
          </cell>
          <cell r="H1390">
            <v>0</v>
          </cell>
          <cell r="I1390">
            <v>0</v>
          </cell>
          <cell r="J1390">
            <v>0</v>
          </cell>
          <cell r="K1390">
            <v>0</v>
          </cell>
          <cell r="L1390">
            <v>-6.1216525596963223E-2</v>
          </cell>
          <cell r="M1390">
            <v>-9.1852408485637582E-3</v>
          </cell>
          <cell r="N1390">
            <v>0.1982871410823428</v>
          </cell>
          <cell r="O1390">
            <v>0.6722461546819325</v>
          </cell>
          <cell r="P1390">
            <v>1.5151739734607705</v>
          </cell>
          <cell r="Q1390">
            <v>1.9707862819734698</v>
          </cell>
          <cell r="R1390">
            <v>2.5890008672664564</v>
          </cell>
          <cell r="S1390">
            <v>3.2151952459251945</v>
          </cell>
          <cell r="T1390">
            <v>3.8014500570483492</v>
          </cell>
          <cell r="U1390">
            <v>4.3438555760123343</v>
          </cell>
          <cell r="V1390">
            <v>4.8963301776342014</v>
          </cell>
          <cell r="W1390">
            <v>5.3584688599669583</v>
          </cell>
          <cell r="X1390">
            <v>5.7740605364893476</v>
          </cell>
          <cell r="Y1390">
            <v>6.1811268177102114</v>
          </cell>
          <cell r="Z1390">
            <v>6.6016868940261588</v>
          </cell>
          <cell r="AA1390">
            <v>6.9564870572803592</v>
          </cell>
          <cell r="AB1390">
            <v>7.3164459662516741</v>
          </cell>
          <cell r="AC1390">
            <v>7.6692504982330831</v>
          </cell>
          <cell r="AD1390">
            <v>8.0113638765923341</v>
          </cell>
          <cell r="AE1390">
            <v>8.3484385582949905</v>
          </cell>
          <cell r="AF1390">
            <v>8.7974387608692446</v>
          </cell>
          <cell r="AG1390">
            <v>9.3644315409061782</v>
          </cell>
          <cell r="AH1390">
            <v>10.03606065116638</v>
          </cell>
          <cell r="AI1390">
            <v>10.798562978293511</v>
          </cell>
          <cell r="AJ1390">
            <v>11.63557069144936</v>
          </cell>
          <cell r="AK1390">
            <v>12.299052340242802</v>
          </cell>
          <cell r="AL1390">
            <v>12.83974436247437</v>
          </cell>
          <cell r="AM1390">
            <v>13.266326823820179</v>
          </cell>
          <cell r="AN1390">
            <v>13.588752067130635</v>
          </cell>
          <cell r="AO1390">
            <v>13.820284792874538</v>
          </cell>
        </row>
        <row r="1391">
          <cell r="C1391" t="str">
            <v>Revenu disponible par emploi en valeur</v>
          </cell>
          <cell r="E1391" t="str">
            <v>100*(DISPINC_AT_VAL_2/DISPINC_AT_VAL_0-1)-100*((F_L_2/F_L_0)-1)</v>
          </cell>
          <cell r="F1391">
            <v>0</v>
          </cell>
          <cell r="G1391">
            <v>0</v>
          </cell>
          <cell r="H1391">
            <v>0</v>
          </cell>
          <cell r="I1391">
            <v>0</v>
          </cell>
          <cell r="J1391">
            <v>0</v>
          </cell>
          <cell r="K1391">
            <v>0</v>
          </cell>
          <cell r="L1391">
            <v>1.0463080277534065E-2</v>
          </cell>
          <cell r="M1391">
            <v>0.60919117912747733</v>
          </cell>
          <cell r="N1391">
            <v>1.6333828591440946</v>
          </cell>
          <cell r="O1391">
            <v>3.2582806349571447</v>
          </cell>
          <cell r="P1391">
            <v>5.681962172687216</v>
          </cell>
          <cell r="Q1391">
            <v>7.2630352322210499</v>
          </cell>
          <cell r="R1391">
            <v>9.0318020113124184</v>
          </cell>
          <cell r="S1391">
            <v>10.876657034728421</v>
          </cell>
          <cell r="T1391">
            <v>12.747006936885661</v>
          </cell>
          <cell r="U1391">
            <v>14.61857942205733</v>
          </cell>
          <cell r="V1391">
            <v>16.609603062293242</v>
          </cell>
          <cell r="W1391">
            <v>18.647066979271877</v>
          </cell>
          <cell r="X1391">
            <v>20.753882268910129</v>
          </cell>
          <cell r="Y1391">
            <v>22.939427135169453</v>
          </cell>
          <cell r="Z1391">
            <v>25.200230741355313</v>
          </cell>
          <cell r="AA1391">
            <v>27.358140728785575</v>
          </cell>
          <cell r="AB1391">
            <v>29.511468629413852</v>
          </cell>
          <cell r="AC1391">
            <v>31.626180936921401</v>
          </cell>
          <cell r="AD1391">
            <v>33.675141695109609</v>
          </cell>
          <cell r="AE1391">
            <v>35.63945466519958</v>
          </cell>
          <cell r="AF1391">
            <v>37.494948325145593</v>
          </cell>
          <cell r="AG1391">
            <v>39.333978205921433</v>
          </cell>
          <cell r="AH1391">
            <v>41.159092656959871</v>
          </cell>
          <cell r="AI1391">
            <v>42.966437973243977</v>
          </cell>
          <cell r="AJ1391">
            <v>44.74390928793774</v>
          </cell>
          <cell r="AK1391">
            <v>46.299907071869683</v>
          </cell>
          <cell r="AL1391">
            <v>47.665286834386265</v>
          </cell>
          <cell r="AM1391">
            <v>48.8093753997479</v>
          </cell>
          <cell r="AN1391">
            <v>49.713153044540981</v>
          </cell>
          <cell r="AO1391">
            <v>50.366686525942157</v>
          </cell>
        </row>
        <row r="1392">
          <cell r="C1392" t="str">
            <v>Revenu disponible réel par emploi</v>
          </cell>
          <cell r="E1392" t="str">
            <v>100*(DISPINC_AT_VAL_2/DISPINC_AT_VAL_0-1)-100*((F_L_2/F_L_0)-1)-100*(PCH_2/PCH_0-1)</v>
          </cell>
          <cell r="F1392">
            <v>0</v>
          </cell>
          <cell r="G1392">
            <v>0</v>
          </cell>
          <cell r="H1392">
            <v>0</v>
          </cell>
          <cell r="I1392">
            <v>0</v>
          </cell>
          <cell r="J1392">
            <v>0</v>
          </cell>
          <cell r="K1392">
            <v>0</v>
          </cell>
          <cell r="L1392">
            <v>-3.5213233999165094E-2</v>
          </cell>
          <cell r="M1392">
            <v>-1.7323418142622948E-2</v>
          </cell>
          <cell r="N1392">
            <v>5.4557789878484364E-2</v>
          </cell>
          <cell r="O1392">
            <v>0.26120344980213872</v>
          </cell>
          <cell r="P1392">
            <v>0.67754266949282549</v>
          </cell>
          <cell r="Q1392">
            <v>0.77031125890410035</v>
          </cell>
          <cell r="R1392">
            <v>1.1324692406041734</v>
          </cell>
          <cell r="S1392">
            <v>1.5998422625204114</v>
          </cell>
          <cell r="T1392">
            <v>2.1077449869904434</v>
          </cell>
          <cell r="U1392">
            <v>2.637903076117464</v>
          </cell>
          <cell r="V1392">
            <v>3.1937931633549077</v>
          </cell>
          <cell r="W1392">
            <v>3.6664966028767232</v>
          </cell>
          <cell r="X1392">
            <v>4.1004063676409537</v>
          </cell>
          <cell r="Y1392">
            <v>4.5365340474964952</v>
          </cell>
          <cell r="Z1392">
            <v>4.9996722504293878</v>
          </cell>
          <cell r="AA1392">
            <v>5.4317353041280825</v>
          </cell>
          <cell r="AB1392">
            <v>5.9034292160223849</v>
          </cell>
          <cell r="AC1392">
            <v>6.3972216880895161</v>
          </cell>
          <cell r="AD1392">
            <v>6.9045400419607006</v>
          </cell>
          <cell r="AE1392">
            <v>7.4273269624976841</v>
          </cell>
          <cell r="AF1392">
            <v>7.929942000453071</v>
          </cell>
          <cell r="AG1392">
            <v>8.443265779280356</v>
          </cell>
          <cell r="AH1392">
            <v>8.9805189626101836</v>
          </cell>
          <cell r="AI1392">
            <v>9.5499603122135781</v>
          </cell>
          <cell r="AJ1392">
            <v>10.153040277617961</v>
          </cell>
          <cell r="AK1392">
            <v>10.693200849354788</v>
          </cell>
          <cell r="AL1392">
            <v>11.206973873831359</v>
          </cell>
          <cell r="AM1392">
            <v>11.679887372419735</v>
          </cell>
          <cell r="AN1392">
            <v>12.100490348908785</v>
          </cell>
          <cell r="AO1392">
            <v>12.464152447797147</v>
          </cell>
        </row>
        <row r="1393">
          <cell r="C1393" t="str">
            <v>Taux d'épargne</v>
          </cell>
          <cell r="E1393" t="str">
            <v>100*(MPS_n_2-MPS_n_0)</v>
          </cell>
          <cell r="F1393">
            <v>0</v>
          </cell>
          <cell r="G1393">
            <v>0</v>
          </cell>
          <cell r="H1393">
            <v>0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</row>
        <row r="1394">
          <cell r="C1394" t="str">
            <v>Prix à la consommation des ménages</v>
          </cell>
          <cell r="E1394" t="str">
            <v>100*(PCH_2/PCH_0-1)</v>
          </cell>
          <cell r="F1394">
            <v>0</v>
          </cell>
          <cell r="G1394">
            <v>0</v>
          </cell>
          <cell r="H1394">
            <v>0</v>
          </cell>
          <cell r="I1394">
            <v>0</v>
          </cell>
          <cell r="J1394">
            <v>0</v>
          </cell>
          <cell r="K1394">
            <v>0</v>
          </cell>
          <cell r="L1394">
            <v>-6.1216525596963223E-2</v>
          </cell>
          <cell r="M1394">
            <v>-9.1852408485637582E-3</v>
          </cell>
          <cell r="N1394">
            <v>0.1982871410823428</v>
          </cell>
          <cell r="O1394">
            <v>0.6722461546819325</v>
          </cell>
          <cell r="P1394">
            <v>1.5151739734607705</v>
          </cell>
          <cell r="Q1394">
            <v>1.9707862819734698</v>
          </cell>
          <cell r="R1394">
            <v>2.5890008672664564</v>
          </cell>
          <cell r="S1394">
            <v>3.2151952459251945</v>
          </cell>
          <cell r="T1394">
            <v>3.8014500570483492</v>
          </cell>
          <cell r="U1394">
            <v>4.3438555760123343</v>
          </cell>
          <cell r="V1394">
            <v>4.8963301776342014</v>
          </cell>
          <cell r="W1394">
            <v>5.3584688599669583</v>
          </cell>
          <cell r="X1394">
            <v>5.7740605364893476</v>
          </cell>
          <cell r="Y1394">
            <v>6.1811268177102114</v>
          </cell>
          <cell r="Z1394">
            <v>6.6016868940261588</v>
          </cell>
          <cell r="AA1394">
            <v>6.9564870572803592</v>
          </cell>
          <cell r="AB1394">
            <v>7.3164459662516741</v>
          </cell>
          <cell r="AC1394">
            <v>7.6692504982330831</v>
          </cell>
          <cell r="AD1394">
            <v>8.0113638765923341</v>
          </cell>
          <cell r="AE1394">
            <v>8.3484385582949905</v>
          </cell>
          <cell r="AF1394">
            <v>8.7974387608692446</v>
          </cell>
          <cell r="AG1394">
            <v>9.3644315409061782</v>
          </cell>
          <cell r="AH1394">
            <v>10.03606065116638</v>
          </cell>
          <cell r="AI1394">
            <v>10.798562978293511</v>
          </cell>
          <cell r="AJ1394">
            <v>11.63557069144936</v>
          </cell>
          <cell r="AK1394">
            <v>12.299052340242802</v>
          </cell>
          <cell r="AL1394">
            <v>12.83974436247437</v>
          </cell>
          <cell r="AM1394">
            <v>13.266326823820179</v>
          </cell>
          <cell r="AN1394">
            <v>13.588752067130635</v>
          </cell>
          <cell r="AO1394">
            <v>13.820284792874538</v>
          </cell>
        </row>
        <row r="1395">
          <cell r="C1395" t="str">
            <v>Prix à la production marchande</v>
          </cell>
          <cell r="E1395" t="str">
            <v>100*(PY_2/PY_0-1)</v>
          </cell>
          <cell r="F1395">
            <v>0</v>
          </cell>
          <cell r="G1395">
            <v>0</v>
          </cell>
          <cell r="H1395">
            <v>0</v>
          </cell>
          <cell r="I1395">
            <v>0</v>
          </cell>
          <cell r="J1395">
            <v>0</v>
          </cell>
          <cell r="K1395">
            <v>0</v>
          </cell>
          <cell r="L1395">
            <v>2.4497000857404139E-2</v>
          </cell>
          <cell r="M1395">
            <v>0.41320744485371375</v>
          </cell>
          <cell r="N1395">
            <v>1.1724250047749685</v>
          </cell>
          <cell r="O1395">
            <v>2.3719776070868503</v>
          </cell>
          <cell r="P1395">
            <v>4.12455119052344</v>
          </cell>
          <cell r="Q1395">
            <v>5.705443702051749</v>
          </cell>
          <cell r="R1395">
            <v>7.1800300583486854</v>
          </cell>
          <cell r="S1395">
            <v>8.6127567313690321</v>
          </cell>
          <cell r="T1395">
            <v>10.032971566468607</v>
          </cell>
          <cell r="U1395">
            <v>11.441603300221747</v>
          </cell>
          <cell r="V1395">
            <v>12.916653539664779</v>
          </cell>
          <cell r="W1395">
            <v>14.503609458931077</v>
          </cell>
          <cell r="X1395">
            <v>16.198704794297413</v>
          </cell>
          <cell r="Y1395">
            <v>17.97773088559811</v>
          </cell>
          <cell r="Z1395">
            <v>19.81405039616666</v>
          </cell>
          <cell r="AA1395">
            <v>21.614664035833297</v>
          </cell>
          <cell r="AB1395">
            <v>23.370023754017268</v>
          </cell>
          <cell r="AC1395">
            <v>25.067415561451778</v>
          </cell>
          <cell r="AD1395">
            <v>26.690430749333416</v>
          </cell>
          <cell r="AE1395">
            <v>28.21863527695858</v>
          </cell>
          <cell r="AF1395">
            <v>29.676881743378946</v>
          </cell>
          <cell r="AG1395">
            <v>31.1084575302337</v>
          </cell>
          <cell r="AH1395">
            <v>32.515002478508627</v>
          </cell>
          <cell r="AI1395">
            <v>33.885441812708784</v>
          </cell>
          <cell r="AJ1395">
            <v>35.204749991472561</v>
          </cell>
          <cell r="AK1395">
            <v>36.372125660106015</v>
          </cell>
          <cell r="AL1395">
            <v>37.357580270603364</v>
          </cell>
          <cell r="AM1395">
            <v>38.147361766938225</v>
          </cell>
          <cell r="AN1395">
            <v>38.735736507129118</v>
          </cell>
          <cell r="AO1395">
            <v>39.119694170719413</v>
          </cell>
        </row>
        <row r="1396">
          <cell r="C1396" t="str">
            <v>Prix des exportations</v>
          </cell>
          <cell r="E1396" t="str">
            <v>100*(PX_2/PX_0-1)</v>
          </cell>
          <cell r="F1396">
            <v>0</v>
          </cell>
          <cell r="G1396">
            <v>0</v>
          </cell>
          <cell r="H1396">
            <v>0</v>
          </cell>
          <cell r="I1396">
            <v>0</v>
          </cell>
          <cell r="J1396">
            <v>0</v>
          </cell>
          <cell r="K1396">
            <v>0</v>
          </cell>
          <cell r="L1396">
            <v>4.100632181061048E-2</v>
          </cell>
          <cell r="M1396">
            <v>0.50857090998748244</v>
          </cell>
          <cell r="N1396">
            <v>1.3499928622744628</v>
          </cell>
          <cell r="O1396">
            <v>2.6318810996808217</v>
          </cell>
          <cell r="P1396">
            <v>4.4595908208488133</v>
          </cell>
          <cell r="Q1396">
            <v>6.0293321283004797</v>
          </cell>
          <cell r="R1396">
            <v>7.4328434224398388</v>
          </cell>
          <cell r="S1396">
            <v>8.7633017418009764</v>
          </cell>
          <cell r="T1396">
            <v>10.066824957972953</v>
          </cell>
          <cell r="U1396">
            <v>11.359285433991184</v>
          </cell>
          <cell r="V1396">
            <v>12.752134193855458</v>
          </cell>
          <cell r="W1396">
            <v>14.296517266012088</v>
          </cell>
          <cell r="X1396">
            <v>15.961343422124298</v>
          </cell>
          <cell r="Y1396">
            <v>17.708335494727589</v>
          </cell>
          <cell r="Z1396">
            <v>19.503735417205537</v>
          </cell>
          <cell r="AA1396">
            <v>21.243530414796009</v>
          </cell>
          <cell r="AB1396">
            <v>22.917775783693138</v>
          </cell>
          <cell r="AC1396">
            <v>24.51381085607769</v>
          </cell>
          <cell r="AD1396">
            <v>26.017048715024305</v>
          </cell>
          <cell r="AE1396">
            <v>27.410008834026023</v>
          </cell>
          <cell r="AF1396">
            <v>28.738678998994004</v>
          </cell>
          <cell r="AG1396">
            <v>30.041940554931436</v>
          </cell>
          <cell r="AH1396">
            <v>31.309266781240641</v>
          </cell>
          <cell r="AI1396">
            <v>32.524433784336317</v>
          </cell>
          <cell r="AJ1396">
            <v>33.670675524757378</v>
          </cell>
          <cell r="AK1396">
            <v>34.641470699466396</v>
          </cell>
          <cell r="AL1396">
            <v>35.426046731482728</v>
          </cell>
          <cell r="AM1396">
            <v>36.020187173276639</v>
          </cell>
          <cell r="AN1396">
            <v>36.424141527935895</v>
          </cell>
          <cell r="AO1396">
            <v>36.637303011207244</v>
          </cell>
        </row>
        <row r="1397">
          <cell r="C1397" t="str">
            <v>Prix des importations</v>
          </cell>
          <cell r="E1397" t="str">
            <v>100*(PM_2/PM_0-1)</v>
          </cell>
          <cell r="F1397">
            <v>0</v>
          </cell>
          <cell r="G1397">
            <v>0</v>
          </cell>
          <cell r="H1397">
            <v>0</v>
          </cell>
          <cell r="I1397">
            <v>0</v>
          </cell>
          <cell r="J1397">
            <v>0</v>
          </cell>
          <cell r="K1397">
            <v>0</v>
          </cell>
          <cell r="L1397">
            <v>0.1688975932272907</v>
          </cell>
          <cell r="M1397">
            <v>0.92139590151723016</v>
          </cell>
          <cell r="N1397">
            <v>1.7615360252287049</v>
          </cell>
          <cell r="O1397">
            <v>2.7383678729813177</v>
          </cell>
          <cell r="P1397">
            <v>3.8130530249879557</v>
          </cell>
          <cell r="Q1397">
            <v>4.75641519366925</v>
          </cell>
          <cell r="R1397">
            <v>5.5597317666922219</v>
          </cell>
          <cell r="S1397">
            <v>6.2965708258996056</v>
          </cell>
          <cell r="T1397">
            <v>6.9573221044964662</v>
          </cell>
          <cell r="U1397">
            <v>7.5340955031574453</v>
          </cell>
          <cell r="V1397">
            <v>8.1820888850269178</v>
          </cell>
          <cell r="W1397">
            <v>9.0910866681699787</v>
          </cell>
          <cell r="X1397">
            <v>10.107055588675129</v>
          </cell>
          <cell r="Y1397">
            <v>11.136681514924195</v>
          </cell>
          <cell r="Z1397">
            <v>12.133501022891746</v>
          </cell>
          <cell r="AA1397">
            <v>13.062265364190262</v>
          </cell>
          <cell r="AB1397">
            <v>13.904572642807999</v>
          </cell>
          <cell r="AC1397">
            <v>14.633011414808772</v>
          </cell>
          <cell r="AD1397">
            <v>15.227196868599989</v>
          </cell>
          <cell r="AE1397">
            <v>15.672956535878058</v>
          </cell>
          <cell r="AF1397">
            <v>16.079401821152729</v>
          </cell>
          <cell r="AG1397">
            <v>16.480891995783999</v>
          </cell>
          <cell r="AH1397">
            <v>16.799542089080944</v>
          </cell>
          <cell r="AI1397">
            <v>17.011489255458923</v>
          </cell>
          <cell r="AJ1397">
            <v>17.104655396411239</v>
          </cell>
          <cell r="AK1397">
            <v>17.09786537700375</v>
          </cell>
          <cell r="AL1397">
            <v>16.996960308227727</v>
          </cell>
          <cell r="AM1397">
            <v>16.779349279638001</v>
          </cell>
          <cell r="AN1397">
            <v>16.437730765259406</v>
          </cell>
          <cell r="AO1397">
            <v>15.964181136756729</v>
          </cell>
        </row>
        <row r="1398">
          <cell r="C1398" t="str">
            <v>Salaire net nominal (hors cotisations employeurs et employés, unitaire)</v>
          </cell>
          <cell r="E1398" t="str">
            <v>100*(W_2/W_0-1)</v>
          </cell>
          <cell r="F1398">
            <v>0</v>
          </cell>
          <cell r="G1398">
            <v>0</v>
          </cell>
          <cell r="H1398">
            <v>0</v>
          </cell>
          <cell r="I1398">
            <v>0</v>
          </cell>
          <cell r="J1398">
            <v>0</v>
          </cell>
          <cell r="K1398">
            <v>0</v>
          </cell>
          <cell r="L1398">
            <v>-5.0682962985271196E-3</v>
          </cell>
          <cell r="M1398">
            <v>9.7812280986930844E-3</v>
          </cell>
          <cell r="N1398">
            <v>0.20774709198554397</v>
          </cell>
          <cell r="O1398">
            <v>0.6982351311501267</v>
          </cell>
          <cell r="P1398">
            <v>1.5816967149304917</v>
          </cell>
          <cell r="Q1398">
            <v>2.9331749302456744</v>
          </cell>
          <cell r="R1398">
            <v>4.5025642021895296</v>
          </cell>
          <cell r="S1398">
            <v>6.1492688139252349</v>
          </cell>
          <cell r="T1398">
            <v>7.8028365694234214</v>
          </cell>
          <cell r="U1398">
            <v>9.4287150403664413</v>
          </cell>
          <cell r="V1398">
            <v>11.015439006621408</v>
          </cell>
          <cell r="W1398">
            <v>12.589094945772871</v>
          </cell>
          <cell r="X1398">
            <v>14.188370200841982</v>
          </cell>
          <cell r="Y1398">
            <v>15.83997433824511</v>
          </cell>
          <cell r="Z1398">
            <v>17.553340662641158</v>
          </cell>
          <cell r="AA1398">
            <v>19.320100575154918</v>
          </cell>
          <cell r="AB1398">
            <v>21.097979109016872</v>
          </cell>
          <cell r="AC1398">
            <v>22.855382405056357</v>
          </cell>
          <cell r="AD1398">
            <v>24.56628681073143</v>
          </cell>
          <cell r="AE1398">
            <v>26.207593123265106</v>
          </cell>
          <cell r="AF1398">
            <v>27.797728819842902</v>
          </cell>
          <cell r="AG1398">
            <v>29.335583195887093</v>
          </cell>
          <cell r="AH1398">
            <v>30.832608411579887</v>
          </cell>
          <cell r="AI1398">
            <v>32.295277188137028</v>
          </cell>
          <cell r="AJ1398">
            <v>33.722511832437533</v>
          </cell>
          <cell r="AK1398">
            <v>35.069246277941282</v>
          </cell>
          <cell r="AL1398">
            <v>36.289993510645481</v>
          </cell>
          <cell r="AM1398">
            <v>37.34996183599948</v>
          </cell>
          <cell r="AN1398">
            <v>38.223517560882783</v>
          </cell>
          <cell r="AO1398">
            <v>38.893786043183745</v>
          </cell>
        </row>
        <row r="1399">
          <cell r="C1399" t="str">
            <v>Salaire net réel (hors cotisations employeurs et employés, unitaire)</v>
          </cell>
          <cell r="E1399" t="str">
            <v>100*((W_2/PCH_2)/(W_0/PCH_0)-1)</v>
          </cell>
          <cell r="F1399">
            <v>0</v>
          </cell>
          <cell r="G1399">
            <v>0</v>
          </cell>
          <cell r="H1399">
            <v>0</v>
          </cell>
          <cell r="I1399">
            <v>0</v>
          </cell>
          <cell r="J1399">
            <v>0</v>
          </cell>
          <cell r="K1399">
            <v>0</v>
          </cell>
          <cell r="L1399">
            <v>-5.0721442889567481E-2</v>
          </cell>
          <cell r="M1399">
            <v>-0.61289350191618963</v>
          </cell>
          <cell r="N1399">
            <v>-1.3497675094638395</v>
          </cell>
          <cell r="O1399">
            <v>-2.2319488249868735</v>
          </cell>
          <cell r="P1399">
            <v>-3.2595987906582913</v>
          </cell>
          <cell r="Q1399">
            <v>-3.3425279307938038</v>
          </cell>
          <cell r="R1399">
            <v>-3.1480904295645984</v>
          </cell>
          <cell r="S1399">
            <v>-2.8620398250097878</v>
          </cell>
          <cell r="T1399">
            <v>-2.5636698315615214</v>
          </cell>
          <cell r="U1399">
            <v>-2.2789300697645953</v>
          </cell>
          <cell r="V1399">
            <v>-2.1164341148344534</v>
          </cell>
          <cell r="W1399">
            <v>-2.0798952577758656</v>
          </cell>
          <cell r="X1399">
            <v>-2.113186667933975</v>
          </cell>
          <cell r="Y1399">
            <v>-2.1645744310741732</v>
          </cell>
          <cell r="Z1399">
            <v>-2.2023340502902999</v>
          </cell>
          <cell r="AA1399">
            <v>-2.1376049268614805</v>
          </cell>
          <cell r="AB1399">
            <v>-2.0306610446105378</v>
          </cell>
          <cell r="AC1399">
            <v>-1.8953897389334506</v>
          </cell>
          <cell r="AD1399">
            <v>-1.7388217880740187</v>
          </cell>
          <cell r="AE1399">
            <v>-1.5634516136296517</v>
          </cell>
          <cell r="AF1399">
            <v>-1.3640083499249722</v>
          </cell>
          <cell r="AG1399">
            <v>-1.1881127407153191</v>
          </cell>
          <cell r="AH1399">
            <v>-1.0182930902872367</v>
          </cell>
          <cell r="AI1399">
            <v>-0.84037631074475039</v>
          </cell>
          <cell r="AJ1399">
            <v>-0.64518283020794653</v>
          </cell>
          <cell r="AK1399">
            <v>-0.39633729005386087</v>
          </cell>
          <cell r="AL1399">
            <v>-0.12334862292930904</v>
          </cell>
          <cell r="AM1399">
            <v>0.16077782528245432</v>
          </cell>
          <cell r="AN1399">
            <v>0.44389437228000705</v>
          </cell>
          <cell r="AO1399">
            <v>0.71880620009274754</v>
          </cell>
        </row>
        <row r="1400">
          <cell r="C1400" t="str">
            <v>Coût du travail nominal (yc. Cotisations employeurs et employés, unitaire)</v>
          </cell>
          <cell r="E1400" t="str">
            <v>100*(C_L_2/C_L_0-1)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-5.0682834242476993E-3</v>
          </cell>
          <cell r="M1400">
            <v>9.7812166108157683E-3</v>
          </cell>
          <cell r="N1400">
            <v>0.20774710829136733</v>
          </cell>
          <cell r="O1400">
            <v>0.69823513297231354</v>
          </cell>
          <cell r="P1400">
            <v>1.581696710096403</v>
          </cell>
          <cell r="Q1400">
            <v>2.9331749274961627</v>
          </cell>
          <cell r="R1400">
            <v>4.502564209595028</v>
          </cell>
          <cell r="S1400">
            <v>6.149268805506547</v>
          </cell>
          <cell r="T1400">
            <v>7.8028365798572974</v>
          </cell>
          <cell r="U1400">
            <v>9.428715049352455</v>
          </cell>
          <cell r="V1400">
            <v>11.015439001015315</v>
          </cell>
          <cell r="W1400">
            <v>12.589094994298279</v>
          </cell>
          <cell r="X1400">
            <v>14.188370157694873</v>
          </cell>
          <cell r="Y1400">
            <v>15.83997439687832</v>
          </cell>
          <cell r="Z1400">
            <v>17.553340614827849</v>
          </cell>
          <cell r="AA1400">
            <v>19.320100584298959</v>
          </cell>
          <cell r="AB1400">
            <v>21.097979048577685</v>
          </cell>
          <cell r="AC1400">
            <v>22.855382359880892</v>
          </cell>
          <cell r="AD1400">
            <v>24.566286828745021</v>
          </cell>
          <cell r="AE1400">
            <v>26.207593111069659</v>
          </cell>
          <cell r="AF1400">
            <v>27.79772887588836</v>
          </cell>
          <cell r="AG1400">
            <v>29.335583335342321</v>
          </cell>
          <cell r="AH1400">
            <v>30.832608486127235</v>
          </cell>
          <cell r="AI1400">
            <v>32.295277116814304</v>
          </cell>
          <cell r="AJ1400">
            <v>33.722511832002191</v>
          </cell>
          <cell r="AK1400">
            <v>35.069246274123977</v>
          </cell>
          <cell r="AL1400">
            <v>36.289993484971504</v>
          </cell>
          <cell r="AM1400">
            <v>37.349961885580441</v>
          </cell>
          <cell r="AN1400">
            <v>38.223517510690577</v>
          </cell>
          <cell r="AO1400">
            <v>38.893786040439423</v>
          </cell>
        </row>
        <row r="1401">
          <cell r="C1401" t="str">
            <v>Coût réel du travail (yc. Cotisations employeurs et employés, unitaire)</v>
          </cell>
          <cell r="E1401" t="str">
            <v>100*((C_L_2/PVA_2)/(C_L_0/PVA_0)-1)</v>
          </cell>
          <cell r="F1401">
            <v>0</v>
          </cell>
          <cell r="G1401">
            <v>0</v>
          </cell>
          <cell r="H1401">
            <v>0</v>
          </cell>
          <cell r="I1401">
            <v>0</v>
          </cell>
          <cell r="J1401">
            <v>0</v>
          </cell>
          <cell r="K1401">
            <v>0</v>
          </cell>
          <cell r="L1401">
            <v>-6.0975954167541424E-3</v>
          </cell>
          <cell r="M1401">
            <v>-0.15385646092742622</v>
          </cell>
          <cell r="N1401">
            <v>-0.48732739914114642</v>
          </cell>
          <cell r="O1401">
            <v>-0.91784117360536044</v>
          </cell>
          <cell r="P1401">
            <v>-1.4191987223725833</v>
          </cell>
          <cell r="Q1401">
            <v>-1.7715723913640735</v>
          </cell>
          <cell r="R1401">
            <v>-1.8008835531454492</v>
          </cell>
          <cell r="S1401">
            <v>-1.7100364863727013</v>
          </cell>
          <cell r="T1401">
            <v>-1.6056047946183538</v>
          </cell>
          <cell r="U1401">
            <v>-1.5252519252913155</v>
          </cell>
          <cell r="V1401">
            <v>-1.4918263791829145</v>
          </cell>
          <cell r="W1401">
            <v>-1.5145755733950161</v>
          </cell>
          <cell r="X1401">
            <v>-1.5820976397861286</v>
          </cell>
          <cell r="Y1401">
            <v>-1.6664775986261482</v>
          </cell>
          <cell r="Z1401">
            <v>-1.7430714706491046</v>
          </cell>
          <cell r="AA1401">
            <v>-1.7892524394256037</v>
          </cell>
          <cell r="AB1401">
            <v>-1.7871438043063903</v>
          </cell>
          <cell r="AC1401">
            <v>-1.756807677277461</v>
          </cell>
          <cell r="AD1401">
            <v>-1.708596841356913</v>
          </cell>
          <cell r="AE1401">
            <v>-1.6452496985578713</v>
          </cell>
          <cell r="AF1401">
            <v>-1.5957009359473528</v>
          </cell>
          <cell r="AG1401">
            <v>-1.5667405020117542</v>
          </cell>
          <cell r="AH1401">
            <v>-1.5591137951092127</v>
          </cell>
          <cell r="AI1401">
            <v>-1.5603519294572155</v>
          </cell>
          <cell r="AJ1401">
            <v>-1.5594332957299284</v>
          </cell>
          <cell r="AK1401">
            <v>-1.5222114566837641</v>
          </cell>
          <cell r="AL1401">
            <v>-1.4344688074794165</v>
          </cell>
          <cell r="AM1401">
            <v>-1.3133209262916057</v>
          </cell>
          <cell r="AN1401">
            <v>-1.1732271645088277</v>
          </cell>
          <cell r="AO1401">
            <v>-1.0243471578500585</v>
          </cell>
        </row>
        <row r="1402">
          <cell r="C1402" t="str">
            <v>Emploi en %</v>
          </cell>
          <cell r="E1402" t="str">
            <v>((F_L_2/F_L_0)-1)*100</v>
          </cell>
          <cell r="F1402">
            <v>0</v>
          </cell>
          <cell r="G1402">
            <v>0</v>
          </cell>
          <cell r="H1402">
            <v>0</v>
          </cell>
          <cell r="I1402">
            <v>0</v>
          </cell>
          <cell r="J1402">
            <v>0</v>
          </cell>
          <cell r="K1402">
            <v>0</v>
          </cell>
          <cell r="L1402">
            <v>-2.6003291597798128E-2</v>
          </cell>
          <cell r="M1402">
            <v>8.1381772940591901E-3</v>
          </cell>
          <cell r="N1402">
            <v>0.14372935120385844</v>
          </cell>
          <cell r="O1402">
            <v>0.41104270487979377</v>
          </cell>
          <cell r="P1402">
            <v>0.83763130396794505</v>
          </cell>
          <cell r="Q1402">
            <v>1.2004750230693695</v>
          </cell>
          <cell r="R1402">
            <v>1.456531626662283</v>
          </cell>
          <cell r="S1402">
            <v>1.6153529834047831</v>
          </cell>
          <cell r="T1402">
            <v>1.6937050700579048</v>
          </cell>
          <cell r="U1402">
            <v>1.7059524998948694</v>
          </cell>
          <cell r="V1402">
            <v>1.7025370142792928</v>
          </cell>
          <cell r="W1402">
            <v>1.6919722570902351</v>
          </cell>
          <cell r="X1402">
            <v>1.673654168848393</v>
          </cell>
          <cell r="Y1402">
            <v>1.6445927702137153</v>
          </cell>
          <cell r="Z1402">
            <v>1.6020146435967719</v>
          </cell>
          <cell r="AA1402">
            <v>1.5247517531522758</v>
          </cell>
          <cell r="AB1402">
            <v>1.4130167502292901</v>
          </cell>
          <cell r="AC1402">
            <v>1.2720288101435662</v>
          </cell>
          <cell r="AD1402">
            <v>1.1068238346316317</v>
          </cell>
          <cell r="AE1402">
            <v>0.92111159579730817</v>
          </cell>
          <cell r="AF1402">
            <v>0.86749676041617541</v>
          </cell>
          <cell r="AG1402">
            <v>0.92116576162581953</v>
          </cell>
          <cell r="AH1402">
            <v>1.0555416885561941</v>
          </cell>
          <cell r="AI1402">
            <v>1.2486026660799343</v>
          </cell>
          <cell r="AJ1402">
            <v>1.4825304138313955</v>
          </cell>
          <cell r="AK1402">
            <v>1.6058514908880106</v>
          </cell>
          <cell r="AL1402">
            <v>1.6327704886430094</v>
          </cell>
          <cell r="AM1402">
            <v>1.5864394514004454</v>
          </cell>
          <cell r="AN1402">
            <v>1.4882617182218505</v>
          </cell>
          <cell r="AO1402">
            <v>1.3561323450773877</v>
          </cell>
        </row>
        <row r="1403">
          <cell r="C1403" t="str">
            <v>Emploi en millier</v>
          </cell>
          <cell r="E1403" t="str">
            <v>F_L_2-F_L_0</v>
          </cell>
          <cell r="F1403">
            <v>0</v>
          </cell>
          <cell r="G1403">
            <v>0</v>
          </cell>
          <cell r="H1403">
            <v>0</v>
          </cell>
          <cell r="I1403">
            <v>0</v>
          </cell>
          <cell r="J1403">
            <v>0</v>
          </cell>
          <cell r="K1403">
            <v>0</v>
          </cell>
          <cell r="L1403">
            <v>-7.3394000000007509</v>
          </cell>
          <cell r="M1403">
            <v>2.314860000002227</v>
          </cell>
          <cell r="N1403">
            <v>41.217560000000958</v>
          </cell>
          <cell r="O1403">
            <v>118.8751400000001</v>
          </cell>
          <cell r="P1403">
            <v>244.3918900000026</v>
          </cell>
          <cell r="Q1403">
            <v>353.43028000000049</v>
          </cell>
          <cell r="R1403">
            <v>432.74950000000172</v>
          </cell>
          <cell r="S1403">
            <v>484.35243999999875</v>
          </cell>
          <cell r="T1403">
            <v>512.48545000000013</v>
          </cell>
          <cell r="U1403">
            <v>520.83000999999786</v>
          </cell>
          <cell r="V1403">
            <v>524.06630999999834</v>
          </cell>
          <cell r="W1403">
            <v>524.73592999999892</v>
          </cell>
          <cell r="X1403">
            <v>522.64389000000301</v>
          </cell>
          <cell r="Y1403">
            <v>516.85097999999925</v>
          </cell>
          <cell r="Z1403">
            <v>506.43680999999924</v>
          </cell>
          <cell r="AA1403">
            <v>484.45595999999932</v>
          </cell>
          <cell r="AB1403">
            <v>450.94584000000032</v>
          </cell>
          <cell r="AC1403">
            <v>407.56589000000167</v>
          </cell>
          <cell r="AD1403">
            <v>355.93260000000009</v>
          </cell>
          <cell r="AE1403">
            <v>297.1877800000002</v>
          </cell>
          <cell r="AF1403">
            <v>280.19119000000137</v>
          </cell>
          <cell r="AG1403">
            <v>297.33315000000221</v>
          </cell>
          <cell r="AH1403">
            <v>340.07290999999896</v>
          </cell>
          <cell r="AI1403">
            <v>401.20406000000003</v>
          </cell>
          <cell r="AJ1403">
            <v>474.87816000000021</v>
          </cell>
          <cell r="AK1403">
            <v>513.24097999999867</v>
          </cell>
          <cell r="AL1403">
            <v>521.14152999999715</v>
          </cell>
          <cell r="AM1403">
            <v>506.03577000000223</v>
          </cell>
          <cell r="AN1403">
            <v>474.68588999999702</v>
          </cell>
          <cell r="AO1403">
            <v>432.68583999999828</v>
          </cell>
        </row>
        <row r="1404">
          <cell r="C1404" t="str">
            <v>Taux de chômage (en point)</v>
          </cell>
          <cell r="E1404" t="str">
            <v>100*(UnR_2-UnR_0)</v>
          </cell>
          <cell r="F1404">
            <v>0</v>
          </cell>
          <cell r="G1404">
            <v>0</v>
          </cell>
          <cell r="H1404">
            <v>0</v>
          </cell>
          <cell r="I1404">
            <v>0</v>
          </cell>
          <cell r="J1404">
            <v>0</v>
          </cell>
          <cell r="K1404">
            <v>0</v>
          </cell>
          <cell r="L1404">
            <v>1.9072419999999202E-2</v>
          </cell>
          <cell r="M1404">
            <v>-7.4121799999993243E-3</v>
          </cell>
          <cell r="N1404">
            <v>-0.10622256000000219</v>
          </cell>
          <cell r="O1404">
            <v>-0.29634970000000094</v>
          </cell>
          <cell r="P1404">
            <v>-0.59489586999999933</v>
          </cell>
          <cell r="Q1404">
            <v>-0.83502436000000013</v>
          </cell>
          <cell r="R1404">
            <v>-0.99493247999999923</v>
          </cell>
          <cell r="S1404">
            <v>-1.0882732500000005</v>
          </cell>
          <cell r="T1404">
            <v>-1.1294963400000011</v>
          </cell>
          <cell r="U1404">
            <v>-1.1289729999999998</v>
          </cell>
          <cell r="V1404">
            <v>-1.1231118499999999</v>
          </cell>
          <cell r="W1404">
            <v>-1.1152126500000012</v>
          </cell>
          <cell r="X1404">
            <v>-1.1030537800000004</v>
          </cell>
          <cell r="Y1404">
            <v>-1.0836763400000005</v>
          </cell>
          <cell r="Z1404">
            <v>-1.0556232499999998</v>
          </cell>
          <cell r="AA1404">
            <v>-1.0008376100000007</v>
          </cell>
          <cell r="AB1404">
            <v>-0.92191759999999956</v>
          </cell>
          <cell r="AC1404">
            <v>-0.82347717000000042</v>
          </cell>
          <cell r="AD1404">
            <v>-0.70936555999999984</v>
          </cell>
          <cell r="AE1404">
            <v>-0.58327887000000078</v>
          </cell>
          <cell r="AF1404">
            <v>-0.55877413999999992</v>
          </cell>
          <cell r="AG1404">
            <v>-0.60899724000000044</v>
          </cell>
          <cell r="AH1404">
            <v>-0.71091892999999984</v>
          </cell>
          <cell r="AI1404">
            <v>-0.84786347000000006</v>
          </cell>
          <cell r="AJ1404">
            <v>-1.0074641199999999</v>
          </cell>
          <cell r="AK1404">
            <v>-1.0781306300000002</v>
          </cell>
          <cell r="AL1404">
            <v>-1.0808198999999989</v>
          </cell>
          <cell r="AM1404">
            <v>-1.0363642399999997</v>
          </cell>
          <cell r="AN1404">
            <v>-0.96082074999999934</v>
          </cell>
          <cell r="AO1404">
            <v>-0.86626654999999997</v>
          </cell>
        </row>
        <row r="1405">
          <cell r="C1405" t="str">
            <v>Balance commerciale</v>
          </cell>
          <cell r="E1405" t="str">
            <v>100*(Bal_Trade_VAL_2/(GDP_2*PGDP_2)-Bal_Trade_VAL_0/(GDP_0*PGDP_0))</v>
          </cell>
          <cell r="F1405">
            <v>0</v>
          </cell>
          <cell r="G1405">
            <v>0</v>
          </cell>
          <cell r="H1405">
            <v>0</v>
          </cell>
          <cell r="I1405">
            <v>0</v>
          </cell>
          <cell r="J1405">
            <v>0</v>
          </cell>
          <cell r="K1405">
            <v>0</v>
          </cell>
          <cell r="L1405">
            <v>-5.9135723375477837E-2</v>
          </cell>
          <cell r="M1405">
            <v>-0.12215965333346579</v>
          </cell>
          <cell r="N1405">
            <v>-9.9106135943930612E-2</v>
          </cell>
          <cell r="O1405">
            <v>-1.9250930335660069E-2</v>
          </cell>
          <cell r="P1405">
            <v>0.1195429286461578</v>
          </cell>
          <cell r="Q1405">
            <v>0.17006487079285865</v>
          </cell>
          <cell r="R1405">
            <v>0.17105351781399292</v>
          </cell>
          <cell r="S1405">
            <v>0.14399617984472216</v>
          </cell>
          <cell r="T1405">
            <v>0.11311617852619825</v>
          </cell>
          <cell r="U1405">
            <v>8.6997468236423015E-2</v>
          </cell>
          <cell r="V1405">
            <v>8.625726301526096E-2</v>
          </cell>
          <cell r="W1405">
            <v>6.7043025835646086E-2</v>
          </cell>
          <cell r="X1405">
            <v>5.9052082474502637E-2</v>
          </cell>
          <cell r="Y1405">
            <v>6.5690481273650292E-2</v>
          </cell>
          <cell r="Z1405">
            <v>8.0787893021618679E-2</v>
          </cell>
          <cell r="AA1405">
            <v>8.9002996200413659E-2</v>
          </cell>
          <cell r="AB1405">
            <v>9.2735715651690726E-2</v>
          </cell>
          <cell r="AC1405">
            <v>9.565663304238331E-2</v>
          </cell>
          <cell r="AD1405">
            <v>9.9098016631096048E-2</v>
          </cell>
          <cell r="AE1405">
            <v>0.10153566467501901</v>
          </cell>
          <cell r="AF1405">
            <v>0.27888098576721171</v>
          </cell>
          <cell r="AG1405">
            <v>0.42461747841037667</v>
          </cell>
          <cell r="AH1405">
            <v>0.56096635606539613</v>
          </cell>
          <cell r="AI1405">
            <v>0.69181531431679599</v>
          </cell>
          <cell r="AJ1405">
            <v>0.81808338533510683</v>
          </cell>
          <cell r="AK1405">
            <v>0.7788400533432861</v>
          </cell>
          <cell r="AL1405">
            <v>0.74632760681422194</v>
          </cell>
          <cell r="AM1405">
            <v>0.71877514984248769</v>
          </cell>
          <cell r="AN1405">
            <v>0.69565870070984892</v>
          </cell>
          <cell r="AO1405">
            <v>0.67657410112863392</v>
          </cell>
        </row>
        <row r="1406">
          <cell r="C1406" t="str">
            <v>Facture énergétique</v>
          </cell>
          <cell r="E1406" t="str">
            <v>100*(ENER_BILL_2/(GDP_2*PGDP_2)-ENER_BILL_0/(GDP_0*PGDP_0))</v>
          </cell>
          <cell r="F1406">
            <v>0</v>
          </cell>
          <cell r="G1406">
            <v>0</v>
          </cell>
          <cell r="H1406">
            <v>0</v>
          </cell>
          <cell r="I1406">
            <v>0</v>
          </cell>
          <cell r="J1406">
            <v>0</v>
          </cell>
          <cell r="K1406">
            <v>0</v>
          </cell>
          <cell r="L1406">
            <v>1.9627541761567391E-4</v>
          </cell>
          <cell r="M1406">
            <v>-4.9888366521656444E-2</v>
          </cell>
          <cell r="N1406">
            <v>-0.15008090704635382</v>
          </cell>
          <cell r="O1406">
            <v>-0.27805058490628398</v>
          </cell>
          <cell r="P1406">
            <v>-0.42281591339623947</v>
          </cell>
          <cell r="Q1406">
            <v>-0.54397367956466314</v>
          </cell>
          <cell r="R1406">
            <v>-0.63508198412393524</v>
          </cell>
          <cell r="S1406">
            <v>-0.70707341054861961</v>
          </cell>
          <cell r="T1406">
            <v>-0.77015249763665461</v>
          </cell>
          <cell r="U1406">
            <v>-0.82872997572692142</v>
          </cell>
          <cell r="V1406">
            <v>-0.87904737533377153</v>
          </cell>
          <cell r="W1406">
            <v>-0.89785126526777326</v>
          </cell>
          <cell r="X1406">
            <v>-0.90450069575390202</v>
          </cell>
          <cell r="Y1406">
            <v>-0.91010057061259375</v>
          </cell>
          <cell r="Z1406">
            <v>-0.91672545354084012</v>
          </cell>
          <cell r="AA1406">
            <v>-0.92303526193416985</v>
          </cell>
          <cell r="AB1406">
            <v>-0.92834118297760759</v>
          </cell>
          <cell r="AC1406">
            <v>-0.93369913978895058</v>
          </cell>
          <cell r="AD1406">
            <v>-0.9396365479069736</v>
          </cell>
          <cell r="AE1406">
            <v>-0.94596601973521344</v>
          </cell>
          <cell r="AF1406">
            <v>-0.95401770697242627</v>
          </cell>
          <cell r="AG1406">
            <v>-0.9619946568262252</v>
          </cell>
          <cell r="AH1406">
            <v>-0.9710322171848087</v>
          </cell>
          <cell r="AI1406">
            <v>-0.98120152999321297</v>
          </cell>
          <cell r="AJ1406">
            <v>-0.99231765913267489</v>
          </cell>
          <cell r="AK1406">
            <v>-1.0020246514627735</v>
          </cell>
          <cell r="AL1406">
            <v>-1.0115907504422195</v>
          </cell>
          <cell r="AM1406">
            <v>-1.0204706365604874</v>
          </cell>
          <cell r="AN1406">
            <v>-1.0286737210028867</v>
          </cell>
          <cell r="AO1406">
            <v>-1.0362409251593268</v>
          </cell>
        </row>
        <row r="1407">
          <cell r="C1407" t="str">
            <v>Solde public primaire</v>
          </cell>
          <cell r="E1407" t="str">
            <v>100*((-Bal_G_prim_VAL_2)/(GDP_2*PGDP_2)-(-Bal_G_prim_VAL_0)/(GDP_0*PGDP_0))</v>
          </cell>
          <cell r="F1407">
            <v>0</v>
          </cell>
          <cell r="G1407">
            <v>0</v>
          </cell>
          <cell r="H1407">
            <v>0</v>
          </cell>
          <cell r="I1407">
            <v>0</v>
          </cell>
          <cell r="J1407">
            <v>0</v>
          </cell>
          <cell r="K1407">
            <v>0</v>
          </cell>
          <cell r="L1407">
            <v>2.643580475067105E-2</v>
          </cell>
          <cell r="M1407">
            <v>0.1186111972956508</v>
          </cell>
          <cell r="N1407">
            <v>0.19599467668490295</v>
          </cell>
          <cell r="O1407">
            <v>0.22899873775701246</v>
          </cell>
          <cell r="P1407">
            <v>0.20150365038106544</v>
          </cell>
          <cell r="Q1407">
            <v>4.7729236944112075E-2</v>
          </cell>
          <cell r="R1407">
            <v>-0.10269241856821001</v>
          </cell>
          <cell r="S1407">
            <v>-0.22060369989053835</v>
          </cell>
          <cell r="T1407">
            <v>-0.30058921532128346</v>
          </cell>
          <cell r="U1407">
            <v>-0.3475819774625924</v>
          </cell>
          <cell r="V1407">
            <v>-0.37516615669203401</v>
          </cell>
          <cell r="W1407">
            <v>-0.40000600125146696</v>
          </cell>
          <cell r="X1407">
            <v>-0.42490942143066091</v>
          </cell>
          <cell r="Y1407">
            <v>-0.44998332482453079</v>
          </cell>
          <cell r="Z1407">
            <v>-0.47334857956707954</v>
          </cell>
          <cell r="AA1407">
            <v>-0.49997952668317108</v>
          </cell>
          <cell r="AB1407">
            <v>-0.51425243976206825</v>
          </cell>
          <cell r="AC1407">
            <v>-0.51395000312586814</v>
          </cell>
          <cell r="AD1407">
            <v>-0.49935904814112642</v>
          </cell>
          <cell r="AE1407">
            <v>-0.47004103803998387</v>
          </cell>
          <cell r="AF1407">
            <v>-0.51518033950559561</v>
          </cell>
          <cell r="AG1407">
            <v>-0.61026723922013859</v>
          </cell>
          <cell r="AH1407">
            <v>-0.741606749351019</v>
          </cell>
          <cell r="AI1407">
            <v>-0.89929089899156023</v>
          </cell>
          <cell r="AJ1407">
            <v>-1.0745321381703601</v>
          </cell>
          <cell r="AK1407">
            <v>-1.1905847883168743</v>
          </cell>
          <cell r="AL1407">
            <v>-1.2499036178571483</v>
          </cell>
          <cell r="AM1407">
            <v>-1.2635573817046011</v>
          </cell>
          <cell r="AN1407">
            <v>-1.2412332418344016</v>
          </cell>
          <cell r="AO1407">
            <v>-1.1915603706291731</v>
          </cell>
        </row>
        <row r="1408">
          <cell r="C1408" t="str">
            <v xml:space="preserve">Solde public </v>
          </cell>
          <cell r="E1408" t="str">
            <v>100*((-Bal_G_tot_VAL_2)/(GDP_2*PGDP_2)-(-Bal_G_tot_VAL_0)/(GDP_0*PGDP_0))</v>
          </cell>
          <cell r="F1408">
            <v>0</v>
          </cell>
          <cell r="G1408">
            <v>0</v>
          </cell>
          <cell r="H1408">
            <v>0</v>
          </cell>
          <cell r="I1408">
            <v>0</v>
          </cell>
          <cell r="J1408">
            <v>0</v>
          </cell>
          <cell r="K1408">
            <v>0</v>
          </cell>
          <cell r="L1408">
            <v>2.7182579027268915E-2</v>
          </cell>
          <cell r="M1408">
            <v>0.13305474167066583</v>
          </cell>
          <cell r="N1408">
            <v>0.4316269792882611</v>
          </cell>
          <cell r="O1408">
            <v>0.69698919459684339</v>
          </cell>
          <cell r="P1408">
            <v>0.91511949625680633</v>
          </cell>
          <cell r="Q1408">
            <v>1.052696018691136</v>
          </cell>
          <cell r="R1408">
            <v>0.8219106078695394</v>
          </cell>
          <cell r="S1408">
            <v>0.59680362046151925</v>
          </cell>
          <cell r="T1408">
            <v>0.41267655651982121</v>
          </cell>
          <cell r="U1408">
            <v>0.26671366542711655</v>
          </cell>
          <cell r="V1408">
            <v>0.13996034146720251</v>
          </cell>
          <cell r="W1408">
            <v>3.896934123464868E-2</v>
          </cell>
          <cell r="X1408">
            <v>-5.1521377845415578E-2</v>
          </cell>
          <cell r="Y1408">
            <v>-0.14795621934487885</v>
          </cell>
          <cell r="Z1408">
            <v>-0.25480415276004709</v>
          </cell>
          <cell r="AA1408">
            <v>-0.37624291447051694</v>
          </cell>
          <cell r="AB1408">
            <v>-0.49715173178564931</v>
          </cell>
          <cell r="AC1408">
            <v>-0.60182303688740557</v>
          </cell>
          <cell r="AD1408">
            <v>-0.68673382470282185</v>
          </cell>
          <cell r="AE1408">
            <v>-0.74830348911204125</v>
          </cell>
          <cell r="AF1408">
            <v>-0.87360889862632407</v>
          </cell>
          <cell r="AG1408">
            <v>-1.0365267739522523</v>
          </cell>
          <cell r="AH1408">
            <v>-1.2312987165522717</v>
          </cell>
          <cell r="AI1408">
            <v>-1.4477153224753723</v>
          </cell>
          <cell r="AJ1408">
            <v>-1.6755973588072806</v>
          </cell>
          <cell r="AK1408">
            <v>-1.8390078987094882</v>
          </cell>
          <cell r="AL1408">
            <v>-1.9196291071903084</v>
          </cell>
          <cell r="AM1408">
            <v>-1.9324360573936994</v>
          </cell>
          <cell r="AN1408">
            <v>-1.8863642093211452</v>
          </cell>
          <cell r="AO1408">
            <v>-1.7911714115862578</v>
          </cell>
        </row>
        <row r="1409">
          <cell r="C1409" t="str">
            <v>Dette publique</v>
          </cell>
          <cell r="E1409" t="str">
            <v>(DEBT_G_VAL_2/(PGDP_2*GDP_2)-DEBT_G_VAL_0/(PGDP_0*GDP_0))*100</v>
          </cell>
          <cell r="F1409">
            <v>0</v>
          </cell>
          <cell r="G1409">
            <v>0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7.1768622966128515E-2</v>
          </cell>
          <cell r="M1409">
            <v>-0.15932335041345391</v>
          </cell>
          <cell r="N1409">
            <v>-0.47744067388462152</v>
          </cell>
          <cell r="O1409">
            <v>-0.94843947808107565</v>
          </cell>
          <cell r="P1409">
            <v>-1.6656513900769498</v>
          </cell>
          <cell r="Q1409">
            <v>-1.7530231261683848</v>
          </cell>
          <cell r="R1409">
            <v>-1.9205284193381744</v>
          </cell>
          <cell r="S1409">
            <v>-2.2029725154011914</v>
          </cell>
          <cell r="T1409">
            <v>-2.5621454922977294</v>
          </cell>
          <cell r="U1409">
            <v>-2.9493827221909239</v>
          </cell>
          <cell r="V1409">
            <v>-3.4041165672580864</v>
          </cell>
          <cell r="W1409">
            <v>-3.860767397103043</v>
          </cell>
          <cell r="X1409">
            <v>-4.3077885131533762</v>
          </cell>
          <cell r="Y1409">
            <v>-4.7432158029783844</v>
          </cell>
          <cell r="Z1409">
            <v>-5.1700351107422886</v>
          </cell>
          <cell r="AA1409">
            <v>-5.5866229913695262</v>
          </cell>
          <cell r="AB1409">
            <v>-6.0063140496510377</v>
          </cell>
          <cell r="AC1409">
            <v>-6.4218023911615241</v>
          </cell>
          <cell r="AD1409">
            <v>-6.8231616148914513</v>
          </cell>
          <cell r="AE1409">
            <v>-7.200494584987899</v>
          </cell>
          <cell r="AF1409">
            <v>-7.6074522276890573</v>
          </cell>
          <cell r="AG1409">
            <v>-8.0819059938157309</v>
          </cell>
          <cell r="AH1409">
            <v>-8.6502589781226771</v>
          </cell>
          <cell r="AI1409">
            <v>-9.3342363417598779</v>
          </cell>
          <cell r="AJ1409">
            <v>-10.149955059671479</v>
          </cell>
          <cell r="AK1409">
            <v>-11.185798868663188</v>
          </cell>
          <cell r="AL1409">
            <v>-12.309050195830107</v>
          </cell>
          <cell r="AM1409">
            <v>-13.473758580073337</v>
          </cell>
          <cell r="AN1409">
            <v>-14.639031663841518</v>
          </cell>
          <cell r="AO1409">
            <v>-15.772225759135406</v>
          </cell>
        </row>
        <row r="1410">
          <cell r="C1410" t="str">
            <v>PIB</v>
          </cell>
          <cell r="E1410" t="str">
            <v>GDP_2</v>
          </cell>
          <cell r="F1410">
            <v>2197568.8810000001</v>
          </cell>
          <cell r="G1410">
            <v>2232104.9720000001</v>
          </cell>
          <cell r="H1410">
            <v>2264383.6719999998</v>
          </cell>
          <cell r="I1410">
            <v>2295342.4920000001</v>
          </cell>
          <cell r="J1410">
            <v>2331141.88</v>
          </cell>
          <cell r="K1410">
            <v>2378494.9130000002</v>
          </cell>
          <cell r="L1410">
            <v>2425160.4670000002</v>
          </cell>
          <cell r="M1410">
            <v>2473303.2799999998</v>
          </cell>
          <cell r="N1410">
            <v>2523290.4040000001</v>
          </cell>
          <cell r="O1410">
            <v>2576019.6290000002</v>
          </cell>
          <cell r="P1410">
            <v>2633018.804</v>
          </cell>
          <cell r="Q1410">
            <v>2688334.83</v>
          </cell>
          <cell r="R1410">
            <v>2745651.6290000002</v>
          </cell>
          <cell r="S1410">
            <v>2805104.966</v>
          </cell>
          <cell r="T1410">
            <v>2866059.8110000002</v>
          </cell>
          <cell r="U1410">
            <v>2927914.5789999999</v>
          </cell>
          <cell r="V1410">
            <v>2988860.7220000001</v>
          </cell>
          <cell r="W1410">
            <v>3049522.1009999998</v>
          </cell>
          <cell r="X1410">
            <v>3109820.7940000002</v>
          </cell>
          <cell r="Y1410">
            <v>3169979.5430000001</v>
          </cell>
          <cell r="Z1410">
            <v>3229869.622</v>
          </cell>
          <cell r="AA1410">
            <v>3286955.2760000001</v>
          </cell>
          <cell r="AB1410">
            <v>3343996.6460000002</v>
          </cell>
          <cell r="AC1410">
            <v>3401247.7310000001</v>
          </cell>
          <cell r="AD1410">
            <v>3458912.7149999999</v>
          </cell>
          <cell r="AE1410">
            <v>3515938.4240000001</v>
          </cell>
          <cell r="AF1410">
            <v>3570404.2050000001</v>
          </cell>
          <cell r="AG1410">
            <v>3624834.7919999999</v>
          </cell>
          <cell r="AH1410">
            <v>3679589.6529999999</v>
          </cell>
          <cell r="AI1410">
            <v>3735044.7379999999</v>
          </cell>
          <cell r="AJ1410">
            <v>3791506.531</v>
          </cell>
          <cell r="AK1410">
            <v>3848082.9350000001</v>
          </cell>
          <cell r="AL1410">
            <v>3905798.571</v>
          </cell>
          <cell r="AM1410">
            <v>3964809.7549999999</v>
          </cell>
          <cell r="AN1410">
            <v>4025205.341</v>
          </cell>
          <cell r="AO1410">
            <v>4087032.4139999999</v>
          </cell>
        </row>
        <row r="1411">
          <cell r="C1411" t="str">
            <v>Ecart PIB</v>
          </cell>
          <cell r="E1411" t="str">
            <v>(GDPter_2/GDPbis_2-1)*100</v>
          </cell>
          <cell r="F1411">
            <v>0</v>
          </cell>
          <cell r="G1411">
            <v>0</v>
          </cell>
          <cell r="H1411">
            <v>0</v>
          </cell>
          <cell r="I1411">
            <v>0</v>
          </cell>
          <cell r="J1411">
            <v>0</v>
          </cell>
          <cell r="K1411">
            <v>1.2613019517715429E-7</v>
          </cell>
          <cell r="L1411">
            <v>0</v>
          </cell>
          <cell r="M1411">
            <v>-4.0431746839431071E-8</v>
          </cell>
          <cell r="N1411">
            <v>0</v>
          </cell>
          <cell r="O1411">
            <v>-3.8819580883142635E-8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-6.431239985005277E-8</v>
          </cell>
          <cell r="Y1411">
            <v>-6.3091887270161351E-8</v>
          </cell>
          <cell r="Z1411">
            <v>-6.1922000860192838E-8</v>
          </cell>
          <cell r="AA1411">
            <v>-3.0423297214809963E-8</v>
          </cell>
          <cell r="AB1411">
            <v>-2.9904345666409426E-8</v>
          </cell>
          <cell r="AC1411">
            <v>-2.9400981649274627E-8</v>
          </cell>
          <cell r="AD1411">
            <v>0</v>
          </cell>
          <cell r="AE1411">
            <v>0</v>
          </cell>
          <cell r="AF1411">
            <v>0</v>
          </cell>
          <cell r="AG1411">
            <v>-2.7587454543009926E-8</v>
          </cell>
          <cell r="AH1411">
            <v>-2.7176949579654774E-8</v>
          </cell>
          <cell r="AI1411">
            <v>0</v>
          </cell>
          <cell r="AJ1411">
            <v>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</row>
        <row r="1412">
          <cell r="C1412" t="str">
            <v>Dépenses publiques</v>
          </cell>
          <cell r="E1412" t="str">
            <v>SPEND_G_VAL_2</v>
          </cell>
          <cell r="F1412">
            <v>1178673.6680000001</v>
          </cell>
          <cell r="G1412">
            <v>1215355.4879999999</v>
          </cell>
          <cell r="H1412">
            <v>1249910.5490000001</v>
          </cell>
          <cell r="I1412">
            <v>1306037.7949999999</v>
          </cell>
          <cell r="J1412">
            <v>1360487.6229999999</v>
          </cell>
          <cell r="K1412">
            <v>1389485.5859999999</v>
          </cell>
          <cell r="L1412">
            <v>1410587.4509999999</v>
          </cell>
          <cell r="M1412">
            <v>1459105.175</v>
          </cell>
          <cell r="N1412">
            <v>1515253.277</v>
          </cell>
          <cell r="O1412">
            <v>1581597.9269999999</v>
          </cell>
          <cell r="P1412">
            <v>1662862.905</v>
          </cell>
          <cell r="Q1412">
            <v>1746809.0379999999</v>
          </cell>
          <cell r="R1412">
            <v>1820960.666</v>
          </cell>
          <cell r="S1412">
            <v>1895454.3540000001</v>
          </cell>
          <cell r="T1412">
            <v>1970988.8670000001</v>
          </cell>
          <cell r="U1412">
            <v>2047498.8</v>
          </cell>
          <cell r="V1412">
            <v>2125790.4530000002</v>
          </cell>
          <cell r="W1412">
            <v>2207073.2510000002</v>
          </cell>
          <cell r="X1412">
            <v>2290600.1549999998</v>
          </cell>
          <cell r="Y1412">
            <v>2375179.1669999999</v>
          </cell>
          <cell r="Z1412">
            <v>2458330.96</v>
          </cell>
          <cell r="AA1412">
            <v>2541927.9849999999</v>
          </cell>
          <cell r="AB1412">
            <v>2623664.9730000002</v>
          </cell>
          <cell r="AC1412">
            <v>2703813.0649999999</v>
          </cell>
          <cell r="AD1412">
            <v>2782190.8849999998</v>
          </cell>
          <cell r="AE1412">
            <v>2853006.8059999999</v>
          </cell>
          <cell r="AF1412">
            <v>2924861.4449999998</v>
          </cell>
          <cell r="AG1412">
            <v>2995314.9360000002</v>
          </cell>
          <cell r="AH1412">
            <v>3063868.483</v>
          </cell>
          <cell r="AI1412">
            <v>3130532.6239999998</v>
          </cell>
          <cell r="AJ1412">
            <v>3195317.0619999999</v>
          </cell>
          <cell r="AK1412">
            <v>3257717.9440000001</v>
          </cell>
          <cell r="AL1412">
            <v>3318938.5150000001</v>
          </cell>
          <cell r="AM1412">
            <v>3378204.45</v>
          </cell>
          <cell r="AN1412">
            <v>3435544.429</v>
          </cell>
          <cell r="AO1412">
            <v>3490932.7480000001</v>
          </cell>
        </row>
        <row r="1413">
          <cell r="C1413" t="str">
            <v>Recettes publiques</v>
          </cell>
          <cell r="E1413" t="str">
            <v>INC_G_VAL_2</v>
          </cell>
          <cell r="F1413">
            <v>1011408.1090000001</v>
          </cell>
          <cell r="G1413">
            <v>1041851.22</v>
          </cell>
          <cell r="H1413">
            <v>1081911.956</v>
          </cell>
          <cell r="I1413">
            <v>1129024.8030000001</v>
          </cell>
          <cell r="J1413">
            <v>1173598.7960000001</v>
          </cell>
          <cell r="K1413">
            <v>1210223.6410000001</v>
          </cell>
          <cell r="L1413">
            <v>1259352.8589999999</v>
          </cell>
          <cell r="M1413">
            <v>1309849.51</v>
          </cell>
          <cell r="N1413">
            <v>1367807.6189999999</v>
          </cell>
          <cell r="O1413">
            <v>1436526.263</v>
          </cell>
          <cell r="P1413">
            <v>1520235.1240000001</v>
          </cell>
          <cell r="Q1413">
            <v>1612260.0179999999</v>
          </cell>
          <cell r="R1413">
            <v>1711809.7860000001</v>
          </cell>
          <cell r="S1413">
            <v>1817941.1610000001</v>
          </cell>
          <cell r="T1413">
            <v>1930058.517</v>
          </cell>
          <cell r="U1413">
            <v>2047771.2990000001</v>
          </cell>
          <cell r="V1413">
            <v>2170957.5789999999</v>
          </cell>
          <cell r="W1413">
            <v>2300847.773</v>
          </cell>
          <cell r="X1413">
            <v>2437631.4539999999</v>
          </cell>
          <cell r="Y1413">
            <v>2581227.37</v>
          </cell>
          <cell r="Z1413">
            <v>2731020.8280000002</v>
          </cell>
          <cell r="AA1413">
            <v>2884367.2149999999</v>
          </cell>
          <cell r="AB1413">
            <v>3040205.7409999999</v>
          </cell>
          <cell r="AC1413">
            <v>3197873.5120000001</v>
          </cell>
          <cell r="AD1413">
            <v>3356809.0520000001</v>
          </cell>
          <cell r="AE1413">
            <v>3515097.79</v>
          </cell>
          <cell r="AF1413">
            <v>3671574.6770000001</v>
          </cell>
          <cell r="AG1413">
            <v>3825671.2439999999</v>
          </cell>
          <cell r="AH1413">
            <v>3977608.3220000002</v>
          </cell>
          <cell r="AI1413">
            <v>4127702.699</v>
          </cell>
          <cell r="AJ1413">
            <v>4276236.3949999996</v>
          </cell>
          <cell r="AK1413">
            <v>4421965.4230000004</v>
          </cell>
          <cell r="AL1413">
            <v>4565060.3820000002</v>
          </cell>
          <cell r="AM1413">
            <v>4705722.4840000002</v>
          </cell>
          <cell r="AN1413">
            <v>4844171.5120000001</v>
          </cell>
          <cell r="AO1413">
            <v>4980550.3320000004</v>
          </cell>
        </row>
        <row r="1414">
          <cell r="C1414" t="str">
            <v>Solde public</v>
          </cell>
          <cell r="E1414" t="str">
            <v>Bal_G_tot_VAL_2</v>
          </cell>
          <cell r="F1414">
            <v>-65288.490850000002</v>
          </cell>
          <cell r="G1414">
            <v>-68262.77605</v>
          </cell>
          <cell r="H1414">
            <v>-59343.962769999998</v>
          </cell>
          <cell r="I1414">
            <v>-65391.162759999999</v>
          </cell>
          <cell r="J1414">
            <v>-71997.43952</v>
          </cell>
          <cell r="K1414">
            <v>-60770.686159999997</v>
          </cell>
          <cell r="L1414">
            <v>-29704.798180000002</v>
          </cell>
          <cell r="M1414">
            <v>-26240.630939999999</v>
          </cell>
          <cell r="N1414">
            <v>-23118.593509999999</v>
          </cell>
          <cell r="O1414">
            <v>-19588.670020000001</v>
          </cell>
          <cell r="P1414">
            <v>-16165.35347</v>
          </cell>
          <cell r="Q1414">
            <v>-7278.323625</v>
          </cell>
          <cell r="R1414">
            <v>18483.732120000001</v>
          </cell>
          <cell r="S1414">
            <v>49197.232629999999</v>
          </cell>
          <cell r="T1414">
            <v>83320.213440000007</v>
          </cell>
          <cell r="U1414">
            <v>120357.05190000001</v>
          </cell>
          <cell r="V1414">
            <v>159233.82629999999</v>
          </cell>
          <cell r="W1414">
            <v>199879.53109999999</v>
          </cell>
          <cell r="X1414">
            <v>243142.33180000001</v>
          </cell>
          <cell r="Y1414">
            <v>290002.11869999999</v>
          </cell>
          <cell r="Z1414">
            <v>342143.67729999998</v>
          </cell>
          <cell r="AA1414">
            <v>394785.85619999998</v>
          </cell>
          <cell r="AB1414">
            <v>449148.10100000002</v>
          </cell>
          <cell r="AC1414">
            <v>504210.3749</v>
          </cell>
          <cell r="AD1414">
            <v>559557.57750000001</v>
          </cell>
          <cell r="AE1414">
            <v>619052.51419999998</v>
          </cell>
          <cell r="AF1414">
            <v>672722.13760000002</v>
          </cell>
          <cell r="AG1414">
            <v>722729.10660000006</v>
          </cell>
          <cell r="AH1414">
            <v>769976.18279999995</v>
          </cell>
          <cell r="AI1414">
            <v>814907.60900000005</v>
          </cell>
          <cell r="AJ1414">
            <v>857911.48569999996</v>
          </cell>
          <cell r="AK1414">
            <v>898344.05790000001</v>
          </cell>
          <cell r="AL1414">
            <v>935301.24309999996</v>
          </cell>
          <cell r="AM1414">
            <v>969932.34829999995</v>
          </cell>
          <cell r="AN1414">
            <v>1002544.779</v>
          </cell>
          <cell r="AO1414">
            <v>1033408.042</v>
          </cell>
        </row>
        <row r="1415">
          <cell r="C1415" t="str">
            <v>Dette publique</v>
          </cell>
          <cell r="E1415" t="str">
            <v>DEBT_G_VAL_2</v>
          </cell>
          <cell r="F1415">
            <v>2104829.844</v>
          </cell>
          <cell r="G1415">
            <v>2173092.62</v>
          </cell>
          <cell r="H1415">
            <v>2232436.5830000001</v>
          </cell>
          <cell r="I1415">
            <v>2297827.7459999998</v>
          </cell>
          <cell r="J1415">
            <v>2369825.1850000001</v>
          </cell>
          <cell r="K1415">
            <v>2430595.872</v>
          </cell>
          <cell r="L1415">
            <v>2460300.67</v>
          </cell>
          <cell r="M1415">
            <v>2486541.301</v>
          </cell>
          <cell r="N1415">
            <v>2509659.8939999999</v>
          </cell>
          <cell r="O1415">
            <v>2529248.5639999998</v>
          </cell>
          <cell r="P1415">
            <v>2545413.9180000001</v>
          </cell>
          <cell r="Q1415">
            <v>2552692.2409999999</v>
          </cell>
          <cell r="R1415">
            <v>2534208.5090000001</v>
          </cell>
          <cell r="S1415">
            <v>2485011.2769999998</v>
          </cell>
          <cell r="T1415">
            <v>2401691.0630000001</v>
          </cell>
          <cell r="U1415">
            <v>2281334.0109999999</v>
          </cell>
          <cell r="V1415">
            <v>2122100.1850000001</v>
          </cell>
          <cell r="W1415">
            <v>1922220.6540000001</v>
          </cell>
          <cell r="X1415">
            <v>1679078.3219999999</v>
          </cell>
          <cell r="Y1415">
            <v>1389076.203</v>
          </cell>
          <cell r="Z1415">
            <v>1046932.526</v>
          </cell>
          <cell r="AA1415">
            <v>652146.66980000003</v>
          </cell>
          <cell r="AB1415">
            <v>202998.56880000001</v>
          </cell>
          <cell r="AC1415">
            <v>-301211.80609999999</v>
          </cell>
          <cell r="AD1415">
            <v>-860769.3835</v>
          </cell>
          <cell r="AE1415">
            <v>-1479821.898</v>
          </cell>
          <cell r="AF1415">
            <v>-2152544.0350000001</v>
          </cell>
          <cell r="AG1415">
            <v>-2875273.142</v>
          </cell>
          <cell r="AH1415">
            <v>-3645249.3250000002</v>
          </cell>
          <cell r="AI1415">
            <v>-4460156.9340000004</v>
          </cell>
          <cell r="AJ1415">
            <v>-5318068.4189999998</v>
          </cell>
          <cell r="AK1415">
            <v>-6216412.477</v>
          </cell>
          <cell r="AL1415">
            <v>-7151713.7199999997</v>
          </cell>
          <cell r="AM1415">
            <v>-8121646.0690000001</v>
          </cell>
          <cell r="AN1415">
            <v>-9124190.8479999993</v>
          </cell>
          <cell r="AO1415">
            <v>-10157598.890000001</v>
          </cell>
        </row>
        <row r="1512">
          <cell r="F1512">
            <v>1966438.3859999999</v>
          </cell>
          <cell r="G1512">
            <v>1997094.0649999999</v>
          </cell>
          <cell r="H1512">
            <v>2026199.588</v>
          </cell>
          <cell r="I1512">
            <v>2054509.875</v>
          </cell>
          <cell r="J1512">
            <v>2086663.9539999999</v>
          </cell>
          <cell r="K1512">
            <v>2128034.7220000001</v>
          </cell>
          <cell r="L1512">
            <v>2169475.9939999999</v>
          </cell>
          <cell r="M1512">
            <v>2212478.5389999999</v>
          </cell>
          <cell r="N1512">
            <v>2257212.2050000001</v>
          </cell>
          <cell r="O1512">
            <v>2304391.5669999998</v>
          </cell>
          <cell r="P1512">
            <v>2355220.4190000002</v>
          </cell>
          <cell r="Q1512">
            <v>2404465.9789999998</v>
          </cell>
          <cell r="R1512">
            <v>2455294.375</v>
          </cell>
          <cell r="S1512">
            <v>2507861.2540000002</v>
          </cell>
          <cell r="T1512">
            <v>2561671.807</v>
          </cell>
          <cell r="U1512">
            <v>2616254.5520000001</v>
          </cell>
          <cell r="V1512">
            <v>2669995.4040000001</v>
          </cell>
          <cell r="W1512">
            <v>2723590.96</v>
          </cell>
          <cell r="X1512">
            <v>2776934.2039999999</v>
          </cell>
          <cell r="Y1512">
            <v>2830191.8629999999</v>
          </cell>
          <cell r="Z1512">
            <v>2883255.5559999999</v>
          </cell>
          <cell r="AA1512">
            <v>2933690.497</v>
          </cell>
          <cell r="AB1512">
            <v>2984129.4029999999</v>
          </cell>
          <cell r="AC1512">
            <v>3034796.537</v>
          </cell>
          <cell r="AD1512">
            <v>3085879.4210000001</v>
          </cell>
          <cell r="AE1512">
            <v>3136527.645</v>
          </cell>
          <cell r="AF1512">
            <v>3184863.7620000001</v>
          </cell>
          <cell r="AG1512">
            <v>3233338.5959999999</v>
          </cell>
          <cell r="AH1512">
            <v>3282252.156</v>
          </cell>
          <cell r="AI1512">
            <v>3331914.3730000001</v>
          </cell>
          <cell r="AJ1512">
            <v>3382574.6690000002</v>
          </cell>
          <cell r="AK1512">
            <v>3433395.568</v>
          </cell>
          <cell r="AL1512">
            <v>3485334.7310000001</v>
          </cell>
          <cell r="AM1512">
            <v>3538516.196</v>
          </cell>
          <cell r="AN1512">
            <v>3593004.9610000001</v>
          </cell>
          <cell r="AO1512">
            <v>3648828.0180000002</v>
          </cell>
        </row>
        <row r="1513">
          <cell r="F1513">
            <v>36114.190640000001</v>
          </cell>
          <cell r="G1513">
            <v>36472.798750000002</v>
          </cell>
          <cell r="H1513">
            <v>36864.5101</v>
          </cell>
          <cell r="I1513">
            <v>37293.557079999999</v>
          </cell>
          <cell r="J1513">
            <v>37798.516669999997</v>
          </cell>
          <cell r="K1513">
            <v>38439.777049999997</v>
          </cell>
          <cell r="L1513">
            <v>39147.202729999997</v>
          </cell>
          <cell r="M1513">
            <v>39892.771070000003</v>
          </cell>
          <cell r="N1513">
            <v>40683.68361</v>
          </cell>
          <cell r="O1513">
            <v>41539.45594</v>
          </cell>
          <cell r="P1513">
            <v>42492.858970000001</v>
          </cell>
          <cell r="Q1513">
            <v>43414.67555</v>
          </cell>
          <cell r="R1513">
            <v>44374.472930000004</v>
          </cell>
          <cell r="S1513">
            <v>45372.068050000002</v>
          </cell>
          <cell r="T1513">
            <v>46393.206440000002</v>
          </cell>
          <cell r="U1513">
            <v>47425.714370000002</v>
          </cell>
          <cell r="V1513">
            <v>48433.12833</v>
          </cell>
          <cell r="W1513">
            <v>49436.359949999998</v>
          </cell>
          <cell r="X1513">
            <v>50430.188679999999</v>
          </cell>
          <cell r="Y1513">
            <v>51415.549019999999</v>
          </cell>
          <cell r="Z1513">
            <v>52386.404069999997</v>
          </cell>
          <cell r="AA1513">
            <v>53282.799270000003</v>
          </cell>
          <cell r="AB1513">
            <v>54171.112130000001</v>
          </cell>
          <cell r="AC1513">
            <v>55054.573830000001</v>
          </cell>
          <cell r="AD1513">
            <v>55937.299480000001</v>
          </cell>
          <cell r="AE1513">
            <v>56796.563410000002</v>
          </cell>
          <cell r="AF1513">
            <v>57591.823759999999</v>
          </cell>
          <cell r="AG1513">
            <v>58386.463109999997</v>
          </cell>
          <cell r="AH1513">
            <v>59186.096310000001</v>
          </cell>
          <cell r="AI1513">
            <v>59997.51064</v>
          </cell>
          <cell r="AJ1513">
            <v>60826.34792</v>
          </cell>
          <cell r="AK1513">
            <v>61650.987300000001</v>
          </cell>
          <cell r="AL1513">
            <v>62496.578079999999</v>
          </cell>
          <cell r="AM1513">
            <v>63365.949919999999</v>
          </cell>
          <cell r="AN1513">
            <v>64260.70448</v>
          </cell>
          <cell r="AO1513">
            <v>65181.577700000002</v>
          </cell>
        </row>
        <row r="1516">
          <cell r="F1516">
            <v>331548.22450000001</v>
          </cell>
          <cell r="G1516">
            <v>337812.1189</v>
          </cell>
          <cell r="H1516">
            <v>343474.30410000001</v>
          </cell>
          <cell r="I1516">
            <v>348646.31329999998</v>
          </cell>
          <cell r="J1516">
            <v>354698.81699999998</v>
          </cell>
          <cell r="K1516">
            <v>362790.01569999999</v>
          </cell>
          <cell r="L1516">
            <v>370797.89409999998</v>
          </cell>
          <cell r="M1516">
            <v>379103.7475</v>
          </cell>
          <cell r="N1516">
            <v>387624.54950000002</v>
          </cell>
          <cell r="O1516">
            <v>396382.76740000001</v>
          </cell>
          <cell r="P1516">
            <v>405428.92099999997</v>
          </cell>
          <cell r="Q1516">
            <v>414374.39159999997</v>
          </cell>
          <cell r="R1516">
            <v>423739.19939999998</v>
          </cell>
          <cell r="S1516">
            <v>433501.0968</v>
          </cell>
          <cell r="T1516">
            <v>443592.3075</v>
          </cell>
          <cell r="U1516">
            <v>453952.31530000002</v>
          </cell>
          <cell r="V1516">
            <v>464088.6617</v>
          </cell>
          <cell r="W1516">
            <v>474325.40529999998</v>
          </cell>
          <cell r="X1516">
            <v>484594.60960000003</v>
          </cell>
          <cell r="Y1516">
            <v>494922.065</v>
          </cell>
          <cell r="Z1516">
            <v>505303.58760000003</v>
          </cell>
          <cell r="AA1516">
            <v>515076.02159999998</v>
          </cell>
          <cell r="AB1516">
            <v>525060.90469999996</v>
          </cell>
          <cell r="AC1516">
            <v>535233.14720000001</v>
          </cell>
          <cell r="AD1516">
            <v>545622.57440000004</v>
          </cell>
          <cell r="AE1516">
            <v>556116.20360000001</v>
          </cell>
          <cell r="AF1516">
            <v>566119.1581</v>
          </cell>
          <cell r="AG1516">
            <v>576404.79909999995</v>
          </cell>
          <cell r="AH1516">
            <v>586937.05020000006</v>
          </cell>
          <cell r="AI1516">
            <v>597742.49650000001</v>
          </cell>
          <cell r="AJ1516">
            <v>608847.34030000004</v>
          </cell>
          <cell r="AK1516">
            <v>620042.28639999998</v>
          </cell>
          <cell r="AL1516">
            <v>631587.1618</v>
          </cell>
          <cell r="AM1516">
            <v>643465.03810000001</v>
          </cell>
          <cell r="AN1516">
            <v>655669.72129999998</v>
          </cell>
          <cell r="AO1516">
            <v>668191.45929999999</v>
          </cell>
        </row>
        <row r="1528">
          <cell r="F1528">
            <v>48520.7408</v>
          </cell>
          <cell r="G1528">
            <v>49273.55659</v>
          </cell>
          <cell r="H1528">
            <v>50066.948989999997</v>
          </cell>
          <cell r="I1528">
            <v>50938.210209999997</v>
          </cell>
          <cell r="J1528">
            <v>51842.300219999997</v>
          </cell>
          <cell r="K1528">
            <v>52746.679250000001</v>
          </cell>
          <cell r="L1528">
            <v>53759.698190000003</v>
          </cell>
          <cell r="M1528">
            <v>54854.130599999997</v>
          </cell>
          <cell r="N1528">
            <v>56020.156470000002</v>
          </cell>
          <cell r="O1528">
            <v>57274.037490000002</v>
          </cell>
          <cell r="P1528">
            <v>58638.420100000003</v>
          </cell>
          <cell r="Q1528">
            <v>59903.33223</v>
          </cell>
          <cell r="R1528">
            <v>61161.776330000001</v>
          </cell>
          <cell r="S1528">
            <v>62416.76266</v>
          </cell>
          <cell r="T1528">
            <v>63657.99222</v>
          </cell>
          <cell r="U1528">
            <v>64876.196830000001</v>
          </cell>
          <cell r="V1528">
            <v>66027.289969999998</v>
          </cell>
          <cell r="W1528">
            <v>67180.324619999999</v>
          </cell>
          <cell r="X1528">
            <v>68343.724109999996</v>
          </cell>
          <cell r="Y1528">
            <v>69524.913020000007</v>
          </cell>
          <cell r="Z1528">
            <v>70718.871790000005</v>
          </cell>
          <cell r="AA1528">
            <v>71817.279729999995</v>
          </cell>
          <cell r="AB1528">
            <v>72928.671159999998</v>
          </cell>
          <cell r="AC1528">
            <v>74050.272459999993</v>
          </cell>
          <cell r="AD1528">
            <v>75185.143200000006</v>
          </cell>
          <cell r="AE1528">
            <v>76311.870139999999</v>
          </cell>
          <cell r="AF1528">
            <v>77350.272570000001</v>
          </cell>
          <cell r="AG1528">
            <v>78408.289940000002</v>
          </cell>
          <cell r="AH1528">
            <v>79487.705289999998</v>
          </cell>
          <cell r="AI1528">
            <v>80595.837979999997</v>
          </cell>
          <cell r="AJ1528">
            <v>81738.744949999993</v>
          </cell>
          <cell r="AK1528">
            <v>82882.798980000007</v>
          </cell>
          <cell r="AL1528">
            <v>84066.460890000002</v>
          </cell>
          <cell r="AM1528">
            <v>85291.02562</v>
          </cell>
          <cell r="AN1528">
            <v>86557.813290000006</v>
          </cell>
          <cell r="AO1528">
            <v>87866.927599999995</v>
          </cell>
        </row>
        <row r="1533">
          <cell r="F1533">
            <v>1511704.0190000001</v>
          </cell>
          <cell r="G1533">
            <v>1534651.358</v>
          </cell>
          <cell r="H1533">
            <v>1556702.0330000001</v>
          </cell>
          <cell r="I1533">
            <v>1578284.84</v>
          </cell>
          <cell r="J1533">
            <v>1602662.72</v>
          </cell>
          <cell r="K1533">
            <v>1633961.5649999999</v>
          </cell>
          <cell r="L1533">
            <v>1665134.514</v>
          </cell>
          <cell r="M1533">
            <v>1697453.034</v>
          </cell>
          <cell r="N1533">
            <v>1731185.9240000001</v>
          </cell>
          <cell r="O1533">
            <v>1766993.831</v>
          </cell>
          <cell r="P1533">
            <v>1805960.8189999999</v>
          </cell>
          <cell r="Q1533">
            <v>1843732.1429999999</v>
          </cell>
          <cell r="R1533">
            <v>1882639.791</v>
          </cell>
          <cell r="S1533">
            <v>1922830.53</v>
          </cell>
          <cell r="T1533">
            <v>1963913.129</v>
          </cell>
          <cell r="U1533">
            <v>2005521.226</v>
          </cell>
          <cell r="V1533">
            <v>2046644.6540000001</v>
          </cell>
          <cell r="W1533">
            <v>2087501.4450000001</v>
          </cell>
          <cell r="X1533">
            <v>2128032.6609999998</v>
          </cell>
          <cell r="Y1533">
            <v>2168372.213</v>
          </cell>
          <cell r="Z1533">
            <v>2208437.1329999999</v>
          </cell>
          <cell r="AA1533">
            <v>2246668.9870000002</v>
          </cell>
          <cell r="AB1533">
            <v>2284648.7919999999</v>
          </cell>
          <cell r="AC1533">
            <v>2322624.9569999999</v>
          </cell>
          <cell r="AD1533">
            <v>2360751.9959999998</v>
          </cell>
          <cell r="AE1533">
            <v>2398367.2110000001</v>
          </cell>
          <cell r="AF1533">
            <v>2434336.2230000002</v>
          </cell>
          <cell r="AG1533">
            <v>2470122.1349999998</v>
          </cell>
          <cell r="AH1533">
            <v>2506053.1260000002</v>
          </cell>
          <cell r="AI1533">
            <v>2542398.023</v>
          </cell>
          <cell r="AJ1533">
            <v>2579367.9350000001</v>
          </cell>
          <cell r="AK1533">
            <v>2616408.094</v>
          </cell>
          <cell r="AL1533">
            <v>2654135.148</v>
          </cell>
          <cell r="AM1533">
            <v>2692685.1839999999</v>
          </cell>
          <cell r="AN1533">
            <v>2732126.8760000002</v>
          </cell>
          <cell r="AO1533">
            <v>2772496.6749999998</v>
          </cell>
        </row>
        <row r="1537">
          <cell r="F1537">
            <v>-2123.6906530000001</v>
          </cell>
          <cell r="G1537">
            <v>-2178.432331</v>
          </cell>
          <cell r="H1537">
            <v>-2172.3623010000001</v>
          </cell>
          <cell r="I1537">
            <v>-2102.9290169999999</v>
          </cell>
          <cell r="J1537">
            <v>-2051.3827679999999</v>
          </cell>
          <cell r="K1537">
            <v>-2108.913262</v>
          </cell>
          <cell r="L1537">
            <v>-2083.523428</v>
          </cell>
          <cell r="M1537">
            <v>-2104.3620689999998</v>
          </cell>
          <cell r="N1537">
            <v>-2147.4317040000001</v>
          </cell>
          <cell r="O1537">
            <v>-2211.6999489999998</v>
          </cell>
          <cell r="P1537">
            <v>-2297.7555630000002</v>
          </cell>
          <cell r="Q1537">
            <v>-2407.3521219999998</v>
          </cell>
          <cell r="R1537">
            <v>-2555.4162289999999</v>
          </cell>
          <cell r="S1537">
            <v>-2745.1472610000001</v>
          </cell>
          <cell r="T1537">
            <v>-2979.400416</v>
          </cell>
          <cell r="U1537">
            <v>-3265.342314</v>
          </cell>
          <cell r="V1537">
            <v>-3600.4078730000001</v>
          </cell>
          <cell r="W1537">
            <v>-3913.559432</v>
          </cell>
          <cell r="X1537">
            <v>-4176.8542079999997</v>
          </cell>
          <cell r="Y1537">
            <v>-4390.813897</v>
          </cell>
          <cell r="Z1537">
            <v>-4560.9503279999999</v>
          </cell>
          <cell r="AA1537">
            <v>-4699.6142319999999</v>
          </cell>
          <cell r="AB1537">
            <v>-4806.2000269999999</v>
          </cell>
          <cell r="AC1537">
            <v>-4888.3997589999999</v>
          </cell>
          <cell r="AD1537">
            <v>-4951.5856030000004</v>
          </cell>
          <cell r="AE1537">
            <v>-4999.6097870000003</v>
          </cell>
          <cell r="AF1537">
            <v>-5038.8599260000001</v>
          </cell>
          <cell r="AG1537">
            <v>-5069.8534760000002</v>
          </cell>
          <cell r="AH1537">
            <v>-5097.1808860000001</v>
          </cell>
          <cell r="AI1537">
            <v>-5121.7749400000002</v>
          </cell>
          <cell r="AJ1537">
            <v>-5143.77124</v>
          </cell>
          <cell r="AK1537">
            <v>-5166.2586929999998</v>
          </cell>
          <cell r="AL1537">
            <v>-5188.869361</v>
          </cell>
          <cell r="AM1537">
            <v>-5212.0913890000002</v>
          </cell>
          <cell r="AN1537">
            <v>-5235.3079639999996</v>
          </cell>
          <cell r="AO1537">
            <v>-5257.7796900000003</v>
          </cell>
        </row>
        <row r="1541">
          <cell r="F1541">
            <v>40582.573940000002</v>
          </cell>
          <cell r="G1541">
            <v>40971.356140000004</v>
          </cell>
          <cell r="H1541">
            <v>41172.001510000002</v>
          </cell>
          <cell r="I1541">
            <v>41351.062760000001</v>
          </cell>
          <cell r="J1541">
            <v>41601.36088</v>
          </cell>
          <cell r="K1541">
            <v>42086.460469999998</v>
          </cell>
          <cell r="L1541">
            <v>42597.353790000001</v>
          </cell>
          <cell r="M1541">
            <v>43158.677409999997</v>
          </cell>
          <cell r="N1541">
            <v>43726.834459999998</v>
          </cell>
          <cell r="O1541">
            <v>44295.542479999996</v>
          </cell>
          <cell r="P1541">
            <v>44878.065820000003</v>
          </cell>
          <cell r="Q1541">
            <v>45325.504249999998</v>
          </cell>
          <cell r="R1541">
            <v>45807.885999999999</v>
          </cell>
          <cell r="S1541">
            <v>46357.439890000001</v>
          </cell>
          <cell r="T1541">
            <v>46965.250330000003</v>
          </cell>
          <cell r="U1541">
            <v>47614.128949999998</v>
          </cell>
          <cell r="V1541">
            <v>48269.08741</v>
          </cell>
          <cell r="W1541">
            <v>48921.883529999999</v>
          </cell>
          <cell r="X1541">
            <v>49563.206630000001</v>
          </cell>
          <cell r="Y1541">
            <v>50193.343289999997</v>
          </cell>
          <cell r="Z1541">
            <v>50807.602749999998</v>
          </cell>
          <cell r="AA1541">
            <v>51373.976560000003</v>
          </cell>
          <cell r="AB1541">
            <v>51946.741099999999</v>
          </cell>
          <cell r="AC1541">
            <v>52534.482759999999</v>
          </cell>
          <cell r="AD1541">
            <v>53138.621400000004</v>
          </cell>
          <cell r="AE1541">
            <v>53732.549420000003</v>
          </cell>
          <cell r="AF1541">
            <v>54295.465940000002</v>
          </cell>
          <cell r="AG1541">
            <v>54870.1754</v>
          </cell>
          <cell r="AH1541">
            <v>55461.700270000001</v>
          </cell>
          <cell r="AI1541">
            <v>56071.256560000002</v>
          </cell>
          <cell r="AJ1541">
            <v>56699.285250000001</v>
          </cell>
          <cell r="AK1541">
            <v>57330.957670000003</v>
          </cell>
          <cell r="AL1541">
            <v>57983.330280000002</v>
          </cell>
          <cell r="AM1541">
            <v>58657.634339999997</v>
          </cell>
          <cell r="AN1541">
            <v>59352.800369999997</v>
          </cell>
          <cell r="AO1541">
            <v>60067.490819999999</v>
          </cell>
        </row>
        <row r="1551">
          <cell r="F1551">
            <v>1966438.3859999999</v>
          </cell>
          <cell r="G1551">
            <v>1997094.0649999999</v>
          </cell>
          <cell r="H1551">
            <v>2026199.588</v>
          </cell>
          <cell r="I1551">
            <v>2054509.875</v>
          </cell>
          <cell r="J1551">
            <v>2086663.9539999999</v>
          </cell>
          <cell r="K1551">
            <v>2128034.7220000001</v>
          </cell>
          <cell r="L1551">
            <v>2170733.7659999998</v>
          </cell>
          <cell r="M1551">
            <v>2214104.6949999998</v>
          </cell>
          <cell r="N1551">
            <v>2258223.497</v>
          </cell>
          <cell r="O1551">
            <v>2303260.659</v>
          </cell>
          <cell r="P1551">
            <v>2349912.8429999999</v>
          </cell>
          <cell r="Q1551">
            <v>2397580.375</v>
          </cell>
          <cell r="R1551">
            <v>2446785.5389999999</v>
          </cell>
          <cell r="S1551">
            <v>2497603.023</v>
          </cell>
          <cell r="T1551">
            <v>2549944.9029999999</v>
          </cell>
          <cell r="U1551">
            <v>2603658.2880000002</v>
          </cell>
          <cell r="V1551">
            <v>2655918.7379999999</v>
          </cell>
          <cell r="W1551">
            <v>2708811.571</v>
          </cell>
          <cell r="X1551">
            <v>2762317.3739999998</v>
          </cell>
          <cell r="Y1551">
            <v>2816513.977</v>
          </cell>
          <cell r="Z1551">
            <v>2871161.0440000002</v>
          </cell>
          <cell r="AA1551">
            <v>2924265.2960000001</v>
          </cell>
          <cell r="AB1551">
            <v>2977964.5189999999</v>
          </cell>
          <cell r="AC1551">
            <v>3032378.84</v>
          </cell>
          <cell r="AD1551">
            <v>3087683.3339999998</v>
          </cell>
          <cell r="AE1551">
            <v>3143023.5380000002</v>
          </cell>
          <cell r="AF1551">
            <v>3187216.0329999998</v>
          </cell>
          <cell r="AG1551">
            <v>3230270.3369999998</v>
          </cell>
          <cell r="AH1551">
            <v>3272402.801</v>
          </cell>
          <cell r="AI1551">
            <v>3314084.4679999999</v>
          </cell>
          <cell r="AJ1551">
            <v>3355752.0839999998</v>
          </cell>
          <cell r="AK1551">
            <v>3405297.29</v>
          </cell>
          <cell r="AL1551">
            <v>3456842.7940000002</v>
          </cell>
          <cell r="AM1551">
            <v>3510493.6</v>
          </cell>
          <cell r="AN1551">
            <v>3566137.1880000001</v>
          </cell>
          <cell r="AO1551">
            <v>3623614.1170000001</v>
          </cell>
        </row>
        <row r="1552">
          <cell r="F1552">
            <v>36114.190640000001</v>
          </cell>
          <cell r="G1552">
            <v>36472.798750000002</v>
          </cell>
          <cell r="H1552">
            <v>36864.5101</v>
          </cell>
          <cell r="I1552">
            <v>37293.557079999999</v>
          </cell>
          <cell r="J1552">
            <v>37798.516669999997</v>
          </cell>
          <cell r="K1552">
            <v>38439.777049999997</v>
          </cell>
          <cell r="L1552">
            <v>39176.434710000001</v>
          </cell>
          <cell r="M1552">
            <v>39934.610999999997</v>
          </cell>
          <cell r="N1552">
            <v>40715.191639999997</v>
          </cell>
          <cell r="O1552">
            <v>41521.116069999996</v>
          </cell>
          <cell r="P1552">
            <v>42369.138599999998</v>
          </cell>
          <cell r="Q1552">
            <v>43238.5046</v>
          </cell>
          <cell r="R1552">
            <v>44140.202400000002</v>
          </cell>
          <cell r="S1552">
            <v>45073.44197</v>
          </cell>
          <cell r="T1552">
            <v>46034.540809999999</v>
          </cell>
          <cell r="U1552">
            <v>47019.245970000004</v>
          </cell>
          <cell r="V1552">
            <v>47959.818590000003</v>
          </cell>
          <cell r="W1552">
            <v>48909.616090000003</v>
          </cell>
          <cell r="X1552">
            <v>49865.627500000002</v>
          </cell>
          <cell r="Y1552">
            <v>50828.935449999997</v>
          </cell>
          <cell r="Z1552">
            <v>51792.529970000003</v>
          </cell>
          <cell r="AA1552">
            <v>52711.437940000003</v>
          </cell>
          <cell r="AB1552">
            <v>53639.170030000001</v>
          </cell>
          <cell r="AC1552">
            <v>54576.109859999997</v>
          </cell>
          <cell r="AD1552">
            <v>55526.040139999997</v>
          </cell>
          <cell r="AE1552">
            <v>56466.072560000001</v>
          </cell>
          <cell r="AF1552">
            <v>57136.609669999998</v>
          </cell>
          <cell r="AG1552">
            <v>57792.164980000001</v>
          </cell>
          <cell r="AH1552">
            <v>58427.407090000001</v>
          </cell>
          <cell r="AI1552">
            <v>59051.610780000003</v>
          </cell>
          <cell r="AJ1552">
            <v>59675.777150000002</v>
          </cell>
          <cell r="AK1552">
            <v>60488.523880000001</v>
          </cell>
          <cell r="AL1552">
            <v>61341.404609999998</v>
          </cell>
          <cell r="AM1552">
            <v>62244.695919999998</v>
          </cell>
          <cell r="AN1552">
            <v>63198.120450000002</v>
          </cell>
          <cell r="AO1552">
            <v>64198.508390000003</v>
          </cell>
        </row>
        <row r="1555">
          <cell r="F1555">
            <v>331548.22450000001</v>
          </cell>
          <cell r="G1555">
            <v>337812.1189</v>
          </cell>
          <cell r="H1555">
            <v>343474.30410000001</v>
          </cell>
          <cell r="I1555">
            <v>348646.31329999998</v>
          </cell>
          <cell r="J1555">
            <v>354698.81699999998</v>
          </cell>
          <cell r="K1555">
            <v>362790.01569999999</v>
          </cell>
          <cell r="L1555">
            <v>371142.7745</v>
          </cell>
          <cell r="M1555">
            <v>379752.01520000002</v>
          </cell>
          <cell r="N1555">
            <v>388614.10590000002</v>
          </cell>
          <cell r="O1555">
            <v>397751.68790000002</v>
          </cell>
          <cell r="P1555">
            <v>407246.77630000003</v>
          </cell>
          <cell r="Q1555">
            <v>416963.6655</v>
          </cell>
          <cell r="R1555">
            <v>427012.54399999999</v>
          </cell>
          <cell r="S1555">
            <v>437403.57419999997</v>
          </cell>
          <cell r="T1555">
            <v>448139.15860000002</v>
          </cell>
          <cell r="U1555">
            <v>459213.19390000001</v>
          </cell>
          <cell r="V1555">
            <v>469845.02750000003</v>
          </cell>
          <cell r="W1555">
            <v>480790.08370000002</v>
          </cell>
          <cell r="X1555">
            <v>491988.78889999999</v>
          </cell>
          <cell r="Y1555">
            <v>503455.16970000003</v>
          </cell>
          <cell r="Z1555">
            <v>515163.71</v>
          </cell>
          <cell r="AA1555">
            <v>526460.71680000005</v>
          </cell>
          <cell r="AB1555">
            <v>538088.24140000006</v>
          </cell>
          <cell r="AC1555">
            <v>550008.02309999999</v>
          </cell>
          <cell r="AD1555">
            <v>562243.92429999996</v>
          </cell>
          <cell r="AE1555">
            <v>574673.31169999996</v>
          </cell>
          <cell r="AF1555">
            <v>583921.19880000001</v>
          </cell>
          <cell r="AG1555">
            <v>593448.92760000005</v>
          </cell>
          <cell r="AH1555">
            <v>602975.55700000003</v>
          </cell>
          <cell r="AI1555">
            <v>612523.66890000005</v>
          </cell>
          <cell r="AJ1555">
            <v>622136.30469999998</v>
          </cell>
          <cell r="AK1555">
            <v>634009.54480000003</v>
          </cell>
          <cell r="AL1555">
            <v>646018.03729999997</v>
          </cell>
          <cell r="AM1555">
            <v>658337.41910000006</v>
          </cell>
          <cell r="AN1555">
            <v>670949.19640000002</v>
          </cell>
          <cell r="AO1555">
            <v>683814.07830000005</v>
          </cell>
        </row>
        <row r="1567">
          <cell r="F1567">
            <v>48520.7408</v>
          </cell>
          <cell r="G1567">
            <v>49273.55659</v>
          </cell>
          <cell r="H1567">
            <v>50066.948989999997</v>
          </cell>
          <cell r="I1567">
            <v>50938.210209999997</v>
          </cell>
          <cell r="J1567">
            <v>51842.300219999997</v>
          </cell>
          <cell r="K1567">
            <v>52746.679250000001</v>
          </cell>
          <cell r="L1567">
            <v>53802.649250000002</v>
          </cell>
          <cell r="M1567">
            <v>54877.809159999997</v>
          </cell>
          <cell r="N1567">
            <v>55980.180540000001</v>
          </cell>
          <cell r="O1567">
            <v>57123.287929999999</v>
          </cell>
          <cell r="P1567">
            <v>58326.131450000001</v>
          </cell>
          <cell r="Q1567">
            <v>59563.797059999997</v>
          </cell>
          <cell r="R1567">
            <v>60844.10643</v>
          </cell>
          <cell r="S1567">
            <v>62160.191830000003</v>
          </cell>
          <cell r="T1567">
            <v>63505.625690000001</v>
          </cell>
          <cell r="U1567">
            <v>64875.36277</v>
          </cell>
          <cell r="V1567">
            <v>66162.82243</v>
          </cell>
          <cell r="W1567">
            <v>67465.539839999998</v>
          </cell>
          <cell r="X1567">
            <v>68776.190470000001</v>
          </cell>
          <cell r="Y1567">
            <v>70097.387780000005</v>
          </cell>
          <cell r="Z1567">
            <v>71425.127829999998</v>
          </cell>
          <cell r="AA1567">
            <v>72677.925659999994</v>
          </cell>
          <cell r="AB1567">
            <v>73953.965559999997</v>
          </cell>
          <cell r="AC1567">
            <v>75250.870859999995</v>
          </cell>
          <cell r="AD1567">
            <v>76574.481480000002</v>
          </cell>
          <cell r="AE1567">
            <v>77905.918990000006</v>
          </cell>
          <cell r="AF1567">
            <v>78809.503719999993</v>
          </cell>
          <cell r="AG1567">
            <v>79739.551290000003</v>
          </cell>
          <cell r="AH1567">
            <v>80667.222810000007</v>
          </cell>
          <cell r="AI1567">
            <v>81602.093940000006</v>
          </cell>
          <cell r="AJ1567">
            <v>82556.863889999993</v>
          </cell>
          <cell r="AK1567">
            <v>83828.526150000005</v>
          </cell>
          <cell r="AL1567">
            <v>85147.14013</v>
          </cell>
          <cell r="AM1567">
            <v>86537.828540000002</v>
          </cell>
          <cell r="AN1567">
            <v>87999.525909999997</v>
          </cell>
          <cell r="AO1567">
            <v>89526.705449999994</v>
          </cell>
        </row>
        <row r="1572">
          <cell r="F1572">
            <v>1511704.0190000001</v>
          </cell>
          <cell r="G1572">
            <v>1534651.358</v>
          </cell>
          <cell r="H1572">
            <v>1556702.0330000001</v>
          </cell>
          <cell r="I1572">
            <v>1578284.84</v>
          </cell>
          <cell r="J1572">
            <v>1602662.72</v>
          </cell>
          <cell r="K1572">
            <v>1633961.5649999999</v>
          </cell>
          <cell r="L1572">
            <v>1665952.0020000001</v>
          </cell>
          <cell r="M1572">
            <v>1698353.7949999999</v>
          </cell>
          <cell r="N1572">
            <v>1731206.8430000001</v>
          </cell>
          <cell r="O1572">
            <v>1764637.855</v>
          </cell>
          <cell r="P1572">
            <v>1799206.6189999999</v>
          </cell>
          <cell r="Q1572">
            <v>1834513.2860000001</v>
          </cell>
          <cell r="R1572">
            <v>1870936.254</v>
          </cell>
          <cell r="S1572">
            <v>1908542.392</v>
          </cell>
          <cell r="T1572">
            <v>1947250.2050000001</v>
          </cell>
          <cell r="U1572">
            <v>1986923.0759999999</v>
          </cell>
          <cell r="V1572">
            <v>2025740.8430000001</v>
          </cell>
          <cell r="W1572">
            <v>2064839.415</v>
          </cell>
          <cell r="X1572">
            <v>2104268.3259999999</v>
          </cell>
          <cell r="Y1572">
            <v>2144086.923</v>
          </cell>
          <cell r="Z1572">
            <v>2184099.9619999998</v>
          </cell>
          <cell r="AA1572">
            <v>2223124.9610000001</v>
          </cell>
          <cell r="AB1572">
            <v>2262365.4849999999</v>
          </cell>
          <cell r="AC1572">
            <v>2301980.835</v>
          </cell>
          <cell r="AD1572">
            <v>2342111.7000000002</v>
          </cell>
          <cell r="AE1572">
            <v>2382094.0490000001</v>
          </cell>
          <cell r="AF1572">
            <v>2415004.73</v>
          </cell>
          <cell r="AG1572">
            <v>2446483.2999999998</v>
          </cell>
          <cell r="AH1572">
            <v>2477057.1710000001</v>
          </cell>
          <cell r="AI1572">
            <v>2507154.1</v>
          </cell>
          <cell r="AJ1572">
            <v>2537142.2489999998</v>
          </cell>
          <cell r="AK1572">
            <v>2572095.67</v>
          </cell>
          <cell r="AL1572">
            <v>2608804.23</v>
          </cell>
          <cell r="AM1572">
            <v>2647164.4449999998</v>
          </cell>
          <cell r="AN1572">
            <v>2687084.5019999999</v>
          </cell>
          <cell r="AO1572">
            <v>2728453.9440000001</v>
          </cell>
        </row>
        <row r="1575">
          <cell r="F1575">
            <v>-2031.3633159999999</v>
          </cell>
          <cell r="G1575">
            <v>-2087.1233240000001</v>
          </cell>
          <cell r="H1575">
            <v>-2080.210032</v>
          </cell>
          <cell r="I1575">
            <v>-2004.108459</v>
          </cell>
          <cell r="J1575">
            <v>-1939.7606330000001</v>
          </cell>
          <cell r="K1575">
            <v>-1989.7753949999999</v>
          </cell>
          <cell r="L1575">
            <v>-1959.56124</v>
          </cell>
          <cell r="M1575">
            <v>-1971.6164269999999</v>
          </cell>
          <cell r="N1575">
            <v>-1994.2068839999999</v>
          </cell>
          <cell r="O1575">
            <v>-2021.9344630000001</v>
          </cell>
          <cell r="P1575">
            <v>-2052.6040950000001</v>
          </cell>
          <cell r="Q1575">
            <v>-2086.5383120000001</v>
          </cell>
          <cell r="R1575">
            <v>-2122.2321569999999</v>
          </cell>
          <cell r="S1575">
            <v>-2159.8714930000001</v>
          </cell>
          <cell r="T1575">
            <v>-2199.617135</v>
          </cell>
          <cell r="U1575">
            <v>-2241.4905789999998</v>
          </cell>
          <cell r="V1575">
            <v>-2287.2905740000001</v>
          </cell>
          <cell r="W1575">
            <v>-2330.369862</v>
          </cell>
          <cell r="X1575">
            <v>-2373.4990349999998</v>
          </cell>
          <cell r="Y1575">
            <v>-2417.1908570000001</v>
          </cell>
          <cell r="Z1575">
            <v>-2461.6656320000002</v>
          </cell>
          <cell r="AA1575">
            <v>-2508.0175979999999</v>
          </cell>
          <cell r="AB1575">
            <v>-2550.4275170000001</v>
          </cell>
          <cell r="AC1575">
            <v>-2591.8679750000001</v>
          </cell>
          <cell r="AD1575">
            <v>-2633.07465</v>
          </cell>
          <cell r="AE1575">
            <v>-2675.0154250000001</v>
          </cell>
          <cell r="AF1575">
            <v>-2725.0486460000002</v>
          </cell>
          <cell r="AG1575">
            <v>-2754.902313</v>
          </cell>
          <cell r="AH1575">
            <v>-2779.1661260000001</v>
          </cell>
          <cell r="AI1575">
            <v>-2801.5140769999998</v>
          </cell>
          <cell r="AJ1575">
            <v>-2822.6935050000002</v>
          </cell>
          <cell r="AK1575">
            <v>-2837.4929000000002</v>
          </cell>
          <cell r="AL1575">
            <v>-2863.9249249999998</v>
          </cell>
          <cell r="AM1575">
            <v>-2893.3433719999998</v>
          </cell>
          <cell r="AN1575">
            <v>-2923.7279530000001</v>
          </cell>
          <cell r="AO1575">
            <v>-2954.8635549999999</v>
          </cell>
        </row>
        <row r="1580">
          <cell r="F1580">
            <v>40582.573940000002</v>
          </cell>
          <cell r="G1580">
            <v>40971.356140000004</v>
          </cell>
          <cell r="H1580">
            <v>41172.001510000002</v>
          </cell>
          <cell r="I1580">
            <v>41351.062760000001</v>
          </cell>
          <cell r="J1580">
            <v>41601.36088</v>
          </cell>
          <cell r="K1580">
            <v>42086.460469999998</v>
          </cell>
          <cell r="L1580">
            <v>42619.466939999998</v>
          </cell>
          <cell r="M1580">
            <v>43158.081030000001</v>
          </cell>
          <cell r="N1580">
            <v>43701.383170000001</v>
          </cell>
          <cell r="O1580">
            <v>44248.646950000002</v>
          </cell>
          <cell r="P1580">
            <v>44816.781909999998</v>
          </cell>
          <cell r="Q1580">
            <v>45387.659930000002</v>
          </cell>
          <cell r="R1580">
            <v>45974.664599999996</v>
          </cell>
          <cell r="S1580">
            <v>46583.294029999997</v>
          </cell>
          <cell r="T1580">
            <v>47214.990380000003</v>
          </cell>
          <cell r="U1580">
            <v>47868.900320000001</v>
          </cell>
          <cell r="V1580">
            <v>48497.516100000001</v>
          </cell>
          <cell r="W1580">
            <v>49137.28602</v>
          </cell>
          <cell r="X1580">
            <v>49791.940390000003</v>
          </cell>
          <cell r="Y1580">
            <v>50462.751909999999</v>
          </cell>
          <cell r="Z1580">
            <v>51141.38005</v>
          </cell>
          <cell r="AA1580">
            <v>51798.27132</v>
          </cell>
          <cell r="AB1580">
            <v>52468.084580000002</v>
          </cell>
          <cell r="AC1580">
            <v>53154.868889999998</v>
          </cell>
          <cell r="AD1580">
            <v>53860.262499999997</v>
          </cell>
          <cell r="AE1580">
            <v>54559.200830000002</v>
          </cell>
          <cell r="AF1580">
            <v>55069.0389</v>
          </cell>
          <cell r="AG1580">
            <v>55561.294990000002</v>
          </cell>
          <cell r="AH1580">
            <v>56054.609759999999</v>
          </cell>
          <cell r="AI1580">
            <v>56554.50834</v>
          </cell>
          <cell r="AJ1580">
            <v>57063.582340000001</v>
          </cell>
          <cell r="AK1580">
            <v>57712.51715</v>
          </cell>
          <cell r="AL1580">
            <v>58395.907010000003</v>
          </cell>
          <cell r="AM1580">
            <v>59102.554519999998</v>
          </cell>
          <cell r="AN1580">
            <v>59829.570699999997</v>
          </cell>
          <cell r="AO1580">
            <v>60575.745199999998</v>
          </cell>
        </row>
        <row r="1760">
          <cell r="F1760">
            <v>1.00262422</v>
          </cell>
          <cell r="G1760">
            <v>1.016438374</v>
          </cell>
          <cell r="H1760">
            <v>1.0422139180000001</v>
          </cell>
          <cell r="I1760">
            <v>1.0741079549999999</v>
          </cell>
          <cell r="J1760">
            <v>1.096412875</v>
          </cell>
          <cell r="K1760">
            <v>1.1036426909999999</v>
          </cell>
          <cell r="L1760">
            <v>1.1248293060000001</v>
          </cell>
          <cell r="M1760">
            <v>1.150596027</v>
          </cell>
          <cell r="N1760">
            <v>1.182264687</v>
          </cell>
          <cell r="O1760">
            <v>1.2220635580000001</v>
          </cell>
          <cell r="P1760">
            <v>1.2718450649999999</v>
          </cell>
          <cell r="Q1760">
            <v>1.3179430299999999</v>
          </cell>
          <cell r="R1760">
            <v>1.364950729</v>
          </cell>
          <cell r="S1760">
            <v>1.4132114280000001</v>
          </cell>
          <cell r="T1760">
            <v>1.462888019</v>
          </cell>
          <cell r="U1760">
            <v>1.513943262</v>
          </cell>
          <cell r="V1760">
            <v>1.5676983819999999</v>
          </cell>
          <cell r="W1760">
            <v>1.624535021</v>
          </cell>
          <cell r="X1760">
            <v>1.6840989930000001</v>
          </cell>
          <cell r="Y1760">
            <v>1.74591345</v>
          </cell>
          <cell r="Z1760">
            <v>1.809648487</v>
          </cell>
          <cell r="AA1760">
            <v>1.8731595729999999</v>
          </cell>
          <cell r="AB1760">
            <v>1.936607535</v>
          </cell>
          <cell r="AC1760">
            <v>1.999610195</v>
          </cell>
          <cell r="AD1760">
            <v>2.0618154990000002</v>
          </cell>
          <cell r="AE1760">
            <v>2.1232212439999998</v>
          </cell>
          <cell r="AF1760">
            <v>2.1828483369999998</v>
          </cell>
          <cell r="AG1760">
            <v>2.2411956320000002</v>
          </cell>
          <cell r="AH1760">
            <v>2.2979546470000001</v>
          </cell>
          <cell r="AI1760">
            <v>2.3529329520000002</v>
          </cell>
          <cell r="AJ1760">
            <v>2.4060038380000002</v>
          </cell>
          <cell r="AK1760">
            <v>2.4563799849999999</v>
          </cell>
          <cell r="AL1760">
            <v>2.5044505479999999</v>
          </cell>
          <cell r="AM1760">
            <v>2.5501861130000001</v>
          </cell>
          <cell r="AN1760">
            <v>2.5935851520000002</v>
          </cell>
          <cell r="AO1760">
            <v>2.6346179570000001</v>
          </cell>
        </row>
        <row r="1789">
          <cell r="F1789">
            <v>1.00262422</v>
          </cell>
          <cell r="G1789">
            <v>1.016438374</v>
          </cell>
          <cell r="H1789">
            <v>1.0422139180000001</v>
          </cell>
          <cell r="I1789">
            <v>1.0741079549999999</v>
          </cell>
          <cell r="J1789">
            <v>1.096412875</v>
          </cell>
          <cell r="K1789">
            <v>1.1036426909999999</v>
          </cell>
          <cell r="L1789">
            <v>1.12431576</v>
          </cell>
          <cell r="M1789">
            <v>1.143432257</v>
          </cell>
          <cell r="N1789">
            <v>1.163888917</v>
          </cell>
          <cell r="O1789">
            <v>1.1865031429999999</v>
          </cell>
          <cell r="P1789">
            <v>1.2112300330000001</v>
          </cell>
          <cell r="Q1789">
            <v>1.2375897440000001</v>
          </cell>
          <cell r="R1789">
            <v>1.2650224000000001</v>
          </cell>
          <cell r="S1789">
            <v>1.2932399530000001</v>
          </cell>
          <cell r="T1789">
            <v>1.322214188</v>
          </cell>
          <cell r="U1789">
            <v>1.3519683140000001</v>
          </cell>
          <cell r="V1789">
            <v>1.382257362</v>
          </cell>
          <cell r="W1789">
            <v>1.412877859</v>
          </cell>
          <cell r="X1789">
            <v>1.44367665</v>
          </cell>
          <cell r="Y1789">
            <v>1.474553032</v>
          </cell>
          <cell r="Z1789">
            <v>1.505524192</v>
          </cell>
          <cell r="AA1789">
            <v>1.5363034499999999</v>
          </cell>
          <cell r="AB1789">
            <v>1.5667326690000001</v>
          </cell>
          <cell r="AC1789">
            <v>1.596763406</v>
          </cell>
          <cell r="AD1789">
            <v>1.6264145409999999</v>
          </cell>
          <cell r="AE1789">
            <v>1.6560221580000001</v>
          </cell>
          <cell r="AF1789">
            <v>1.6847514610000001</v>
          </cell>
          <cell r="AG1789">
            <v>1.7122648279999999</v>
          </cell>
          <cell r="AH1789">
            <v>1.7385228049999999</v>
          </cell>
          <cell r="AI1789">
            <v>1.763599964</v>
          </cell>
          <cell r="AJ1789">
            <v>1.7876426949999999</v>
          </cell>
          <cell r="AK1789">
            <v>1.8114000800000001</v>
          </cell>
          <cell r="AL1789">
            <v>1.8353228130000001</v>
          </cell>
          <cell r="AM1789">
            <v>1.859691996</v>
          </cell>
          <cell r="AN1789">
            <v>1.88469949</v>
          </cell>
          <cell r="AO1789">
            <v>1.91049278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95"/>
  <sheetViews>
    <sheetView topLeftCell="A25" workbookViewId="0">
      <selection activeCell="H28" sqref="H28"/>
    </sheetView>
  </sheetViews>
  <sheetFormatPr baseColWidth="10" defaultRowHeight="14.5" x14ac:dyDescent="0.35"/>
  <cols>
    <col min="3" max="26" width="11.1796875" bestFit="1" customWidth="1"/>
    <col min="27" max="36" width="11.81640625" bestFit="1" customWidth="1"/>
    <col min="37" max="38" width="12.81640625" bestFit="1" customWidth="1"/>
  </cols>
  <sheetData>
    <row r="1" spans="1:38" x14ac:dyDescent="0.35">
      <c r="A1" t="s">
        <v>5</v>
      </c>
      <c r="B1" t="s">
        <v>6</v>
      </c>
    </row>
    <row r="3" spans="1:38" x14ac:dyDescent="0.35">
      <c r="B3" t="s">
        <v>0</v>
      </c>
      <c r="C3" s="2">
        <v>42005</v>
      </c>
      <c r="D3" s="2">
        <v>42370</v>
      </c>
      <c r="E3" s="2">
        <v>42736</v>
      </c>
      <c r="F3" s="2">
        <v>43101</v>
      </c>
      <c r="G3" s="2">
        <v>43466</v>
      </c>
      <c r="H3" s="2">
        <v>43831</v>
      </c>
      <c r="I3" s="2">
        <v>44197</v>
      </c>
      <c r="J3" s="2">
        <v>44562</v>
      </c>
      <c r="K3" s="2">
        <v>44927</v>
      </c>
      <c r="L3" s="2">
        <v>45292</v>
      </c>
      <c r="M3" s="2">
        <v>45658</v>
      </c>
      <c r="N3" s="2">
        <v>46023</v>
      </c>
      <c r="O3" s="2">
        <v>46388</v>
      </c>
      <c r="P3" s="2">
        <v>46753</v>
      </c>
      <c r="Q3" s="2">
        <v>47119</v>
      </c>
      <c r="R3" s="2">
        <v>47484</v>
      </c>
      <c r="S3" s="2">
        <v>47849</v>
      </c>
      <c r="T3" s="2">
        <v>48214</v>
      </c>
      <c r="U3" s="2">
        <v>48580</v>
      </c>
      <c r="V3" s="2">
        <v>48945</v>
      </c>
      <c r="W3" s="2">
        <v>49310</v>
      </c>
      <c r="X3" s="2">
        <v>49675</v>
      </c>
      <c r="Y3" s="2">
        <v>50041</v>
      </c>
      <c r="Z3" s="2">
        <v>50406</v>
      </c>
      <c r="AA3" s="2">
        <v>50771</v>
      </c>
      <c r="AB3" s="2">
        <v>51136</v>
      </c>
      <c r="AC3" s="2">
        <v>51502</v>
      </c>
      <c r="AD3" s="2">
        <v>51867</v>
      </c>
      <c r="AE3" s="2">
        <v>52232</v>
      </c>
      <c r="AF3" s="2">
        <v>52597</v>
      </c>
      <c r="AG3" s="2">
        <v>52963</v>
      </c>
      <c r="AH3" s="2">
        <v>53328</v>
      </c>
      <c r="AI3" s="2">
        <v>53693</v>
      </c>
      <c r="AJ3" s="2">
        <v>54058</v>
      </c>
      <c r="AK3" s="2">
        <v>54424</v>
      </c>
      <c r="AL3" s="2">
        <v>54789</v>
      </c>
    </row>
    <row r="4" spans="1:38" x14ac:dyDescent="0.35">
      <c r="A4" s="3" t="str">
        <f>[1]Results!E1365</f>
        <v>100*(GDP_2/GDP_0-1)</v>
      </c>
      <c r="B4" t="str">
        <f>[1]Results!C1365</f>
        <v>PIB</v>
      </c>
      <c r="C4" s="1">
        <f>[1]Results!F1365</f>
        <v>0</v>
      </c>
      <c r="D4" s="1">
        <f>[1]Results!G1365</f>
        <v>0</v>
      </c>
      <c r="E4" s="1">
        <f>[1]Results!H1365</f>
        <v>0</v>
      </c>
      <c r="F4" s="1">
        <f>[1]Results!I1365</f>
        <v>0</v>
      </c>
      <c r="G4" s="1">
        <f>[1]Results!J1365</f>
        <v>0</v>
      </c>
      <c r="H4" s="1">
        <f>[1]Results!K1365</f>
        <v>0</v>
      </c>
      <c r="I4" s="1">
        <f>[1]Results!L1365</f>
        <v>-5.7058574605395318E-2</v>
      </c>
      <c r="J4" s="1">
        <f>[1]Results!M1365</f>
        <v>-7.5736899466016805E-2</v>
      </c>
      <c r="K4" s="1">
        <f>[1]Results!N1365</f>
        <v>-4.9063725720699392E-2</v>
      </c>
      <c r="L4" s="1">
        <f>[1]Results!O1365</f>
        <v>4.8843776287221807E-2</v>
      </c>
      <c r="M4" s="1">
        <f>[1]Results!P1365</f>
        <v>0.23946187455461398</v>
      </c>
      <c r="N4" s="1">
        <f>[1]Results!Q1365</f>
        <v>0.31896307615082442</v>
      </c>
      <c r="O4" s="1">
        <f>[1]Results!R1365</f>
        <v>0.4040101897739401</v>
      </c>
      <c r="P4" s="1">
        <f>[1]Results!S1365</f>
        <v>0.49418968332746172</v>
      </c>
      <c r="Q4" s="1">
        <f>[1]Results!T1365</f>
        <v>0.57024302850694486</v>
      </c>
      <c r="R4" s="1">
        <f>[1]Results!U1365</f>
        <v>0.61893699393267276</v>
      </c>
      <c r="S4" s="1">
        <f>[1]Results!V1365</f>
        <v>0.68397019816510696</v>
      </c>
      <c r="T4" s="1">
        <f>[1]Results!W1365</f>
        <v>0.71454498282725876</v>
      </c>
      <c r="U4" s="1">
        <f>[1]Results!X1365</f>
        <v>0.71088846531643934</v>
      </c>
      <c r="V4" s="1">
        <f>[1]Results!Y1365</f>
        <v>0.67951459858126562</v>
      </c>
      <c r="W4" s="1">
        <f>[1]Results!Z1365</f>
        <v>0.62771993219250533</v>
      </c>
      <c r="X4" s="1">
        <f>[1]Results!AA1365</f>
        <v>0.54216243626499239</v>
      </c>
      <c r="Y4" s="1">
        <f>[1]Results!AB1365</f>
        <v>0.44139492850026052</v>
      </c>
      <c r="Z4" s="1">
        <f>[1]Results!AC1365</f>
        <v>0.32971121679301607</v>
      </c>
      <c r="AA4" s="1">
        <f>[1]Results!AD1365</f>
        <v>0.20802401262010051</v>
      </c>
      <c r="AB4" s="1">
        <f>[1]Results!AE1365</f>
        <v>7.6928512543350536E-2</v>
      </c>
      <c r="AC4" s="1">
        <f>[1]Results!AF1365</f>
        <v>0.21323515131881354</v>
      </c>
      <c r="AD4" s="1">
        <f>[1]Results!AG1365</f>
        <v>0.39000675231248838</v>
      </c>
      <c r="AE4" s="1">
        <f>[1]Results!AH1365</f>
        <v>0.60734445336929621</v>
      </c>
      <c r="AF4" s="1">
        <f>[1]Results!AI1365</f>
        <v>0.85865578127473086</v>
      </c>
      <c r="AG4" s="1">
        <f>[1]Results!AJ1365</f>
        <v>1.1367519806102289</v>
      </c>
      <c r="AH4" s="1">
        <f>[1]Results!AK1365</f>
        <v>1.1911259442043187</v>
      </c>
      <c r="AI4" s="1">
        <f>[1]Results!AL1365</f>
        <v>1.2142655889074705</v>
      </c>
      <c r="AJ4" s="1">
        <f>[1]Results!AM1365</f>
        <v>1.2085636403542876</v>
      </c>
      <c r="AK4" s="1">
        <f>[1]Results!AN1365</f>
        <v>1.180550076601028</v>
      </c>
      <c r="AL4" s="1">
        <f>[1]Results!AO1365</f>
        <v>1.1368189393755834</v>
      </c>
    </row>
    <row r="5" spans="1:38" x14ac:dyDescent="0.35">
      <c r="A5" s="3" t="str">
        <f>[1]Results!E1366</f>
        <v>100*((VA_2-VA_spub_2)/(VA_0-VA_spub_0)-1)</v>
      </c>
      <c r="B5" t="str">
        <f>[1]Results!C1366</f>
        <v>VA du secteur marchand</v>
      </c>
      <c r="C5" s="1">
        <f>[1]Results!F1366</f>
        <v>0</v>
      </c>
      <c r="D5" s="1">
        <f>[1]Results!G1366</f>
        <v>0</v>
      </c>
      <c r="E5" s="1">
        <f>[1]Results!H1366</f>
        <v>0</v>
      </c>
      <c r="F5" s="1">
        <f>[1]Results!I1366</f>
        <v>0</v>
      </c>
      <c r="G5" s="1">
        <f>[1]Results!J1366</f>
        <v>0</v>
      </c>
      <c r="H5" s="1">
        <f>[1]Results!K1366</f>
        <v>0</v>
      </c>
      <c r="I5" s="1">
        <f>[1]Results!L1366</f>
        <v>-6.9187796629854859E-2</v>
      </c>
      <c r="J5" s="1">
        <f>[1]Results!M1366</f>
        <v>-9.1142699030299923E-2</v>
      </c>
      <c r="K5" s="1">
        <f>[1]Results!N1366</f>
        <v>-6.4780280496412601E-2</v>
      </c>
      <c r="L5" s="1">
        <f>[1]Results!O1366</f>
        <v>3.3546413422280708E-2</v>
      </c>
      <c r="M5" s="1">
        <f>[1]Results!P1366</f>
        <v>0.22308990714541288</v>
      </c>
      <c r="N5" s="1">
        <f>[1]Results!Q1366</f>
        <v>0.2814242756987273</v>
      </c>
      <c r="O5" s="1">
        <f>[1]Results!R1366</f>
        <v>0.34156118054717854</v>
      </c>
      <c r="P5" s="1">
        <f>[1]Results!S1366</f>
        <v>0.40598220681127284</v>
      </c>
      <c r="Q5" s="1">
        <f>[1]Results!T1366</f>
        <v>0.45527280262300795</v>
      </c>
      <c r="R5" s="1">
        <f>[1]Results!U1366</f>
        <v>0.47582314602003795</v>
      </c>
      <c r="S5" s="1">
        <f>[1]Results!V1366</f>
        <v>0.52283512001274346</v>
      </c>
      <c r="T5" s="1">
        <f>[1]Results!W1366</f>
        <v>0.53385062984268039</v>
      </c>
      <c r="U5" s="1">
        <f>[1]Results!X1366</f>
        <v>0.50760416088901916</v>
      </c>
      <c r="V5" s="1">
        <f>[1]Results!Y1366</f>
        <v>0.45009961023432243</v>
      </c>
      <c r="W5" s="1">
        <f>[1]Results!Z1366</f>
        <v>0.36868108620917717</v>
      </c>
      <c r="X5" s="1">
        <f>[1]Results!AA1366</f>
        <v>0.24849704267901895</v>
      </c>
      <c r="Y5" s="1">
        <f>[1]Results!AB1366</f>
        <v>0.11040321610220616</v>
      </c>
      <c r="Z5" s="1">
        <f>[1]Results!AC1366</f>
        <v>-4.0704147746306596E-2</v>
      </c>
      <c r="AA5" s="1">
        <f>[1]Results!AD1366</f>
        <v>-0.20358728568883322</v>
      </c>
      <c r="AB5" s="1">
        <f>[1]Results!AE1366</f>
        <v>-0.37743112855458394</v>
      </c>
      <c r="AC5" s="1">
        <f>[1]Results!AF1366</f>
        <v>-0.22298040574428857</v>
      </c>
      <c r="AD5" s="1">
        <f>[1]Results!AG1366</f>
        <v>-2.915834053237587E-2</v>
      </c>
      <c r="AE5" s="1">
        <f>[1]Results!AH1366</f>
        <v>0.20649785497386386</v>
      </c>
      <c r="AF5" s="1">
        <f>[1]Results!AI1366</f>
        <v>0.47716257669305762</v>
      </c>
      <c r="AG5" s="1">
        <f>[1]Results!AJ1366</f>
        <v>0.77531423002104027</v>
      </c>
      <c r="AH5" s="1">
        <f>[1]Results!AK1366</f>
        <v>0.79956694816840646</v>
      </c>
      <c r="AI5" s="1">
        <f>[1]Results!AL1366</f>
        <v>0.79542952651037169</v>
      </c>
      <c r="AJ5" s="1">
        <f>[1]Results!AM1366</f>
        <v>0.76397977090316704</v>
      </c>
      <c r="AK5" s="1">
        <f>[1]Results!AN1366</f>
        <v>0.71206448301770475</v>
      </c>
      <c r="AL5" s="1">
        <f>[1]Results!AO1366</f>
        <v>0.64650939225145976</v>
      </c>
    </row>
    <row r="6" spans="1:38" x14ac:dyDescent="0.35">
      <c r="A6" s="3" t="str">
        <f>[1]Results!E1367</f>
        <v>100*((CH_2-CH_0)/GDP_0)</v>
      </c>
      <c r="B6" t="str">
        <f>[1]Results!C1367</f>
        <v>Consommation des ménages</v>
      </c>
      <c r="C6" s="1">
        <f>[1]Results!F1367</f>
        <v>0</v>
      </c>
      <c r="D6" s="1">
        <f>[1]Results!G1367</f>
        <v>0</v>
      </c>
      <c r="E6" s="1">
        <f>[1]Results!H1367</f>
        <v>0</v>
      </c>
      <c r="F6" s="1">
        <f>[1]Results!I1367</f>
        <v>0</v>
      </c>
      <c r="G6" s="1">
        <f>[1]Results!J1367</f>
        <v>0</v>
      </c>
      <c r="H6" s="1">
        <f>[1]Results!K1367</f>
        <v>0</v>
      </c>
      <c r="I6" s="1">
        <f>[1]Results!L1367</f>
        <v>-2.3041608361778494E-2</v>
      </c>
      <c r="J6" s="1">
        <f>[1]Results!M1367</f>
        <v>-1.2731610104386434E-2</v>
      </c>
      <c r="K6" s="1">
        <f>[1]Results!N1367</f>
        <v>6.9290429138546078E-2</v>
      </c>
      <c r="L6" s="1">
        <f>[1]Results!O1367</f>
        <v>0.27499885234053018</v>
      </c>
      <c r="M6" s="1">
        <f>[1]Results!P1367</f>
        <v>0.6533857269672706</v>
      </c>
      <c r="N6" s="1">
        <f>[1]Results!Q1367</f>
        <v>0.95109302215970193</v>
      </c>
      <c r="O6" s="1">
        <f>[1]Results!R1367</f>
        <v>1.2626511427862002</v>
      </c>
      <c r="P6" s="1">
        <f>[1]Results!S1367</f>
        <v>1.5748448433952615</v>
      </c>
      <c r="Q6" s="1">
        <f>[1]Results!T1367</f>
        <v>1.8664612781165313</v>
      </c>
      <c r="R6" s="1">
        <f>[1]Results!U1367</f>
        <v>2.1289243474472119</v>
      </c>
      <c r="S6" s="1">
        <f>[1]Results!V1367</f>
        <v>2.3780386778325004</v>
      </c>
      <c r="T6" s="1">
        <f>[1]Results!W1367</f>
        <v>2.5849304212193185</v>
      </c>
      <c r="U6" s="1">
        <f>[1]Results!X1367</f>
        <v>2.7544898314397206</v>
      </c>
      <c r="V6" s="1">
        <f>[1]Results!Y1367</f>
        <v>2.9026950171829156</v>
      </c>
      <c r="W6" s="1">
        <f>[1]Results!Z1367</f>
        <v>3.043393801423703</v>
      </c>
      <c r="X6" s="1">
        <f>[1]Results!AA1367</f>
        <v>3.1622399084046293</v>
      </c>
      <c r="Y6" s="1">
        <f>[1]Results!AB1367</f>
        <v>3.2717324408897337</v>
      </c>
      <c r="Z6" s="1">
        <f>[1]Results!AC1367</f>
        <v>3.3747373430934751</v>
      </c>
      <c r="AA6" s="1">
        <f>[1]Results!AD1367</f>
        <v>3.4717892111796766</v>
      </c>
      <c r="AB6" s="1">
        <f>[1]Results!AE1367</f>
        <v>3.563872940033487</v>
      </c>
      <c r="AC6" s="1">
        <f>[1]Results!AF1367</f>
        <v>3.6952752485966229</v>
      </c>
      <c r="AD6" s="1">
        <f>[1]Results!AG1367</f>
        <v>3.8677507979137742</v>
      </c>
      <c r="AE6" s="1">
        <f>[1]Results!AH1367</f>
        <v>4.0812946562652472</v>
      </c>
      <c r="AF6" s="1">
        <f>[1]Results!AI1367</f>
        <v>4.3307049314490937</v>
      </c>
      <c r="AG6" s="1">
        <f>[1]Results!AJ1367</f>
        <v>4.6085580191907596</v>
      </c>
      <c r="AH6" s="1">
        <f>[1]Results!AK1367</f>
        <v>4.8402451747866841</v>
      </c>
      <c r="AI6" s="1">
        <f>[1]Results!AL1367</f>
        <v>5.0227853185601852</v>
      </c>
      <c r="AJ6" s="1">
        <f>[1]Results!AM1367</f>
        <v>5.157723972558645</v>
      </c>
      <c r="AK6" s="1">
        <f>[1]Results!AN1367</f>
        <v>5.2511206033321596</v>
      </c>
      <c r="AL6" s="1">
        <f>[1]Results!AO1367</f>
        <v>5.3108067563914325</v>
      </c>
    </row>
    <row r="7" spans="1:38" x14ac:dyDescent="0.35">
      <c r="A7" s="3" t="str">
        <f>[1]Results!E1368</f>
        <v>100*((CH_cveh_2-CH_cveh_0)/GDP_0)</v>
      </c>
      <c r="B7" t="str">
        <f>[1]Results!C1368</f>
        <v>Consommation des ménages automobile</v>
      </c>
      <c r="C7" s="1">
        <f>[1]Results!F1368</f>
        <v>0</v>
      </c>
      <c r="D7" s="1">
        <f>[1]Results!G1368</f>
        <v>0</v>
      </c>
      <c r="E7" s="1">
        <f>[1]Results!H1368</f>
        <v>0</v>
      </c>
      <c r="F7" s="1">
        <f>[1]Results!I1368</f>
        <v>0</v>
      </c>
      <c r="G7" s="1">
        <f>[1]Results!J1368</f>
        <v>0</v>
      </c>
      <c r="H7" s="1">
        <f>[1]Results!K1368</f>
        <v>0</v>
      </c>
      <c r="I7" s="1">
        <f>[1]Results!L1368</f>
        <v>-2.7495343988091178E-3</v>
      </c>
      <c r="J7" s="1">
        <f>[1]Results!M1368</f>
        <v>-1.4419714622023938E-2</v>
      </c>
      <c r="K7" s="1">
        <f>[1]Results!N1368</f>
        <v>-1.8079334173408866E-2</v>
      </c>
      <c r="L7" s="1">
        <f>[1]Results!O1368</f>
        <v>-1.1123083919905432E-2</v>
      </c>
      <c r="M7" s="1">
        <f>[1]Results!P1368</f>
        <v>-8.1685555363324028E-4</v>
      </c>
      <c r="N7" s="1">
        <f>[1]Results!Q1368</f>
        <v>5.50655345333309E-2</v>
      </c>
      <c r="O7" s="1">
        <f>[1]Results!R1368</f>
        <v>0.12161945805883324</v>
      </c>
      <c r="P7" s="1">
        <f>[1]Results!S1368</f>
        <v>0.17400853116167894</v>
      </c>
      <c r="Q7" s="1">
        <f>[1]Results!T1368</f>
        <v>0.20809173646738605</v>
      </c>
      <c r="R7" s="1">
        <f>[1]Results!U1368</f>
        <v>0.22821913774776478</v>
      </c>
      <c r="S7" s="1">
        <f>[1]Results!V1368</f>
        <v>0.23378718483279454</v>
      </c>
      <c r="T7" s="1">
        <f>[1]Results!W1368</f>
        <v>0.22146935468508941</v>
      </c>
      <c r="U7" s="1">
        <f>[1]Results!X1368</f>
        <v>0.19875301199825374</v>
      </c>
      <c r="V7" s="1">
        <f>[1]Results!Y1368</f>
        <v>0.17454539059637117</v>
      </c>
      <c r="W7" s="1">
        <f>[1]Results!Z1368</f>
        <v>0.15372227614659509</v>
      </c>
      <c r="X7" s="1">
        <f>[1]Results!AA1368</f>
        <v>0.14312080361620586</v>
      </c>
      <c r="Y7" s="1">
        <f>[1]Results!AB1368</f>
        <v>0.13714723953644337</v>
      </c>
      <c r="Z7" s="1">
        <f>[1]Results!AC1368</f>
        <v>0.13241477070742833</v>
      </c>
      <c r="AA7" s="1">
        <f>[1]Results!AD1368</f>
        <v>0.12774217518885125</v>
      </c>
      <c r="AB7" s="1">
        <f>[1]Results!AE1368</f>
        <v>0.12269376762893351</v>
      </c>
      <c r="AC7" s="1">
        <f>[1]Results!AF1368</f>
        <v>0.12584969209929531</v>
      </c>
      <c r="AD7" s="1">
        <f>[1]Results!AG1368</f>
        <v>0.13245012363299261</v>
      </c>
      <c r="AE7" s="1">
        <f>[1]Results!AH1368</f>
        <v>0.14025989695284297</v>
      </c>
      <c r="AF7" s="1">
        <f>[1]Results!AI1368</f>
        <v>0.14838742589952353</v>
      </c>
      <c r="AG7" s="1">
        <f>[1]Results!AJ1368</f>
        <v>0.15625794389106962</v>
      </c>
      <c r="AH7" s="1">
        <f>[1]Results!AK1368</f>
        <v>0.16078451608172437</v>
      </c>
      <c r="AI7" s="1">
        <f>[1]Results!AL1368</f>
        <v>0.16039860550531729</v>
      </c>
      <c r="AJ7" s="1">
        <f>[1]Results!AM1368</f>
        <v>0.15566259725182399</v>
      </c>
      <c r="AK7" s="1">
        <f>[1]Results!AN1368</f>
        <v>0.14779835481041034</v>
      </c>
      <c r="AL7" s="1">
        <f>[1]Results!AO1368</f>
        <v>0.13797188971998364</v>
      </c>
    </row>
    <row r="8" spans="1:38" x14ac:dyDescent="0.35">
      <c r="A8" s="3" t="str">
        <f>[1]Results!E1369</f>
        <v>100*((G_2-G_0)/GDP_0)</v>
      </c>
      <c r="B8" t="str">
        <f>[1]Results!C1369</f>
        <v>Dépenses publiques</v>
      </c>
      <c r="C8" s="1">
        <f>[1]Results!F1369</f>
        <v>0</v>
      </c>
      <c r="D8" s="1">
        <f>[1]Results!G1369</f>
        <v>0</v>
      </c>
      <c r="E8" s="1">
        <f>[1]Results!H1369</f>
        <v>0</v>
      </c>
      <c r="F8" s="1">
        <f>[1]Results!I1369</f>
        <v>0</v>
      </c>
      <c r="G8" s="1">
        <f>[1]Results!J1369</f>
        <v>0</v>
      </c>
      <c r="H8" s="1">
        <f>[1]Results!K1369</f>
        <v>0</v>
      </c>
      <c r="I8" s="1">
        <f>[1]Results!L1369</f>
        <v>0</v>
      </c>
      <c r="J8" s="1">
        <f>[1]Results!M1369</f>
        <v>0</v>
      </c>
      <c r="K8" s="1">
        <f>[1]Results!N1369</f>
        <v>0</v>
      </c>
      <c r="L8" s="1">
        <f>[1]Results!O1369</f>
        <v>0</v>
      </c>
      <c r="M8" s="1">
        <f>[1]Results!P1369</f>
        <v>0</v>
      </c>
      <c r="N8" s="1">
        <f>[1]Results!Q1369</f>
        <v>0</v>
      </c>
      <c r="O8" s="1">
        <f>[1]Results!R1369</f>
        <v>0</v>
      </c>
      <c r="P8" s="1">
        <f>[1]Results!S1369</f>
        <v>0</v>
      </c>
      <c r="Q8" s="1">
        <f>[1]Results!T1369</f>
        <v>0</v>
      </c>
      <c r="R8" s="1">
        <f>[1]Results!U1369</f>
        <v>0</v>
      </c>
      <c r="S8" s="1">
        <f>[1]Results!V1369</f>
        <v>0</v>
      </c>
      <c r="T8" s="1">
        <f>[1]Results!W1369</f>
        <v>0</v>
      </c>
      <c r="U8" s="1">
        <f>[1]Results!X1369</f>
        <v>0</v>
      </c>
      <c r="V8" s="1">
        <f>[1]Results!Y1369</f>
        <v>0</v>
      </c>
      <c r="W8" s="1">
        <f>[1]Results!Z1369</f>
        <v>0</v>
      </c>
      <c r="X8" s="1">
        <f>[1]Results!AA1369</f>
        <v>0</v>
      </c>
      <c r="Y8" s="1">
        <f>[1]Results!AB1369</f>
        <v>0</v>
      </c>
      <c r="Z8" s="1">
        <f>[1]Results!AC1369</f>
        <v>0</v>
      </c>
      <c r="AA8" s="1">
        <f>[1]Results!AD1369</f>
        <v>0</v>
      </c>
      <c r="AB8" s="1">
        <f>[1]Results!AE1369</f>
        <v>0</v>
      </c>
      <c r="AC8" s="1">
        <f>[1]Results!AF1369</f>
        <v>0</v>
      </c>
      <c r="AD8" s="1">
        <f>[1]Results!AG1369</f>
        <v>0</v>
      </c>
      <c r="AE8" s="1">
        <f>[1]Results!AH1369</f>
        <v>0</v>
      </c>
      <c r="AF8" s="1">
        <f>[1]Results!AI1369</f>
        <v>0</v>
      </c>
      <c r="AG8" s="1">
        <f>[1]Results!AJ1369</f>
        <v>0</v>
      </c>
      <c r="AH8" s="1">
        <f>[1]Results!AK1369</f>
        <v>0</v>
      </c>
      <c r="AI8" s="1">
        <f>[1]Results!AL1369</f>
        <v>0</v>
      </c>
      <c r="AJ8" s="1">
        <f>[1]Results!AM1369</f>
        <v>0</v>
      </c>
      <c r="AK8" s="1">
        <f>[1]Results!AN1369</f>
        <v>0</v>
      </c>
      <c r="AL8" s="1">
        <f>[1]Results!AO1369</f>
        <v>0</v>
      </c>
    </row>
    <row r="9" spans="1:38" x14ac:dyDescent="0.35">
      <c r="A9" s="3" t="str">
        <f>[1]Results!E1370</f>
        <v>100*((I_2-I_0)/GDP_0)</v>
      </c>
      <c r="B9" t="str">
        <f>[1]Results!C1370</f>
        <v>Investissement</v>
      </c>
      <c r="C9" s="1">
        <f>[1]Results!F1370</f>
        <v>0</v>
      </c>
      <c r="D9" s="1">
        <f>[1]Results!G1370</f>
        <v>0</v>
      </c>
      <c r="E9" s="1">
        <f>[1]Results!H1370</f>
        <v>0</v>
      </c>
      <c r="F9" s="1">
        <f>[1]Results!I1370</f>
        <v>0</v>
      </c>
      <c r="G9" s="1">
        <f>[1]Results!J1370</f>
        <v>0</v>
      </c>
      <c r="H9" s="1">
        <f>[1]Results!K1370</f>
        <v>0</v>
      </c>
      <c r="I9" s="1">
        <f>[1]Results!L1370</f>
        <v>-1.1370162013878821E-2</v>
      </c>
      <c r="J9" s="1">
        <f>[1]Results!M1370</f>
        <v>-5.9292024957930095E-2</v>
      </c>
      <c r="K9" s="1">
        <f>[1]Results!N1370</f>
        <v>-0.13938715916498204</v>
      </c>
      <c r="L9" s="1">
        <f>[1]Results!O1370</f>
        <v>-0.24693539269072737</v>
      </c>
      <c r="M9" s="1">
        <f>[1]Results!P1370</f>
        <v>-0.37827892768480292</v>
      </c>
      <c r="N9" s="1">
        <f>[1]Results!Q1370</f>
        <v>-0.48656735218243874</v>
      </c>
      <c r="O9" s="1">
        <f>[1]Results!R1370</f>
        <v>-0.56547816185971023</v>
      </c>
      <c r="P9" s="1">
        <f>[1]Results!S1370</f>
        <v>-0.61872756541539231</v>
      </c>
      <c r="Q9" s="1">
        <f>[1]Results!T1370</f>
        <v>-0.65413260222262215</v>
      </c>
      <c r="R9" s="1">
        <f>[1]Results!U1370</f>
        <v>-0.67886204082355273</v>
      </c>
      <c r="S9" s="1">
        <f>[1]Results!V1370</f>
        <v>-0.69780546709918612</v>
      </c>
      <c r="T9" s="1">
        <f>[1]Results!W1370</f>
        <v>-0.72271587697463779</v>
      </c>
      <c r="U9" s="1">
        <f>[1]Results!X1370</f>
        <v>-0.7588151411914924</v>
      </c>
      <c r="V9" s="1">
        <f>[1]Results!Y1370</f>
        <v>-0.80593752801774932</v>
      </c>
      <c r="W9" s="1">
        <f>[1]Results!Z1370</f>
        <v>-0.86153665615779917</v>
      </c>
      <c r="X9" s="1">
        <f>[1]Results!AA1370</f>
        <v>-0.91999053716225132</v>
      </c>
      <c r="Y9" s="1">
        <f>[1]Results!AB1370</f>
        <v>-0.97813761720541637</v>
      </c>
      <c r="Z9" s="1">
        <f>[1]Results!AC1370</f>
        <v>-1.0343542820860949</v>
      </c>
      <c r="AA9" s="1">
        <f>[1]Results!AD1370</f>
        <v>-1.0877036375303386</v>
      </c>
      <c r="AB9" s="1">
        <f>[1]Results!AE1370</f>
        <v>-1.1375408714958108</v>
      </c>
      <c r="AC9" s="1">
        <f>[1]Results!AF1370</f>
        <v>-1.1403902555657008</v>
      </c>
      <c r="AD9" s="1">
        <f>[1]Results!AG1370</f>
        <v>-1.1128227438050746</v>
      </c>
      <c r="AE9" s="1">
        <f>[1]Results!AH1370</f>
        <v>-1.0646125642349658</v>
      </c>
      <c r="AF9" s="1">
        <f>[1]Results!AI1370</f>
        <v>-0.99962916944253433</v>
      </c>
      <c r="AG9" s="1">
        <f>[1]Results!AJ1370</f>
        <v>-0.91919960491547437</v>
      </c>
      <c r="AH9" s="1">
        <f>[1]Results!AK1370</f>
        <v>-0.85832611196507336</v>
      </c>
      <c r="AI9" s="1">
        <f>[1]Results!AL1370</f>
        <v>-0.80352801350749548</v>
      </c>
      <c r="AJ9" s="1">
        <f>[1]Results!AM1370</f>
        <v>-0.74668559980982474</v>
      </c>
      <c r="AK9" s="1">
        <f>[1]Results!AN1370</f>
        <v>-0.68436267228400505</v>
      </c>
      <c r="AL9" s="1">
        <f>[1]Results!AO1370</f>
        <v>-0.61522583669217601</v>
      </c>
    </row>
    <row r="10" spans="1:38" x14ac:dyDescent="0.35">
      <c r="A10" s="3" t="str">
        <f>[1]Results!E1371</f>
        <v>100*((DS_2-DS_0)/GDP_0)</v>
      </c>
      <c r="B10" t="str">
        <f>[1]Results!C1371</f>
        <v>Variations de stocks</v>
      </c>
      <c r="C10" s="1">
        <f>[1]Results!F1371</f>
        <v>0</v>
      </c>
      <c r="D10" s="1">
        <f>[1]Results!G1371</f>
        <v>0</v>
      </c>
      <c r="E10" s="1">
        <f>[1]Results!H1371</f>
        <v>0</v>
      </c>
      <c r="F10" s="1">
        <f>[1]Results!I1371</f>
        <v>0</v>
      </c>
      <c r="G10" s="1">
        <f>[1]Results!J1371</f>
        <v>0</v>
      </c>
      <c r="H10" s="1">
        <f>[1]Results!K1371</f>
        <v>0</v>
      </c>
      <c r="I10" s="1">
        <f>[1]Results!L1371</f>
        <v>0</v>
      </c>
      <c r="J10" s="1">
        <f>[1]Results!M1371</f>
        <v>0</v>
      </c>
      <c r="K10" s="1">
        <f>[1]Results!N1371</f>
        <v>0</v>
      </c>
      <c r="L10" s="1">
        <f>[1]Results!O1371</f>
        <v>0</v>
      </c>
      <c r="M10" s="1">
        <f>[1]Results!P1371</f>
        <v>0</v>
      </c>
      <c r="N10" s="1">
        <f>[1]Results!Q1371</f>
        <v>0</v>
      </c>
      <c r="O10" s="1">
        <f>[1]Results!R1371</f>
        <v>0</v>
      </c>
      <c r="P10" s="1">
        <f>[1]Results!S1371</f>
        <v>0</v>
      </c>
      <c r="Q10" s="1">
        <f>[1]Results!T1371</f>
        <v>0</v>
      </c>
      <c r="R10" s="1">
        <f>[1]Results!U1371</f>
        <v>0</v>
      </c>
      <c r="S10" s="1">
        <f>[1]Results!V1371</f>
        <v>0</v>
      </c>
      <c r="T10" s="1">
        <f>[1]Results!W1371</f>
        <v>0</v>
      </c>
      <c r="U10" s="1">
        <f>[1]Results!X1371</f>
        <v>0</v>
      </c>
      <c r="V10" s="1">
        <f>[1]Results!Y1371</f>
        <v>0</v>
      </c>
      <c r="W10" s="1">
        <f>[1]Results!Z1371</f>
        <v>0</v>
      </c>
      <c r="X10" s="1">
        <f>[1]Results!AA1371</f>
        <v>0</v>
      </c>
      <c r="Y10" s="1">
        <f>[1]Results!AB1371</f>
        <v>0</v>
      </c>
      <c r="Z10" s="1">
        <f>[1]Results!AC1371</f>
        <v>0</v>
      </c>
      <c r="AA10" s="1">
        <f>[1]Results!AD1371</f>
        <v>0</v>
      </c>
      <c r="AB10" s="1">
        <f>[1]Results!AE1371</f>
        <v>0</v>
      </c>
      <c r="AC10" s="1">
        <f>[1]Results!AF1371</f>
        <v>0</v>
      </c>
      <c r="AD10" s="1">
        <f>[1]Results!AG1371</f>
        <v>0</v>
      </c>
      <c r="AE10" s="1">
        <f>[1]Results!AH1371</f>
        <v>0</v>
      </c>
      <c r="AF10" s="1">
        <f>[1]Results!AI1371</f>
        <v>0</v>
      </c>
      <c r="AG10" s="1">
        <f>[1]Results!AJ1371</f>
        <v>0</v>
      </c>
      <c r="AH10" s="1">
        <f>[1]Results!AK1371</f>
        <v>0</v>
      </c>
      <c r="AI10" s="1">
        <f>[1]Results!AL1371</f>
        <v>0</v>
      </c>
      <c r="AJ10" s="1">
        <f>[1]Results!AM1371</f>
        <v>0</v>
      </c>
      <c r="AK10" s="1">
        <f>[1]Results!AN1371</f>
        <v>0</v>
      </c>
      <c r="AL10" s="1">
        <f>[1]Results!AO1371</f>
        <v>0</v>
      </c>
    </row>
    <row r="11" spans="1:38" x14ac:dyDescent="0.35">
      <c r="A11" s="3" t="str">
        <f>[1]Results!E1372</f>
        <v>100*((X_2-X_0)/GDP_0)-100*((M_2-M_0)/GDP_0)</v>
      </c>
      <c r="B11" t="str">
        <f>[1]Results!C1372</f>
        <v>Exportations nettes</v>
      </c>
      <c r="C11" s="1">
        <f>[1]Results!F1372</f>
        <v>0</v>
      </c>
      <c r="D11" s="1">
        <f>[1]Results!G1372</f>
        <v>0</v>
      </c>
      <c r="E11" s="1">
        <f>[1]Results!H1372</f>
        <v>0</v>
      </c>
      <c r="F11" s="1">
        <f>[1]Results!I1372</f>
        <v>0</v>
      </c>
      <c r="G11" s="1">
        <f>[1]Results!J1372</f>
        <v>0</v>
      </c>
      <c r="H11" s="1">
        <f>[1]Results!K1372</f>
        <v>0</v>
      </c>
      <c r="I11" s="1">
        <f>[1]Results!L1372</f>
        <v>-2.2646824835193865E-2</v>
      </c>
      <c r="J11" s="1">
        <f>[1]Results!M1372</f>
        <v>-3.7132724839171044E-3</v>
      </c>
      <c r="K11" s="1">
        <f>[1]Results!N1372</f>
        <v>2.1033028072537652E-2</v>
      </c>
      <c r="L11" s="1">
        <f>[1]Results!O1372</f>
        <v>2.0780297218131349E-2</v>
      </c>
      <c r="M11" s="1">
        <f>[1]Results!P1372</f>
        <v>-3.5644890464696183E-2</v>
      </c>
      <c r="N11" s="1">
        <f>[1]Results!Q1372</f>
        <v>-0.14556264233774205</v>
      </c>
      <c r="O11" s="1">
        <f>[1]Results!R1372</f>
        <v>-0.2931627838388815</v>
      </c>
      <c r="P11" s="1">
        <f>[1]Results!S1372</f>
        <v>-0.46192761973024032</v>
      </c>
      <c r="Q11" s="1">
        <f>[1]Results!T1372</f>
        <v>-0.64208564387796729</v>
      </c>
      <c r="R11" s="1">
        <f>[1]Results!U1372</f>
        <v>-0.8311252851986598</v>
      </c>
      <c r="S11" s="1">
        <f>[1]Results!V1372</f>
        <v>-0.99626302941140366</v>
      </c>
      <c r="T11" s="1">
        <f>[1]Results!W1372</f>
        <v>-1.1476695416016052</v>
      </c>
      <c r="U11" s="1">
        <f>[1]Results!X1372</f>
        <v>-1.2847862184548295</v>
      </c>
      <c r="V11" s="1">
        <f>[1]Results!Y1372</f>
        <v>-1.4172428842318405</v>
      </c>
      <c r="W11" s="1">
        <f>[1]Results!Z1372</f>
        <v>-1.5541372379976786</v>
      </c>
      <c r="X11" s="1">
        <f>[1]Results!AA1372</f>
        <v>-1.7000869472126756</v>
      </c>
      <c r="Y11" s="1">
        <f>[1]Results!AB1372</f>
        <v>-1.8521999312276751</v>
      </c>
      <c r="Z11" s="1">
        <f>[1]Results!AC1372</f>
        <v>-2.0106718501139618</v>
      </c>
      <c r="AA11" s="1">
        <f>[1]Results!AD1372</f>
        <v>-2.1760615784118178</v>
      </c>
      <c r="AB11" s="1">
        <f>[1]Results!AE1372</f>
        <v>-2.3494035417624453</v>
      </c>
      <c r="AC11" s="1">
        <f>[1]Results!AF1372</f>
        <v>-2.341649852939216</v>
      </c>
      <c r="AD11" s="1">
        <f>[1]Results!AG1372</f>
        <v>-2.3649213377997778</v>
      </c>
      <c r="AE11" s="1">
        <f>[1]Results!AH1372</f>
        <v>-2.4093376578003709</v>
      </c>
      <c r="AF11" s="1">
        <f>[1]Results!AI1372</f>
        <v>-2.4724199591291747</v>
      </c>
      <c r="AG11" s="1">
        <f>[1]Results!AJ1372</f>
        <v>-2.552606425662677</v>
      </c>
      <c r="AH11" s="1">
        <f>[1]Results!AK1372</f>
        <v>-2.7907931291358854</v>
      </c>
      <c r="AI11" s="1">
        <f>[1]Results!AL1372</f>
        <v>-3.0049917213279991</v>
      </c>
      <c r="AJ11" s="1">
        <f>[1]Results!AM1372</f>
        <v>-3.2024747017624726</v>
      </c>
      <c r="AK11" s="1">
        <f>[1]Results!AN1372</f>
        <v>-3.3862078569607785</v>
      </c>
      <c r="AL11" s="1">
        <f>[1]Results!AO1372</f>
        <v>-3.5587619852728309</v>
      </c>
    </row>
    <row r="12" spans="1:38" x14ac:dyDescent="0.35">
      <c r="A12" s="3" t="str">
        <f>[1]Results!E1373</f>
        <v>100*((CH_2-CH_ccon_2-(CH_0-CH_ccon_0))/GDP_0)</v>
      </c>
      <c r="B12" t="str">
        <f>[1]Results!C1373</f>
        <v>Consommation des ménages</v>
      </c>
      <c r="C12" s="1">
        <f>[1]Results!F1373</f>
        <v>0</v>
      </c>
      <c r="D12" s="1">
        <f>[1]Results!G1373</f>
        <v>0</v>
      </c>
      <c r="E12" s="1">
        <f>[1]Results!H1373</f>
        <v>0</v>
      </c>
      <c r="F12" s="1">
        <f>[1]Results!I1373</f>
        <v>0</v>
      </c>
      <c r="G12" s="1">
        <f>[1]Results!J1373</f>
        <v>0</v>
      </c>
      <c r="H12" s="1">
        <f>[1]Results!K1373</f>
        <v>0</v>
      </c>
      <c r="I12" s="1">
        <f>[1]Results!L1373</f>
        <v>-2.2647807714149756E-2</v>
      </c>
      <c r="J12" s="1">
        <f>[1]Results!M1373</f>
        <v>-1.1574419343870936E-2</v>
      </c>
      <c r="K12" s="1">
        <f>[1]Results!N1373</f>
        <v>7.1328410851093607E-2</v>
      </c>
      <c r="L12" s="1">
        <f>[1]Results!O1373</f>
        <v>0.27701445532197672</v>
      </c>
      <c r="M12" s="1">
        <f>[1]Results!P1373</f>
        <v>0.65341783686773602</v>
      </c>
      <c r="N12" s="1">
        <f>[1]Results!Q1373</f>
        <v>0.94951110854918064</v>
      </c>
      <c r="O12" s="1">
        <f>[1]Results!R1373</f>
        <v>1.2575057589188792</v>
      </c>
      <c r="P12" s="1">
        <f>[1]Results!S1373</f>
        <v>1.56465641935153</v>
      </c>
      <c r="Q12" s="1">
        <f>[1]Results!T1373</f>
        <v>1.8507523634459626</v>
      </c>
      <c r="R12" s="1">
        <f>[1]Results!U1373</f>
        <v>2.107921362890441</v>
      </c>
      <c r="S12" s="1">
        <f>[1]Results!V1373</f>
        <v>2.3521624095626712</v>
      </c>
      <c r="T12" s="1">
        <f>[1]Results!W1373</f>
        <v>2.5552256831794216</v>
      </c>
      <c r="U12" s="1">
        <f>[1]Results!X1373</f>
        <v>2.7219907149922848</v>
      </c>
      <c r="V12" s="1">
        <f>[1]Results!Y1373</f>
        <v>2.8680978282998888</v>
      </c>
      <c r="W12" s="1">
        <f>[1]Results!Z1373</f>
        <v>3.0070022503758902</v>
      </c>
      <c r="X12" s="1">
        <f>[1]Results!AA1373</f>
        <v>3.1243584901021033</v>
      </c>
      <c r="Y12" s="1">
        <f>[1]Results!AB1373</f>
        <v>3.2322819475299185</v>
      </c>
      <c r="Z12" s="1">
        <f>[1]Results!AC1373</f>
        <v>3.3335749526106579</v>
      </c>
      <c r="AA12" s="1">
        <f>[1]Results!AD1373</f>
        <v>3.4288136354866867</v>
      </c>
      <c r="AB12" s="1">
        <f>[1]Results!AE1373</f>
        <v>3.5190129657863416</v>
      </c>
      <c r="AC12" s="1">
        <f>[1]Results!AF1373</f>
        <v>3.6479795402605313</v>
      </c>
      <c r="AD12" s="1">
        <f>[1]Results!AG1373</f>
        <v>3.8175294035299236</v>
      </c>
      <c r="AE12" s="1">
        <f>[1]Results!AH1373</f>
        <v>4.0277444704659358</v>
      </c>
      <c r="AF12" s="1">
        <f>[1]Results!AI1373</f>
        <v>4.2734945452513058</v>
      </c>
      <c r="AG12" s="1">
        <f>[1]Results!AJ1373</f>
        <v>4.5473999050362899</v>
      </c>
      <c r="AH12" s="1">
        <f>[1]Results!AK1373</f>
        <v>4.7757605533680341</v>
      </c>
      <c r="AI12" s="1">
        <f>[1]Results!AL1373</f>
        <v>4.9554873565705542</v>
      </c>
      <c r="AJ12" s="1">
        <f>[1]Results!AM1373</f>
        <v>5.0880591329672784</v>
      </c>
      <c r="AK12" s="1">
        <f>[1]Results!AN1373</f>
        <v>5.1794807726471532</v>
      </c>
      <c r="AL12" s="1">
        <f>[1]Results!AO1373</f>
        <v>5.2375359818816793</v>
      </c>
    </row>
    <row r="13" spans="1:38" x14ac:dyDescent="0.35">
      <c r="A13" s="3" t="str">
        <f>[1]Results!E1374</f>
        <v>100*((I_2+CH_ccon_2-(I_0+CH_ccon_0))/GDP_0)</v>
      </c>
      <c r="B13" t="str">
        <f>[1]Results!C1374</f>
        <v>Investissement</v>
      </c>
      <c r="C13" s="1">
        <f>[1]Results!F1374</f>
        <v>0</v>
      </c>
      <c r="D13" s="1">
        <f>[1]Results!G1374</f>
        <v>0</v>
      </c>
      <c r="E13" s="1">
        <f>[1]Results!H1374</f>
        <v>0</v>
      </c>
      <c r="F13" s="1">
        <f>[1]Results!I1374</f>
        <v>0</v>
      </c>
      <c r="G13" s="1">
        <f>[1]Results!J1374</f>
        <v>0</v>
      </c>
      <c r="H13" s="1">
        <f>[1]Results!K1374</f>
        <v>0</v>
      </c>
      <c r="I13" s="1">
        <f>[1]Results!L1374</f>
        <v>-1.1763962661514756E-2</v>
      </c>
      <c r="J13" s="1">
        <f>[1]Results!M1374</f>
        <v>-6.0449215718454997E-2</v>
      </c>
      <c r="K13" s="1">
        <f>[1]Results!N1374</f>
        <v>-0.14142514087752495</v>
      </c>
      <c r="L13" s="1">
        <f>[1]Results!O1374</f>
        <v>-0.24895099567217391</v>
      </c>
      <c r="M13" s="1">
        <f>[1]Results!P1374</f>
        <v>-0.37831103758526841</v>
      </c>
      <c r="N13" s="1">
        <f>[1]Results!Q1374</f>
        <v>-0.48498543857192183</v>
      </c>
      <c r="O13" s="1">
        <f>[1]Results!R1374</f>
        <v>-0.56033277799238079</v>
      </c>
      <c r="P13" s="1">
        <f>[1]Results!S1374</f>
        <v>-0.60853914137166099</v>
      </c>
      <c r="Q13" s="1">
        <f>[1]Results!T1374</f>
        <v>-0.63842368755204915</v>
      </c>
      <c r="R13" s="1">
        <f>[1]Results!U1374</f>
        <v>-0.65785905626678187</v>
      </c>
      <c r="S13" s="1">
        <f>[1]Results!V1374</f>
        <v>-0.67192919882935309</v>
      </c>
      <c r="T13" s="1">
        <f>[1]Results!W1374</f>
        <v>-0.69301113893474064</v>
      </c>
      <c r="U13" s="1">
        <f>[1]Results!X1374</f>
        <v>-0.72631602474405643</v>
      </c>
      <c r="V13" s="1">
        <f>[1]Results!Y1374</f>
        <v>-0.77134033913472266</v>
      </c>
      <c r="W13" s="1">
        <f>[1]Results!Z1374</f>
        <v>-0.82514510510999006</v>
      </c>
      <c r="X13" s="1">
        <f>[1]Results!AA1374</f>
        <v>-0.88210911885972498</v>
      </c>
      <c r="Y13" s="1">
        <f>[1]Results!AB1374</f>
        <v>-0.93868712384560737</v>
      </c>
      <c r="Z13" s="1">
        <f>[1]Results!AC1374</f>
        <v>-0.9931918916032817</v>
      </c>
      <c r="AA13" s="1">
        <f>[1]Results!AD1374</f>
        <v>-1.0447280618373487</v>
      </c>
      <c r="AB13" s="1">
        <f>[1]Results!AE1374</f>
        <v>-1.0926808972486655</v>
      </c>
      <c r="AC13" s="1">
        <f>[1]Results!AF1374</f>
        <v>-1.0930945472296025</v>
      </c>
      <c r="AD13" s="1">
        <f>[1]Results!AG1374</f>
        <v>-1.0626013494212212</v>
      </c>
      <c r="AE13" s="1">
        <f>[1]Results!AH1374</f>
        <v>-1.0110623784356507</v>
      </c>
      <c r="AF13" s="1">
        <f>[1]Results!AI1374</f>
        <v>-0.94241878324475026</v>
      </c>
      <c r="AG13" s="1">
        <f>[1]Results!AJ1374</f>
        <v>-0.85804149076100844</v>
      </c>
      <c r="AH13" s="1">
        <f>[1]Results!AK1374</f>
        <v>-0.79384149054642028</v>
      </c>
      <c r="AI13" s="1">
        <f>[1]Results!AL1374</f>
        <v>-0.7362300515178587</v>
      </c>
      <c r="AJ13" s="1">
        <f>[1]Results!AM1374</f>
        <v>-0.67702076021846136</v>
      </c>
      <c r="AK13" s="1">
        <f>[1]Results!AN1374</f>
        <v>-0.61272284159900126</v>
      </c>
      <c r="AL13" s="1">
        <f>[1]Results!AO1374</f>
        <v>-0.5419550621824204</v>
      </c>
    </row>
    <row r="14" spans="1:38" x14ac:dyDescent="0.35">
      <c r="A14" s="3" t="str">
        <f>[1]Results!E1375</f>
        <v>100*((I_2-IA_spub_2-(I_0-IA_spub_0))/GDP_0)</v>
      </c>
      <c r="B14" t="str">
        <f>[1]Results!C1375</f>
        <v>Investissement entreprises</v>
      </c>
      <c r="C14" s="1">
        <f>[1]Results!F1375</f>
        <v>0</v>
      </c>
      <c r="D14" s="1">
        <f>[1]Results!G1375</f>
        <v>0</v>
      </c>
      <c r="E14" s="1">
        <f>[1]Results!H1375</f>
        <v>0</v>
      </c>
      <c r="F14" s="1">
        <f>[1]Results!I1375</f>
        <v>0</v>
      </c>
      <c r="G14" s="1">
        <f>[1]Results!J1375</f>
        <v>0</v>
      </c>
      <c r="H14" s="1">
        <f>[1]Results!K1375</f>
        <v>0</v>
      </c>
      <c r="I14" s="1">
        <f>[1]Results!L1375</f>
        <v>-1.0953372713832264E-2</v>
      </c>
      <c r="J14" s="1">
        <f>[1]Results!M1375</f>
        <v>-5.5093821270264957E-2</v>
      </c>
      <c r="K14" s="1">
        <f>[1]Results!N1375</f>
        <v>-0.1285884958680098</v>
      </c>
      <c r="L14" s="1">
        <f>[1]Results!O1375</f>
        <v>-0.22711890610155644</v>
      </c>
      <c r="M14" s="1">
        <f>[1]Results!P1375</f>
        <v>-0.34732340562651087</v>
      </c>
      <c r="N14" s="1">
        <f>[1]Results!Q1375</f>
        <v>-0.4478479019195597</v>
      </c>
      <c r="O14" s="1">
        <f>[1]Results!R1375</f>
        <v>-0.52190304037168012</v>
      </c>
      <c r="P14" s="1">
        <f>[1]Results!S1375</f>
        <v>-0.57242221797791326</v>
      </c>
      <c r="Q14" s="1">
        <f>[1]Results!T1375</f>
        <v>-0.60651981475583572</v>
      </c>
      <c r="R14" s="1">
        <f>[1]Results!U1375</f>
        <v>-0.63087853314984765</v>
      </c>
      <c r="S14" s="1">
        <f>[1]Results!V1375</f>
        <v>-0.64961351509367893</v>
      </c>
      <c r="T14" s="1">
        <f>[1]Results!W1375</f>
        <v>-0.67395891019679666</v>
      </c>
      <c r="U14" s="1">
        <f>[1]Results!X1375</f>
        <v>-0.70902472786701065</v>
      </c>
      <c r="V14" s="1">
        <f>[1]Results!Y1375</f>
        <v>-0.75478138643873316</v>
      </c>
      <c r="W14" s="1">
        <f>[1]Results!Z1375</f>
        <v>-0.80888096972498613</v>
      </c>
      <c r="X14" s="1">
        <f>[1]Results!AA1375</f>
        <v>-0.86616438836336573</v>
      </c>
      <c r="Y14" s="1">
        <f>[1]Results!AB1375</f>
        <v>-0.92353466668644302</v>
      </c>
      <c r="Z14" s="1">
        <f>[1]Results!AC1375</f>
        <v>-0.9793767107936171</v>
      </c>
      <c r="AA14" s="1">
        <f>[1]Results!AD1375</f>
        <v>-1.03275250475154</v>
      </c>
      <c r="AB14" s="1">
        <f>[1]Results!AE1375</f>
        <v>-1.0830176379419152</v>
      </c>
      <c r="AC14" s="1">
        <f>[1]Results!AF1375</f>
        <v>-1.0871151961973975</v>
      </c>
      <c r="AD14" s="1">
        <f>[1]Results!AG1375</f>
        <v>-1.0613190317173333</v>
      </c>
      <c r="AE14" s="1">
        <f>[1]Results!AH1375</f>
        <v>-1.015213164893124</v>
      </c>
      <c r="AF14" s="1">
        <f>[1]Results!AI1375</f>
        <v>-0.95262497557086301</v>
      </c>
      <c r="AG14" s="1">
        <f>[1]Results!AJ1375</f>
        <v>-0.87489613898314667</v>
      </c>
      <c r="AH14" s="1">
        <f>[1]Results!AK1375</f>
        <v>-0.81683918278658385</v>
      </c>
      <c r="AI14" s="1">
        <f>[1]Results!AL1375</f>
        <v>-0.76508688408400727</v>
      </c>
      <c r="AJ14" s="1">
        <f>[1]Results!AM1375</f>
        <v>-0.71161658056252053</v>
      </c>
      <c r="AK14" s="1">
        <f>[1]Results!AN1375</f>
        <v>-0.65298951832552565</v>
      </c>
      <c r="AL14" s="1">
        <f>[1]Results!AO1375</f>
        <v>-0.5878307145182966</v>
      </c>
    </row>
    <row r="15" spans="1:38" x14ac:dyDescent="0.35">
      <c r="A15" s="3" t="str">
        <f>[1]Results!E1376</f>
        <v>100*((CH_ccon_2-CH_ccon_0)/GDP_0)</v>
      </c>
      <c r="B15" t="str">
        <f>[1]Results!C1376</f>
        <v>Investissement ménages</v>
      </c>
      <c r="C15" s="1">
        <f>[1]Results!F1376</f>
        <v>0</v>
      </c>
      <c r="D15" s="1">
        <f>[1]Results!G1376</f>
        <v>0</v>
      </c>
      <c r="E15" s="1">
        <f>[1]Results!H1376</f>
        <v>0</v>
      </c>
      <c r="F15" s="1">
        <f>[1]Results!I1376</f>
        <v>0</v>
      </c>
      <c r="G15" s="1">
        <f>[1]Results!J1376</f>
        <v>0</v>
      </c>
      <c r="H15" s="1">
        <f>[1]Results!K1376</f>
        <v>0</v>
      </c>
      <c r="I15" s="1">
        <f>[1]Results!L1376</f>
        <v>-3.9380064763608542E-4</v>
      </c>
      <c r="J15" s="1">
        <f>[1]Results!M1376</f>
        <v>-1.1571907605221129E-3</v>
      </c>
      <c r="K15" s="1">
        <f>[1]Results!N1376</f>
        <v>-2.0379817125430596E-3</v>
      </c>
      <c r="L15" s="1">
        <f>[1]Results!O1376</f>
        <v>-2.0156029814481034E-3</v>
      </c>
      <c r="M15" s="1">
        <f>[1]Results!P1376</f>
        <v>-3.2109900466753374E-5</v>
      </c>
      <c r="N15" s="1">
        <f>[1]Results!Q1376</f>
        <v>1.5819136105182719E-3</v>
      </c>
      <c r="O15" s="1">
        <f>[1]Results!R1376</f>
        <v>5.145383867328439E-3</v>
      </c>
      <c r="P15" s="1">
        <f>[1]Results!S1376</f>
        <v>1.0188424043732451E-2</v>
      </c>
      <c r="Q15" s="1">
        <f>[1]Results!T1376</f>
        <v>1.5708914670573199E-2</v>
      </c>
      <c r="R15" s="1">
        <f>[1]Results!U1376</f>
        <v>2.1002984556770177E-2</v>
      </c>
      <c r="S15" s="1">
        <f>[1]Results!V1376</f>
        <v>2.587626826983009E-2</v>
      </c>
      <c r="T15" s="1">
        <f>[1]Results!W1376</f>
        <v>2.9704738039899193E-2</v>
      </c>
      <c r="U15" s="1">
        <f>[1]Results!X1376</f>
        <v>3.2499116447436485E-2</v>
      </c>
      <c r="V15" s="1">
        <f>[1]Results!Y1376</f>
        <v>3.4597188883025085E-2</v>
      </c>
      <c r="W15" s="1">
        <f>[1]Results!Z1376</f>
        <v>3.6391551047811201E-2</v>
      </c>
      <c r="X15" s="1">
        <f>[1]Results!AA1376</f>
        <v>3.7881418302523125E-2</v>
      </c>
      <c r="Y15" s="1">
        <f>[1]Results!AB1376</f>
        <v>3.9450493359811004E-2</v>
      </c>
      <c r="Z15" s="1">
        <f>[1]Results!AC1376</f>
        <v>4.1162390482812734E-2</v>
      </c>
      <c r="AA15" s="1">
        <f>[1]Results!AD1376</f>
        <v>4.2975575692988911E-2</v>
      </c>
      <c r="AB15" s="1">
        <f>[1]Results!AE1376</f>
        <v>4.4859974247147993E-2</v>
      </c>
      <c r="AC15" s="1">
        <f>[1]Results!AF1376</f>
        <v>4.7295708336097378E-2</v>
      </c>
      <c r="AD15" s="1">
        <f>[1]Results!AG1376</f>
        <v>5.0221394383852758E-2</v>
      </c>
      <c r="AE15" s="1">
        <f>[1]Results!AH1376</f>
        <v>5.3550185799315024E-2</v>
      </c>
      <c r="AF15" s="1">
        <f>[1]Results!AI1376</f>
        <v>5.7210386197784187E-2</v>
      </c>
      <c r="AG15" s="1">
        <f>[1]Results!AJ1376</f>
        <v>6.1158114154464614E-2</v>
      </c>
      <c r="AH15" s="1">
        <f>[1]Results!AK1376</f>
        <v>6.4484621418653479E-2</v>
      </c>
      <c r="AI15" s="1">
        <f>[1]Results!AL1376</f>
        <v>6.729796198963757E-2</v>
      </c>
      <c r="AJ15" s="1">
        <f>[1]Results!AM1376</f>
        <v>6.9664839591365074E-2</v>
      </c>
      <c r="AK15" s="1">
        <f>[1]Results!AN1376</f>
        <v>7.1639830685005901E-2</v>
      </c>
      <c r="AL15" s="1">
        <f>[1]Results!AO1376</f>
        <v>7.3270774509755152E-2</v>
      </c>
    </row>
    <row r="16" spans="1:38" x14ac:dyDescent="0.35">
      <c r="A16" s="3" t="str">
        <f>[1]Results!E1377</f>
        <v>100*((IA_spub_2-IA_spub_0)/GDP_0)</v>
      </c>
      <c r="B16" t="str">
        <f>[1]Results!C1377</f>
        <v>Investissement public</v>
      </c>
      <c r="C16" s="1">
        <f>[1]Results!F1377</f>
        <v>0</v>
      </c>
      <c r="D16" s="1">
        <f>[1]Results!G1377</f>
        <v>0</v>
      </c>
      <c r="E16" s="1">
        <f>[1]Results!H1377</f>
        <v>0</v>
      </c>
      <c r="F16" s="1">
        <f>[1]Results!I1377</f>
        <v>0</v>
      </c>
      <c r="G16" s="1">
        <f>[1]Results!J1377</f>
        <v>0</v>
      </c>
      <c r="H16" s="1">
        <f>[1]Results!K1377</f>
        <v>0</v>
      </c>
      <c r="I16" s="1">
        <f>[1]Results!L1377</f>
        <v>-4.1678930004625871E-4</v>
      </c>
      <c r="J16" s="1">
        <f>[1]Results!M1377</f>
        <v>-4.1982036876645409E-3</v>
      </c>
      <c r="K16" s="1">
        <f>[1]Results!N1377</f>
        <v>-1.0798663296972783E-2</v>
      </c>
      <c r="L16" s="1">
        <f>[1]Results!O1377</f>
        <v>-1.981648658916952E-2</v>
      </c>
      <c r="M16" s="1">
        <f>[1]Results!P1377</f>
        <v>-3.0955522058293699E-2</v>
      </c>
      <c r="N16" s="1">
        <f>[1]Results!Q1377</f>
        <v>-3.871945026287682E-2</v>
      </c>
      <c r="O16" s="1">
        <f>[1]Results!R1377</f>
        <v>-4.3575121488030361E-2</v>
      </c>
      <c r="P16" s="1">
        <f>[1]Results!S1377</f>
        <v>-4.6305347437478307E-2</v>
      </c>
      <c r="Q16" s="1">
        <f>[1]Results!T1377</f>
        <v>-4.761278746678542E-2</v>
      </c>
      <c r="R16" s="1">
        <f>[1]Results!U1377</f>
        <v>-4.7983507673706252E-2</v>
      </c>
      <c r="S16" s="1">
        <f>[1]Results!V1377</f>
        <v>-4.8191952005508722E-2</v>
      </c>
      <c r="T16" s="1">
        <f>[1]Results!W1377</f>
        <v>-4.8756966777839666E-2</v>
      </c>
      <c r="U16" s="1">
        <f>[1]Results!X1377</f>
        <v>-4.9790413324483258E-2</v>
      </c>
      <c r="V16" s="1">
        <f>[1]Results!Y1377</f>
        <v>-5.1156141579015914E-2</v>
      </c>
      <c r="W16" s="1">
        <f>[1]Results!Z1377</f>
        <v>-5.2655686432813334E-2</v>
      </c>
      <c r="X16" s="1">
        <f>[1]Results!AA1377</f>
        <v>-5.3826148798885587E-2</v>
      </c>
      <c r="Y16" s="1">
        <f>[1]Results!AB1377</f>
        <v>-5.460295051897586E-2</v>
      </c>
      <c r="Z16" s="1">
        <f>[1]Results!AC1377</f>
        <v>-5.4977571292475394E-2</v>
      </c>
      <c r="AA16" s="1">
        <f>[1]Results!AD1377</f>
        <v>-5.495113277879899E-2</v>
      </c>
      <c r="AB16" s="1">
        <f>[1]Results!AE1377</f>
        <v>-5.4523233553893893E-2</v>
      </c>
      <c r="AC16" s="1">
        <f>[1]Results!AF1377</f>
        <v>-5.3275059368300751E-2</v>
      </c>
      <c r="AD16" s="1">
        <f>[1]Results!AG1377</f>
        <v>-5.150371208773822E-2</v>
      </c>
      <c r="AE16" s="1">
        <f>[1]Results!AH1377</f>
        <v>-4.9399399341841545E-2</v>
      </c>
      <c r="AF16" s="1">
        <f>[1]Results!AI1377</f>
        <v>-4.7004193871672713E-2</v>
      </c>
      <c r="AG16" s="1">
        <f>[1]Results!AJ1377</f>
        <v>-4.4303465932328243E-2</v>
      </c>
      <c r="AH16" s="1">
        <f>[1]Results!AK1377</f>
        <v>-4.1486929178490964E-2</v>
      </c>
      <c r="AI16" s="1">
        <f>[1]Results!AL1377</f>
        <v>-3.8441129423488873E-2</v>
      </c>
      <c r="AJ16" s="1">
        <f>[1]Results!AM1377</f>
        <v>-3.5069019247303192E-2</v>
      </c>
      <c r="AK16" s="1">
        <f>[1]Results!AN1377</f>
        <v>-3.1373153958480851E-2</v>
      </c>
      <c r="AL16" s="1">
        <f>[1]Results!AO1377</f>
        <v>-2.7395122173878531E-2</v>
      </c>
    </row>
    <row r="17" spans="1:38" x14ac:dyDescent="0.35">
      <c r="A17" s="3" t="str">
        <f>[1]Results!E1378</f>
        <v>100*(CH_2/CH_0-1)</v>
      </c>
      <c r="B17" t="str">
        <f>[1]Results!C1378</f>
        <v>Consommation des ménages</v>
      </c>
      <c r="C17" s="1">
        <f>[1]Results!F1378</f>
        <v>0</v>
      </c>
      <c r="D17" s="1">
        <f>[1]Results!G1378</f>
        <v>0</v>
      </c>
      <c r="E17" s="1">
        <f>[1]Results!H1378</f>
        <v>0</v>
      </c>
      <c r="F17" s="1">
        <f>[1]Results!I1378</f>
        <v>0</v>
      </c>
      <c r="G17" s="1">
        <f>[1]Results!J1378</f>
        <v>0</v>
      </c>
      <c r="H17" s="1">
        <f>[1]Results!K1378</f>
        <v>0</v>
      </c>
      <c r="I17" s="1">
        <f>[1]Results!L1378</f>
        <v>-4.1674626852228336E-2</v>
      </c>
      <c r="J17" s="1">
        <f>[1]Results!M1378</f>
        <v>-2.3022003491868226E-2</v>
      </c>
      <c r="K17" s="1">
        <f>[1]Results!N1378</f>
        <v>0.12534512936548392</v>
      </c>
      <c r="L17" s="1">
        <f>[1]Results!O1378</f>
        <v>0.4979940220441792</v>
      </c>
      <c r="M17" s="1">
        <f>[1]Results!P1378</f>
        <v>1.1847392809019475</v>
      </c>
      <c r="N17" s="1">
        <f>[1]Results!Q1378</f>
        <v>1.7270258857452481</v>
      </c>
      <c r="O17" s="1">
        <f>[1]Results!R1378</f>
        <v>2.2955726147774413</v>
      </c>
      <c r="P17" s="1">
        <f>[1]Results!S1378</f>
        <v>2.8655910813332408</v>
      </c>
      <c r="Q17" s="1">
        <f>[1]Results!T1378</f>
        <v>3.3980210887509577</v>
      </c>
      <c r="R17" s="1">
        <f>[1]Results!U1378</f>
        <v>3.8772129321593019</v>
      </c>
      <c r="S17" s="1">
        <f>[1]Results!V1378</f>
        <v>4.3293591467155723</v>
      </c>
      <c r="T17" s="1">
        <f>[1]Results!W1378</f>
        <v>4.7053597416769177</v>
      </c>
      <c r="U17" s="1">
        <f>[1]Results!X1378</f>
        <v>5.0145748585405991</v>
      </c>
      <c r="V17" s="1">
        <f>[1]Results!Y1378</f>
        <v>5.2864308457077236</v>
      </c>
      <c r="W17" s="1">
        <f>[1]Results!Z1378</f>
        <v>5.5472039477840518</v>
      </c>
      <c r="X17" s="1">
        <f>[1]Results!AA1378</f>
        <v>5.7664937857300202</v>
      </c>
      <c r="Y17" s="1">
        <f>[1]Results!AB1378</f>
        <v>5.971456512831308</v>
      </c>
      <c r="Z17" s="1">
        <f>[1]Results!AC1378</f>
        <v>6.167505842974319</v>
      </c>
      <c r="AA17" s="1">
        <f>[1]Results!AD1378</f>
        <v>6.3556840502478229</v>
      </c>
      <c r="AB17" s="1">
        <f>[1]Results!AE1378</f>
        <v>6.5403029788654754</v>
      </c>
      <c r="AC17" s="1">
        <f>[1]Results!AF1378</f>
        <v>6.7839087567136191</v>
      </c>
      <c r="AD17" s="1">
        <f>[1]Results!AG1378</f>
        <v>7.1108495168648478</v>
      </c>
      <c r="AE17" s="1">
        <f>[1]Results!AH1378</f>
        <v>7.5216005023411414</v>
      </c>
      <c r="AF17" s="1">
        <f>[1]Results!AI1378</f>
        <v>8.0069544318832619</v>
      </c>
      <c r="AG17" s="1">
        <f>[1]Results!AJ1378</f>
        <v>8.5533680939313008</v>
      </c>
      <c r="AH17" s="1">
        <f>[1]Results!AK1378</f>
        <v>9.034098771040199</v>
      </c>
      <c r="AI17" s="1">
        <f>[1]Results!AL1378</f>
        <v>9.4258307585091128</v>
      </c>
      <c r="AJ17" s="1">
        <f>[1]Results!AM1378</f>
        <v>9.7288703229408746</v>
      </c>
      <c r="AK17" s="1">
        <f>[1]Results!AN1378</f>
        <v>9.9526179459822792</v>
      </c>
      <c r="AL17" s="1">
        <f>[1]Results!AO1378</f>
        <v>10.110555632641338</v>
      </c>
    </row>
    <row r="18" spans="1:38" x14ac:dyDescent="0.35">
      <c r="A18" s="3" t="str">
        <f>[1]Results!E1379</f>
        <v>100*(CH_cveh_2/CH_cveh_0-1)</v>
      </c>
      <c r="B18" t="str">
        <f>[1]Results!C1379</f>
        <v>Consommation des ménages automobile</v>
      </c>
      <c r="C18" s="1">
        <f>[1]Results!F1379</f>
        <v>0</v>
      </c>
      <c r="D18" s="1">
        <f>[1]Results!G1379</f>
        <v>0</v>
      </c>
      <c r="E18" s="1">
        <f>[1]Results!H1379</f>
        <v>0</v>
      </c>
      <c r="F18" s="1">
        <f>[1]Results!I1379</f>
        <v>0</v>
      </c>
      <c r="G18" s="1">
        <f>[1]Results!J1379</f>
        <v>0</v>
      </c>
      <c r="H18" s="1">
        <f>[1]Results!K1379</f>
        <v>0</v>
      </c>
      <c r="I18" s="1">
        <f>[1]Results!L1379</f>
        <v>-7.8485621868862321E-2</v>
      </c>
      <c r="J18" s="1">
        <f>[1]Results!M1379</f>
        <v>-0.41426542092125596</v>
      </c>
      <c r="K18" s="1">
        <f>[1]Results!N1379</f>
        <v>-0.52477362808664996</v>
      </c>
      <c r="L18" s="1">
        <f>[1]Results!O1379</f>
        <v>-0.32670937776799747</v>
      </c>
      <c r="M18" s="1">
        <f>[1]Results!P1379</f>
        <v>-2.4264740096602289E-2</v>
      </c>
      <c r="N18" s="1">
        <f>[1]Results!Q1379</f>
        <v>1.6528907238783308</v>
      </c>
      <c r="O18" s="1">
        <f>[1]Results!R1379</f>
        <v>3.6827805013989856</v>
      </c>
      <c r="P18" s="1">
        <f>[1]Results!S1379</f>
        <v>5.3082124753102811</v>
      </c>
      <c r="Q18" s="1">
        <f>[1]Results!T1379</f>
        <v>6.3913589314362307</v>
      </c>
      <c r="R18" s="1">
        <f>[1]Results!U1379</f>
        <v>7.0586698749339094</v>
      </c>
      <c r="S18" s="1">
        <f>[1]Results!V1379</f>
        <v>7.2828564815217156</v>
      </c>
      <c r="T18" s="1">
        <f>[1]Results!W1379</f>
        <v>6.9554812649104347</v>
      </c>
      <c r="U18" s="1">
        <f>[1]Results!X1379</f>
        <v>6.2979060026994604</v>
      </c>
      <c r="V18" s="1">
        <f>[1]Results!Y1379</f>
        <v>5.5837583794899004</v>
      </c>
      <c r="W18" s="1">
        <f>[1]Results!Z1379</f>
        <v>4.9688252288524914</v>
      </c>
      <c r="X18" s="1">
        <f>[1]Results!AA1379</f>
        <v>4.6732557976895794</v>
      </c>
      <c r="Y18" s="1">
        <f>[1]Results!AB1379</f>
        <v>4.5263931165017812</v>
      </c>
      <c r="Z18" s="1">
        <f>[1]Results!AC1379</f>
        <v>4.4192031958777855</v>
      </c>
      <c r="AA18" s="1">
        <f>[1]Results!AD1379</f>
        <v>4.3125154901082707</v>
      </c>
      <c r="AB18" s="1">
        <f>[1]Results!AE1379</f>
        <v>4.1948800312134438</v>
      </c>
      <c r="AC18" s="1">
        <f>[1]Results!AF1379</f>
        <v>4.3512111060083125</v>
      </c>
      <c r="AD18" s="1">
        <f>[1]Results!AG1379</f>
        <v>4.6373293104878144</v>
      </c>
      <c r="AE18" s="1">
        <f>[1]Results!AH1379</f>
        <v>4.9763771201321916</v>
      </c>
      <c r="AF18" s="1">
        <f>[1]Results!AI1379</f>
        <v>5.3360315561848948</v>
      </c>
      <c r="AG18" s="1">
        <f>[1]Results!AJ1379</f>
        <v>5.6941445244560684</v>
      </c>
      <c r="AH18" s="1">
        <f>[1]Results!AK1379</f>
        <v>5.9386132527649682</v>
      </c>
      <c r="AI18" s="1">
        <f>[1]Results!AL1379</f>
        <v>5.9963229115991723</v>
      </c>
      <c r="AJ18" s="1">
        <f>[1]Results!AM1379</f>
        <v>5.8839489380113186</v>
      </c>
      <c r="AK18" s="1">
        <f>[1]Results!AN1379</f>
        <v>5.6447883322171766</v>
      </c>
      <c r="AL18" s="1">
        <f>[1]Results!AO1379</f>
        <v>5.3218101857932743</v>
      </c>
    </row>
    <row r="19" spans="1:38" x14ac:dyDescent="0.35">
      <c r="A19" s="3" t="str">
        <f>[1]Results!E1380</f>
        <v>100*(G_2/G_0-1)</v>
      </c>
      <c r="B19" t="str">
        <f>[1]Results!C1380</f>
        <v>Dépenses publiques</v>
      </c>
      <c r="C19" s="1">
        <f>[1]Results!F1380</f>
        <v>0</v>
      </c>
      <c r="D19" s="1">
        <f>[1]Results!G1380</f>
        <v>0</v>
      </c>
      <c r="E19" s="1">
        <f>[1]Results!H1380</f>
        <v>0</v>
      </c>
      <c r="F19" s="1">
        <f>[1]Results!I1380</f>
        <v>0</v>
      </c>
      <c r="G19" s="1">
        <f>[1]Results!J1380</f>
        <v>0</v>
      </c>
      <c r="H19" s="1">
        <f>[1]Results!K1380</f>
        <v>0</v>
      </c>
      <c r="I19" s="1">
        <f>[1]Results!L1380</f>
        <v>0</v>
      </c>
      <c r="J19" s="1">
        <f>[1]Results!M1380</f>
        <v>0</v>
      </c>
      <c r="K19" s="1">
        <f>[1]Results!N1380</f>
        <v>0</v>
      </c>
      <c r="L19" s="1">
        <f>[1]Results!O1380</f>
        <v>0</v>
      </c>
      <c r="M19" s="1">
        <f>[1]Results!P1380</f>
        <v>0</v>
      </c>
      <c r="N19" s="1">
        <f>[1]Results!Q1380</f>
        <v>0</v>
      </c>
      <c r="O19" s="1">
        <f>[1]Results!R1380</f>
        <v>0</v>
      </c>
      <c r="P19" s="1">
        <f>[1]Results!S1380</f>
        <v>0</v>
      </c>
      <c r="Q19" s="1">
        <f>[1]Results!T1380</f>
        <v>0</v>
      </c>
      <c r="R19" s="1">
        <f>[1]Results!U1380</f>
        <v>0</v>
      </c>
      <c r="S19" s="1">
        <f>[1]Results!V1380</f>
        <v>0</v>
      </c>
      <c r="T19" s="1">
        <f>[1]Results!W1380</f>
        <v>0</v>
      </c>
      <c r="U19" s="1">
        <f>[1]Results!X1380</f>
        <v>0</v>
      </c>
      <c r="V19" s="1">
        <f>[1]Results!Y1380</f>
        <v>0</v>
      </c>
      <c r="W19" s="1">
        <f>[1]Results!Z1380</f>
        <v>0</v>
      </c>
      <c r="X19" s="1">
        <f>[1]Results!AA1380</f>
        <v>0</v>
      </c>
      <c r="Y19" s="1">
        <f>[1]Results!AB1380</f>
        <v>0</v>
      </c>
      <c r="Z19" s="1">
        <f>[1]Results!AC1380</f>
        <v>0</v>
      </c>
      <c r="AA19" s="1">
        <f>[1]Results!AD1380</f>
        <v>0</v>
      </c>
      <c r="AB19" s="1">
        <f>[1]Results!AE1380</f>
        <v>0</v>
      </c>
      <c r="AC19" s="1">
        <f>[1]Results!AF1380</f>
        <v>0</v>
      </c>
      <c r="AD19" s="1">
        <f>[1]Results!AG1380</f>
        <v>0</v>
      </c>
      <c r="AE19" s="1">
        <f>[1]Results!AH1380</f>
        <v>0</v>
      </c>
      <c r="AF19" s="1">
        <f>[1]Results!AI1380</f>
        <v>0</v>
      </c>
      <c r="AG19" s="1">
        <f>[1]Results!AJ1380</f>
        <v>0</v>
      </c>
      <c r="AH19" s="1">
        <f>[1]Results!AK1380</f>
        <v>0</v>
      </c>
      <c r="AI19" s="1">
        <f>[1]Results!AL1380</f>
        <v>0</v>
      </c>
      <c r="AJ19" s="1">
        <f>[1]Results!AM1380</f>
        <v>0</v>
      </c>
      <c r="AK19" s="1">
        <f>[1]Results!AN1380</f>
        <v>0</v>
      </c>
      <c r="AL19" s="1">
        <f>[1]Results!AO1380</f>
        <v>0</v>
      </c>
    </row>
    <row r="20" spans="1:38" x14ac:dyDescent="0.35">
      <c r="A20" s="3" t="str">
        <f>[1]Results!E1381</f>
        <v>100*(I_2/I_0-1)</v>
      </c>
      <c r="B20" t="str">
        <f>[1]Results!C1381</f>
        <v>Investissement</v>
      </c>
      <c r="C20" s="1">
        <f>[1]Results!F1381</f>
        <v>0</v>
      </c>
      <c r="D20" s="1">
        <f>[1]Results!G1381</f>
        <v>0</v>
      </c>
      <c r="E20" s="1">
        <f>[1]Results!H1381</f>
        <v>0</v>
      </c>
      <c r="F20" s="1">
        <f>[1]Results!I1381</f>
        <v>0</v>
      </c>
      <c r="G20" s="1">
        <f>[1]Results!J1381</f>
        <v>0</v>
      </c>
      <c r="H20" s="1">
        <f>[1]Results!K1381</f>
        <v>0</v>
      </c>
      <c r="I20" s="1">
        <f>[1]Results!L1381</f>
        <v>-5.2745798838227387E-2</v>
      </c>
      <c r="J20" s="1">
        <f>[1]Results!M1381</f>
        <v>-0.27392074413288281</v>
      </c>
      <c r="K20" s="1">
        <f>[1]Results!N1381</f>
        <v>-0.64123174309795861</v>
      </c>
      <c r="L20" s="1">
        <f>[1]Results!O1381</f>
        <v>-1.1315230612436</v>
      </c>
      <c r="M20" s="1">
        <f>[1]Results!P1381</f>
        <v>-1.727404233162888</v>
      </c>
      <c r="N20" s="1">
        <f>[1]Results!Q1381</f>
        <v>-2.2145287587010065</v>
      </c>
      <c r="O20" s="1">
        <f>[1]Results!R1381</f>
        <v>-2.5651681120964498</v>
      </c>
      <c r="P20" s="1">
        <f>[1]Results!S1381</f>
        <v>-2.7968346273368527</v>
      </c>
      <c r="Q20" s="1">
        <f>[1]Results!T1381</f>
        <v>-2.9453915630048622</v>
      </c>
      <c r="R20" s="1">
        <f>[1]Results!U1381</f>
        <v>-3.0435875677897628</v>
      </c>
      <c r="S20" s="1">
        <f>[1]Results!V1381</f>
        <v>-3.1127635837509549</v>
      </c>
      <c r="T20" s="1">
        <f>[1]Results!W1381</f>
        <v>-3.2069869584009703</v>
      </c>
      <c r="U20" s="1">
        <f>[1]Results!X1381</f>
        <v>-3.3484810578297552</v>
      </c>
      <c r="V20" s="1">
        <f>[1]Results!Y1381</f>
        <v>-3.5355706783390617</v>
      </c>
      <c r="W20" s="1">
        <f>[1]Results!Z1381</f>
        <v>-3.7560728008579014</v>
      </c>
      <c r="X20" s="1">
        <f>[1]Results!AA1381</f>
        <v>-3.9843781785137256</v>
      </c>
      <c r="Y20" s="1">
        <f>[1]Results!AB1381</f>
        <v>-4.2082783173175926</v>
      </c>
      <c r="Z20" s="1">
        <f>[1]Results!AC1381</f>
        <v>-4.4205714049348472</v>
      </c>
      <c r="AA20" s="1">
        <f>[1]Results!AD1381</f>
        <v>-4.6175207995080676</v>
      </c>
      <c r="AB20" s="1">
        <f>[1]Results!AE1381</f>
        <v>-4.7961786590306481</v>
      </c>
      <c r="AC20" s="1">
        <f>[1]Results!AF1381</f>
        <v>-4.7705471705303708</v>
      </c>
      <c r="AD20" s="1">
        <f>[1]Results!AG1381</f>
        <v>-4.6231205555380956</v>
      </c>
      <c r="AE20" s="1">
        <f>[1]Results!AH1381</f>
        <v>-4.3945078894624405</v>
      </c>
      <c r="AF20" s="1">
        <f>[1]Results!AI1381</f>
        <v>-4.1015221258612904</v>
      </c>
      <c r="AG20" s="1">
        <f>[1]Results!AJ1381</f>
        <v>-3.7505578097510539</v>
      </c>
      <c r="AH20" s="1">
        <f>[1]Results!AK1381</f>
        <v>-3.4870242587403677</v>
      </c>
      <c r="AI20" s="1">
        <f>[1]Results!AL1381</f>
        <v>-3.2508111727947209</v>
      </c>
      <c r="AJ20" s="1">
        <f>[1]Results!AM1381</f>
        <v>-3.0097278768664304</v>
      </c>
      <c r="AK20" s="1">
        <f>[1]Results!AN1381</f>
        <v>-2.7499643788610695</v>
      </c>
      <c r="AL20" s="1">
        <f>[1]Results!AO1381</f>
        <v>-2.4659398345576844</v>
      </c>
    </row>
    <row r="21" spans="1:38" x14ac:dyDescent="0.35">
      <c r="A21" s="3" t="str">
        <f>[1]Results!E1382</f>
        <v>100*((I_2-IA_spub_2)/(I_0-IA_spub_0)-1)</v>
      </c>
      <c r="B21" t="str">
        <f>[1]Results!C1382</f>
        <v>Investissement entreprises</v>
      </c>
      <c r="C21" s="1">
        <f>[1]Results!F1382</f>
        <v>0</v>
      </c>
      <c r="D21" s="1">
        <f>[1]Results!G1382</f>
        <v>0</v>
      </c>
      <c r="E21" s="1">
        <f>[1]Results!H1382</f>
        <v>0</v>
      </c>
      <c r="F21" s="1">
        <f>[1]Results!I1382</f>
        <v>0</v>
      </c>
      <c r="G21" s="1">
        <f>[1]Results!J1382</f>
        <v>0</v>
      </c>
      <c r="H21" s="1">
        <f>[1]Results!K1382</f>
        <v>0</v>
      </c>
      <c r="I21" s="1">
        <f>[1]Results!L1382</f>
        <v>-5.5316755317802446E-2</v>
      </c>
      <c r="J21" s="1">
        <f>[1]Results!M1382</f>
        <v>-0.27688470134832333</v>
      </c>
      <c r="K21" s="1">
        <f>[1]Results!N1382</f>
        <v>-0.64301920702701798</v>
      </c>
      <c r="L21" s="1">
        <f>[1]Results!O1382</f>
        <v>-1.1303475014334152</v>
      </c>
      <c r="M21" s="1">
        <f>[1]Results!P1382</f>
        <v>-1.7211973706410144</v>
      </c>
      <c r="N21" s="1">
        <f>[1]Results!Q1382</f>
        <v>-2.2101059870829109</v>
      </c>
      <c r="O21" s="1">
        <f>[1]Results!R1382</f>
        <v>-2.564822454347504</v>
      </c>
      <c r="P21" s="1">
        <f>[1]Results!S1382</f>
        <v>-2.8007120432182453</v>
      </c>
      <c r="Q21" s="1">
        <f>[1]Results!T1382</f>
        <v>-2.9533725986677917</v>
      </c>
      <c r="R21" s="1">
        <f>[1]Results!U1382</f>
        <v>-3.0559949646733253</v>
      </c>
      <c r="S21" s="1">
        <f>[1]Results!V1382</f>
        <v>-3.1281820742191213</v>
      </c>
      <c r="T21" s="1">
        <f>[1]Results!W1382</f>
        <v>-3.2256720738912281</v>
      </c>
      <c r="U21" s="1">
        <f>[1]Results!X1382</f>
        <v>-3.3718538019772315</v>
      </c>
      <c r="V21" s="1">
        <f>[1]Results!Y1382</f>
        <v>-3.5654799719512575</v>
      </c>
      <c r="W21" s="1">
        <f>[1]Results!Z1382</f>
        <v>-3.7943029821001284</v>
      </c>
      <c r="X21" s="1">
        <f>[1]Results!AA1382</f>
        <v>-4.0330384217914901</v>
      </c>
      <c r="Y21" s="1">
        <f>[1]Results!AB1382</f>
        <v>-4.2686647208732165</v>
      </c>
      <c r="Z21" s="1">
        <f>[1]Results!AC1382</f>
        <v>-4.4934558943945602</v>
      </c>
      <c r="AA21" s="1">
        <f>[1]Results!AD1382</f>
        <v>-4.7033681088002215</v>
      </c>
      <c r="AB21" s="1">
        <f>[1]Results!AE1382</f>
        <v>-4.8952894977735255</v>
      </c>
      <c r="AC21" s="1">
        <f>[1]Results!AF1382</f>
        <v>-4.8727373618249636</v>
      </c>
      <c r="AD21" s="1">
        <f>[1]Results!AG1382</f>
        <v>-4.7222289840866178</v>
      </c>
      <c r="AE21" s="1">
        <f>[1]Results!AH1382</f>
        <v>-4.4864561228182502</v>
      </c>
      <c r="AF21" s="1">
        <f>[1]Results!AI1382</f>
        <v>-4.1832174801398452</v>
      </c>
      <c r="AG21" s="1">
        <f>[1]Results!AJ1382</f>
        <v>-3.8193960362085333</v>
      </c>
      <c r="AH21" s="1">
        <f>[1]Results!AK1382</f>
        <v>-3.5492688229142977</v>
      </c>
      <c r="AI21" s="1">
        <f>[1]Results!AL1382</f>
        <v>-3.309322604185938</v>
      </c>
      <c r="AJ21" s="1">
        <f>[1]Results!AM1382</f>
        <v>-3.0655494216740076</v>
      </c>
      <c r="AK21" s="1">
        <f>[1]Results!AN1382</f>
        <v>-2.8032113363261169</v>
      </c>
      <c r="AL21" s="1">
        <f>[1]Results!AO1382</f>
        <v>-2.5162178865596574</v>
      </c>
    </row>
    <row r="22" spans="1:38" x14ac:dyDescent="0.35">
      <c r="A22" s="3" t="str">
        <f>[1]Results!E1383</f>
        <v>100*(X_2/X_0-1)</v>
      </c>
      <c r="B22" t="str">
        <f>[1]Results!C1383</f>
        <v>Exportations</v>
      </c>
      <c r="C22" s="1">
        <f>[1]Results!F1383</f>
        <v>0</v>
      </c>
      <c r="D22" s="1">
        <f>[1]Results!G1383</f>
        <v>0</v>
      </c>
      <c r="E22" s="1">
        <f>[1]Results!H1383</f>
        <v>0</v>
      </c>
      <c r="F22" s="1">
        <f>[1]Results!I1383</f>
        <v>0</v>
      </c>
      <c r="G22" s="1">
        <f>[1]Results!J1383</f>
        <v>0</v>
      </c>
      <c r="H22" s="1">
        <f>[1]Results!K1383</f>
        <v>0</v>
      </c>
      <c r="I22" s="1">
        <f>[1]Results!L1383</f>
        <v>-0.15853887334600358</v>
      </c>
      <c r="J22" s="1">
        <f>[1]Results!M1383</f>
        <v>-0.24758965903368679</v>
      </c>
      <c r="K22" s="1">
        <f>[1]Results!N1383</f>
        <v>-0.31734299001534572</v>
      </c>
      <c r="L22" s="1">
        <f>[1]Results!O1383</f>
        <v>-0.41682286829837212</v>
      </c>
      <c r="M22" s="1">
        <f>[1]Results!P1383</f>
        <v>-0.61161464099149798</v>
      </c>
      <c r="N22" s="1">
        <f>[1]Results!Q1383</f>
        <v>-0.92660946578725367</v>
      </c>
      <c r="O22" s="1">
        <f>[1]Results!R1383</f>
        <v>-1.277101473843667</v>
      </c>
      <c r="P22" s="1">
        <f>[1]Results!S1383</f>
        <v>-1.6567541526850693</v>
      </c>
      <c r="Q22" s="1">
        <f>[1]Results!T1383</f>
        <v>-2.0692292375014354</v>
      </c>
      <c r="R22" s="1">
        <f>[1]Results!U1383</f>
        <v>-2.5228099356977229</v>
      </c>
      <c r="S22" s="1">
        <f>[1]Results!V1383</f>
        <v>-2.8976430245374218</v>
      </c>
      <c r="T22" s="1">
        <f>[1]Results!W1383</f>
        <v>-3.2807674650079943</v>
      </c>
      <c r="U22" s="1">
        <f>[1]Results!X1383</f>
        <v>-3.6639335884279256</v>
      </c>
      <c r="V22" s="1">
        <f>[1]Results!Y1383</f>
        <v>-4.0566678558490725</v>
      </c>
      <c r="W22" s="1">
        <f>[1]Results!Z1383</f>
        <v>-4.4690168831562289</v>
      </c>
      <c r="X22" s="1">
        <f>[1]Results!AA1383</f>
        <v>-4.9174713223683275</v>
      </c>
      <c r="Y22" s="1">
        <f>[1]Results!AB1383</f>
        <v>-5.3764958650800887</v>
      </c>
      <c r="Z22" s="1">
        <f>[1]Results!AC1383</f>
        <v>-5.8460174474889826</v>
      </c>
      <c r="AA22" s="1">
        <f>[1]Results!AD1383</f>
        <v>-6.3279904515759711</v>
      </c>
      <c r="AB22" s="1">
        <f>[1]Results!AE1383</f>
        <v>-6.8237422465087683</v>
      </c>
      <c r="AC22" s="1">
        <f>[1]Results!AF1383</f>
        <v>-6.512234623753665</v>
      </c>
      <c r="AD22" s="1">
        <f>[1]Results!AG1383</f>
        <v>-6.2008216481116651</v>
      </c>
      <c r="AE22" s="1">
        <f>[1]Results!AH1383</f>
        <v>-5.8954004563753877</v>
      </c>
      <c r="AF22" s="1">
        <f>[1]Results!AI1383</f>
        <v>-5.6016164921039113</v>
      </c>
      <c r="AG22" s="1">
        <f>[1]Results!AJ1383</f>
        <v>-5.3232853752012588</v>
      </c>
      <c r="AH22" s="1">
        <f>[1]Results!AK1383</f>
        <v>-5.7336475921219376</v>
      </c>
      <c r="AI22" s="1">
        <f>[1]Results!AL1383</f>
        <v>-6.1340910439373175</v>
      </c>
      <c r="AJ22" s="1">
        <f>[1]Results!AM1383</f>
        <v>-6.5202652074396239</v>
      </c>
      <c r="AK22" s="1">
        <f>[1]Results!AN1383</f>
        <v>-6.8907064952352881</v>
      </c>
      <c r="AL22" s="1">
        <f>[1]Results!AO1383</f>
        <v>-7.2459084080813252</v>
      </c>
    </row>
    <row r="23" spans="1:38" x14ac:dyDescent="0.35">
      <c r="A23" s="3" t="str">
        <f>[1]Results!E1384</f>
        <v>100*(M_2/M_0-1)</v>
      </c>
      <c r="B23" t="str">
        <f>[1]Results!C1384</f>
        <v>Importations</v>
      </c>
      <c r="C23" s="1">
        <f>[1]Results!F1384</f>
        <v>0</v>
      </c>
      <c r="D23" s="1">
        <f>[1]Results!G1384</f>
        <v>0</v>
      </c>
      <c r="E23" s="1">
        <f>[1]Results!H1384</f>
        <v>0</v>
      </c>
      <c r="F23" s="1">
        <f>[1]Results!I1384</f>
        <v>0</v>
      </c>
      <c r="G23" s="1">
        <f>[1]Results!J1384</f>
        <v>0</v>
      </c>
      <c r="H23" s="1">
        <f>[1]Results!K1384</f>
        <v>0</v>
      </c>
      <c r="I23" s="1">
        <f>[1]Results!L1384</f>
        <v>-8.2539311493778911E-2</v>
      </c>
      <c r="J23" s="1">
        <f>[1]Results!M1384</f>
        <v>-0.23493915091864492</v>
      </c>
      <c r="K23" s="1">
        <f>[1]Results!N1384</f>
        <v>-0.38784347506642947</v>
      </c>
      <c r="L23" s="1">
        <f>[1]Results!O1384</f>
        <v>-0.48934005863067176</v>
      </c>
      <c r="M23" s="1">
        <f>[1]Results!P1384</f>
        <v>-0.50493791723933423</v>
      </c>
      <c r="N23" s="1">
        <f>[1]Results!Q1384</f>
        <v>-0.47165558163944077</v>
      </c>
      <c r="O23" s="1">
        <f>[1]Results!R1384</f>
        <v>-0.356866837672698</v>
      </c>
      <c r="P23" s="1">
        <f>[1]Results!S1384</f>
        <v>-0.20859670659140184</v>
      </c>
      <c r="Q23" s="1">
        <f>[1]Results!T1384</f>
        <v>-6.288397882989738E-2</v>
      </c>
      <c r="R23" s="1">
        <f>[1]Results!U1384</f>
        <v>6.3030902504435105E-2</v>
      </c>
      <c r="S23" s="1">
        <f>[1]Results!V1384</f>
        <v>0.19460279111109813</v>
      </c>
      <c r="T23" s="1">
        <f>[1]Results!W1384</f>
        <v>0.26920934300993515</v>
      </c>
      <c r="U23" s="1">
        <f>[1]Results!X1384</f>
        <v>0.29376252503152678</v>
      </c>
      <c r="V23" s="1">
        <f>[1]Results!Y1384</f>
        <v>0.28933628338554396</v>
      </c>
      <c r="W23" s="1">
        <f>[1]Results!Z1384</f>
        <v>0.27374519985763346</v>
      </c>
      <c r="X23" s="1">
        <f>[1]Results!AA1384</f>
        <v>0.25390085515226701</v>
      </c>
      <c r="Y23" s="1">
        <f>[1]Results!AB1384</f>
        <v>0.23807525019807763</v>
      </c>
      <c r="Z23" s="1">
        <f>[1]Results!AC1384</f>
        <v>0.22612017762384529</v>
      </c>
      <c r="AA23" s="1">
        <f>[1]Results!AD1384</f>
        <v>0.21702271740471346</v>
      </c>
      <c r="AB23" s="1">
        <f>[1]Results!AE1384</f>
        <v>0.20953670544661129</v>
      </c>
      <c r="AC23" s="1">
        <f>[1]Results!AF1384</f>
        <v>0.53303935685069526</v>
      </c>
      <c r="AD23" s="1">
        <f>[1]Results!AG1384</f>
        <v>0.94510792873638838</v>
      </c>
      <c r="AE23" s="1">
        <f>[1]Results!AH1384</f>
        <v>1.4100245002724554</v>
      </c>
      <c r="AF23" s="1">
        <f>[1]Results!AI1384</f>
        <v>1.9164581342548281</v>
      </c>
      <c r="AG23" s="1">
        <f>[1]Results!AJ1384</f>
        <v>2.4577671431684323</v>
      </c>
      <c r="AH23" s="1">
        <f>[1]Results!AK1384</f>
        <v>2.7394442345088921</v>
      </c>
      <c r="AI23" s="1">
        <f>[1]Results!AL1384</f>
        <v>2.9490520873190151</v>
      </c>
      <c r="AJ23" s="1">
        <f>[1]Results!AM1384</f>
        <v>3.1158471106563113</v>
      </c>
      <c r="AK23" s="1">
        <f>[1]Results!AN1384</f>
        <v>3.2515309840767559</v>
      </c>
      <c r="AL23" s="1">
        <f>[1]Results!AO1384</f>
        <v>3.3641847962553761</v>
      </c>
    </row>
    <row r="24" spans="1:38" x14ac:dyDescent="0.35">
      <c r="A24" s="3" t="str">
        <f>[1]Results!E1385</f>
        <v>100*((CH_2-CH_ccon_2)/(CH_0-CH_ccon_0)-1)</v>
      </c>
      <c r="B24" t="str">
        <f>[1]Results!C1385</f>
        <v>Consommation des ménages</v>
      </c>
      <c r="C24" s="1">
        <f>[1]Results!F1385</f>
        <v>0</v>
      </c>
      <c r="D24" s="1">
        <f>[1]Results!G1385</f>
        <v>0</v>
      </c>
      <c r="E24" s="1">
        <f>[1]Results!H1385</f>
        <v>0</v>
      </c>
      <c r="F24" s="1">
        <f>[1]Results!I1385</f>
        <v>0</v>
      </c>
      <c r="G24" s="1">
        <f>[1]Results!J1385</f>
        <v>0</v>
      </c>
      <c r="H24" s="1">
        <f>[1]Results!K1385</f>
        <v>0</v>
      </c>
      <c r="I24" s="1">
        <f>[1]Results!L1385</f>
        <v>-4.1578326555968825E-2</v>
      </c>
      <c r="J24" s="1">
        <f>[1]Results!M1385</f>
        <v>-2.1245002633529797E-2</v>
      </c>
      <c r="K24" s="1">
        <f>[1]Results!N1385</f>
        <v>0.1309788574703985</v>
      </c>
      <c r="L24" s="1">
        <f>[1]Results!O1385</f>
        <v>0.50921199471229972</v>
      </c>
      <c r="M24" s="1">
        <f>[1]Results!P1385</f>
        <v>1.2026509738234159</v>
      </c>
      <c r="N24" s="1">
        <f>[1]Results!Q1385</f>
        <v>1.7500935228856651</v>
      </c>
      <c r="O24" s="1">
        <f>[1]Results!R1385</f>
        <v>2.3205619939324906</v>
      </c>
      <c r="P24" s="1">
        <f>[1]Results!S1385</f>
        <v>2.8897716906263637</v>
      </c>
      <c r="Q24" s="1">
        <f>[1]Results!T1385</f>
        <v>3.4199454736202117</v>
      </c>
      <c r="R24" s="1">
        <f>[1]Results!U1385</f>
        <v>3.8965124406859175</v>
      </c>
      <c r="S24" s="1">
        <f>[1]Results!V1385</f>
        <v>4.3464531470253753</v>
      </c>
      <c r="T24" s="1">
        <f>[1]Results!W1385</f>
        <v>4.7210528756622017</v>
      </c>
      <c r="U24" s="1">
        <f>[1]Results!X1385</f>
        <v>5.029784261783532</v>
      </c>
      <c r="V24" s="1">
        <f>[1]Results!Y1385</f>
        <v>5.3018839320666311</v>
      </c>
      <c r="W24" s="1">
        <f>[1]Results!Z1385</f>
        <v>5.5632814355592641</v>
      </c>
      <c r="X24" s="1">
        <f>[1]Results!AA1385</f>
        <v>5.7831709076800797</v>
      </c>
      <c r="Y24" s="1">
        <f>[1]Results!AB1385</f>
        <v>5.9883553749644491</v>
      </c>
      <c r="Z24" s="1">
        <f>[1]Results!AC1385</f>
        <v>6.184208931195645</v>
      </c>
      <c r="AA24" s="1">
        <f>[1]Results!AD1385</f>
        <v>6.3718614568189391</v>
      </c>
      <c r="AB24" s="1">
        <f>[1]Results!AE1385</f>
        <v>6.5557065032970208</v>
      </c>
      <c r="AC24" s="1">
        <f>[1]Results!AF1385</f>
        <v>6.7985898469691719</v>
      </c>
      <c r="AD24" s="1">
        <f>[1]Results!AG1385</f>
        <v>7.1250944485189649</v>
      </c>
      <c r="AE24" s="1">
        <f>[1]Results!AH1385</f>
        <v>7.5358732205981216</v>
      </c>
      <c r="AF24" s="1">
        <f>[1]Results!AI1385</f>
        <v>8.0217170072713451</v>
      </c>
      <c r="AG24" s="1">
        <f>[1]Results!AJ1385</f>
        <v>8.5689590542345595</v>
      </c>
      <c r="AH24" s="1">
        <f>[1]Results!AK1385</f>
        <v>9.0504496402008741</v>
      </c>
      <c r="AI24" s="1">
        <f>[1]Results!AL1385</f>
        <v>9.4425130535320534</v>
      </c>
      <c r="AJ24" s="1">
        <f>[1]Results!AM1385</f>
        <v>9.7453368848907438</v>
      </c>
      <c r="AK24" s="1">
        <f>[1]Results!AN1385</f>
        <v>9.9683725317724736</v>
      </c>
      <c r="AL24" s="1">
        <f>[1]Results!AO1385</f>
        <v>10.125233327048555</v>
      </c>
    </row>
    <row r="25" spans="1:38" x14ac:dyDescent="0.35">
      <c r="A25" s="3" t="str">
        <f>[1]Results!E1386</f>
        <v>100*((I_2+CH_ccon_2)/(I_0+CH_ccon_0)-1)</v>
      </c>
      <c r="B25" t="str">
        <f>[1]Results!C1386</f>
        <v>Investissement</v>
      </c>
      <c r="C25" s="1">
        <f>[1]Results!F1386</f>
        <v>0</v>
      </c>
      <c r="D25" s="1">
        <f>[1]Results!G1386</f>
        <v>0</v>
      </c>
      <c r="E25" s="1">
        <f>[1]Results!H1386</f>
        <v>0</v>
      </c>
      <c r="F25" s="1">
        <f>[1]Results!I1386</f>
        <v>0</v>
      </c>
      <c r="G25" s="1">
        <f>[1]Results!J1386</f>
        <v>0</v>
      </c>
      <c r="H25" s="1">
        <f>[1]Results!K1386</f>
        <v>0</v>
      </c>
      <c r="I25" s="1">
        <f>[1]Results!L1386</f>
        <v>-5.2574960935247717E-2</v>
      </c>
      <c r="J25" s="1">
        <f>[1]Results!M1386</f>
        <v>-0.26905852982672673</v>
      </c>
      <c r="K25" s="1">
        <f>[1]Results!N1386</f>
        <v>-0.62690771575977244</v>
      </c>
      <c r="L25" s="1">
        <f>[1]Results!O1386</f>
        <v>-1.0994137681197502</v>
      </c>
      <c r="M25" s="1">
        <f>[1]Results!P1386</f>
        <v>-1.6652918705573172</v>
      </c>
      <c r="N25" s="1">
        <f>[1]Results!Q1386</f>
        <v>-2.1282613891311697</v>
      </c>
      <c r="O25" s="1">
        <f>[1]Results!R1386</f>
        <v>-2.4513065939226197</v>
      </c>
      <c r="P25" s="1">
        <f>[1]Results!S1386</f>
        <v>-2.6533379410662583</v>
      </c>
      <c r="Q25" s="1">
        <f>[1]Results!T1386</f>
        <v>-2.7733265359422998</v>
      </c>
      <c r="R25" s="1">
        <f>[1]Results!U1386</f>
        <v>-2.8459466477064432</v>
      </c>
      <c r="S25" s="1">
        <f>[1]Results!V1386</f>
        <v>-2.8926405366211716</v>
      </c>
      <c r="T25" s="1">
        <f>[1]Results!W1386</f>
        <v>-2.9682488300031062</v>
      </c>
      <c r="U25" s="1">
        <f>[1]Results!X1386</f>
        <v>-3.094168427134969</v>
      </c>
      <c r="V25" s="1">
        <f>[1]Results!Y1386</f>
        <v>-3.2673249516115166</v>
      </c>
      <c r="W25" s="1">
        <f>[1]Results!Z1386</f>
        <v>-3.4743162288365936</v>
      </c>
      <c r="X25" s="1">
        <f>[1]Results!AA1386</f>
        <v>-3.6903533356716145</v>
      </c>
      <c r="Y25" s="1">
        <f>[1]Results!AB1386</f>
        <v>-3.9019976813312152</v>
      </c>
      <c r="Z25" s="1">
        <f>[1]Results!AC1386</f>
        <v>-4.1020562109404635</v>
      </c>
      <c r="AA25" s="1">
        <f>[1]Results!AD1386</f>
        <v>-4.2870919481832637</v>
      </c>
      <c r="AB25" s="1">
        <f>[1]Results!AE1386</f>
        <v>-4.4544724997057301</v>
      </c>
      <c r="AC25" s="1">
        <f>[1]Results!AF1386</f>
        <v>-4.4222422302311548</v>
      </c>
      <c r="AD25" s="1">
        <f>[1]Results!AG1386</f>
        <v>-4.2701487619194012</v>
      </c>
      <c r="AE25" s="1">
        <f>[1]Results!AH1386</f>
        <v>-4.0378936417275524</v>
      </c>
      <c r="AF25" s="1">
        <f>[1]Results!AI1386</f>
        <v>-3.7420019506550828</v>
      </c>
      <c r="AG25" s="1">
        <f>[1]Results!AJ1386</f>
        <v>-3.3887768881828428</v>
      </c>
      <c r="AH25" s="1">
        <f>[1]Results!AK1386</f>
        <v>-3.1223907157640451</v>
      </c>
      <c r="AI25" s="1">
        <f>[1]Results!AL1386</f>
        <v>-2.8843911368051423</v>
      </c>
      <c r="AJ25" s="1">
        <f>[1]Results!AM1386</f>
        <v>-2.6432179846758275</v>
      </c>
      <c r="AK25" s="1">
        <f>[1]Results!AN1386</f>
        <v>-2.3852218386337665</v>
      </c>
      <c r="AL25" s="1">
        <f>[1]Results!AO1386</f>
        <v>-2.1047837257685553</v>
      </c>
    </row>
    <row r="26" spans="1:38" x14ac:dyDescent="0.35">
      <c r="A26" s="3" t="str">
        <f>[1]Results!E1387</f>
        <v>100*((CH_ccon_2)/(CH_ccon_0)-1)</v>
      </c>
      <c r="B26" t="str">
        <f>[1]Results!C1387</f>
        <v>Investissement ménages</v>
      </c>
      <c r="C26" s="1">
        <f>[1]Results!F1387</f>
        <v>0</v>
      </c>
      <c r="D26" s="1">
        <f>[1]Results!G1387</f>
        <v>0</v>
      </c>
      <c r="E26" s="1">
        <f>[1]Results!H1387</f>
        <v>0</v>
      </c>
      <c r="F26" s="1">
        <f>[1]Results!I1387</f>
        <v>0</v>
      </c>
      <c r="G26" s="1">
        <f>[1]Results!J1387</f>
        <v>0</v>
      </c>
      <c r="H26" s="1">
        <f>[1]Results!K1387</f>
        <v>0</v>
      </c>
      <c r="I26" s="1">
        <f>[1]Results!L1387</f>
        <v>-4.807881556123661E-2</v>
      </c>
      <c r="J26" s="1">
        <f>[1]Results!M1387</f>
        <v>-0.14090556700908641</v>
      </c>
      <c r="K26" s="1">
        <f>[1]Results!N1387</f>
        <v>-0.24800316009500056</v>
      </c>
      <c r="L26" s="1">
        <f>[1]Results!O1387</f>
        <v>-0.24559521613405355</v>
      </c>
      <c r="M26" s="1">
        <f>[1]Results!P1387</f>
        <v>-3.9220133463024887E-3</v>
      </c>
      <c r="N26" s="1">
        <f>[1]Results!Q1387</f>
        <v>0.19379731761908214</v>
      </c>
      <c r="O26" s="1">
        <f>[1]Results!R1387</f>
        <v>0.632074025097773</v>
      </c>
      <c r="P26" s="1">
        <f>[1]Results!S1387</f>
        <v>1.2540676139177531</v>
      </c>
      <c r="Q26" s="1">
        <f>[1]Results!T1387</f>
        <v>1.9358809231524443</v>
      </c>
      <c r="R26" s="1">
        <f>[1]Results!U1387</f>
        <v>2.5898159715391778</v>
      </c>
      <c r="S26" s="1">
        <f>[1]Results!V1387</f>
        <v>3.1892180918974056</v>
      </c>
      <c r="T26" s="1">
        <f>[1]Results!W1387</f>
        <v>3.6590829157322036</v>
      </c>
      <c r="U26" s="1">
        <f>[1]Results!X1387</f>
        <v>4.0012036549026853</v>
      </c>
      <c r="V26" s="1">
        <f>[1]Results!Y1387</f>
        <v>4.2576781380791795</v>
      </c>
      <c r="W26" s="1">
        <f>[1]Results!Z1387</f>
        <v>4.4779127898406212</v>
      </c>
      <c r="X26" s="1">
        <f>[1]Results!AA1387</f>
        <v>4.6585031307267766</v>
      </c>
      <c r="Y26" s="1">
        <f>[1]Results!AB1387</f>
        <v>4.8500713135369855</v>
      </c>
      <c r="Z26" s="1">
        <f>[1]Results!AC1387</f>
        <v>5.0605715816927077</v>
      </c>
      <c r="AA26" s="1">
        <f>[1]Results!AD1387</f>
        <v>5.2851057524278877</v>
      </c>
      <c r="AB26" s="1">
        <f>[1]Results!AE1387</f>
        <v>5.5224318189038835</v>
      </c>
      <c r="AC26" s="1">
        <f>[1]Results!AF1387</f>
        <v>5.815311738628659</v>
      </c>
      <c r="AD26" s="1">
        <f>[1]Results!AG1387</f>
        <v>6.172762855032432</v>
      </c>
      <c r="AE26" s="1">
        <f>[1]Results!AH1387</f>
        <v>6.5837240025768962</v>
      </c>
      <c r="AF26" s="1">
        <f>[1]Results!AI1387</f>
        <v>7.0392760031029455</v>
      </c>
      <c r="AG26" s="1">
        <f>[1]Results!AJ1387</f>
        <v>7.5341065907368332</v>
      </c>
      <c r="AH26" s="1">
        <f>[1]Results!AK1387</f>
        <v>7.9679806017692201</v>
      </c>
      <c r="AI26" s="1">
        <f>[1]Results!AL1387</f>
        <v>8.340759495219995</v>
      </c>
      <c r="AJ26" s="1">
        <f>[1]Results!AM1387</f>
        <v>8.6601370092735266</v>
      </c>
      <c r="AK26" s="1">
        <f>[1]Results!AN1387</f>
        <v>8.9320001728254717</v>
      </c>
      <c r="AL26" s="1">
        <f>[1]Results!AO1387</f>
        <v>9.1612545243435974</v>
      </c>
    </row>
    <row r="27" spans="1:38" x14ac:dyDescent="0.35">
      <c r="A27" s="3" t="str">
        <f>[1]Results!E1388</f>
        <v>100*((IA_spub_2)/(IA_spub_0)-1)</v>
      </c>
      <c r="B27" t="str">
        <f>[1]Results!C1388</f>
        <v>Investissement public</v>
      </c>
      <c r="C27" s="1">
        <f>[1]Results!F1388</f>
        <v>0</v>
      </c>
      <c r="D27" s="1">
        <f>[1]Results!G1388</f>
        <v>0</v>
      </c>
      <c r="E27" s="1">
        <f>[1]Results!H1388</f>
        <v>0</v>
      </c>
      <c r="F27" s="1">
        <f>[1]Results!I1388</f>
        <v>0</v>
      </c>
      <c r="G27" s="1">
        <f>[1]Results!J1388</f>
        <v>0</v>
      </c>
      <c r="H27" s="1">
        <f>[1]Results!K1388</f>
        <v>0</v>
      </c>
      <c r="I27" s="1">
        <f>[1]Results!L1388</f>
        <v>-2.3744051720420156E-2</v>
      </c>
      <c r="J27" s="1">
        <f>[1]Results!M1388</f>
        <v>-0.24018037167194972</v>
      </c>
      <c r="K27" s="1">
        <f>[1]Results!N1388</f>
        <v>-0.62068620361585003</v>
      </c>
      <c r="L27" s="1">
        <f>[1]Results!O1388</f>
        <v>-1.1451729929599086</v>
      </c>
      <c r="M27" s="1">
        <f>[1]Results!P1388</f>
        <v>-1.800244034166476</v>
      </c>
      <c r="N27" s="1">
        <f>[1]Results!Q1388</f>
        <v>-2.2670016024639694</v>
      </c>
      <c r="O27" s="1">
        <f>[1]Results!R1388</f>
        <v>-2.5693153373062771</v>
      </c>
      <c r="P27" s="1">
        <f>[1]Results!S1388</f>
        <v>-2.7497741544879384</v>
      </c>
      <c r="Q27" s="1">
        <f>[1]Results!T1388</f>
        <v>-2.8473733431128911</v>
      </c>
      <c r="R27" s="1">
        <f>[1]Results!U1388</f>
        <v>-2.8893527704288102</v>
      </c>
      <c r="S27" s="1">
        <f>[1]Results!V1388</f>
        <v>-2.9188358009500481</v>
      </c>
      <c r="T27" s="1">
        <f>[1]Results!W1388</f>
        <v>-2.9692386595697173</v>
      </c>
      <c r="U27" s="1">
        <f>[1]Results!X1388</f>
        <v>-3.0476506061720587</v>
      </c>
      <c r="V27" s="1">
        <f>[1]Results!Y1388</f>
        <v>-3.1461723636156513</v>
      </c>
      <c r="W27" s="1">
        <f>[1]Results!Z1388</f>
        <v>-3.2526317893398771</v>
      </c>
      <c r="X27" s="1">
        <f>[1]Results!AA1388</f>
        <v>-3.3365665688498525</v>
      </c>
      <c r="Y27" s="1">
        <f>[1]Results!AB1388</f>
        <v>-3.3957780563484308</v>
      </c>
      <c r="Z27" s="1">
        <f>[1]Results!AC1388</f>
        <v>-3.429597871269352</v>
      </c>
      <c r="AA27" s="1">
        <f>[1]Results!AD1388</f>
        <v>-3.4381261918329131</v>
      </c>
      <c r="AB27" s="1">
        <f>[1]Results!AE1388</f>
        <v>-3.4205693716833241</v>
      </c>
      <c r="AC27" s="1">
        <f>[1]Results!AF1388</f>
        <v>-3.3408482670303719</v>
      </c>
      <c r="AD27" s="1">
        <f>[1]Results!AG1388</f>
        <v>-3.2273432646370059</v>
      </c>
      <c r="AE27" s="1">
        <f>[1]Results!AH1388</f>
        <v>-3.0921378769630636</v>
      </c>
      <c r="AF27" s="1">
        <f>[1]Results!AI1388</f>
        <v>-2.9384808339879998</v>
      </c>
      <c r="AG27" s="1">
        <f>[1]Results!AJ1388</f>
        <v>-2.7660589658930923</v>
      </c>
      <c r="AH27" s="1">
        <f>[1]Results!AK1388</f>
        <v>-2.5920183842035205</v>
      </c>
      <c r="AI27" s="1">
        <f>[1]Results!AL1388</f>
        <v>-2.4046283605467011</v>
      </c>
      <c r="AJ27" s="1">
        <f>[1]Results!AM1388</f>
        <v>-2.197681655117012</v>
      </c>
      <c r="AK27" s="1">
        <f>[1]Results!AN1388</f>
        <v>-1.9707994217301406</v>
      </c>
      <c r="AL27" s="1">
        <f>[1]Results!AO1388</f>
        <v>-1.7259360622684627</v>
      </c>
    </row>
    <row r="28" spans="1:38" x14ac:dyDescent="0.35">
      <c r="A28" s="3" t="str">
        <f>[1]Results!E1389</f>
        <v>100*(DISPINC_AT_VAL_2/DISPINC_AT_VAL_0-1)</v>
      </c>
      <c r="B28" t="str">
        <f>[1]Results!C1389</f>
        <v>Revenu disponible des ménages</v>
      </c>
      <c r="C28" s="1">
        <f>[1]Results!F1389</f>
        <v>0</v>
      </c>
      <c r="D28" s="1">
        <f>[1]Results!G1389</f>
        <v>0</v>
      </c>
      <c r="E28" s="1">
        <f>[1]Results!H1389</f>
        <v>0</v>
      </c>
      <c r="F28" s="1">
        <f>[1]Results!I1389</f>
        <v>0</v>
      </c>
      <c r="G28" s="1">
        <f>[1]Results!J1389</f>
        <v>0</v>
      </c>
      <c r="H28" s="1">
        <f>[1]Results!K1389</f>
        <v>0</v>
      </c>
      <c r="I28" s="1">
        <f>[1]Results!L1389</f>
        <v>-1.5540211320264063E-2</v>
      </c>
      <c r="J28" s="1">
        <f>[1]Results!M1389</f>
        <v>0.61732935642153652</v>
      </c>
      <c r="K28" s="1">
        <f>[1]Results!N1389</f>
        <v>1.7771122103479531</v>
      </c>
      <c r="L28" s="1">
        <f>[1]Results!O1389</f>
        <v>3.6693233398369385</v>
      </c>
      <c r="M28" s="1">
        <f>[1]Results!P1389</f>
        <v>6.5195934766551611</v>
      </c>
      <c r="N28" s="1">
        <f>[1]Results!Q1389</f>
        <v>8.4635102552904193</v>
      </c>
      <c r="O28" s="1">
        <f>[1]Results!R1389</f>
        <v>10.488333637974701</v>
      </c>
      <c r="P28" s="1">
        <f>[1]Results!S1389</f>
        <v>12.492010018133204</v>
      </c>
      <c r="Q28" s="1">
        <f>[1]Results!T1389</f>
        <v>14.440712006943567</v>
      </c>
      <c r="R28" s="1">
        <f>[1]Results!U1389</f>
        <v>16.3245319219522</v>
      </c>
      <c r="S28" s="1">
        <f>[1]Results!V1389</f>
        <v>18.312140076572536</v>
      </c>
      <c r="T28" s="1">
        <f>[1]Results!W1389</f>
        <v>20.339039236362112</v>
      </c>
      <c r="U28" s="1">
        <f>[1]Results!X1389</f>
        <v>22.427536437758523</v>
      </c>
      <c r="V28" s="1">
        <f>[1]Results!Y1389</f>
        <v>24.584019905383169</v>
      </c>
      <c r="W28" s="1">
        <f>[1]Results!Z1389</f>
        <v>26.802245384952084</v>
      </c>
      <c r="X28" s="1">
        <f>[1]Results!AA1389</f>
        <v>28.882892481937851</v>
      </c>
      <c r="Y28" s="1">
        <f>[1]Results!AB1389</f>
        <v>30.924485379643141</v>
      </c>
      <c r="Z28" s="1">
        <f>[1]Results!AC1389</f>
        <v>32.898209747064968</v>
      </c>
      <c r="AA28" s="1">
        <f>[1]Results!AD1389</f>
        <v>34.781965529741242</v>
      </c>
      <c r="AB28" s="1">
        <f>[1]Results!AE1389</f>
        <v>36.560566260996886</v>
      </c>
      <c r="AC28" s="1">
        <f>[1]Results!AF1389</f>
        <v>38.362445085561767</v>
      </c>
      <c r="AD28" s="1">
        <f>[1]Results!AG1389</f>
        <v>40.255143967547255</v>
      </c>
      <c r="AE28" s="1">
        <f>[1]Results!AH1389</f>
        <v>42.214634345516068</v>
      </c>
      <c r="AF28" s="1">
        <f>[1]Results!AI1389</f>
        <v>44.215040639323909</v>
      </c>
      <c r="AG28" s="1">
        <f>[1]Results!AJ1389</f>
        <v>46.226439701769138</v>
      </c>
      <c r="AH28" s="1">
        <f>[1]Results!AK1389</f>
        <v>47.905758562757697</v>
      </c>
      <c r="AI28" s="1">
        <f>[1]Results!AL1389</f>
        <v>49.298057323029276</v>
      </c>
      <c r="AJ28" s="1">
        <f>[1]Results!AM1389</f>
        <v>50.395814851148344</v>
      </c>
      <c r="AK28" s="1">
        <f>[1]Results!AN1389</f>
        <v>51.20141476276283</v>
      </c>
      <c r="AL28" s="1">
        <f>[1]Results!AO1389</f>
        <v>51.722818871019548</v>
      </c>
    </row>
    <row r="29" spans="1:38" x14ac:dyDescent="0.35">
      <c r="A29" s="3" t="str">
        <f>[1]Results!E1390</f>
        <v>100*(DISPINC_AT_VAL_2/DISPINC_AT_VAL_0-1)-100*(PCH_2/PCH_0-1)</v>
      </c>
      <c r="B29" t="str">
        <f>[1]Results!C1390</f>
        <v>Revenu disponible réel des ménages</v>
      </c>
      <c r="C29" s="1">
        <f>[1]Results!F1390</f>
        <v>0</v>
      </c>
      <c r="D29" s="1">
        <f>[1]Results!G1390</f>
        <v>0</v>
      </c>
      <c r="E29" s="1">
        <f>[1]Results!H1390</f>
        <v>0</v>
      </c>
      <c r="F29" s="1">
        <f>[1]Results!I1390</f>
        <v>0</v>
      </c>
      <c r="G29" s="1">
        <f>[1]Results!J1390</f>
        <v>0</v>
      </c>
      <c r="H29" s="1">
        <f>[1]Results!K1390</f>
        <v>0</v>
      </c>
      <c r="I29" s="1">
        <f>[1]Results!L1390</f>
        <v>-6.1216525596963223E-2</v>
      </c>
      <c r="J29" s="1">
        <f>[1]Results!M1390</f>
        <v>-9.1852408485637582E-3</v>
      </c>
      <c r="K29" s="1">
        <f>[1]Results!N1390</f>
        <v>0.1982871410823428</v>
      </c>
      <c r="L29" s="1">
        <f>[1]Results!O1390</f>
        <v>0.6722461546819325</v>
      </c>
      <c r="M29" s="1">
        <f>[1]Results!P1390</f>
        <v>1.5151739734607705</v>
      </c>
      <c r="N29" s="1">
        <f>[1]Results!Q1390</f>
        <v>1.9707862819734698</v>
      </c>
      <c r="O29" s="1">
        <f>[1]Results!R1390</f>
        <v>2.5890008672664564</v>
      </c>
      <c r="P29" s="1">
        <f>[1]Results!S1390</f>
        <v>3.2151952459251945</v>
      </c>
      <c r="Q29" s="1">
        <f>[1]Results!T1390</f>
        <v>3.8014500570483492</v>
      </c>
      <c r="R29" s="1">
        <f>[1]Results!U1390</f>
        <v>4.3438555760123343</v>
      </c>
      <c r="S29" s="1">
        <f>[1]Results!V1390</f>
        <v>4.8963301776342014</v>
      </c>
      <c r="T29" s="1">
        <f>[1]Results!W1390</f>
        <v>5.3584688599669583</v>
      </c>
      <c r="U29" s="1">
        <f>[1]Results!X1390</f>
        <v>5.7740605364893476</v>
      </c>
      <c r="V29" s="1">
        <f>[1]Results!Y1390</f>
        <v>6.1811268177102114</v>
      </c>
      <c r="W29" s="1">
        <f>[1]Results!Z1390</f>
        <v>6.6016868940261588</v>
      </c>
      <c r="X29" s="1">
        <f>[1]Results!AA1390</f>
        <v>6.9564870572803592</v>
      </c>
      <c r="Y29" s="1">
        <f>[1]Results!AB1390</f>
        <v>7.3164459662516741</v>
      </c>
      <c r="Z29" s="1">
        <f>[1]Results!AC1390</f>
        <v>7.6692504982330831</v>
      </c>
      <c r="AA29" s="1">
        <f>[1]Results!AD1390</f>
        <v>8.0113638765923341</v>
      </c>
      <c r="AB29" s="1">
        <f>[1]Results!AE1390</f>
        <v>8.3484385582949905</v>
      </c>
      <c r="AC29" s="1">
        <f>[1]Results!AF1390</f>
        <v>8.7974387608692446</v>
      </c>
      <c r="AD29" s="1">
        <f>[1]Results!AG1390</f>
        <v>9.3644315409061782</v>
      </c>
      <c r="AE29" s="1">
        <f>[1]Results!AH1390</f>
        <v>10.03606065116638</v>
      </c>
      <c r="AF29" s="1">
        <f>[1]Results!AI1390</f>
        <v>10.798562978293511</v>
      </c>
      <c r="AG29" s="1">
        <f>[1]Results!AJ1390</f>
        <v>11.63557069144936</v>
      </c>
      <c r="AH29" s="1">
        <f>[1]Results!AK1390</f>
        <v>12.299052340242802</v>
      </c>
      <c r="AI29" s="1">
        <f>[1]Results!AL1390</f>
        <v>12.83974436247437</v>
      </c>
      <c r="AJ29" s="1">
        <f>[1]Results!AM1390</f>
        <v>13.266326823820179</v>
      </c>
      <c r="AK29" s="1">
        <f>[1]Results!AN1390</f>
        <v>13.588752067130635</v>
      </c>
      <c r="AL29" s="1">
        <f>[1]Results!AO1390</f>
        <v>13.820284792874538</v>
      </c>
    </row>
    <row r="30" spans="1:38" x14ac:dyDescent="0.35">
      <c r="A30" s="3" t="str">
        <f>[1]Results!E1391</f>
        <v>100*(DISPINC_AT_VAL_2/DISPINC_AT_VAL_0-1)-100*((F_L_2/F_L_0)-1)</v>
      </c>
      <c r="B30" t="str">
        <f>[1]Results!C1391</f>
        <v>Revenu disponible par emploi en valeur</v>
      </c>
      <c r="C30" s="1">
        <f>[1]Results!F1391</f>
        <v>0</v>
      </c>
      <c r="D30" s="1">
        <f>[1]Results!G1391</f>
        <v>0</v>
      </c>
      <c r="E30" s="1">
        <f>[1]Results!H1391</f>
        <v>0</v>
      </c>
      <c r="F30" s="1">
        <f>[1]Results!I1391</f>
        <v>0</v>
      </c>
      <c r="G30" s="1">
        <f>[1]Results!J1391</f>
        <v>0</v>
      </c>
      <c r="H30" s="1">
        <f>[1]Results!K1391</f>
        <v>0</v>
      </c>
      <c r="I30" s="1">
        <f>[1]Results!L1391</f>
        <v>1.0463080277534065E-2</v>
      </c>
      <c r="J30" s="1">
        <f>[1]Results!M1391</f>
        <v>0.60919117912747733</v>
      </c>
      <c r="K30" s="1">
        <f>[1]Results!N1391</f>
        <v>1.6333828591440946</v>
      </c>
      <c r="L30" s="1">
        <f>[1]Results!O1391</f>
        <v>3.2582806349571447</v>
      </c>
      <c r="M30" s="1">
        <f>[1]Results!P1391</f>
        <v>5.681962172687216</v>
      </c>
      <c r="N30" s="1">
        <f>[1]Results!Q1391</f>
        <v>7.2630352322210499</v>
      </c>
      <c r="O30" s="1">
        <f>[1]Results!R1391</f>
        <v>9.0318020113124184</v>
      </c>
      <c r="P30" s="1">
        <f>[1]Results!S1391</f>
        <v>10.876657034728421</v>
      </c>
      <c r="Q30" s="1">
        <f>[1]Results!T1391</f>
        <v>12.747006936885661</v>
      </c>
      <c r="R30" s="1">
        <f>[1]Results!U1391</f>
        <v>14.61857942205733</v>
      </c>
      <c r="S30" s="1">
        <f>[1]Results!V1391</f>
        <v>16.609603062293242</v>
      </c>
      <c r="T30" s="1">
        <f>[1]Results!W1391</f>
        <v>18.647066979271877</v>
      </c>
      <c r="U30" s="1">
        <f>[1]Results!X1391</f>
        <v>20.753882268910129</v>
      </c>
      <c r="V30" s="1">
        <f>[1]Results!Y1391</f>
        <v>22.939427135169453</v>
      </c>
      <c r="W30" s="1">
        <f>[1]Results!Z1391</f>
        <v>25.200230741355313</v>
      </c>
      <c r="X30" s="1">
        <f>[1]Results!AA1391</f>
        <v>27.358140728785575</v>
      </c>
      <c r="Y30" s="1">
        <f>[1]Results!AB1391</f>
        <v>29.511468629413852</v>
      </c>
      <c r="Z30" s="1">
        <f>[1]Results!AC1391</f>
        <v>31.626180936921401</v>
      </c>
      <c r="AA30" s="1">
        <f>[1]Results!AD1391</f>
        <v>33.675141695109609</v>
      </c>
      <c r="AB30" s="1">
        <f>[1]Results!AE1391</f>
        <v>35.63945466519958</v>
      </c>
      <c r="AC30" s="1">
        <f>[1]Results!AF1391</f>
        <v>37.494948325145593</v>
      </c>
      <c r="AD30" s="1">
        <f>[1]Results!AG1391</f>
        <v>39.333978205921433</v>
      </c>
      <c r="AE30" s="1">
        <f>[1]Results!AH1391</f>
        <v>41.159092656959871</v>
      </c>
      <c r="AF30" s="1">
        <f>[1]Results!AI1391</f>
        <v>42.966437973243977</v>
      </c>
      <c r="AG30" s="1">
        <f>[1]Results!AJ1391</f>
        <v>44.74390928793774</v>
      </c>
      <c r="AH30" s="1">
        <f>[1]Results!AK1391</f>
        <v>46.299907071869683</v>
      </c>
      <c r="AI30" s="1">
        <f>[1]Results!AL1391</f>
        <v>47.665286834386265</v>
      </c>
      <c r="AJ30" s="1">
        <f>[1]Results!AM1391</f>
        <v>48.8093753997479</v>
      </c>
      <c r="AK30" s="1">
        <f>[1]Results!AN1391</f>
        <v>49.713153044540981</v>
      </c>
      <c r="AL30" s="1">
        <f>[1]Results!AO1391</f>
        <v>50.366686525942157</v>
      </c>
    </row>
    <row r="31" spans="1:38" x14ac:dyDescent="0.35">
      <c r="A31" s="3" t="str">
        <f>[1]Results!E1392</f>
        <v>100*(DISPINC_AT_VAL_2/DISPINC_AT_VAL_0-1)-100*((F_L_2/F_L_0)-1)-100*(PCH_2/PCH_0-1)</v>
      </c>
      <c r="B31" t="str">
        <f>[1]Results!C1392</f>
        <v>Revenu disponible réel par emploi</v>
      </c>
      <c r="C31" s="1">
        <f>[1]Results!F1392</f>
        <v>0</v>
      </c>
      <c r="D31" s="1">
        <f>[1]Results!G1392</f>
        <v>0</v>
      </c>
      <c r="E31" s="1">
        <f>[1]Results!H1392</f>
        <v>0</v>
      </c>
      <c r="F31" s="1">
        <f>[1]Results!I1392</f>
        <v>0</v>
      </c>
      <c r="G31" s="1">
        <f>[1]Results!J1392</f>
        <v>0</v>
      </c>
      <c r="H31" s="1">
        <f>[1]Results!K1392</f>
        <v>0</v>
      </c>
      <c r="I31" s="1">
        <f>[1]Results!L1392</f>
        <v>-3.5213233999165094E-2</v>
      </c>
      <c r="J31" s="1">
        <f>[1]Results!M1392</f>
        <v>-1.7323418142622948E-2</v>
      </c>
      <c r="K31" s="1">
        <f>[1]Results!N1392</f>
        <v>5.4557789878484364E-2</v>
      </c>
      <c r="L31" s="1">
        <f>[1]Results!O1392</f>
        <v>0.26120344980213872</v>
      </c>
      <c r="M31" s="1">
        <f>[1]Results!P1392</f>
        <v>0.67754266949282549</v>
      </c>
      <c r="N31" s="1">
        <f>[1]Results!Q1392</f>
        <v>0.77031125890410035</v>
      </c>
      <c r="O31" s="1">
        <f>[1]Results!R1392</f>
        <v>1.1324692406041734</v>
      </c>
      <c r="P31" s="1">
        <f>[1]Results!S1392</f>
        <v>1.5998422625204114</v>
      </c>
      <c r="Q31" s="1">
        <f>[1]Results!T1392</f>
        <v>2.1077449869904434</v>
      </c>
      <c r="R31" s="1">
        <f>[1]Results!U1392</f>
        <v>2.637903076117464</v>
      </c>
      <c r="S31" s="1">
        <f>[1]Results!V1392</f>
        <v>3.1937931633549077</v>
      </c>
      <c r="T31" s="1">
        <f>[1]Results!W1392</f>
        <v>3.6664966028767232</v>
      </c>
      <c r="U31" s="1">
        <f>[1]Results!X1392</f>
        <v>4.1004063676409537</v>
      </c>
      <c r="V31" s="1">
        <f>[1]Results!Y1392</f>
        <v>4.5365340474964952</v>
      </c>
      <c r="W31" s="1">
        <f>[1]Results!Z1392</f>
        <v>4.9996722504293878</v>
      </c>
      <c r="X31" s="1">
        <f>[1]Results!AA1392</f>
        <v>5.4317353041280825</v>
      </c>
      <c r="Y31" s="1">
        <f>[1]Results!AB1392</f>
        <v>5.9034292160223849</v>
      </c>
      <c r="Z31" s="1">
        <f>[1]Results!AC1392</f>
        <v>6.3972216880895161</v>
      </c>
      <c r="AA31" s="1">
        <f>[1]Results!AD1392</f>
        <v>6.9045400419607006</v>
      </c>
      <c r="AB31" s="1">
        <f>[1]Results!AE1392</f>
        <v>7.4273269624976841</v>
      </c>
      <c r="AC31" s="1">
        <f>[1]Results!AF1392</f>
        <v>7.929942000453071</v>
      </c>
      <c r="AD31" s="1">
        <f>[1]Results!AG1392</f>
        <v>8.443265779280356</v>
      </c>
      <c r="AE31" s="1">
        <f>[1]Results!AH1392</f>
        <v>8.9805189626101836</v>
      </c>
      <c r="AF31" s="1">
        <f>[1]Results!AI1392</f>
        <v>9.5499603122135781</v>
      </c>
      <c r="AG31" s="1">
        <f>[1]Results!AJ1392</f>
        <v>10.153040277617961</v>
      </c>
      <c r="AH31" s="1">
        <f>[1]Results!AK1392</f>
        <v>10.693200849354788</v>
      </c>
      <c r="AI31" s="1">
        <f>[1]Results!AL1392</f>
        <v>11.206973873831359</v>
      </c>
      <c r="AJ31" s="1">
        <f>[1]Results!AM1392</f>
        <v>11.679887372419735</v>
      </c>
      <c r="AK31" s="1">
        <f>[1]Results!AN1392</f>
        <v>12.100490348908785</v>
      </c>
      <c r="AL31" s="1">
        <f>[1]Results!AO1392</f>
        <v>12.464152447797147</v>
      </c>
    </row>
    <row r="32" spans="1:38" x14ac:dyDescent="0.35">
      <c r="A32" s="3" t="str">
        <f>[1]Results!E1393</f>
        <v>100*(MPS_n_2-MPS_n_0)</v>
      </c>
      <c r="B32" t="str">
        <f>[1]Results!C1393</f>
        <v>Taux d'épargne</v>
      </c>
      <c r="C32" s="1">
        <f>[1]Results!F1393</f>
        <v>0</v>
      </c>
      <c r="D32" s="1">
        <f>[1]Results!G1393</f>
        <v>0</v>
      </c>
      <c r="E32" s="1">
        <f>[1]Results!H1393</f>
        <v>0</v>
      </c>
      <c r="F32" s="1">
        <f>[1]Results!I1393</f>
        <v>0</v>
      </c>
      <c r="G32" s="1">
        <f>[1]Results!J1393</f>
        <v>0</v>
      </c>
      <c r="H32" s="1">
        <f>[1]Results!K1393</f>
        <v>0</v>
      </c>
      <c r="I32" s="1">
        <f>[1]Results!L1393</f>
        <v>0</v>
      </c>
      <c r="J32" s="1">
        <f>[1]Results!M1393</f>
        <v>0</v>
      </c>
      <c r="K32" s="1">
        <f>[1]Results!N1393</f>
        <v>0</v>
      </c>
      <c r="L32" s="1">
        <f>[1]Results!O1393</f>
        <v>0</v>
      </c>
      <c r="M32" s="1">
        <f>[1]Results!P1393</f>
        <v>0</v>
      </c>
      <c r="N32" s="1">
        <f>[1]Results!Q1393</f>
        <v>0</v>
      </c>
      <c r="O32" s="1">
        <f>[1]Results!R1393</f>
        <v>0</v>
      </c>
      <c r="P32" s="1">
        <f>[1]Results!S1393</f>
        <v>0</v>
      </c>
      <c r="Q32" s="1">
        <f>[1]Results!T1393</f>
        <v>0</v>
      </c>
      <c r="R32" s="1">
        <f>[1]Results!U1393</f>
        <v>0</v>
      </c>
      <c r="S32" s="1">
        <f>[1]Results!V1393</f>
        <v>0</v>
      </c>
      <c r="T32" s="1">
        <f>[1]Results!W1393</f>
        <v>0</v>
      </c>
      <c r="U32" s="1">
        <f>[1]Results!X1393</f>
        <v>0</v>
      </c>
      <c r="V32" s="1">
        <f>[1]Results!Y1393</f>
        <v>0</v>
      </c>
      <c r="W32" s="1">
        <f>[1]Results!Z1393</f>
        <v>0</v>
      </c>
      <c r="X32" s="1">
        <f>[1]Results!AA1393</f>
        <v>0</v>
      </c>
      <c r="Y32" s="1">
        <f>[1]Results!AB1393</f>
        <v>0</v>
      </c>
      <c r="Z32" s="1">
        <f>[1]Results!AC1393</f>
        <v>0</v>
      </c>
      <c r="AA32" s="1">
        <f>[1]Results!AD1393</f>
        <v>0</v>
      </c>
      <c r="AB32" s="1">
        <f>[1]Results!AE1393</f>
        <v>0</v>
      </c>
      <c r="AC32" s="1">
        <f>[1]Results!AF1393</f>
        <v>0</v>
      </c>
      <c r="AD32" s="1">
        <f>[1]Results!AG1393</f>
        <v>0</v>
      </c>
      <c r="AE32" s="1">
        <f>[1]Results!AH1393</f>
        <v>0</v>
      </c>
      <c r="AF32" s="1">
        <f>[1]Results!AI1393</f>
        <v>0</v>
      </c>
      <c r="AG32" s="1">
        <f>[1]Results!AJ1393</f>
        <v>0</v>
      </c>
      <c r="AH32" s="1">
        <f>[1]Results!AK1393</f>
        <v>0</v>
      </c>
      <c r="AI32" s="1">
        <f>[1]Results!AL1393</f>
        <v>0</v>
      </c>
      <c r="AJ32" s="1">
        <f>[1]Results!AM1393</f>
        <v>0</v>
      </c>
      <c r="AK32" s="1">
        <f>[1]Results!AN1393</f>
        <v>0</v>
      </c>
      <c r="AL32" s="1">
        <f>[1]Results!AO1393</f>
        <v>0</v>
      </c>
    </row>
    <row r="33" spans="1:38" x14ac:dyDescent="0.35">
      <c r="A33" s="3" t="str">
        <f>[1]Results!E1394</f>
        <v>100*(PCH_2/PCH_0-1)</v>
      </c>
      <c r="B33" t="str">
        <f>[1]Results!C1394</f>
        <v>Prix à la consommation des ménages</v>
      </c>
      <c r="C33" s="1">
        <f>[1]Results!F1394</f>
        <v>0</v>
      </c>
      <c r="D33" s="1">
        <f>[1]Results!G1394</f>
        <v>0</v>
      </c>
      <c r="E33" s="1">
        <f>[1]Results!H1394</f>
        <v>0</v>
      </c>
      <c r="F33" s="1">
        <f>[1]Results!I1394</f>
        <v>0</v>
      </c>
      <c r="G33" s="1">
        <f>[1]Results!J1394</f>
        <v>0</v>
      </c>
      <c r="H33" s="1">
        <f>[1]Results!K1394</f>
        <v>0</v>
      </c>
      <c r="I33" s="1">
        <f>[1]Results!L1394</f>
        <v>-6.1216525596963223E-2</v>
      </c>
      <c r="J33" s="1">
        <f>[1]Results!M1394</f>
        <v>-9.1852408485637582E-3</v>
      </c>
      <c r="K33" s="1">
        <f>[1]Results!N1394</f>
        <v>0.1982871410823428</v>
      </c>
      <c r="L33" s="1">
        <f>[1]Results!O1394</f>
        <v>0.6722461546819325</v>
      </c>
      <c r="M33" s="1">
        <f>[1]Results!P1394</f>
        <v>1.5151739734607705</v>
      </c>
      <c r="N33" s="1">
        <f>[1]Results!Q1394</f>
        <v>1.9707862819734698</v>
      </c>
      <c r="O33" s="1">
        <f>[1]Results!R1394</f>
        <v>2.5890008672664564</v>
      </c>
      <c r="P33" s="1">
        <f>[1]Results!S1394</f>
        <v>3.2151952459251945</v>
      </c>
      <c r="Q33" s="1">
        <f>[1]Results!T1394</f>
        <v>3.8014500570483492</v>
      </c>
      <c r="R33" s="1">
        <f>[1]Results!U1394</f>
        <v>4.3438555760123343</v>
      </c>
      <c r="S33" s="1">
        <f>[1]Results!V1394</f>
        <v>4.8963301776342014</v>
      </c>
      <c r="T33" s="1">
        <f>[1]Results!W1394</f>
        <v>5.3584688599669583</v>
      </c>
      <c r="U33" s="1">
        <f>[1]Results!X1394</f>
        <v>5.7740605364893476</v>
      </c>
      <c r="V33" s="1">
        <f>[1]Results!Y1394</f>
        <v>6.1811268177102114</v>
      </c>
      <c r="W33" s="1">
        <f>[1]Results!Z1394</f>
        <v>6.6016868940261588</v>
      </c>
      <c r="X33" s="1">
        <f>[1]Results!AA1394</f>
        <v>6.9564870572803592</v>
      </c>
      <c r="Y33" s="1">
        <f>[1]Results!AB1394</f>
        <v>7.3164459662516741</v>
      </c>
      <c r="Z33" s="1">
        <f>[1]Results!AC1394</f>
        <v>7.6692504982330831</v>
      </c>
      <c r="AA33" s="1">
        <f>[1]Results!AD1394</f>
        <v>8.0113638765923341</v>
      </c>
      <c r="AB33" s="1">
        <f>[1]Results!AE1394</f>
        <v>8.3484385582949905</v>
      </c>
      <c r="AC33" s="1">
        <f>[1]Results!AF1394</f>
        <v>8.7974387608692446</v>
      </c>
      <c r="AD33" s="1">
        <f>[1]Results!AG1394</f>
        <v>9.3644315409061782</v>
      </c>
      <c r="AE33" s="1">
        <f>[1]Results!AH1394</f>
        <v>10.03606065116638</v>
      </c>
      <c r="AF33" s="1">
        <f>[1]Results!AI1394</f>
        <v>10.798562978293511</v>
      </c>
      <c r="AG33" s="1">
        <f>[1]Results!AJ1394</f>
        <v>11.63557069144936</v>
      </c>
      <c r="AH33" s="1">
        <f>[1]Results!AK1394</f>
        <v>12.299052340242802</v>
      </c>
      <c r="AI33" s="1">
        <f>[1]Results!AL1394</f>
        <v>12.83974436247437</v>
      </c>
      <c r="AJ33" s="1">
        <f>[1]Results!AM1394</f>
        <v>13.266326823820179</v>
      </c>
      <c r="AK33" s="1">
        <f>[1]Results!AN1394</f>
        <v>13.588752067130635</v>
      </c>
      <c r="AL33" s="1">
        <f>[1]Results!AO1394</f>
        <v>13.820284792874538</v>
      </c>
    </row>
    <row r="34" spans="1:38" x14ac:dyDescent="0.35">
      <c r="A34" s="3" t="str">
        <f>[1]Results!E1395</f>
        <v>100*(PY_2/PY_0-1)</v>
      </c>
      <c r="B34" t="str">
        <f>[1]Results!C1395</f>
        <v>Prix à la production marchande</v>
      </c>
      <c r="C34" s="1">
        <f>[1]Results!F1395</f>
        <v>0</v>
      </c>
      <c r="D34" s="1">
        <f>[1]Results!G1395</f>
        <v>0</v>
      </c>
      <c r="E34" s="1">
        <f>[1]Results!H1395</f>
        <v>0</v>
      </c>
      <c r="F34" s="1">
        <f>[1]Results!I1395</f>
        <v>0</v>
      </c>
      <c r="G34" s="1">
        <f>[1]Results!J1395</f>
        <v>0</v>
      </c>
      <c r="H34" s="1">
        <f>[1]Results!K1395</f>
        <v>0</v>
      </c>
      <c r="I34" s="1">
        <f>[1]Results!L1395</f>
        <v>2.4497000857404139E-2</v>
      </c>
      <c r="J34" s="1">
        <f>[1]Results!M1395</f>
        <v>0.41320744485371375</v>
      </c>
      <c r="K34" s="1">
        <f>[1]Results!N1395</f>
        <v>1.1724250047749685</v>
      </c>
      <c r="L34" s="1">
        <f>[1]Results!O1395</f>
        <v>2.3719776070868503</v>
      </c>
      <c r="M34" s="1">
        <f>[1]Results!P1395</f>
        <v>4.12455119052344</v>
      </c>
      <c r="N34" s="1">
        <f>[1]Results!Q1395</f>
        <v>5.705443702051749</v>
      </c>
      <c r="O34" s="1">
        <f>[1]Results!R1395</f>
        <v>7.1800300583486854</v>
      </c>
      <c r="P34" s="1">
        <f>[1]Results!S1395</f>
        <v>8.6127567313690321</v>
      </c>
      <c r="Q34" s="1">
        <f>[1]Results!T1395</f>
        <v>10.032971566468607</v>
      </c>
      <c r="R34" s="1">
        <f>[1]Results!U1395</f>
        <v>11.441603300221747</v>
      </c>
      <c r="S34" s="1">
        <f>[1]Results!V1395</f>
        <v>12.916653539664779</v>
      </c>
      <c r="T34" s="1">
        <f>[1]Results!W1395</f>
        <v>14.503609458931077</v>
      </c>
      <c r="U34" s="1">
        <f>[1]Results!X1395</f>
        <v>16.198704794297413</v>
      </c>
      <c r="V34" s="1">
        <f>[1]Results!Y1395</f>
        <v>17.97773088559811</v>
      </c>
      <c r="W34" s="1">
        <f>[1]Results!Z1395</f>
        <v>19.81405039616666</v>
      </c>
      <c r="X34" s="1">
        <f>[1]Results!AA1395</f>
        <v>21.614664035833297</v>
      </c>
      <c r="Y34" s="1">
        <f>[1]Results!AB1395</f>
        <v>23.370023754017268</v>
      </c>
      <c r="Z34" s="1">
        <f>[1]Results!AC1395</f>
        <v>25.067415561451778</v>
      </c>
      <c r="AA34" s="1">
        <f>[1]Results!AD1395</f>
        <v>26.690430749333416</v>
      </c>
      <c r="AB34" s="1">
        <f>[1]Results!AE1395</f>
        <v>28.21863527695858</v>
      </c>
      <c r="AC34" s="1">
        <f>[1]Results!AF1395</f>
        <v>29.676881743378946</v>
      </c>
      <c r="AD34" s="1">
        <f>[1]Results!AG1395</f>
        <v>31.1084575302337</v>
      </c>
      <c r="AE34" s="1">
        <f>[1]Results!AH1395</f>
        <v>32.515002478508627</v>
      </c>
      <c r="AF34" s="1">
        <f>[1]Results!AI1395</f>
        <v>33.885441812708784</v>
      </c>
      <c r="AG34" s="1">
        <f>[1]Results!AJ1395</f>
        <v>35.204749991472561</v>
      </c>
      <c r="AH34" s="1">
        <f>[1]Results!AK1395</f>
        <v>36.372125660106015</v>
      </c>
      <c r="AI34" s="1">
        <f>[1]Results!AL1395</f>
        <v>37.357580270603364</v>
      </c>
      <c r="AJ34" s="1">
        <f>[1]Results!AM1395</f>
        <v>38.147361766938225</v>
      </c>
      <c r="AK34" s="1">
        <f>[1]Results!AN1395</f>
        <v>38.735736507129118</v>
      </c>
      <c r="AL34" s="1">
        <f>[1]Results!AO1395</f>
        <v>39.119694170719413</v>
      </c>
    </row>
    <row r="35" spans="1:38" x14ac:dyDescent="0.35">
      <c r="A35" s="3" t="str">
        <f>[1]Results!E1396</f>
        <v>100*(PX_2/PX_0-1)</v>
      </c>
      <c r="B35" t="str">
        <f>[1]Results!C1396</f>
        <v>Prix des exportations</v>
      </c>
      <c r="C35" s="1">
        <f>[1]Results!F1396</f>
        <v>0</v>
      </c>
      <c r="D35" s="1">
        <f>[1]Results!G1396</f>
        <v>0</v>
      </c>
      <c r="E35" s="1">
        <f>[1]Results!H1396</f>
        <v>0</v>
      </c>
      <c r="F35" s="1">
        <f>[1]Results!I1396</f>
        <v>0</v>
      </c>
      <c r="G35" s="1">
        <f>[1]Results!J1396</f>
        <v>0</v>
      </c>
      <c r="H35" s="1">
        <f>[1]Results!K1396</f>
        <v>0</v>
      </c>
      <c r="I35" s="1">
        <f>[1]Results!L1396</f>
        <v>4.100632181061048E-2</v>
      </c>
      <c r="J35" s="1">
        <f>[1]Results!M1396</f>
        <v>0.50857090998748244</v>
      </c>
      <c r="K35" s="1">
        <f>[1]Results!N1396</f>
        <v>1.3499928622744628</v>
      </c>
      <c r="L35" s="1">
        <f>[1]Results!O1396</f>
        <v>2.6318810996808217</v>
      </c>
      <c r="M35" s="1">
        <f>[1]Results!P1396</f>
        <v>4.4595908208488133</v>
      </c>
      <c r="N35" s="1">
        <f>[1]Results!Q1396</f>
        <v>6.0293321283004797</v>
      </c>
      <c r="O35" s="1">
        <f>[1]Results!R1396</f>
        <v>7.4328434224398388</v>
      </c>
      <c r="P35" s="1">
        <f>[1]Results!S1396</f>
        <v>8.7633017418009764</v>
      </c>
      <c r="Q35" s="1">
        <f>[1]Results!T1396</f>
        <v>10.066824957972953</v>
      </c>
      <c r="R35" s="1">
        <f>[1]Results!U1396</f>
        <v>11.359285433991184</v>
      </c>
      <c r="S35" s="1">
        <f>[1]Results!V1396</f>
        <v>12.752134193855458</v>
      </c>
      <c r="T35" s="1">
        <f>[1]Results!W1396</f>
        <v>14.296517266012088</v>
      </c>
      <c r="U35" s="1">
        <f>[1]Results!X1396</f>
        <v>15.961343422124298</v>
      </c>
      <c r="V35" s="1">
        <f>[1]Results!Y1396</f>
        <v>17.708335494727589</v>
      </c>
      <c r="W35" s="1">
        <f>[1]Results!Z1396</f>
        <v>19.503735417205537</v>
      </c>
      <c r="X35" s="1">
        <f>[1]Results!AA1396</f>
        <v>21.243530414796009</v>
      </c>
      <c r="Y35" s="1">
        <f>[1]Results!AB1396</f>
        <v>22.917775783693138</v>
      </c>
      <c r="Z35" s="1">
        <f>[1]Results!AC1396</f>
        <v>24.51381085607769</v>
      </c>
      <c r="AA35" s="1">
        <f>[1]Results!AD1396</f>
        <v>26.017048715024305</v>
      </c>
      <c r="AB35" s="1">
        <f>[1]Results!AE1396</f>
        <v>27.410008834026023</v>
      </c>
      <c r="AC35" s="1">
        <f>[1]Results!AF1396</f>
        <v>28.738678998994004</v>
      </c>
      <c r="AD35" s="1">
        <f>[1]Results!AG1396</f>
        <v>30.041940554931436</v>
      </c>
      <c r="AE35" s="1">
        <f>[1]Results!AH1396</f>
        <v>31.309266781240641</v>
      </c>
      <c r="AF35" s="1">
        <f>[1]Results!AI1396</f>
        <v>32.524433784336317</v>
      </c>
      <c r="AG35" s="1">
        <f>[1]Results!AJ1396</f>
        <v>33.670675524757378</v>
      </c>
      <c r="AH35" s="1">
        <f>[1]Results!AK1396</f>
        <v>34.641470699466396</v>
      </c>
      <c r="AI35" s="1">
        <f>[1]Results!AL1396</f>
        <v>35.426046731482728</v>
      </c>
      <c r="AJ35" s="1">
        <f>[1]Results!AM1396</f>
        <v>36.020187173276639</v>
      </c>
      <c r="AK35" s="1">
        <f>[1]Results!AN1396</f>
        <v>36.424141527935895</v>
      </c>
      <c r="AL35" s="1">
        <f>[1]Results!AO1396</f>
        <v>36.637303011207244</v>
      </c>
    </row>
    <row r="36" spans="1:38" x14ac:dyDescent="0.35">
      <c r="A36" s="3" t="str">
        <f>[1]Results!E1397</f>
        <v>100*(PM_2/PM_0-1)</v>
      </c>
      <c r="B36" t="str">
        <f>[1]Results!C1397</f>
        <v>Prix des importations</v>
      </c>
      <c r="C36" s="1">
        <f>[1]Results!F1397</f>
        <v>0</v>
      </c>
      <c r="D36" s="1">
        <f>[1]Results!G1397</f>
        <v>0</v>
      </c>
      <c r="E36" s="1">
        <f>[1]Results!H1397</f>
        <v>0</v>
      </c>
      <c r="F36" s="1">
        <f>[1]Results!I1397</f>
        <v>0</v>
      </c>
      <c r="G36" s="1">
        <f>[1]Results!J1397</f>
        <v>0</v>
      </c>
      <c r="H36" s="1">
        <f>[1]Results!K1397</f>
        <v>0</v>
      </c>
      <c r="I36" s="1">
        <f>[1]Results!L1397</f>
        <v>0.1688975932272907</v>
      </c>
      <c r="J36" s="1">
        <f>[1]Results!M1397</f>
        <v>0.92139590151723016</v>
      </c>
      <c r="K36" s="1">
        <f>[1]Results!N1397</f>
        <v>1.7615360252287049</v>
      </c>
      <c r="L36" s="1">
        <f>[1]Results!O1397</f>
        <v>2.7383678729813177</v>
      </c>
      <c r="M36" s="1">
        <f>[1]Results!P1397</f>
        <v>3.8130530249879557</v>
      </c>
      <c r="N36" s="1">
        <f>[1]Results!Q1397</f>
        <v>4.75641519366925</v>
      </c>
      <c r="O36" s="1">
        <f>[1]Results!R1397</f>
        <v>5.5597317666922219</v>
      </c>
      <c r="P36" s="1">
        <f>[1]Results!S1397</f>
        <v>6.2965708258996056</v>
      </c>
      <c r="Q36" s="1">
        <f>[1]Results!T1397</f>
        <v>6.9573221044964662</v>
      </c>
      <c r="R36" s="1">
        <f>[1]Results!U1397</f>
        <v>7.5340955031574453</v>
      </c>
      <c r="S36" s="1">
        <f>[1]Results!V1397</f>
        <v>8.1820888850269178</v>
      </c>
      <c r="T36" s="1">
        <f>[1]Results!W1397</f>
        <v>9.0910866681699787</v>
      </c>
      <c r="U36" s="1">
        <f>[1]Results!X1397</f>
        <v>10.107055588675129</v>
      </c>
      <c r="V36" s="1">
        <f>[1]Results!Y1397</f>
        <v>11.136681514924195</v>
      </c>
      <c r="W36" s="1">
        <f>[1]Results!Z1397</f>
        <v>12.133501022891746</v>
      </c>
      <c r="X36" s="1">
        <f>[1]Results!AA1397</f>
        <v>13.062265364190262</v>
      </c>
      <c r="Y36" s="1">
        <f>[1]Results!AB1397</f>
        <v>13.904572642807999</v>
      </c>
      <c r="Z36" s="1">
        <f>[1]Results!AC1397</f>
        <v>14.633011414808772</v>
      </c>
      <c r="AA36" s="1">
        <f>[1]Results!AD1397</f>
        <v>15.227196868599989</v>
      </c>
      <c r="AB36" s="1">
        <f>[1]Results!AE1397</f>
        <v>15.672956535878058</v>
      </c>
      <c r="AC36" s="1">
        <f>[1]Results!AF1397</f>
        <v>16.079401821152729</v>
      </c>
      <c r="AD36" s="1">
        <f>[1]Results!AG1397</f>
        <v>16.480891995783999</v>
      </c>
      <c r="AE36" s="1">
        <f>[1]Results!AH1397</f>
        <v>16.799542089080944</v>
      </c>
      <c r="AF36" s="1">
        <f>[1]Results!AI1397</f>
        <v>17.011489255458923</v>
      </c>
      <c r="AG36" s="1">
        <f>[1]Results!AJ1397</f>
        <v>17.104655396411239</v>
      </c>
      <c r="AH36" s="1">
        <f>[1]Results!AK1397</f>
        <v>17.09786537700375</v>
      </c>
      <c r="AI36" s="1">
        <f>[1]Results!AL1397</f>
        <v>16.996960308227727</v>
      </c>
      <c r="AJ36" s="1">
        <f>[1]Results!AM1397</f>
        <v>16.779349279638001</v>
      </c>
      <c r="AK36" s="1">
        <f>[1]Results!AN1397</f>
        <v>16.437730765259406</v>
      </c>
      <c r="AL36" s="1">
        <f>[1]Results!AO1397</f>
        <v>15.964181136756729</v>
      </c>
    </row>
    <row r="37" spans="1:38" x14ac:dyDescent="0.35">
      <c r="A37" s="3" t="str">
        <f>[1]Results!E1398</f>
        <v>100*(W_2/W_0-1)</v>
      </c>
      <c r="B37" t="str">
        <f>[1]Results!C1398</f>
        <v>Salaire net nominal (hors cotisations employeurs et employés, unitaire)</v>
      </c>
      <c r="C37" s="1">
        <f>[1]Results!F1398</f>
        <v>0</v>
      </c>
      <c r="D37" s="1">
        <f>[1]Results!G1398</f>
        <v>0</v>
      </c>
      <c r="E37" s="1">
        <f>[1]Results!H1398</f>
        <v>0</v>
      </c>
      <c r="F37" s="1">
        <f>[1]Results!I1398</f>
        <v>0</v>
      </c>
      <c r="G37" s="1">
        <f>[1]Results!J1398</f>
        <v>0</v>
      </c>
      <c r="H37" s="1">
        <f>[1]Results!K1398</f>
        <v>0</v>
      </c>
      <c r="I37" s="1">
        <f>[1]Results!L1398</f>
        <v>-5.0682962985271196E-3</v>
      </c>
      <c r="J37" s="1">
        <f>[1]Results!M1398</f>
        <v>9.7812280986930844E-3</v>
      </c>
      <c r="K37" s="1">
        <f>[1]Results!N1398</f>
        <v>0.20774709198554397</v>
      </c>
      <c r="L37" s="1">
        <f>[1]Results!O1398</f>
        <v>0.6982351311501267</v>
      </c>
      <c r="M37" s="1">
        <f>[1]Results!P1398</f>
        <v>1.5816967149304917</v>
      </c>
      <c r="N37" s="1">
        <f>[1]Results!Q1398</f>
        <v>2.9331749302456744</v>
      </c>
      <c r="O37" s="1">
        <f>[1]Results!R1398</f>
        <v>4.5025642021895296</v>
      </c>
      <c r="P37" s="1">
        <f>[1]Results!S1398</f>
        <v>6.1492688139252349</v>
      </c>
      <c r="Q37" s="1">
        <f>[1]Results!T1398</f>
        <v>7.8028365694234214</v>
      </c>
      <c r="R37" s="1">
        <f>[1]Results!U1398</f>
        <v>9.4287150403664413</v>
      </c>
      <c r="S37" s="1">
        <f>[1]Results!V1398</f>
        <v>11.015439006621408</v>
      </c>
      <c r="T37" s="1">
        <f>[1]Results!W1398</f>
        <v>12.589094945772871</v>
      </c>
      <c r="U37" s="1">
        <f>[1]Results!X1398</f>
        <v>14.188370200841982</v>
      </c>
      <c r="V37" s="1">
        <f>[1]Results!Y1398</f>
        <v>15.83997433824511</v>
      </c>
      <c r="W37" s="1">
        <f>[1]Results!Z1398</f>
        <v>17.553340662641158</v>
      </c>
      <c r="X37" s="1">
        <f>[1]Results!AA1398</f>
        <v>19.320100575154918</v>
      </c>
      <c r="Y37" s="1">
        <f>[1]Results!AB1398</f>
        <v>21.097979109016872</v>
      </c>
      <c r="Z37" s="1">
        <f>[1]Results!AC1398</f>
        <v>22.855382405056357</v>
      </c>
      <c r="AA37" s="1">
        <f>[1]Results!AD1398</f>
        <v>24.56628681073143</v>
      </c>
      <c r="AB37" s="1">
        <f>[1]Results!AE1398</f>
        <v>26.207593123265106</v>
      </c>
      <c r="AC37" s="1">
        <f>[1]Results!AF1398</f>
        <v>27.797728819842902</v>
      </c>
      <c r="AD37" s="1">
        <f>[1]Results!AG1398</f>
        <v>29.335583195887093</v>
      </c>
      <c r="AE37" s="1">
        <f>[1]Results!AH1398</f>
        <v>30.832608411579887</v>
      </c>
      <c r="AF37" s="1">
        <f>[1]Results!AI1398</f>
        <v>32.295277188137028</v>
      </c>
      <c r="AG37" s="1">
        <f>[1]Results!AJ1398</f>
        <v>33.722511832437533</v>
      </c>
      <c r="AH37" s="1">
        <f>[1]Results!AK1398</f>
        <v>35.069246277941282</v>
      </c>
      <c r="AI37" s="1">
        <f>[1]Results!AL1398</f>
        <v>36.289993510645481</v>
      </c>
      <c r="AJ37" s="1">
        <f>[1]Results!AM1398</f>
        <v>37.34996183599948</v>
      </c>
      <c r="AK37" s="1">
        <f>[1]Results!AN1398</f>
        <v>38.223517560882783</v>
      </c>
      <c r="AL37" s="1">
        <f>[1]Results!AO1398</f>
        <v>38.893786043183745</v>
      </c>
    </row>
    <row r="38" spans="1:38" x14ac:dyDescent="0.35">
      <c r="A38" s="3" t="str">
        <f>[1]Results!E1399</f>
        <v>100*((W_2/PCH_2)/(W_0/PCH_0)-1)</v>
      </c>
      <c r="B38" t="str">
        <f>[1]Results!C1399</f>
        <v>Salaire net réel (hors cotisations employeurs et employés, unitaire)</v>
      </c>
      <c r="C38" s="1">
        <f>[1]Results!F1399</f>
        <v>0</v>
      </c>
      <c r="D38" s="1">
        <f>[1]Results!G1399</f>
        <v>0</v>
      </c>
      <c r="E38" s="1">
        <f>[1]Results!H1399</f>
        <v>0</v>
      </c>
      <c r="F38" s="1">
        <f>[1]Results!I1399</f>
        <v>0</v>
      </c>
      <c r="G38" s="1">
        <f>[1]Results!J1399</f>
        <v>0</v>
      </c>
      <c r="H38" s="1">
        <f>[1]Results!K1399</f>
        <v>0</v>
      </c>
      <c r="I38" s="1">
        <f>[1]Results!L1399</f>
        <v>-5.0721442889567481E-2</v>
      </c>
      <c r="J38" s="1">
        <f>[1]Results!M1399</f>
        <v>-0.61289350191618963</v>
      </c>
      <c r="K38" s="1">
        <f>[1]Results!N1399</f>
        <v>-1.3497675094638395</v>
      </c>
      <c r="L38" s="1">
        <f>[1]Results!O1399</f>
        <v>-2.2319488249868735</v>
      </c>
      <c r="M38" s="1">
        <f>[1]Results!P1399</f>
        <v>-3.2595987906582913</v>
      </c>
      <c r="N38" s="1">
        <f>[1]Results!Q1399</f>
        <v>-3.3425279307938038</v>
      </c>
      <c r="O38" s="1">
        <f>[1]Results!R1399</f>
        <v>-3.1480904295645984</v>
      </c>
      <c r="P38" s="1">
        <f>[1]Results!S1399</f>
        <v>-2.8620398250097878</v>
      </c>
      <c r="Q38" s="1">
        <f>[1]Results!T1399</f>
        <v>-2.5636698315615214</v>
      </c>
      <c r="R38" s="1">
        <f>[1]Results!U1399</f>
        <v>-2.2789300697645953</v>
      </c>
      <c r="S38" s="1">
        <f>[1]Results!V1399</f>
        <v>-2.1164341148344534</v>
      </c>
      <c r="T38" s="1">
        <f>[1]Results!W1399</f>
        <v>-2.0798952577758656</v>
      </c>
      <c r="U38" s="1">
        <f>[1]Results!X1399</f>
        <v>-2.113186667933975</v>
      </c>
      <c r="V38" s="1">
        <f>[1]Results!Y1399</f>
        <v>-2.1645744310741732</v>
      </c>
      <c r="W38" s="1">
        <f>[1]Results!Z1399</f>
        <v>-2.2023340502902999</v>
      </c>
      <c r="X38" s="1">
        <f>[1]Results!AA1399</f>
        <v>-2.1376049268614805</v>
      </c>
      <c r="Y38" s="1">
        <f>[1]Results!AB1399</f>
        <v>-2.0306610446105378</v>
      </c>
      <c r="Z38" s="1">
        <f>[1]Results!AC1399</f>
        <v>-1.8953897389334506</v>
      </c>
      <c r="AA38" s="1">
        <f>[1]Results!AD1399</f>
        <v>-1.7388217880740187</v>
      </c>
      <c r="AB38" s="1">
        <f>[1]Results!AE1399</f>
        <v>-1.5634516136296517</v>
      </c>
      <c r="AC38" s="1">
        <f>[1]Results!AF1399</f>
        <v>-1.3640083499249722</v>
      </c>
      <c r="AD38" s="1">
        <f>[1]Results!AG1399</f>
        <v>-1.1881127407153191</v>
      </c>
      <c r="AE38" s="1">
        <f>[1]Results!AH1399</f>
        <v>-1.0182930902872367</v>
      </c>
      <c r="AF38" s="1">
        <f>[1]Results!AI1399</f>
        <v>-0.84037631074475039</v>
      </c>
      <c r="AG38" s="1">
        <f>[1]Results!AJ1399</f>
        <v>-0.64518283020794653</v>
      </c>
      <c r="AH38" s="1">
        <f>[1]Results!AK1399</f>
        <v>-0.39633729005386087</v>
      </c>
      <c r="AI38" s="1">
        <f>[1]Results!AL1399</f>
        <v>-0.12334862292930904</v>
      </c>
      <c r="AJ38" s="1">
        <f>[1]Results!AM1399</f>
        <v>0.16077782528245432</v>
      </c>
      <c r="AK38" s="1">
        <f>[1]Results!AN1399</f>
        <v>0.44389437228000705</v>
      </c>
      <c r="AL38" s="1">
        <f>[1]Results!AO1399</f>
        <v>0.71880620009274754</v>
      </c>
    </row>
    <row r="39" spans="1:38" x14ac:dyDescent="0.35">
      <c r="A39" s="3" t="str">
        <f>[1]Results!E1400</f>
        <v>100*(C_L_2/C_L_0-1)</v>
      </c>
      <c r="B39" t="str">
        <f>[1]Results!C1400</f>
        <v>Coût du travail nominal (yc. Cotisations employeurs et employés, unitaire)</v>
      </c>
      <c r="C39" s="1">
        <f>[1]Results!F1400</f>
        <v>0</v>
      </c>
      <c r="D39" s="1">
        <f>[1]Results!G1400</f>
        <v>0</v>
      </c>
      <c r="E39" s="1">
        <f>[1]Results!H1400</f>
        <v>0</v>
      </c>
      <c r="F39" s="1">
        <f>[1]Results!I1400</f>
        <v>0</v>
      </c>
      <c r="G39" s="1">
        <f>[1]Results!J1400</f>
        <v>0</v>
      </c>
      <c r="H39" s="1">
        <f>[1]Results!K1400</f>
        <v>0</v>
      </c>
      <c r="I39" s="1">
        <f>[1]Results!L1400</f>
        <v>-5.0682834242476993E-3</v>
      </c>
      <c r="J39" s="1">
        <f>[1]Results!M1400</f>
        <v>9.7812166108157683E-3</v>
      </c>
      <c r="K39" s="1">
        <f>[1]Results!N1400</f>
        <v>0.20774710829136733</v>
      </c>
      <c r="L39" s="1">
        <f>[1]Results!O1400</f>
        <v>0.69823513297231354</v>
      </c>
      <c r="M39" s="1">
        <f>[1]Results!P1400</f>
        <v>1.581696710096403</v>
      </c>
      <c r="N39" s="1">
        <f>[1]Results!Q1400</f>
        <v>2.9331749274961627</v>
      </c>
      <c r="O39" s="1">
        <f>[1]Results!R1400</f>
        <v>4.502564209595028</v>
      </c>
      <c r="P39" s="1">
        <f>[1]Results!S1400</f>
        <v>6.149268805506547</v>
      </c>
      <c r="Q39" s="1">
        <f>[1]Results!T1400</f>
        <v>7.8028365798572974</v>
      </c>
      <c r="R39" s="1">
        <f>[1]Results!U1400</f>
        <v>9.428715049352455</v>
      </c>
      <c r="S39" s="1">
        <f>[1]Results!V1400</f>
        <v>11.015439001015315</v>
      </c>
      <c r="T39" s="1">
        <f>[1]Results!W1400</f>
        <v>12.589094994298279</v>
      </c>
      <c r="U39" s="1">
        <f>[1]Results!X1400</f>
        <v>14.188370157694873</v>
      </c>
      <c r="V39" s="1">
        <f>[1]Results!Y1400</f>
        <v>15.83997439687832</v>
      </c>
      <c r="W39" s="1">
        <f>[1]Results!Z1400</f>
        <v>17.553340614827849</v>
      </c>
      <c r="X39" s="1">
        <f>[1]Results!AA1400</f>
        <v>19.320100584298959</v>
      </c>
      <c r="Y39" s="1">
        <f>[1]Results!AB1400</f>
        <v>21.097979048577685</v>
      </c>
      <c r="Z39" s="1">
        <f>[1]Results!AC1400</f>
        <v>22.855382359880892</v>
      </c>
      <c r="AA39" s="1">
        <f>[1]Results!AD1400</f>
        <v>24.566286828745021</v>
      </c>
      <c r="AB39" s="1">
        <f>[1]Results!AE1400</f>
        <v>26.207593111069659</v>
      </c>
      <c r="AC39" s="1">
        <f>[1]Results!AF1400</f>
        <v>27.79772887588836</v>
      </c>
      <c r="AD39" s="1">
        <f>[1]Results!AG1400</f>
        <v>29.335583335342321</v>
      </c>
      <c r="AE39" s="1">
        <f>[1]Results!AH1400</f>
        <v>30.832608486127235</v>
      </c>
      <c r="AF39" s="1">
        <f>[1]Results!AI1400</f>
        <v>32.295277116814304</v>
      </c>
      <c r="AG39" s="1">
        <f>[1]Results!AJ1400</f>
        <v>33.722511832002191</v>
      </c>
      <c r="AH39" s="1">
        <f>[1]Results!AK1400</f>
        <v>35.069246274123977</v>
      </c>
      <c r="AI39" s="1">
        <f>[1]Results!AL1400</f>
        <v>36.289993484971504</v>
      </c>
      <c r="AJ39" s="1">
        <f>[1]Results!AM1400</f>
        <v>37.349961885580441</v>
      </c>
      <c r="AK39" s="1">
        <f>[1]Results!AN1400</f>
        <v>38.223517510690577</v>
      </c>
      <c r="AL39" s="1">
        <f>[1]Results!AO1400</f>
        <v>38.893786040439423</v>
      </c>
    </row>
    <row r="40" spans="1:38" x14ac:dyDescent="0.35">
      <c r="A40" s="3" t="str">
        <f>[1]Results!E1401</f>
        <v>100*((C_L_2/PVA_2)/(C_L_0/PVA_0)-1)</v>
      </c>
      <c r="B40" t="str">
        <f>[1]Results!C1401</f>
        <v>Coût réel du travail (yc. Cotisations employeurs et employés, unitaire)</v>
      </c>
      <c r="C40" s="1">
        <f>[1]Results!F1401</f>
        <v>0</v>
      </c>
      <c r="D40" s="1">
        <f>[1]Results!G1401</f>
        <v>0</v>
      </c>
      <c r="E40" s="1">
        <f>[1]Results!H1401</f>
        <v>0</v>
      </c>
      <c r="F40" s="1">
        <f>[1]Results!I1401</f>
        <v>0</v>
      </c>
      <c r="G40" s="1">
        <f>[1]Results!J1401</f>
        <v>0</v>
      </c>
      <c r="H40" s="1">
        <f>[1]Results!K1401</f>
        <v>0</v>
      </c>
      <c r="I40" s="1">
        <f>[1]Results!L1401</f>
        <v>-6.0975954167541424E-3</v>
      </c>
      <c r="J40" s="1">
        <f>[1]Results!M1401</f>
        <v>-0.15385646092742622</v>
      </c>
      <c r="K40" s="1">
        <f>[1]Results!N1401</f>
        <v>-0.48732739914114642</v>
      </c>
      <c r="L40" s="1">
        <f>[1]Results!O1401</f>
        <v>-0.91784117360536044</v>
      </c>
      <c r="M40" s="1">
        <f>[1]Results!P1401</f>
        <v>-1.4191987223725833</v>
      </c>
      <c r="N40" s="1">
        <f>[1]Results!Q1401</f>
        <v>-1.7715723913640735</v>
      </c>
      <c r="O40" s="1">
        <f>[1]Results!R1401</f>
        <v>-1.8008835531454492</v>
      </c>
      <c r="P40" s="1">
        <f>[1]Results!S1401</f>
        <v>-1.7100364863727013</v>
      </c>
      <c r="Q40" s="1">
        <f>[1]Results!T1401</f>
        <v>-1.6056047946183538</v>
      </c>
      <c r="R40" s="1">
        <f>[1]Results!U1401</f>
        <v>-1.5252519252913155</v>
      </c>
      <c r="S40" s="1">
        <f>[1]Results!V1401</f>
        <v>-1.4918263791829145</v>
      </c>
      <c r="T40" s="1">
        <f>[1]Results!W1401</f>
        <v>-1.5145755733950161</v>
      </c>
      <c r="U40" s="1">
        <f>[1]Results!X1401</f>
        <v>-1.5820976397861286</v>
      </c>
      <c r="V40" s="1">
        <f>[1]Results!Y1401</f>
        <v>-1.6664775986261482</v>
      </c>
      <c r="W40" s="1">
        <f>[1]Results!Z1401</f>
        <v>-1.7430714706491046</v>
      </c>
      <c r="X40" s="1">
        <f>[1]Results!AA1401</f>
        <v>-1.7892524394256037</v>
      </c>
      <c r="Y40" s="1">
        <f>[1]Results!AB1401</f>
        <v>-1.7871438043063903</v>
      </c>
      <c r="Z40" s="1">
        <f>[1]Results!AC1401</f>
        <v>-1.756807677277461</v>
      </c>
      <c r="AA40" s="1">
        <f>[1]Results!AD1401</f>
        <v>-1.708596841356913</v>
      </c>
      <c r="AB40" s="1">
        <f>[1]Results!AE1401</f>
        <v>-1.6452496985578713</v>
      </c>
      <c r="AC40" s="1">
        <f>[1]Results!AF1401</f>
        <v>-1.5957009359473528</v>
      </c>
      <c r="AD40" s="1">
        <f>[1]Results!AG1401</f>
        <v>-1.5667405020117542</v>
      </c>
      <c r="AE40" s="1">
        <f>[1]Results!AH1401</f>
        <v>-1.5591137951092127</v>
      </c>
      <c r="AF40" s="1">
        <f>[1]Results!AI1401</f>
        <v>-1.5603519294572155</v>
      </c>
      <c r="AG40" s="1">
        <f>[1]Results!AJ1401</f>
        <v>-1.5594332957299284</v>
      </c>
      <c r="AH40" s="1">
        <f>[1]Results!AK1401</f>
        <v>-1.5222114566837641</v>
      </c>
      <c r="AI40" s="1">
        <f>[1]Results!AL1401</f>
        <v>-1.4344688074794165</v>
      </c>
      <c r="AJ40" s="1">
        <f>[1]Results!AM1401</f>
        <v>-1.3133209262916057</v>
      </c>
      <c r="AK40" s="1">
        <f>[1]Results!AN1401</f>
        <v>-1.1732271645088277</v>
      </c>
      <c r="AL40" s="1">
        <f>[1]Results!AO1401</f>
        <v>-1.0243471578500585</v>
      </c>
    </row>
    <row r="41" spans="1:38" x14ac:dyDescent="0.35">
      <c r="A41" s="3" t="str">
        <f>[1]Results!E1402</f>
        <v>((F_L_2/F_L_0)-1)*100</v>
      </c>
      <c r="B41" t="str">
        <f>[1]Results!C1402</f>
        <v>Emploi en %</v>
      </c>
      <c r="C41" s="1">
        <f>[1]Results!F1402</f>
        <v>0</v>
      </c>
      <c r="D41" s="1">
        <f>[1]Results!G1402</f>
        <v>0</v>
      </c>
      <c r="E41" s="1">
        <f>[1]Results!H1402</f>
        <v>0</v>
      </c>
      <c r="F41" s="1">
        <f>[1]Results!I1402</f>
        <v>0</v>
      </c>
      <c r="G41" s="1">
        <f>[1]Results!J1402</f>
        <v>0</v>
      </c>
      <c r="H41" s="1">
        <f>[1]Results!K1402</f>
        <v>0</v>
      </c>
      <c r="I41" s="1">
        <f>[1]Results!L1402</f>
        <v>-2.6003291597798128E-2</v>
      </c>
      <c r="J41" s="1">
        <f>[1]Results!M1402</f>
        <v>8.1381772940591901E-3</v>
      </c>
      <c r="K41" s="1">
        <f>[1]Results!N1402</f>
        <v>0.14372935120385844</v>
      </c>
      <c r="L41" s="1">
        <f>[1]Results!O1402</f>
        <v>0.41104270487979377</v>
      </c>
      <c r="M41" s="1">
        <f>[1]Results!P1402</f>
        <v>0.83763130396794505</v>
      </c>
      <c r="N41" s="1">
        <f>[1]Results!Q1402</f>
        <v>1.2004750230693695</v>
      </c>
      <c r="O41" s="1">
        <f>[1]Results!R1402</f>
        <v>1.456531626662283</v>
      </c>
      <c r="P41" s="1">
        <f>[1]Results!S1402</f>
        <v>1.6153529834047831</v>
      </c>
      <c r="Q41" s="1">
        <f>[1]Results!T1402</f>
        <v>1.6937050700579048</v>
      </c>
      <c r="R41" s="1">
        <f>[1]Results!U1402</f>
        <v>1.7059524998948694</v>
      </c>
      <c r="S41" s="1">
        <f>[1]Results!V1402</f>
        <v>1.7025370142792928</v>
      </c>
      <c r="T41" s="1">
        <f>[1]Results!W1402</f>
        <v>1.6919722570902351</v>
      </c>
      <c r="U41" s="1">
        <f>[1]Results!X1402</f>
        <v>1.673654168848393</v>
      </c>
      <c r="V41" s="1">
        <f>[1]Results!Y1402</f>
        <v>1.6445927702137153</v>
      </c>
      <c r="W41" s="1">
        <f>[1]Results!Z1402</f>
        <v>1.6020146435967719</v>
      </c>
      <c r="X41" s="1">
        <f>[1]Results!AA1402</f>
        <v>1.5247517531522758</v>
      </c>
      <c r="Y41" s="1">
        <f>[1]Results!AB1402</f>
        <v>1.4130167502292901</v>
      </c>
      <c r="Z41" s="1">
        <f>[1]Results!AC1402</f>
        <v>1.2720288101435662</v>
      </c>
      <c r="AA41" s="1">
        <f>[1]Results!AD1402</f>
        <v>1.1068238346316317</v>
      </c>
      <c r="AB41" s="1">
        <f>[1]Results!AE1402</f>
        <v>0.92111159579730817</v>
      </c>
      <c r="AC41" s="1">
        <f>[1]Results!AF1402</f>
        <v>0.86749676041617541</v>
      </c>
      <c r="AD41" s="1">
        <f>[1]Results!AG1402</f>
        <v>0.92116576162581953</v>
      </c>
      <c r="AE41" s="1">
        <f>[1]Results!AH1402</f>
        <v>1.0555416885561941</v>
      </c>
      <c r="AF41" s="1">
        <f>[1]Results!AI1402</f>
        <v>1.2486026660799343</v>
      </c>
      <c r="AG41" s="1">
        <f>[1]Results!AJ1402</f>
        <v>1.4825304138313955</v>
      </c>
      <c r="AH41" s="1">
        <f>[1]Results!AK1402</f>
        <v>1.6058514908880106</v>
      </c>
      <c r="AI41" s="1">
        <f>[1]Results!AL1402</f>
        <v>1.6327704886430094</v>
      </c>
      <c r="AJ41" s="1">
        <f>[1]Results!AM1402</f>
        <v>1.5864394514004454</v>
      </c>
      <c r="AK41" s="1">
        <f>[1]Results!AN1402</f>
        <v>1.4882617182218505</v>
      </c>
      <c r="AL41" s="1">
        <f>[1]Results!AO1402</f>
        <v>1.3561323450773877</v>
      </c>
    </row>
    <row r="42" spans="1:38" x14ac:dyDescent="0.35">
      <c r="A42" s="3" t="str">
        <f>[1]Results!E1403</f>
        <v>F_L_2-F_L_0</v>
      </c>
      <c r="B42" t="str">
        <f>[1]Results!C1403</f>
        <v>Emploi en millier</v>
      </c>
      <c r="C42" s="1">
        <f>[1]Results!F1403</f>
        <v>0</v>
      </c>
      <c r="D42" s="1">
        <f>[1]Results!G1403</f>
        <v>0</v>
      </c>
      <c r="E42" s="1">
        <f>[1]Results!H1403</f>
        <v>0</v>
      </c>
      <c r="F42" s="1">
        <f>[1]Results!I1403</f>
        <v>0</v>
      </c>
      <c r="G42" s="1">
        <f>[1]Results!J1403</f>
        <v>0</v>
      </c>
      <c r="H42" s="1">
        <f>[1]Results!K1403</f>
        <v>0</v>
      </c>
      <c r="I42" s="1">
        <f>[1]Results!L1403</f>
        <v>-7.3394000000007509</v>
      </c>
      <c r="J42" s="1">
        <f>[1]Results!M1403</f>
        <v>2.314860000002227</v>
      </c>
      <c r="K42" s="1">
        <f>[1]Results!N1403</f>
        <v>41.217560000000958</v>
      </c>
      <c r="L42" s="1">
        <f>[1]Results!O1403</f>
        <v>118.8751400000001</v>
      </c>
      <c r="M42" s="1">
        <f>[1]Results!P1403</f>
        <v>244.3918900000026</v>
      </c>
      <c r="N42" s="1">
        <f>[1]Results!Q1403</f>
        <v>353.43028000000049</v>
      </c>
      <c r="O42" s="1">
        <f>[1]Results!R1403</f>
        <v>432.74950000000172</v>
      </c>
      <c r="P42" s="1">
        <f>[1]Results!S1403</f>
        <v>484.35243999999875</v>
      </c>
      <c r="Q42" s="1">
        <f>[1]Results!T1403</f>
        <v>512.48545000000013</v>
      </c>
      <c r="R42" s="1">
        <f>[1]Results!U1403</f>
        <v>520.83000999999786</v>
      </c>
      <c r="S42" s="1">
        <f>[1]Results!V1403</f>
        <v>524.06630999999834</v>
      </c>
      <c r="T42" s="1">
        <f>[1]Results!W1403</f>
        <v>524.73592999999892</v>
      </c>
      <c r="U42" s="1">
        <f>[1]Results!X1403</f>
        <v>522.64389000000301</v>
      </c>
      <c r="V42" s="1">
        <f>[1]Results!Y1403</f>
        <v>516.85097999999925</v>
      </c>
      <c r="W42" s="1">
        <f>[1]Results!Z1403</f>
        <v>506.43680999999924</v>
      </c>
      <c r="X42" s="1">
        <f>[1]Results!AA1403</f>
        <v>484.45595999999932</v>
      </c>
      <c r="Y42" s="1">
        <f>[1]Results!AB1403</f>
        <v>450.94584000000032</v>
      </c>
      <c r="Z42" s="1">
        <f>[1]Results!AC1403</f>
        <v>407.56589000000167</v>
      </c>
      <c r="AA42" s="1">
        <f>[1]Results!AD1403</f>
        <v>355.93260000000009</v>
      </c>
      <c r="AB42" s="1">
        <f>[1]Results!AE1403</f>
        <v>297.1877800000002</v>
      </c>
      <c r="AC42" s="1">
        <f>[1]Results!AF1403</f>
        <v>280.19119000000137</v>
      </c>
      <c r="AD42" s="1">
        <f>[1]Results!AG1403</f>
        <v>297.33315000000221</v>
      </c>
      <c r="AE42" s="1">
        <f>[1]Results!AH1403</f>
        <v>340.07290999999896</v>
      </c>
      <c r="AF42" s="1">
        <f>[1]Results!AI1403</f>
        <v>401.20406000000003</v>
      </c>
      <c r="AG42" s="1">
        <f>[1]Results!AJ1403</f>
        <v>474.87816000000021</v>
      </c>
      <c r="AH42" s="1">
        <f>[1]Results!AK1403</f>
        <v>513.24097999999867</v>
      </c>
      <c r="AI42" s="1">
        <f>[1]Results!AL1403</f>
        <v>521.14152999999715</v>
      </c>
      <c r="AJ42" s="1">
        <f>[1]Results!AM1403</f>
        <v>506.03577000000223</v>
      </c>
      <c r="AK42" s="1">
        <f>[1]Results!AN1403</f>
        <v>474.68588999999702</v>
      </c>
      <c r="AL42" s="1">
        <f>[1]Results!AO1403</f>
        <v>432.68583999999828</v>
      </c>
    </row>
    <row r="43" spans="1:38" x14ac:dyDescent="0.35">
      <c r="A43" s="3" t="str">
        <f>[1]Results!E1404</f>
        <v>100*(UnR_2-UnR_0)</v>
      </c>
      <c r="B43" t="str">
        <f>[1]Results!C1404</f>
        <v>Taux de chômage (en point)</v>
      </c>
      <c r="C43" s="1">
        <f>[1]Results!F1404</f>
        <v>0</v>
      </c>
      <c r="D43" s="1">
        <f>[1]Results!G1404</f>
        <v>0</v>
      </c>
      <c r="E43" s="1">
        <f>[1]Results!H1404</f>
        <v>0</v>
      </c>
      <c r="F43" s="1">
        <f>[1]Results!I1404</f>
        <v>0</v>
      </c>
      <c r="G43" s="1">
        <f>[1]Results!J1404</f>
        <v>0</v>
      </c>
      <c r="H43" s="1">
        <f>[1]Results!K1404</f>
        <v>0</v>
      </c>
      <c r="I43" s="1">
        <f>[1]Results!L1404</f>
        <v>1.9072419999999202E-2</v>
      </c>
      <c r="J43" s="1">
        <f>[1]Results!M1404</f>
        <v>-7.4121799999993243E-3</v>
      </c>
      <c r="K43" s="1">
        <f>[1]Results!N1404</f>
        <v>-0.10622256000000219</v>
      </c>
      <c r="L43" s="1">
        <f>[1]Results!O1404</f>
        <v>-0.29634970000000094</v>
      </c>
      <c r="M43" s="1">
        <f>[1]Results!P1404</f>
        <v>-0.59489586999999933</v>
      </c>
      <c r="N43" s="1">
        <f>[1]Results!Q1404</f>
        <v>-0.83502436000000013</v>
      </c>
      <c r="O43" s="1">
        <f>[1]Results!R1404</f>
        <v>-0.99493247999999923</v>
      </c>
      <c r="P43" s="1">
        <f>[1]Results!S1404</f>
        <v>-1.0882732500000005</v>
      </c>
      <c r="Q43" s="1">
        <f>[1]Results!T1404</f>
        <v>-1.1294963400000011</v>
      </c>
      <c r="R43" s="1">
        <f>[1]Results!U1404</f>
        <v>-1.1289729999999998</v>
      </c>
      <c r="S43" s="1">
        <f>[1]Results!V1404</f>
        <v>-1.1231118499999999</v>
      </c>
      <c r="T43" s="1">
        <f>[1]Results!W1404</f>
        <v>-1.1152126500000012</v>
      </c>
      <c r="U43" s="1">
        <f>[1]Results!X1404</f>
        <v>-1.1030537800000004</v>
      </c>
      <c r="V43" s="1">
        <f>[1]Results!Y1404</f>
        <v>-1.0836763400000005</v>
      </c>
      <c r="W43" s="1">
        <f>[1]Results!Z1404</f>
        <v>-1.0556232499999998</v>
      </c>
      <c r="X43" s="1">
        <f>[1]Results!AA1404</f>
        <v>-1.0008376100000007</v>
      </c>
      <c r="Y43" s="1">
        <f>[1]Results!AB1404</f>
        <v>-0.92191759999999956</v>
      </c>
      <c r="Z43" s="1">
        <f>[1]Results!AC1404</f>
        <v>-0.82347717000000042</v>
      </c>
      <c r="AA43" s="1">
        <f>[1]Results!AD1404</f>
        <v>-0.70936555999999984</v>
      </c>
      <c r="AB43" s="1">
        <f>[1]Results!AE1404</f>
        <v>-0.58327887000000078</v>
      </c>
      <c r="AC43" s="1">
        <f>[1]Results!AF1404</f>
        <v>-0.55877413999999992</v>
      </c>
      <c r="AD43" s="1">
        <f>[1]Results!AG1404</f>
        <v>-0.60899724000000044</v>
      </c>
      <c r="AE43" s="1">
        <f>[1]Results!AH1404</f>
        <v>-0.71091892999999984</v>
      </c>
      <c r="AF43" s="1">
        <f>[1]Results!AI1404</f>
        <v>-0.84786347000000006</v>
      </c>
      <c r="AG43" s="1">
        <f>[1]Results!AJ1404</f>
        <v>-1.0074641199999999</v>
      </c>
      <c r="AH43" s="1">
        <f>[1]Results!AK1404</f>
        <v>-1.0781306300000002</v>
      </c>
      <c r="AI43" s="1">
        <f>[1]Results!AL1404</f>
        <v>-1.0808198999999989</v>
      </c>
      <c r="AJ43" s="1">
        <f>[1]Results!AM1404</f>
        <v>-1.0363642399999997</v>
      </c>
      <c r="AK43" s="1">
        <f>[1]Results!AN1404</f>
        <v>-0.96082074999999934</v>
      </c>
      <c r="AL43" s="1">
        <f>[1]Results!AO1404</f>
        <v>-0.86626654999999997</v>
      </c>
    </row>
    <row r="44" spans="1:38" x14ac:dyDescent="0.35">
      <c r="A44" s="3" t="str">
        <f>[1]Results!E1405</f>
        <v>100*(Bal_Trade_VAL_2/(GDP_2*PGDP_2)-Bal_Trade_VAL_0/(GDP_0*PGDP_0))</v>
      </c>
      <c r="B44" t="str">
        <f>[1]Results!C1405</f>
        <v>Balance commerciale</v>
      </c>
      <c r="C44" s="1">
        <f>[1]Results!F1405</f>
        <v>0</v>
      </c>
      <c r="D44" s="1">
        <f>[1]Results!G1405</f>
        <v>0</v>
      </c>
      <c r="E44" s="1">
        <f>[1]Results!H1405</f>
        <v>0</v>
      </c>
      <c r="F44" s="1">
        <f>[1]Results!I1405</f>
        <v>0</v>
      </c>
      <c r="G44" s="1">
        <f>[1]Results!J1405</f>
        <v>0</v>
      </c>
      <c r="H44" s="1">
        <f>[1]Results!K1405</f>
        <v>0</v>
      </c>
      <c r="I44" s="1">
        <f>[1]Results!L1405</f>
        <v>-5.9135723375477837E-2</v>
      </c>
      <c r="J44" s="1">
        <f>[1]Results!M1405</f>
        <v>-0.12215965333346579</v>
      </c>
      <c r="K44" s="1">
        <f>[1]Results!N1405</f>
        <v>-9.9106135943930612E-2</v>
      </c>
      <c r="L44" s="1">
        <f>[1]Results!O1405</f>
        <v>-1.9250930335660069E-2</v>
      </c>
      <c r="M44" s="1">
        <f>[1]Results!P1405</f>
        <v>0.1195429286461578</v>
      </c>
      <c r="N44" s="1">
        <f>[1]Results!Q1405</f>
        <v>0.17006487079285865</v>
      </c>
      <c r="O44" s="1">
        <f>[1]Results!R1405</f>
        <v>0.17105351781399292</v>
      </c>
      <c r="P44" s="1">
        <f>[1]Results!S1405</f>
        <v>0.14399617984472216</v>
      </c>
      <c r="Q44" s="1">
        <f>[1]Results!T1405</f>
        <v>0.11311617852619825</v>
      </c>
      <c r="R44" s="1">
        <f>[1]Results!U1405</f>
        <v>8.6997468236423015E-2</v>
      </c>
      <c r="S44" s="1">
        <f>[1]Results!V1405</f>
        <v>8.625726301526096E-2</v>
      </c>
      <c r="T44" s="1">
        <f>[1]Results!W1405</f>
        <v>6.7043025835646086E-2</v>
      </c>
      <c r="U44" s="1">
        <f>[1]Results!X1405</f>
        <v>5.9052082474502637E-2</v>
      </c>
      <c r="V44" s="1">
        <f>[1]Results!Y1405</f>
        <v>6.5690481273650292E-2</v>
      </c>
      <c r="W44" s="1">
        <f>[1]Results!Z1405</f>
        <v>8.0787893021618679E-2</v>
      </c>
      <c r="X44" s="1">
        <f>[1]Results!AA1405</f>
        <v>8.9002996200413659E-2</v>
      </c>
      <c r="Y44" s="1">
        <f>[1]Results!AB1405</f>
        <v>9.2735715651690726E-2</v>
      </c>
      <c r="Z44" s="1">
        <f>[1]Results!AC1405</f>
        <v>9.565663304238331E-2</v>
      </c>
      <c r="AA44" s="1">
        <f>[1]Results!AD1405</f>
        <v>9.9098016631096048E-2</v>
      </c>
      <c r="AB44" s="1">
        <f>[1]Results!AE1405</f>
        <v>0.10153566467501901</v>
      </c>
      <c r="AC44" s="1">
        <f>[1]Results!AF1405</f>
        <v>0.27888098576721171</v>
      </c>
      <c r="AD44" s="1">
        <f>[1]Results!AG1405</f>
        <v>0.42461747841037667</v>
      </c>
      <c r="AE44" s="1">
        <f>[1]Results!AH1405</f>
        <v>0.56096635606539613</v>
      </c>
      <c r="AF44" s="1">
        <f>[1]Results!AI1405</f>
        <v>0.69181531431679599</v>
      </c>
      <c r="AG44" s="1">
        <f>[1]Results!AJ1405</f>
        <v>0.81808338533510683</v>
      </c>
      <c r="AH44" s="1">
        <f>[1]Results!AK1405</f>
        <v>0.7788400533432861</v>
      </c>
      <c r="AI44" s="1">
        <f>[1]Results!AL1405</f>
        <v>0.74632760681422194</v>
      </c>
      <c r="AJ44" s="1">
        <f>[1]Results!AM1405</f>
        <v>0.71877514984248769</v>
      </c>
      <c r="AK44" s="1">
        <f>[1]Results!AN1405</f>
        <v>0.69565870070984892</v>
      </c>
      <c r="AL44" s="1">
        <f>[1]Results!AO1405</f>
        <v>0.67657410112863392</v>
      </c>
    </row>
    <row r="45" spans="1:38" x14ac:dyDescent="0.35">
      <c r="A45" s="3" t="str">
        <f>[1]Results!E1406</f>
        <v>100*(ENER_BILL_2/(GDP_2*PGDP_2)-ENER_BILL_0/(GDP_0*PGDP_0))</v>
      </c>
      <c r="B45" t="str">
        <f>[1]Results!C1406</f>
        <v>Facture énergétique</v>
      </c>
      <c r="C45" s="1">
        <f>[1]Results!F1406</f>
        <v>0</v>
      </c>
      <c r="D45" s="1">
        <f>[1]Results!G1406</f>
        <v>0</v>
      </c>
      <c r="E45" s="1">
        <f>[1]Results!H1406</f>
        <v>0</v>
      </c>
      <c r="F45" s="1">
        <f>[1]Results!I1406</f>
        <v>0</v>
      </c>
      <c r="G45" s="1">
        <f>[1]Results!J1406</f>
        <v>0</v>
      </c>
      <c r="H45" s="1">
        <f>[1]Results!K1406</f>
        <v>0</v>
      </c>
      <c r="I45" s="1">
        <f>[1]Results!L1406</f>
        <v>1.9627541761567391E-4</v>
      </c>
      <c r="J45" s="1">
        <f>[1]Results!M1406</f>
        <v>-4.9888366521656444E-2</v>
      </c>
      <c r="K45" s="1">
        <f>[1]Results!N1406</f>
        <v>-0.15008090704635382</v>
      </c>
      <c r="L45" s="1">
        <f>[1]Results!O1406</f>
        <v>-0.27805058490628398</v>
      </c>
      <c r="M45" s="1">
        <f>[1]Results!P1406</f>
        <v>-0.42281591339623947</v>
      </c>
      <c r="N45" s="1">
        <f>[1]Results!Q1406</f>
        <v>-0.54397367956466314</v>
      </c>
      <c r="O45" s="1">
        <f>[1]Results!R1406</f>
        <v>-0.63508198412393524</v>
      </c>
      <c r="P45" s="1">
        <f>[1]Results!S1406</f>
        <v>-0.70707341054861961</v>
      </c>
      <c r="Q45" s="1">
        <f>[1]Results!T1406</f>
        <v>-0.77015249763665461</v>
      </c>
      <c r="R45" s="1">
        <f>[1]Results!U1406</f>
        <v>-0.82872997572692142</v>
      </c>
      <c r="S45" s="1">
        <f>[1]Results!V1406</f>
        <v>-0.87904737533377153</v>
      </c>
      <c r="T45" s="1">
        <f>[1]Results!W1406</f>
        <v>-0.89785126526777326</v>
      </c>
      <c r="U45" s="1">
        <f>[1]Results!X1406</f>
        <v>-0.90450069575390202</v>
      </c>
      <c r="V45" s="1">
        <f>[1]Results!Y1406</f>
        <v>-0.91010057061259375</v>
      </c>
      <c r="W45" s="1">
        <f>[1]Results!Z1406</f>
        <v>-0.91672545354084012</v>
      </c>
      <c r="X45" s="1">
        <f>[1]Results!AA1406</f>
        <v>-0.92303526193416985</v>
      </c>
      <c r="Y45" s="1">
        <f>[1]Results!AB1406</f>
        <v>-0.92834118297760759</v>
      </c>
      <c r="Z45" s="1">
        <f>[1]Results!AC1406</f>
        <v>-0.93369913978895058</v>
      </c>
      <c r="AA45" s="1">
        <f>[1]Results!AD1406</f>
        <v>-0.9396365479069736</v>
      </c>
      <c r="AB45" s="1">
        <f>[1]Results!AE1406</f>
        <v>-0.94596601973521344</v>
      </c>
      <c r="AC45" s="1">
        <f>[1]Results!AF1406</f>
        <v>-0.95401770697242627</v>
      </c>
      <c r="AD45" s="1">
        <f>[1]Results!AG1406</f>
        <v>-0.9619946568262252</v>
      </c>
      <c r="AE45" s="1">
        <f>[1]Results!AH1406</f>
        <v>-0.9710322171848087</v>
      </c>
      <c r="AF45" s="1">
        <f>[1]Results!AI1406</f>
        <v>-0.98120152999321297</v>
      </c>
      <c r="AG45" s="1">
        <f>[1]Results!AJ1406</f>
        <v>-0.99231765913267489</v>
      </c>
      <c r="AH45" s="1">
        <f>[1]Results!AK1406</f>
        <v>-1.0020246514627735</v>
      </c>
      <c r="AI45" s="1">
        <f>[1]Results!AL1406</f>
        <v>-1.0115907504422195</v>
      </c>
      <c r="AJ45" s="1">
        <f>[1]Results!AM1406</f>
        <v>-1.0204706365604874</v>
      </c>
      <c r="AK45" s="1">
        <f>[1]Results!AN1406</f>
        <v>-1.0286737210028867</v>
      </c>
      <c r="AL45" s="1">
        <f>[1]Results!AO1406</f>
        <v>-1.0362409251593268</v>
      </c>
    </row>
    <row r="46" spans="1:38" x14ac:dyDescent="0.35">
      <c r="A46" s="3" t="str">
        <f>[1]Results!E1407</f>
        <v>100*((-Bal_G_prim_VAL_2)/(GDP_2*PGDP_2)-(-Bal_G_prim_VAL_0)/(GDP_0*PGDP_0))</v>
      </c>
      <c r="B46" t="str">
        <f>[1]Results!C1407</f>
        <v>Solde public primaire</v>
      </c>
      <c r="C46" s="1">
        <f>[1]Results!F1407</f>
        <v>0</v>
      </c>
      <c r="D46" s="1">
        <f>[1]Results!G1407</f>
        <v>0</v>
      </c>
      <c r="E46" s="1">
        <f>[1]Results!H1407</f>
        <v>0</v>
      </c>
      <c r="F46" s="1">
        <f>[1]Results!I1407</f>
        <v>0</v>
      </c>
      <c r="G46" s="1">
        <f>[1]Results!J1407</f>
        <v>0</v>
      </c>
      <c r="H46" s="1">
        <f>[1]Results!K1407</f>
        <v>0</v>
      </c>
      <c r="I46" s="1">
        <f>[1]Results!L1407</f>
        <v>2.643580475067105E-2</v>
      </c>
      <c r="J46" s="1">
        <f>[1]Results!M1407</f>
        <v>0.1186111972956508</v>
      </c>
      <c r="K46" s="1">
        <f>[1]Results!N1407</f>
        <v>0.19599467668490295</v>
      </c>
      <c r="L46" s="1">
        <f>[1]Results!O1407</f>
        <v>0.22899873775701246</v>
      </c>
      <c r="M46" s="1">
        <f>[1]Results!P1407</f>
        <v>0.20150365038106544</v>
      </c>
      <c r="N46" s="1">
        <f>[1]Results!Q1407</f>
        <v>4.7729236944112075E-2</v>
      </c>
      <c r="O46" s="1">
        <f>[1]Results!R1407</f>
        <v>-0.10269241856821001</v>
      </c>
      <c r="P46" s="1">
        <f>[1]Results!S1407</f>
        <v>-0.22060369989053835</v>
      </c>
      <c r="Q46" s="1">
        <f>[1]Results!T1407</f>
        <v>-0.30058921532128346</v>
      </c>
      <c r="R46" s="1">
        <f>[1]Results!U1407</f>
        <v>-0.3475819774625924</v>
      </c>
      <c r="S46" s="1">
        <f>[1]Results!V1407</f>
        <v>-0.37516615669203401</v>
      </c>
      <c r="T46" s="1">
        <f>[1]Results!W1407</f>
        <v>-0.40000600125146696</v>
      </c>
      <c r="U46" s="1">
        <f>[1]Results!X1407</f>
        <v>-0.42490942143066091</v>
      </c>
      <c r="V46" s="1">
        <f>[1]Results!Y1407</f>
        <v>-0.44998332482453079</v>
      </c>
      <c r="W46" s="1">
        <f>[1]Results!Z1407</f>
        <v>-0.47334857956707954</v>
      </c>
      <c r="X46" s="1">
        <f>[1]Results!AA1407</f>
        <v>-0.49997952668317108</v>
      </c>
      <c r="Y46" s="1">
        <f>[1]Results!AB1407</f>
        <v>-0.51425243976206825</v>
      </c>
      <c r="Z46" s="1">
        <f>[1]Results!AC1407</f>
        <v>-0.51395000312586814</v>
      </c>
      <c r="AA46" s="1">
        <f>[1]Results!AD1407</f>
        <v>-0.49935904814112642</v>
      </c>
      <c r="AB46" s="1">
        <f>[1]Results!AE1407</f>
        <v>-0.47004103803998387</v>
      </c>
      <c r="AC46" s="1">
        <f>[1]Results!AF1407</f>
        <v>-0.51518033950559561</v>
      </c>
      <c r="AD46" s="1">
        <f>[1]Results!AG1407</f>
        <v>-0.61026723922013859</v>
      </c>
      <c r="AE46" s="1">
        <f>[1]Results!AH1407</f>
        <v>-0.741606749351019</v>
      </c>
      <c r="AF46" s="1">
        <f>[1]Results!AI1407</f>
        <v>-0.89929089899156023</v>
      </c>
      <c r="AG46" s="1">
        <f>[1]Results!AJ1407</f>
        <v>-1.0745321381703601</v>
      </c>
      <c r="AH46" s="1">
        <f>[1]Results!AK1407</f>
        <v>-1.1905847883168743</v>
      </c>
      <c r="AI46" s="1">
        <f>[1]Results!AL1407</f>
        <v>-1.2499036178571483</v>
      </c>
      <c r="AJ46" s="1">
        <f>[1]Results!AM1407</f>
        <v>-1.2635573817046011</v>
      </c>
      <c r="AK46" s="1">
        <f>[1]Results!AN1407</f>
        <v>-1.2412332418344016</v>
      </c>
      <c r="AL46" s="1">
        <f>[1]Results!AO1407</f>
        <v>-1.1915603706291731</v>
      </c>
    </row>
    <row r="47" spans="1:38" x14ac:dyDescent="0.35">
      <c r="A47" s="3" t="str">
        <f>[1]Results!E1408</f>
        <v>100*((-Bal_G_tot_VAL_2)/(GDP_2*PGDP_2)-(-Bal_G_tot_VAL_0)/(GDP_0*PGDP_0))</v>
      </c>
      <c r="B47" t="str">
        <f>[1]Results!C1408</f>
        <v xml:space="preserve">Solde public </v>
      </c>
      <c r="C47" s="1">
        <f>[1]Results!F1408</f>
        <v>0</v>
      </c>
      <c r="D47" s="1">
        <f>[1]Results!G1408</f>
        <v>0</v>
      </c>
      <c r="E47" s="1">
        <f>[1]Results!H1408</f>
        <v>0</v>
      </c>
      <c r="F47" s="1">
        <f>[1]Results!I1408</f>
        <v>0</v>
      </c>
      <c r="G47" s="1">
        <f>[1]Results!J1408</f>
        <v>0</v>
      </c>
      <c r="H47" s="1">
        <f>[1]Results!K1408</f>
        <v>0</v>
      </c>
      <c r="I47" s="1">
        <f>[1]Results!L1408</f>
        <v>2.7182579027268915E-2</v>
      </c>
      <c r="J47" s="1">
        <f>[1]Results!M1408</f>
        <v>0.13305474167066583</v>
      </c>
      <c r="K47" s="1">
        <f>[1]Results!N1408</f>
        <v>0.4316269792882611</v>
      </c>
      <c r="L47" s="1">
        <f>[1]Results!O1408</f>
        <v>0.69698919459684339</v>
      </c>
      <c r="M47" s="1">
        <f>[1]Results!P1408</f>
        <v>0.91511949625680633</v>
      </c>
      <c r="N47" s="1">
        <f>[1]Results!Q1408</f>
        <v>1.052696018691136</v>
      </c>
      <c r="O47" s="1">
        <f>[1]Results!R1408</f>
        <v>0.8219106078695394</v>
      </c>
      <c r="P47" s="1">
        <f>[1]Results!S1408</f>
        <v>0.59680362046151925</v>
      </c>
      <c r="Q47" s="1">
        <f>[1]Results!T1408</f>
        <v>0.41267655651982121</v>
      </c>
      <c r="R47" s="1">
        <f>[1]Results!U1408</f>
        <v>0.26671366542711655</v>
      </c>
      <c r="S47" s="1">
        <f>[1]Results!V1408</f>
        <v>0.13996034146720251</v>
      </c>
      <c r="T47" s="1">
        <f>[1]Results!W1408</f>
        <v>3.896934123464868E-2</v>
      </c>
      <c r="U47" s="1">
        <f>[1]Results!X1408</f>
        <v>-5.1521377845415578E-2</v>
      </c>
      <c r="V47" s="1">
        <f>[1]Results!Y1408</f>
        <v>-0.14795621934487885</v>
      </c>
      <c r="W47" s="1">
        <f>[1]Results!Z1408</f>
        <v>-0.25480415276004709</v>
      </c>
      <c r="X47" s="1">
        <f>[1]Results!AA1408</f>
        <v>-0.37624291447051694</v>
      </c>
      <c r="Y47" s="1">
        <f>[1]Results!AB1408</f>
        <v>-0.49715173178564931</v>
      </c>
      <c r="Z47" s="1">
        <f>[1]Results!AC1408</f>
        <v>-0.60182303688740557</v>
      </c>
      <c r="AA47" s="1">
        <f>[1]Results!AD1408</f>
        <v>-0.68673382470282185</v>
      </c>
      <c r="AB47" s="1">
        <f>[1]Results!AE1408</f>
        <v>-0.74830348911204125</v>
      </c>
      <c r="AC47" s="1">
        <f>[1]Results!AF1408</f>
        <v>-0.87360889862632407</v>
      </c>
      <c r="AD47" s="1">
        <f>[1]Results!AG1408</f>
        <v>-1.0365267739522523</v>
      </c>
      <c r="AE47" s="1">
        <f>[1]Results!AH1408</f>
        <v>-1.2312987165522717</v>
      </c>
      <c r="AF47" s="1">
        <f>[1]Results!AI1408</f>
        <v>-1.4477153224753723</v>
      </c>
      <c r="AG47" s="1">
        <f>[1]Results!AJ1408</f>
        <v>-1.6755973588072806</v>
      </c>
      <c r="AH47" s="1">
        <f>[1]Results!AK1408</f>
        <v>-1.8390078987094882</v>
      </c>
      <c r="AI47" s="1">
        <f>[1]Results!AL1408</f>
        <v>-1.9196291071903084</v>
      </c>
      <c r="AJ47" s="1">
        <f>[1]Results!AM1408</f>
        <v>-1.9324360573936994</v>
      </c>
      <c r="AK47" s="1">
        <f>[1]Results!AN1408</f>
        <v>-1.8863642093211452</v>
      </c>
      <c r="AL47" s="1">
        <f>[1]Results!AO1408</f>
        <v>-1.7911714115862578</v>
      </c>
    </row>
    <row r="48" spans="1:38" x14ac:dyDescent="0.35">
      <c r="A48" s="3" t="str">
        <f>[1]Results!E1409</f>
        <v>(DEBT_G_VAL_2/(PGDP_2*GDP_2)-DEBT_G_VAL_0/(PGDP_0*GDP_0))*100</v>
      </c>
      <c r="B48" t="str">
        <f>[1]Results!C1409</f>
        <v>Dette publique</v>
      </c>
      <c r="C48" s="1">
        <f>[1]Results!F1409</f>
        <v>0</v>
      </c>
      <c r="D48" s="1">
        <f>[1]Results!G1409</f>
        <v>0</v>
      </c>
      <c r="E48" s="1">
        <f>[1]Results!H1409</f>
        <v>0</v>
      </c>
      <c r="F48" s="1">
        <f>[1]Results!I1409</f>
        <v>0</v>
      </c>
      <c r="G48" s="1">
        <f>[1]Results!J1409</f>
        <v>0</v>
      </c>
      <c r="H48" s="1">
        <f>[1]Results!K1409</f>
        <v>0</v>
      </c>
      <c r="I48" s="1">
        <f>[1]Results!L1409</f>
        <v>7.1768622966128515E-2</v>
      </c>
      <c r="J48" s="1">
        <f>[1]Results!M1409</f>
        <v>-0.15932335041345391</v>
      </c>
      <c r="K48" s="1">
        <f>[1]Results!N1409</f>
        <v>-0.47744067388462152</v>
      </c>
      <c r="L48" s="1">
        <f>[1]Results!O1409</f>
        <v>-0.94843947808107565</v>
      </c>
      <c r="M48" s="1">
        <f>[1]Results!P1409</f>
        <v>-1.6656513900769498</v>
      </c>
      <c r="N48" s="1">
        <f>[1]Results!Q1409</f>
        <v>-1.7530231261683848</v>
      </c>
      <c r="O48" s="1">
        <f>[1]Results!R1409</f>
        <v>-1.9205284193381744</v>
      </c>
      <c r="P48" s="1">
        <f>[1]Results!S1409</f>
        <v>-2.2029725154011914</v>
      </c>
      <c r="Q48" s="1">
        <f>[1]Results!T1409</f>
        <v>-2.5621454922977294</v>
      </c>
      <c r="R48" s="1">
        <f>[1]Results!U1409</f>
        <v>-2.9493827221909239</v>
      </c>
      <c r="S48" s="1">
        <f>[1]Results!V1409</f>
        <v>-3.4041165672580864</v>
      </c>
      <c r="T48" s="1">
        <f>[1]Results!W1409</f>
        <v>-3.860767397103043</v>
      </c>
      <c r="U48" s="1">
        <f>[1]Results!X1409</f>
        <v>-4.3077885131533762</v>
      </c>
      <c r="V48" s="1">
        <f>[1]Results!Y1409</f>
        <v>-4.7432158029783844</v>
      </c>
      <c r="W48" s="1">
        <f>[1]Results!Z1409</f>
        <v>-5.1700351107422886</v>
      </c>
      <c r="X48" s="1">
        <f>[1]Results!AA1409</f>
        <v>-5.5866229913695262</v>
      </c>
      <c r="Y48" s="1">
        <f>[1]Results!AB1409</f>
        <v>-6.0063140496510377</v>
      </c>
      <c r="Z48" s="1">
        <f>[1]Results!AC1409</f>
        <v>-6.4218023911615241</v>
      </c>
      <c r="AA48" s="1">
        <f>[1]Results!AD1409</f>
        <v>-6.8231616148914513</v>
      </c>
      <c r="AB48" s="1">
        <f>[1]Results!AE1409</f>
        <v>-7.200494584987899</v>
      </c>
      <c r="AC48" s="1">
        <f>[1]Results!AF1409</f>
        <v>-7.6074522276890573</v>
      </c>
      <c r="AD48" s="1">
        <f>[1]Results!AG1409</f>
        <v>-8.0819059938157309</v>
      </c>
      <c r="AE48" s="1">
        <f>[1]Results!AH1409</f>
        <v>-8.6502589781226771</v>
      </c>
      <c r="AF48" s="1">
        <f>[1]Results!AI1409</f>
        <v>-9.3342363417598779</v>
      </c>
      <c r="AG48" s="1">
        <f>[1]Results!AJ1409</f>
        <v>-10.149955059671479</v>
      </c>
      <c r="AH48" s="1">
        <f>[1]Results!AK1409</f>
        <v>-11.185798868663188</v>
      </c>
      <c r="AI48" s="1">
        <f>[1]Results!AL1409</f>
        <v>-12.309050195830107</v>
      </c>
      <c r="AJ48" s="1">
        <f>[1]Results!AM1409</f>
        <v>-13.473758580073337</v>
      </c>
      <c r="AK48" s="1">
        <f>[1]Results!AN1409</f>
        <v>-14.639031663841518</v>
      </c>
      <c r="AL48" s="1">
        <f>[1]Results!AO1409</f>
        <v>-15.772225759135406</v>
      </c>
    </row>
    <row r="49" spans="1:38" x14ac:dyDescent="0.35">
      <c r="A49" s="3" t="str">
        <f>[1]Results!E1410</f>
        <v>GDP_2</v>
      </c>
      <c r="B49" t="str">
        <f>[1]Results!C1410</f>
        <v>PIB</v>
      </c>
      <c r="C49" s="1">
        <f>[1]Results!F1410</f>
        <v>2197568.8810000001</v>
      </c>
      <c r="D49" s="1">
        <f>[1]Results!G1410</f>
        <v>2232104.9720000001</v>
      </c>
      <c r="E49" s="1">
        <f>[1]Results!H1410</f>
        <v>2264383.6719999998</v>
      </c>
      <c r="F49" s="1">
        <f>[1]Results!I1410</f>
        <v>2295342.4920000001</v>
      </c>
      <c r="G49" s="1">
        <f>[1]Results!J1410</f>
        <v>2331141.88</v>
      </c>
      <c r="H49" s="1">
        <f>[1]Results!K1410</f>
        <v>2378494.9130000002</v>
      </c>
      <c r="I49" s="1">
        <f>[1]Results!L1410</f>
        <v>2425160.4670000002</v>
      </c>
      <c r="J49" s="1">
        <f>[1]Results!M1410</f>
        <v>2473303.2799999998</v>
      </c>
      <c r="K49" s="1">
        <f>[1]Results!N1410</f>
        <v>2523290.4040000001</v>
      </c>
      <c r="L49" s="1">
        <f>[1]Results!O1410</f>
        <v>2576019.6290000002</v>
      </c>
      <c r="M49" s="1">
        <f>[1]Results!P1410</f>
        <v>2633018.804</v>
      </c>
      <c r="N49" s="1">
        <f>[1]Results!Q1410</f>
        <v>2688334.83</v>
      </c>
      <c r="O49" s="1">
        <f>[1]Results!R1410</f>
        <v>2745651.6290000002</v>
      </c>
      <c r="P49" s="1">
        <f>[1]Results!S1410</f>
        <v>2805104.966</v>
      </c>
      <c r="Q49" s="1">
        <f>[1]Results!T1410</f>
        <v>2866059.8110000002</v>
      </c>
      <c r="R49" s="1">
        <f>[1]Results!U1410</f>
        <v>2927914.5789999999</v>
      </c>
      <c r="S49" s="1">
        <f>[1]Results!V1410</f>
        <v>2988860.7220000001</v>
      </c>
      <c r="T49" s="1">
        <f>[1]Results!W1410</f>
        <v>3049522.1009999998</v>
      </c>
      <c r="U49" s="1">
        <f>[1]Results!X1410</f>
        <v>3109820.7940000002</v>
      </c>
      <c r="V49" s="1">
        <f>[1]Results!Y1410</f>
        <v>3169979.5430000001</v>
      </c>
      <c r="W49" s="1">
        <f>[1]Results!Z1410</f>
        <v>3229869.622</v>
      </c>
      <c r="X49" s="1">
        <f>[1]Results!AA1410</f>
        <v>3286955.2760000001</v>
      </c>
      <c r="Y49" s="1">
        <f>[1]Results!AB1410</f>
        <v>3343996.6460000002</v>
      </c>
      <c r="Z49" s="1">
        <f>[1]Results!AC1410</f>
        <v>3401247.7310000001</v>
      </c>
      <c r="AA49" s="1">
        <f>[1]Results!AD1410</f>
        <v>3458912.7149999999</v>
      </c>
      <c r="AB49" s="1">
        <f>[1]Results!AE1410</f>
        <v>3515938.4240000001</v>
      </c>
      <c r="AC49" s="1">
        <f>[1]Results!AF1410</f>
        <v>3570404.2050000001</v>
      </c>
      <c r="AD49" s="1">
        <f>[1]Results!AG1410</f>
        <v>3624834.7919999999</v>
      </c>
      <c r="AE49" s="1">
        <f>[1]Results!AH1410</f>
        <v>3679589.6529999999</v>
      </c>
      <c r="AF49" s="1">
        <f>[1]Results!AI1410</f>
        <v>3735044.7379999999</v>
      </c>
      <c r="AG49" s="1">
        <f>[1]Results!AJ1410</f>
        <v>3791506.531</v>
      </c>
      <c r="AH49" s="1">
        <f>[1]Results!AK1410</f>
        <v>3848082.9350000001</v>
      </c>
      <c r="AI49" s="1">
        <f>[1]Results!AL1410</f>
        <v>3905798.571</v>
      </c>
      <c r="AJ49" s="1">
        <f>[1]Results!AM1410</f>
        <v>3964809.7549999999</v>
      </c>
      <c r="AK49" s="1">
        <f>[1]Results!AN1410</f>
        <v>4025205.341</v>
      </c>
      <c r="AL49" s="1">
        <f>[1]Results!AO1410</f>
        <v>4087032.4139999999</v>
      </c>
    </row>
    <row r="50" spans="1:38" x14ac:dyDescent="0.35">
      <c r="A50" s="3" t="str">
        <f>[1]Results!E1411</f>
        <v>(GDPter_2/GDPbis_2-1)*100</v>
      </c>
      <c r="B50" t="str">
        <f>[1]Results!C1411</f>
        <v>Ecart PIB</v>
      </c>
      <c r="C50" s="1">
        <f>[1]Results!F1411</f>
        <v>0</v>
      </c>
      <c r="D50" s="1">
        <f>[1]Results!G1411</f>
        <v>0</v>
      </c>
      <c r="E50" s="1">
        <f>[1]Results!H1411</f>
        <v>0</v>
      </c>
      <c r="F50" s="1">
        <f>[1]Results!I1411</f>
        <v>0</v>
      </c>
      <c r="G50" s="1">
        <f>[1]Results!J1411</f>
        <v>0</v>
      </c>
      <c r="H50" s="1">
        <f>[1]Results!K1411</f>
        <v>1.2613019517715429E-7</v>
      </c>
      <c r="I50" s="1">
        <f>[1]Results!L1411</f>
        <v>0</v>
      </c>
      <c r="J50" s="1">
        <f>[1]Results!M1411</f>
        <v>-4.0431746839431071E-8</v>
      </c>
      <c r="K50" s="1">
        <f>[1]Results!N1411</f>
        <v>0</v>
      </c>
      <c r="L50" s="1">
        <f>[1]Results!O1411</f>
        <v>-3.8819580883142635E-8</v>
      </c>
      <c r="M50" s="1">
        <f>[1]Results!P1411</f>
        <v>0</v>
      </c>
      <c r="N50" s="1">
        <f>[1]Results!Q1411</f>
        <v>0</v>
      </c>
      <c r="O50" s="1">
        <f>[1]Results!R1411</f>
        <v>0</v>
      </c>
      <c r="P50" s="1">
        <f>[1]Results!S1411</f>
        <v>0</v>
      </c>
      <c r="Q50" s="1">
        <f>[1]Results!T1411</f>
        <v>0</v>
      </c>
      <c r="R50" s="1">
        <f>[1]Results!U1411</f>
        <v>0</v>
      </c>
      <c r="S50" s="1">
        <f>[1]Results!V1411</f>
        <v>0</v>
      </c>
      <c r="T50" s="1">
        <f>[1]Results!W1411</f>
        <v>0</v>
      </c>
      <c r="U50" s="1">
        <f>[1]Results!X1411</f>
        <v>-6.431239985005277E-8</v>
      </c>
      <c r="V50" s="1">
        <f>[1]Results!Y1411</f>
        <v>-6.3091887270161351E-8</v>
      </c>
      <c r="W50" s="1">
        <f>[1]Results!Z1411</f>
        <v>-6.1922000860192838E-8</v>
      </c>
      <c r="X50" s="1">
        <f>[1]Results!AA1411</f>
        <v>-3.0423297214809963E-8</v>
      </c>
      <c r="Y50" s="1">
        <f>[1]Results!AB1411</f>
        <v>-2.9904345666409426E-8</v>
      </c>
      <c r="Z50" s="1">
        <f>[1]Results!AC1411</f>
        <v>-2.9400981649274627E-8</v>
      </c>
      <c r="AA50" s="1">
        <f>[1]Results!AD1411</f>
        <v>0</v>
      </c>
      <c r="AB50" s="1">
        <f>[1]Results!AE1411</f>
        <v>0</v>
      </c>
      <c r="AC50" s="1">
        <f>[1]Results!AF1411</f>
        <v>0</v>
      </c>
      <c r="AD50" s="1">
        <f>[1]Results!AG1411</f>
        <v>-2.7587454543009926E-8</v>
      </c>
      <c r="AE50" s="1">
        <f>[1]Results!AH1411</f>
        <v>-2.7176949579654774E-8</v>
      </c>
      <c r="AF50" s="1">
        <f>[1]Results!AI1411</f>
        <v>0</v>
      </c>
      <c r="AG50" s="1">
        <f>[1]Results!AJ1411</f>
        <v>0</v>
      </c>
      <c r="AH50" s="1">
        <f>[1]Results!AK1411</f>
        <v>0</v>
      </c>
      <c r="AI50" s="1">
        <f>[1]Results!AL1411</f>
        <v>0</v>
      </c>
      <c r="AJ50" s="1">
        <f>[1]Results!AM1411</f>
        <v>0</v>
      </c>
      <c r="AK50" s="1">
        <f>[1]Results!AN1411</f>
        <v>0</v>
      </c>
      <c r="AL50" s="1">
        <f>[1]Results!AO1411</f>
        <v>0</v>
      </c>
    </row>
    <row r="51" spans="1:38" x14ac:dyDescent="0.35">
      <c r="A51" s="3" t="str">
        <f>[1]Results!E1412</f>
        <v>SPEND_G_VAL_2</v>
      </c>
      <c r="B51" t="str">
        <f>[1]Results!C1412</f>
        <v>Dépenses publiques</v>
      </c>
      <c r="C51" s="1">
        <f>[1]Results!F1412</f>
        <v>1178673.6680000001</v>
      </c>
      <c r="D51" s="1">
        <f>[1]Results!G1412</f>
        <v>1215355.4879999999</v>
      </c>
      <c r="E51" s="1">
        <f>[1]Results!H1412</f>
        <v>1249910.5490000001</v>
      </c>
      <c r="F51" s="1">
        <f>[1]Results!I1412</f>
        <v>1306037.7949999999</v>
      </c>
      <c r="G51" s="1">
        <f>[1]Results!J1412</f>
        <v>1360487.6229999999</v>
      </c>
      <c r="H51" s="1">
        <f>[1]Results!K1412</f>
        <v>1389485.5859999999</v>
      </c>
      <c r="I51" s="1">
        <f>[1]Results!L1412</f>
        <v>1410587.4509999999</v>
      </c>
      <c r="J51" s="1">
        <f>[1]Results!M1412</f>
        <v>1459105.175</v>
      </c>
      <c r="K51" s="1">
        <f>[1]Results!N1412</f>
        <v>1515253.277</v>
      </c>
      <c r="L51" s="1">
        <f>[1]Results!O1412</f>
        <v>1581597.9269999999</v>
      </c>
      <c r="M51" s="1">
        <f>[1]Results!P1412</f>
        <v>1662862.905</v>
      </c>
      <c r="N51" s="1">
        <f>[1]Results!Q1412</f>
        <v>1746809.0379999999</v>
      </c>
      <c r="O51" s="1">
        <f>[1]Results!R1412</f>
        <v>1820960.666</v>
      </c>
      <c r="P51" s="1">
        <f>[1]Results!S1412</f>
        <v>1895454.3540000001</v>
      </c>
      <c r="Q51" s="1">
        <f>[1]Results!T1412</f>
        <v>1970988.8670000001</v>
      </c>
      <c r="R51" s="1">
        <f>[1]Results!U1412</f>
        <v>2047498.8</v>
      </c>
      <c r="S51" s="1">
        <f>[1]Results!V1412</f>
        <v>2125790.4530000002</v>
      </c>
      <c r="T51" s="1">
        <f>[1]Results!W1412</f>
        <v>2207073.2510000002</v>
      </c>
      <c r="U51" s="1">
        <f>[1]Results!X1412</f>
        <v>2290600.1549999998</v>
      </c>
      <c r="V51" s="1">
        <f>[1]Results!Y1412</f>
        <v>2375179.1669999999</v>
      </c>
      <c r="W51" s="1">
        <f>[1]Results!Z1412</f>
        <v>2458330.96</v>
      </c>
      <c r="X51" s="1">
        <f>[1]Results!AA1412</f>
        <v>2541927.9849999999</v>
      </c>
      <c r="Y51" s="1">
        <f>[1]Results!AB1412</f>
        <v>2623664.9730000002</v>
      </c>
      <c r="Z51" s="1">
        <f>[1]Results!AC1412</f>
        <v>2703813.0649999999</v>
      </c>
      <c r="AA51" s="1">
        <f>[1]Results!AD1412</f>
        <v>2782190.8849999998</v>
      </c>
      <c r="AB51" s="1">
        <f>[1]Results!AE1412</f>
        <v>2853006.8059999999</v>
      </c>
      <c r="AC51" s="1">
        <f>[1]Results!AF1412</f>
        <v>2924861.4449999998</v>
      </c>
      <c r="AD51" s="1">
        <f>[1]Results!AG1412</f>
        <v>2995314.9360000002</v>
      </c>
      <c r="AE51" s="1">
        <f>[1]Results!AH1412</f>
        <v>3063868.483</v>
      </c>
      <c r="AF51" s="1">
        <f>[1]Results!AI1412</f>
        <v>3130532.6239999998</v>
      </c>
      <c r="AG51" s="1">
        <f>[1]Results!AJ1412</f>
        <v>3195317.0619999999</v>
      </c>
      <c r="AH51" s="1">
        <f>[1]Results!AK1412</f>
        <v>3257717.9440000001</v>
      </c>
      <c r="AI51" s="1">
        <f>[1]Results!AL1412</f>
        <v>3318938.5150000001</v>
      </c>
      <c r="AJ51" s="1">
        <f>[1]Results!AM1412</f>
        <v>3378204.45</v>
      </c>
      <c r="AK51" s="1">
        <f>[1]Results!AN1412</f>
        <v>3435544.429</v>
      </c>
      <c r="AL51" s="1">
        <f>[1]Results!AO1412</f>
        <v>3490932.7480000001</v>
      </c>
    </row>
    <row r="52" spans="1:38" x14ac:dyDescent="0.35">
      <c r="A52" s="3" t="str">
        <f>[1]Results!E1413</f>
        <v>INC_G_VAL_2</v>
      </c>
      <c r="B52" t="str">
        <f>[1]Results!C1413</f>
        <v>Recettes publiques</v>
      </c>
      <c r="C52" s="1">
        <f>[1]Results!F1413</f>
        <v>1011408.1090000001</v>
      </c>
      <c r="D52" s="1">
        <f>[1]Results!G1413</f>
        <v>1041851.22</v>
      </c>
      <c r="E52" s="1">
        <f>[1]Results!H1413</f>
        <v>1081911.956</v>
      </c>
      <c r="F52" s="1">
        <f>[1]Results!I1413</f>
        <v>1129024.8030000001</v>
      </c>
      <c r="G52" s="1">
        <f>[1]Results!J1413</f>
        <v>1173598.7960000001</v>
      </c>
      <c r="H52" s="1">
        <f>[1]Results!K1413</f>
        <v>1210223.6410000001</v>
      </c>
      <c r="I52" s="1">
        <f>[1]Results!L1413</f>
        <v>1259352.8589999999</v>
      </c>
      <c r="J52" s="1">
        <f>[1]Results!M1413</f>
        <v>1309849.51</v>
      </c>
      <c r="K52" s="1">
        <f>[1]Results!N1413</f>
        <v>1367807.6189999999</v>
      </c>
      <c r="L52" s="1">
        <f>[1]Results!O1413</f>
        <v>1436526.263</v>
      </c>
      <c r="M52" s="1">
        <f>[1]Results!P1413</f>
        <v>1520235.1240000001</v>
      </c>
      <c r="N52" s="1">
        <f>[1]Results!Q1413</f>
        <v>1612260.0179999999</v>
      </c>
      <c r="O52" s="1">
        <f>[1]Results!R1413</f>
        <v>1711809.7860000001</v>
      </c>
      <c r="P52" s="1">
        <f>[1]Results!S1413</f>
        <v>1817941.1610000001</v>
      </c>
      <c r="Q52" s="1">
        <f>[1]Results!T1413</f>
        <v>1930058.517</v>
      </c>
      <c r="R52" s="1">
        <f>[1]Results!U1413</f>
        <v>2047771.2990000001</v>
      </c>
      <c r="S52" s="1">
        <f>[1]Results!V1413</f>
        <v>2170957.5789999999</v>
      </c>
      <c r="T52" s="1">
        <f>[1]Results!W1413</f>
        <v>2300847.773</v>
      </c>
      <c r="U52" s="1">
        <f>[1]Results!X1413</f>
        <v>2437631.4539999999</v>
      </c>
      <c r="V52" s="1">
        <f>[1]Results!Y1413</f>
        <v>2581227.37</v>
      </c>
      <c r="W52" s="1">
        <f>[1]Results!Z1413</f>
        <v>2731020.8280000002</v>
      </c>
      <c r="X52" s="1">
        <f>[1]Results!AA1413</f>
        <v>2884367.2149999999</v>
      </c>
      <c r="Y52" s="1">
        <f>[1]Results!AB1413</f>
        <v>3040205.7409999999</v>
      </c>
      <c r="Z52" s="1">
        <f>[1]Results!AC1413</f>
        <v>3197873.5120000001</v>
      </c>
      <c r="AA52" s="1">
        <f>[1]Results!AD1413</f>
        <v>3356809.0520000001</v>
      </c>
      <c r="AB52" s="1">
        <f>[1]Results!AE1413</f>
        <v>3515097.79</v>
      </c>
      <c r="AC52" s="1">
        <f>[1]Results!AF1413</f>
        <v>3671574.6770000001</v>
      </c>
      <c r="AD52" s="1">
        <f>[1]Results!AG1413</f>
        <v>3825671.2439999999</v>
      </c>
      <c r="AE52" s="1">
        <f>[1]Results!AH1413</f>
        <v>3977608.3220000002</v>
      </c>
      <c r="AF52" s="1">
        <f>[1]Results!AI1413</f>
        <v>4127702.699</v>
      </c>
      <c r="AG52" s="1">
        <f>[1]Results!AJ1413</f>
        <v>4276236.3949999996</v>
      </c>
      <c r="AH52" s="1">
        <f>[1]Results!AK1413</f>
        <v>4421965.4230000004</v>
      </c>
      <c r="AI52" s="1">
        <f>[1]Results!AL1413</f>
        <v>4565060.3820000002</v>
      </c>
      <c r="AJ52" s="1">
        <f>[1]Results!AM1413</f>
        <v>4705722.4840000002</v>
      </c>
      <c r="AK52" s="1">
        <f>[1]Results!AN1413</f>
        <v>4844171.5120000001</v>
      </c>
      <c r="AL52" s="1">
        <f>[1]Results!AO1413</f>
        <v>4980550.3320000004</v>
      </c>
    </row>
    <row r="53" spans="1:38" x14ac:dyDescent="0.35">
      <c r="A53" s="3" t="str">
        <f>[1]Results!E1414</f>
        <v>Bal_G_tot_VAL_2</v>
      </c>
      <c r="B53" t="str">
        <f>[1]Results!C1414</f>
        <v>Solde public</v>
      </c>
      <c r="C53" s="1">
        <f>[1]Results!F1414</f>
        <v>-65288.490850000002</v>
      </c>
      <c r="D53" s="1">
        <f>[1]Results!G1414</f>
        <v>-68262.77605</v>
      </c>
      <c r="E53" s="1">
        <f>[1]Results!H1414</f>
        <v>-59343.962769999998</v>
      </c>
      <c r="F53" s="1">
        <f>[1]Results!I1414</f>
        <v>-65391.162759999999</v>
      </c>
      <c r="G53" s="1">
        <f>[1]Results!J1414</f>
        <v>-71997.43952</v>
      </c>
      <c r="H53" s="1">
        <f>[1]Results!K1414</f>
        <v>-60770.686159999997</v>
      </c>
      <c r="I53" s="1">
        <f>[1]Results!L1414</f>
        <v>-29704.798180000002</v>
      </c>
      <c r="J53" s="1">
        <f>[1]Results!M1414</f>
        <v>-26240.630939999999</v>
      </c>
      <c r="K53" s="1">
        <f>[1]Results!N1414</f>
        <v>-23118.593509999999</v>
      </c>
      <c r="L53" s="1">
        <f>[1]Results!O1414</f>
        <v>-19588.670020000001</v>
      </c>
      <c r="M53" s="1">
        <f>[1]Results!P1414</f>
        <v>-16165.35347</v>
      </c>
      <c r="N53" s="1">
        <f>[1]Results!Q1414</f>
        <v>-7278.323625</v>
      </c>
      <c r="O53" s="1">
        <f>[1]Results!R1414</f>
        <v>18483.732120000001</v>
      </c>
      <c r="P53" s="1">
        <f>[1]Results!S1414</f>
        <v>49197.232629999999</v>
      </c>
      <c r="Q53" s="1">
        <f>[1]Results!T1414</f>
        <v>83320.213440000007</v>
      </c>
      <c r="R53" s="1">
        <f>[1]Results!U1414</f>
        <v>120357.05190000001</v>
      </c>
      <c r="S53" s="1">
        <f>[1]Results!V1414</f>
        <v>159233.82629999999</v>
      </c>
      <c r="T53" s="1">
        <f>[1]Results!W1414</f>
        <v>199879.53109999999</v>
      </c>
      <c r="U53" s="1">
        <f>[1]Results!X1414</f>
        <v>243142.33180000001</v>
      </c>
      <c r="V53" s="1">
        <f>[1]Results!Y1414</f>
        <v>290002.11869999999</v>
      </c>
      <c r="W53" s="1">
        <f>[1]Results!Z1414</f>
        <v>342143.67729999998</v>
      </c>
      <c r="X53" s="1">
        <f>[1]Results!AA1414</f>
        <v>394785.85619999998</v>
      </c>
      <c r="Y53" s="1">
        <f>[1]Results!AB1414</f>
        <v>449148.10100000002</v>
      </c>
      <c r="Z53" s="1">
        <f>[1]Results!AC1414</f>
        <v>504210.3749</v>
      </c>
      <c r="AA53" s="1">
        <f>[1]Results!AD1414</f>
        <v>559557.57750000001</v>
      </c>
      <c r="AB53" s="1">
        <f>[1]Results!AE1414</f>
        <v>619052.51419999998</v>
      </c>
      <c r="AC53" s="1">
        <f>[1]Results!AF1414</f>
        <v>672722.13760000002</v>
      </c>
      <c r="AD53" s="1">
        <f>[1]Results!AG1414</f>
        <v>722729.10660000006</v>
      </c>
      <c r="AE53" s="1">
        <f>[1]Results!AH1414</f>
        <v>769976.18279999995</v>
      </c>
      <c r="AF53" s="1">
        <f>[1]Results!AI1414</f>
        <v>814907.60900000005</v>
      </c>
      <c r="AG53" s="1">
        <f>[1]Results!AJ1414</f>
        <v>857911.48569999996</v>
      </c>
      <c r="AH53" s="1">
        <f>[1]Results!AK1414</f>
        <v>898344.05790000001</v>
      </c>
      <c r="AI53" s="1">
        <f>[1]Results!AL1414</f>
        <v>935301.24309999996</v>
      </c>
      <c r="AJ53" s="1">
        <f>[1]Results!AM1414</f>
        <v>969932.34829999995</v>
      </c>
      <c r="AK53" s="1">
        <f>[1]Results!AN1414</f>
        <v>1002544.779</v>
      </c>
      <c r="AL53" s="1">
        <f>[1]Results!AO1414</f>
        <v>1033408.042</v>
      </c>
    </row>
    <row r="54" spans="1:38" x14ac:dyDescent="0.35">
      <c r="A54" s="3" t="str">
        <f>[1]Results!E1415</f>
        <v>DEBT_G_VAL_2</v>
      </c>
      <c r="B54" t="str">
        <f>[1]Results!C1415</f>
        <v>Dette publique</v>
      </c>
      <c r="C54" s="1">
        <f>[1]Results!F1415</f>
        <v>2104829.844</v>
      </c>
      <c r="D54" s="1">
        <f>[1]Results!G1415</f>
        <v>2173092.62</v>
      </c>
      <c r="E54" s="1">
        <f>[1]Results!H1415</f>
        <v>2232436.5830000001</v>
      </c>
      <c r="F54" s="1">
        <f>[1]Results!I1415</f>
        <v>2297827.7459999998</v>
      </c>
      <c r="G54" s="1">
        <f>[1]Results!J1415</f>
        <v>2369825.1850000001</v>
      </c>
      <c r="H54" s="1">
        <f>[1]Results!K1415</f>
        <v>2430595.872</v>
      </c>
      <c r="I54" s="1">
        <f>[1]Results!L1415</f>
        <v>2460300.67</v>
      </c>
      <c r="J54" s="1">
        <f>[1]Results!M1415</f>
        <v>2486541.301</v>
      </c>
      <c r="K54" s="1">
        <f>[1]Results!N1415</f>
        <v>2509659.8939999999</v>
      </c>
      <c r="L54" s="1">
        <f>[1]Results!O1415</f>
        <v>2529248.5639999998</v>
      </c>
      <c r="M54" s="1">
        <f>[1]Results!P1415</f>
        <v>2545413.9180000001</v>
      </c>
      <c r="N54" s="1">
        <f>[1]Results!Q1415</f>
        <v>2552692.2409999999</v>
      </c>
      <c r="O54" s="1">
        <f>[1]Results!R1415</f>
        <v>2534208.5090000001</v>
      </c>
      <c r="P54" s="1">
        <f>[1]Results!S1415</f>
        <v>2485011.2769999998</v>
      </c>
      <c r="Q54" s="1">
        <f>[1]Results!T1415</f>
        <v>2401691.0630000001</v>
      </c>
      <c r="R54" s="1">
        <f>[1]Results!U1415</f>
        <v>2281334.0109999999</v>
      </c>
      <c r="S54" s="1">
        <f>[1]Results!V1415</f>
        <v>2122100.1850000001</v>
      </c>
      <c r="T54" s="1">
        <f>[1]Results!W1415</f>
        <v>1922220.6540000001</v>
      </c>
      <c r="U54" s="1">
        <f>[1]Results!X1415</f>
        <v>1679078.3219999999</v>
      </c>
      <c r="V54" s="1">
        <f>[1]Results!Y1415</f>
        <v>1389076.203</v>
      </c>
      <c r="W54" s="1">
        <f>[1]Results!Z1415</f>
        <v>1046932.526</v>
      </c>
      <c r="X54" s="1">
        <f>[1]Results!AA1415</f>
        <v>652146.66980000003</v>
      </c>
      <c r="Y54" s="1">
        <f>[1]Results!AB1415</f>
        <v>202998.56880000001</v>
      </c>
      <c r="Z54" s="1">
        <f>[1]Results!AC1415</f>
        <v>-301211.80609999999</v>
      </c>
      <c r="AA54" s="1">
        <f>[1]Results!AD1415</f>
        <v>-860769.3835</v>
      </c>
      <c r="AB54" s="1">
        <f>[1]Results!AE1415</f>
        <v>-1479821.898</v>
      </c>
      <c r="AC54" s="1">
        <f>[1]Results!AF1415</f>
        <v>-2152544.0350000001</v>
      </c>
      <c r="AD54" s="1">
        <f>[1]Results!AG1415</f>
        <v>-2875273.142</v>
      </c>
      <c r="AE54" s="1">
        <f>[1]Results!AH1415</f>
        <v>-3645249.3250000002</v>
      </c>
      <c r="AF54" s="1">
        <f>[1]Results!AI1415</f>
        <v>-4460156.9340000004</v>
      </c>
      <c r="AG54" s="1">
        <f>[1]Results!AJ1415</f>
        <v>-5318068.4189999998</v>
      </c>
      <c r="AH54" s="1">
        <f>[1]Results!AK1415</f>
        <v>-6216412.477</v>
      </c>
      <c r="AI54" s="1">
        <f>[1]Results!AL1415</f>
        <v>-7151713.7199999997</v>
      </c>
      <c r="AJ54" s="1">
        <f>[1]Results!AM1415</f>
        <v>-8121646.0690000001</v>
      </c>
      <c r="AK54" s="1">
        <f>[1]Results!AN1415</f>
        <v>-9124190.8479999993</v>
      </c>
      <c r="AL54" s="1">
        <f>[1]Results!AO1415</f>
        <v>-10157598.890000001</v>
      </c>
    </row>
    <row r="55" spans="1:38" x14ac:dyDescent="0.35"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x14ac:dyDescent="0.35">
      <c r="A56" s="9" t="s">
        <v>3</v>
      </c>
      <c r="B56" t="s">
        <v>4</v>
      </c>
      <c r="C56" s="1">
        <f>[1]Results!F1789</f>
        <v>1.00262422</v>
      </c>
      <c r="D56" s="1">
        <f>[1]Results!G1789</f>
        <v>1.016438374</v>
      </c>
      <c r="E56" s="1">
        <f>[1]Results!H1789</f>
        <v>1.0422139180000001</v>
      </c>
      <c r="F56" s="1">
        <f>[1]Results!I1789</f>
        <v>1.0741079549999999</v>
      </c>
      <c r="G56" s="1">
        <f>[1]Results!J1789</f>
        <v>1.096412875</v>
      </c>
      <c r="H56" s="1">
        <f>[1]Results!K1789</f>
        <v>1.1036426909999999</v>
      </c>
      <c r="I56" s="1">
        <f>[1]Results!L1789</f>
        <v>1.12431576</v>
      </c>
      <c r="J56" s="1">
        <f>[1]Results!M1789</f>
        <v>1.143432257</v>
      </c>
      <c r="K56" s="1">
        <f>[1]Results!N1789</f>
        <v>1.163888917</v>
      </c>
      <c r="L56" s="1">
        <f>[1]Results!O1789</f>
        <v>1.1865031429999999</v>
      </c>
      <c r="M56" s="1">
        <f>[1]Results!P1789</f>
        <v>1.2112300330000001</v>
      </c>
      <c r="N56" s="1">
        <f>[1]Results!Q1789</f>
        <v>1.2375897440000001</v>
      </c>
      <c r="O56" s="1">
        <f>[1]Results!R1789</f>
        <v>1.2650224000000001</v>
      </c>
      <c r="P56" s="1">
        <f>[1]Results!S1789</f>
        <v>1.2932399530000001</v>
      </c>
      <c r="Q56" s="1">
        <f>[1]Results!T1789</f>
        <v>1.322214188</v>
      </c>
      <c r="R56" s="1">
        <f>[1]Results!U1789</f>
        <v>1.3519683140000001</v>
      </c>
      <c r="S56" s="1">
        <f>[1]Results!V1789</f>
        <v>1.382257362</v>
      </c>
      <c r="T56" s="1">
        <f>[1]Results!W1789</f>
        <v>1.412877859</v>
      </c>
      <c r="U56" s="1">
        <f>[1]Results!X1789</f>
        <v>1.44367665</v>
      </c>
      <c r="V56" s="1">
        <f>[1]Results!Y1789</f>
        <v>1.474553032</v>
      </c>
      <c r="W56" s="1">
        <f>[1]Results!Z1789</f>
        <v>1.505524192</v>
      </c>
      <c r="X56" s="1">
        <f>[1]Results!AA1789</f>
        <v>1.5363034499999999</v>
      </c>
      <c r="Y56" s="1">
        <f>[1]Results!AB1789</f>
        <v>1.5667326690000001</v>
      </c>
      <c r="Z56" s="1">
        <f>[1]Results!AC1789</f>
        <v>1.596763406</v>
      </c>
      <c r="AA56" s="1">
        <f>[1]Results!AD1789</f>
        <v>1.6264145409999999</v>
      </c>
      <c r="AB56" s="1">
        <f>[1]Results!AE1789</f>
        <v>1.6560221580000001</v>
      </c>
      <c r="AC56" s="1">
        <f>[1]Results!AF1789</f>
        <v>1.6847514610000001</v>
      </c>
      <c r="AD56" s="1">
        <f>[1]Results!AG1789</f>
        <v>1.7122648279999999</v>
      </c>
      <c r="AE56" s="1">
        <f>[1]Results!AH1789</f>
        <v>1.7385228049999999</v>
      </c>
      <c r="AF56" s="1">
        <f>[1]Results!AI1789</f>
        <v>1.763599964</v>
      </c>
      <c r="AG56" s="1">
        <f>[1]Results!AJ1789</f>
        <v>1.7876426949999999</v>
      </c>
      <c r="AH56" s="1">
        <f>[1]Results!AK1789</f>
        <v>1.8114000800000001</v>
      </c>
      <c r="AI56" s="1">
        <f>[1]Results!AL1789</f>
        <v>1.8353228130000001</v>
      </c>
      <c r="AJ56" s="1">
        <f>[1]Results!AM1789</f>
        <v>1.859691996</v>
      </c>
      <c r="AK56" s="1">
        <f>[1]Results!AN1789</f>
        <v>1.88469949</v>
      </c>
      <c r="AL56" s="1">
        <f>[1]Results!AO1789</f>
        <v>1.91049278</v>
      </c>
    </row>
    <row r="57" spans="1:38" x14ac:dyDescent="0.35">
      <c r="A57" s="9"/>
      <c r="B57" t="s">
        <v>6</v>
      </c>
      <c r="C57" s="1">
        <f>[1]Results!F1760</f>
        <v>1.00262422</v>
      </c>
      <c r="D57" s="1">
        <f>[1]Results!G1760</f>
        <v>1.016438374</v>
      </c>
      <c r="E57" s="1">
        <f>[1]Results!H1760</f>
        <v>1.0422139180000001</v>
      </c>
      <c r="F57" s="1">
        <f>[1]Results!I1760</f>
        <v>1.0741079549999999</v>
      </c>
      <c r="G57" s="1">
        <f>[1]Results!J1760</f>
        <v>1.096412875</v>
      </c>
      <c r="H57" s="1">
        <f>[1]Results!K1760</f>
        <v>1.1036426909999999</v>
      </c>
      <c r="I57" s="1">
        <f>[1]Results!L1760</f>
        <v>1.1248293060000001</v>
      </c>
      <c r="J57" s="1">
        <f>[1]Results!M1760</f>
        <v>1.150596027</v>
      </c>
      <c r="K57" s="1">
        <f>[1]Results!N1760</f>
        <v>1.182264687</v>
      </c>
      <c r="L57" s="1">
        <f>[1]Results!O1760</f>
        <v>1.2220635580000001</v>
      </c>
      <c r="M57" s="1">
        <f>[1]Results!P1760</f>
        <v>1.2718450649999999</v>
      </c>
      <c r="N57" s="1">
        <f>[1]Results!Q1760</f>
        <v>1.3179430299999999</v>
      </c>
      <c r="O57" s="1">
        <f>[1]Results!R1760</f>
        <v>1.364950729</v>
      </c>
      <c r="P57" s="1">
        <f>[1]Results!S1760</f>
        <v>1.4132114280000001</v>
      </c>
      <c r="Q57" s="1">
        <f>[1]Results!T1760</f>
        <v>1.462888019</v>
      </c>
      <c r="R57" s="1">
        <f>[1]Results!U1760</f>
        <v>1.513943262</v>
      </c>
      <c r="S57" s="1">
        <f>[1]Results!V1760</f>
        <v>1.5676983819999999</v>
      </c>
      <c r="T57" s="1">
        <f>[1]Results!W1760</f>
        <v>1.624535021</v>
      </c>
      <c r="U57" s="1">
        <f>[1]Results!X1760</f>
        <v>1.6840989930000001</v>
      </c>
      <c r="V57" s="1">
        <f>[1]Results!Y1760</f>
        <v>1.74591345</v>
      </c>
      <c r="W57" s="1">
        <f>[1]Results!Z1760</f>
        <v>1.809648487</v>
      </c>
      <c r="X57" s="1">
        <f>[1]Results!AA1760</f>
        <v>1.8731595729999999</v>
      </c>
      <c r="Y57" s="1">
        <f>[1]Results!AB1760</f>
        <v>1.936607535</v>
      </c>
      <c r="Z57" s="1">
        <f>[1]Results!AC1760</f>
        <v>1.999610195</v>
      </c>
      <c r="AA57" s="1">
        <f>[1]Results!AD1760</f>
        <v>2.0618154990000002</v>
      </c>
      <c r="AB57" s="1">
        <f>[1]Results!AE1760</f>
        <v>2.1232212439999998</v>
      </c>
      <c r="AC57" s="1">
        <f>[1]Results!AF1760</f>
        <v>2.1828483369999998</v>
      </c>
      <c r="AD57" s="1">
        <f>[1]Results!AG1760</f>
        <v>2.2411956320000002</v>
      </c>
      <c r="AE57" s="1">
        <f>[1]Results!AH1760</f>
        <v>2.2979546470000001</v>
      </c>
      <c r="AF57" s="1">
        <f>[1]Results!AI1760</f>
        <v>2.3529329520000002</v>
      </c>
      <c r="AG57" s="1">
        <f>[1]Results!AJ1760</f>
        <v>2.4060038380000002</v>
      </c>
      <c r="AH57" s="1">
        <f>[1]Results!AK1760</f>
        <v>2.4563799849999999</v>
      </c>
      <c r="AI57" s="1">
        <f>[1]Results!AL1760</f>
        <v>2.5044505479999999</v>
      </c>
      <c r="AJ57" s="1">
        <f>[1]Results!AM1760</f>
        <v>2.5501861130000001</v>
      </c>
      <c r="AK57" s="1">
        <f>[1]Results!AN1760</f>
        <v>2.5935851520000002</v>
      </c>
      <c r="AL57" s="1">
        <f>[1]Results!AO1760</f>
        <v>2.6346179570000001</v>
      </c>
    </row>
    <row r="58" spans="1:38" x14ac:dyDescent="0.35"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x14ac:dyDescent="0.35">
      <c r="A59" s="9" t="s">
        <v>1</v>
      </c>
      <c r="B59" t="str">
        <f>B56</f>
        <v>Baseline</v>
      </c>
      <c r="D59" s="1" t="e">
        <f>(D56/#REF!-1)*100</f>
        <v>#REF!</v>
      </c>
      <c r="E59" s="1">
        <f t="shared" ref="E59:AL59" si="0">(E56/D56-1)*100</f>
        <v>2.5358688395997087</v>
      </c>
      <c r="F59" s="1">
        <f t="shared" si="0"/>
        <v>3.0602198309924944</v>
      </c>
      <c r="G59" s="1">
        <f t="shared" si="0"/>
        <v>2.0765994606193994</v>
      </c>
      <c r="H59" s="1">
        <f t="shared" si="0"/>
        <v>0.65940633905816615</v>
      </c>
      <c r="I59" s="1">
        <f t="shared" si="0"/>
        <v>1.8731668472581786</v>
      </c>
      <c r="J59" s="1">
        <f t="shared" si="0"/>
        <v>1.70027830971613</v>
      </c>
      <c r="K59" s="1">
        <f t="shared" si="0"/>
        <v>1.7890574517874569</v>
      </c>
      <c r="L59" s="1">
        <f t="shared" si="0"/>
        <v>1.9429883444796126</v>
      </c>
      <c r="M59" s="1">
        <f t="shared" si="0"/>
        <v>2.0840138642599593</v>
      </c>
      <c r="N59" s="1">
        <f t="shared" si="0"/>
        <v>2.1762762053308515</v>
      </c>
      <c r="O59" s="1">
        <f t="shared" si="0"/>
        <v>2.216619532684172</v>
      </c>
      <c r="P59" s="1">
        <f t="shared" si="0"/>
        <v>2.2305971024702664</v>
      </c>
      <c r="Q59" s="1">
        <f t="shared" si="0"/>
        <v>2.2404376645484003</v>
      </c>
      <c r="R59" s="1">
        <f t="shared" si="0"/>
        <v>2.2503257240800378</v>
      </c>
      <c r="S59" s="1">
        <f t="shared" si="0"/>
        <v>2.2403667072925293</v>
      </c>
      <c r="T59" s="1">
        <f t="shared" si="0"/>
        <v>2.2152529508466356</v>
      </c>
      <c r="U59" s="1">
        <f t="shared" si="0"/>
        <v>2.1798622438459425</v>
      </c>
      <c r="V59" s="1">
        <f t="shared" si="0"/>
        <v>2.1387325201941865</v>
      </c>
      <c r="W59" s="1">
        <f t="shared" si="0"/>
        <v>2.1003761362175188</v>
      </c>
      <c r="X59" s="1">
        <f t="shared" si="0"/>
        <v>2.0444213492917473</v>
      </c>
      <c r="Y59" s="1">
        <f t="shared" si="0"/>
        <v>1.9806776454222019</v>
      </c>
      <c r="Z59" s="1">
        <f t="shared" si="0"/>
        <v>1.9167748011004182</v>
      </c>
      <c r="AA59" s="1">
        <f t="shared" si="0"/>
        <v>1.8569523129464693</v>
      </c>
      <c r="AB59" s="1">
        <f t="shared" si="0"/>
        <v>1.8204225462590706</v>
      </c>
      <c r="AC59" s="1">
        <f t="shared" si="0"/>
        <v>1.73483807938275</v>
      </c>
      <c r="AD59" s="1">
        <f t="shared" si="0"/>
        <v>1.6330816525108816</v>
      </c>
      <c r="AE59" s="1">
        <f t="shared" si="0"/>
        <v>1.5335231192402876</v>
      </c>
      <c r="AF59" s="1">
        <f t="shared" si="0"/>
        <v>1.4424406126786415</v>
      </c>
      <c r="AG59" s="1">
        <f t="shared" si="0"/>
        <v>1.3632757706270926</v>
      </c>
      <c r="AH59" s="1">
        <f t="shared" si="0"/>
        <v>1.3289783840165104</v>
      </c>
      <c r="AI59" s="1">
        <f t="shared" si="0"/>
        <v>1.3206763797868559</v>
      </c>
      <c r="AJ59" s="1">
        <f t="shared" si="0"/>
        <v>1.3277872877396568</v>
      </c>
      <c r="AK59" s="1">
        <f t="shared" si="0"/>
        <v>1.3447116002966331</v>
      </c>
      <c r="AL59" s="1">
        <f t="shared" si="0"/>
        <v>1.3685624757080017</v>
      </c>
    </row>
    <row r="60" spans="1:38" x14ac:dyDescent="0.35">
      <c r="A60" s="9"/>
      <c r="B60" t="str">
        <f>B57</f>
        <v>NZ50</v>
      </c>
      <c r="D60" s="1">
        <f t="shared" ref="D60:AL60" si="1">(D57/C57-1)*100</f>
        <v>1.3777997503391815</v>
      </c>
      <c r="E60" s="1">
        <f t="shared" si="1"/>
        <v>2.5358688395997087</v>
      </c>
      <c r="F60" s="1">
        <f t="shared" si="1"/>
        <v>3.0602198309924944</v>
      </c>
      <c r="G60" s="1">
        <f t="shared" si="1"/>
        <v>2.0765994606193994</v>
      </c>
      <c r="H60" s="1">
        <f t="shared" si="1"/>
        <v>0.65940633905816615</v>
      </c>
      <c r="I60" s="1">
        <f t="shared" si="1"/>
        <v>1.9196987551109768</v>
      </c>
      <c r="J60" s="1">
        <f t="shared" si="1"/>
        <v>2.290722766783948</v>
      </c>
      <c r="K60" s="1">
        <f t="shared" si="1"/>
        <v>2.7523700114427729</v>
      </c>
      <c r="L60" s="1">
        <f t="shared" si="1"/>
        <v>3.3663249387063887</v>
      </c>
      <c r="M60" s="1">
        <f t="shared" si="1"/>
        <v>4.073561205071119</v>
      </c>
      <c r="N60" s="1">
        <f t="shared" si="1"/>
        <v>3.6244953311195927</v>
      </c>
      <c r="O60" s="1">
        <f t="shared" si="1"/>
        <v>3.5667474185132386</v>
      </c>
      <c r="P60" s="1">
        <f t="shared" si="1"/>
        <v>3.5357099692057803</v>
      </c>
      <c r="Q60" s="1">
        <f t="shared" si="1"/>
        <v>3.5151563322908475</v>
      </c>
      <c r="R60" s="1">
        <f t="shared" si="1"/>
        <v>3.4900308387856072</v>
      </c>
      <c r="S60" s="1">
        <f t="shared" si="1"/>
        <v>3.5506693909378439</v>
      </c>
      <c r="T60" s="1">
        <f t="shared" si="1"/>
        <v>3.625483042694122</v>
      </c>
      <c r="U60" s="1">
        <f t="shared" si="1"/>
        <v>3.6665243426599048</v>
      </c>
      <c r="V60" s="1">
        <f t="shared" si="1"/>
        <v>3.670476453993099</v>
      </c>
      <c r="W60" s="1">
        <f t="shared" si="1"/>
        <v>3.6505267199814506</v>
      </c>
      <c r="X60" s="1">
        <f t="shared" si="1"/>
        <v>3.5095813610347859</v>
      </c>
      <c r="Y60" s="1">
        <f t="shared" si="1"/>
        <v>3.387216066081522</v>
      </c>
      <c r="Z60" s="1">
        <f t="shared" si="1"/>
        <v>3.2532487280650724</v>
      </c>
      <c r="AA60" s="1">
        <f t="shared" si="1"/>
        <v>3.1108715166357825</v>
      </c>
      <c r="AB60" s="1">
        <f t="shared" si="1"/>
        <v>2.9782366574401031</v>
      </c>
      <c r="AC60" s="1">
        <f t="shared" si="1"/>
        <v>2.8083315937281528</v>
      </c>
      <c r="AD60" s="1">
        <f t="shared" si="1"/>
        <v>2.6729889571801335</v>
      </c>
      <c r="AE60" s="1">
        <f t="shared" si="1"/>
        <v>2.5325328226411647</v>
      </c>
      <c r="AF60" s="1">
        <f t="shared" si="1"/>
        <v>2.3924886886594887</v>
      </c>
      <c r="AG60" s="1">
        <f t="shared" si="1"/>
        <v>2.2555205389464872</v>
      </c>
      <c r="AH60" s="1">
        <f t="shared" si="1"/>
        <v>2.0937683558258646</v>
      </c>
      <c r="AI60" s="1">
        <f t="shared" si="1"/>
        <v>1.9569677042454714</v>
      </c>
      <c r="AJ60" s="1">
        <f t="shared" si="1"/>
        <v>1.8261716142298656</v>
      </c>
      <c r="AK60" s="1">
        <f t="shared" si="1"/>
        <v>1.701798891412909</v>
      </c>
      <c r="AL60" s="1">
        <f t="shared" si="1"/>
        <v>1.5820882136203807</v>
      </c>
    </row>
    <row r="61" spans="1:38" x14ac:dyDescent="0.35">
      <c r="A61" s="7"/>
    </row>
    <row r="62" spans="1:38" x14ac:dyDescent="0.35">
      <c r="A62" s="9" t="s">
        <v>2</v>
      </c>
      <c r="B62" t="str">
        <f>B59</f>
        <v>Baseline</v>
      </c>
      <c r="C62" s="6">
        <f>[1]Results!F911+[1]Results!F1283</f>
        <v>468.73646830000001</v>
      </c>
      <c r="D62" s="6">
        <f>[1]Results!G911+[1]Results!G1283</f>
        <v>471.22783589999995</v>
      </c>
      <c r="E62" s="6">
        <f>[1]Results!H911+[1]Results!H1283</f>
        <v>470.6819739</v>
      </c>
      <c r="F62" s="6">
        <f>[1]Results!I911+[1]Results!I1283</f>
        <v>468.43159259999999</v>
      </c>
      <c r="G62" s="6">
        <f>[1]Results!J911+[1]Results!J1283</f>
        <v>470.1173354</v>
      </c>
      <c r="H62" s="6">
        <f>[1]Results!K911+[1]Results!K1283</f>
        <v>478.47781369999996</v>
      </c>
      <c r="I62" s="6">
        <f>[1]Results!L911+[1]Results!L1283</f>
        <v>485.48455449999994</v>
      </c>
      <c r="J62" s="6">
        <f>[1]Results!M911+[1]Results!M1283</f>
        <v>493.23333100000002</v>
      </c>
      <c r="K62" s="6">
        <f>[1]Results!N911+[1]Results!N1283</f>
        <v>501.31266779999999</v>
      </c>
      <c r="L62" s="6">
        <f>[1]Results!O911+[1]Results!O1283</f>
        <v>509.61007130000002</v>
      </c>
      <c r="M62" s="6">
        <f>[1]Results!P911+[1]Results!P1283</f>
        <v>518.23992229999999</v>
      </c>
      <c r="N62" s="6">
        <f>[1]Results!Q911+[1]Results!Q1283</f>
        <v>527.05789110000001</v>
      </c>
      <c r="O62" s="6">
        <f>[1]Results!R911+[1]Results!R1283</f>
        <v>536.18000630000006</v>
      </c>
      <c r="P62" s="6">
        <f>[1]Results!S911+[1]Results!S1283</f>
        <v>545.65882970000007</v>
      </c>
      <c r="Q62" s="6">
        <f>[1]Results!T911+[1]Results!T1283</f>
        <v>555.49857840000004</v>
      </c>
      <c r="R62" s="6">
        <f>[1]Results!U911+[1]Results!U1283</f>
        <v>565.67585389999999</v>
      </c>
      <c r="S62" s="6">
        <f>[1]Results!V911+[1]Results!V1283</f>
        <v>575.64220160000002</v>
      </c>
      <c r="T62" s="6">
        <f>[1]Results!W911+[1]Results!W1283</f>
        <v>585.72765200000003</v>
      </c>
      <c r="U62" s="6">
        <f>[1]Results!X911+[1]Results!X1283</f>
        <v>595.97291840000003</v>
      </c>
      <c r="V62" s="6">
        <f>[1]Results!Y911+[1]Results!Y1283</f>
        <v>606.38682349999999</v>
      </c>
      <c r="W62" s="6">
        <f>[1]Results!Z911+[1]Results!Z1283</f>
        <v>616.89504250000005</v>
      </c>
      <c r="X62" s="6">
        <f>[1]Results!AA911+[1]Results!AA1283</f>
        <v>627.11722010000005</v>
      </c>
      <c r="Y62" s="6">
        <f>[1]Results!AB911+[1]Results!AB1283</f>
        <v>637.39899609999998</v>
      </c>
      <c r="Z62" s="6">
        <f>[1]Results!AC911+[1]Results!AC1283</f>
        <v>647.80310050000003</v>
      </c>
      <c r="AA62" s="6">
        <f>[1]Results!AD911+[1]Results!AD1283</f>
        <v>658.35785490000001</v>
      </c>
      <c r="AB62" s="6">
        <f>[1]Results!AE911+[1]Results!AE1283</f>
        <v>668.85181660000001</v>
      </c>
      <c r="AC62" s="6">
        <f>[1]Results!AF911+[1]Results!AF1283</f>
        <v>677.1337585</v>
      </c>
      <c r="AD62" s="6">
        <f>[1]Results!AG911+[1]Results!AG1283</f>
        <v>684.87906870000006</v>
      </c>
      <c r="AE62" s="6">
        <f>[1]Results!AH911+[1]Results!AH1283</f>
        <v>692.37703729999998</v>
      </c>
      <c r="AF62" s="6">
        <f>[1]Results!AI911+[1]Results!AI1283</f>
        <v>699.7355685</v>
      </c>
      <c r="AG62" s="6">
        <f>[1]Results!AJ911+[1]Results!AJ1283</f>
        <v>707.02282919999993</v>
      </c>
      <c r="AH62" s="6">
        <f>[1]Results!AK911+[1]Results!AK1283</f>
        <v>715.76015949999999</v>
      </c>
      <c r="AI62" s="6">
        <f>[1]Results!AL911+[1]Results!AL1283</f>
        <v>724.97078439999996</v>
      </c>
      <c r="AJ62" s="6">
        <f>[1]Results!AM911+[1]Results!AM1283</f>
        <v>734.52096030000007</v>
      </c>
      <c r="AK62" s="6">
        <f>[1]Results!AN911+[1]Results!AN1283</f>
        <v>744.38263370000004</v>
      </c>
      <c r="AL62" s="6">
        <f>[1]Results!AO911+[1]Results!AO1283</f>
        <v>754.54359680000005</v>
      </c>
    </row>
    <row r="63" spans="1:38" x14ac:dyDescent="0.35">
      <c r="A63" s="9"/>
      <c r="B63" t="str">
        <f>B60</f>
        <v>NZ50</v>
      </c>
      <c r="C63" s="6">
        <f>[1]Results!F857+[1]Results!F485</f>
        <v>468.73646830000001</v>
      </c>
      <c r="D63" s="6">
        <f>[1]Results!G857+[1]Results!G485</f>
        <v>471.22783589999995</v>
      </c>
      <c r="E63" s="6">
        <f>[1]Results!H857+[1]Results!H485</f>
        <v>470.6819739</v>
      </c>
      <c r="F63" s="6">
        <f>[1]Results!I857+[1]Results!I485</f>
        <v>468.43159259999999</v>
      </c>
      <c r="G63" s="6">
        <f>[1]Results!J857+[1]Results!J485</f>
        <v>470.1173354</v>
      </c>
      <c r="H63" s="6">
        <f>[1]Results!K857+[1]Results!K485</f>
        <v>478.47781369999996</v>
      </c>
      <c r="I63" s="6">
        <f>[1]Results!L857+[1]Results!L485</f>
        <v>485.24382059999999</v>
      </c>
      <c r="J63" s="6">
        <f>[1]Results!M857+[1]Results!M485</f>
        <v>491.07807520000006</v>
      </c>
      <c r="K63" s="6">
        <f>[1]Results!N857+[1]Results!N485</f>
        <v>495.76141230000002</v>
      </c>
      <c r="L63" s="6">
        <f>[1]Results!O857+[1]Results!O485</f>
        <v>499.26709009999996</v>
      </c>
      <c r="M63" s="6">
        <f>[1]Results!P857+[1]Results!P485</f>
        <v>501.59731199999999</v>
      </c>
      <c r="N63" s="6">
        <f>[1]Results!Q857+[1]Results!Q485</f>
        <v>506.17145600000003</v>
      </c>
      <c r="O63" s="6">
        <f>[1]Results!R857+[1]Results!R485</f>
        <v>512.82160959999999</v>
      </c>
      <c r="P63" s="6">
        <f>[1]Results!S857+[1]Results!S485</f>
        <v>521.04819469999995</v>
      </c>
      <c r="Q63" s="6">
        <f>[1]Results!T857+[1]Results!T485</f>
        <v>530.35351360000004</v>
      </c>
      <c r="R63" s="6">
        <f>[1]Results!U857+[1]Results!U485</f>
        <v>540.35065610000004</v>
      </c>
      <c r="S63" s="6">
        <f>[1]Results!V857+[1]Results!V485</f>
        <v>550.14357150000001</v>
      </c>
      <c r="T63" s="6">
        <f>[1]Results!W857+[1]Results!W485</f>
        <v>559.55211570000006</v>
      </c>
      <c r="U63" s="6">
        <f>[1]Results!X857+[1]Results!X485</f>
        <v>568.41312989999994</v>
      </c>
      <c r="V63" s="6">
        <f>[1]Results!Y857+[1]Results!Y485</f>
        <v>576.72470210000006</v>
      </c>
      <c r="W63" s="6">
        <f>[1]Results!Z857+[1]Results!Z485</f>
        <v>584.4973066</v>
      </c>
      <c r="X63" s="6">
        <f>[1]Results!AA857+[1]Results!AA485</f>
        <v>591.83548889999997</v>
      </c>
      <c r="Y63" s="6">
        <f>[1]Results!AB857+[1]Results!AB485</f>
        <v>599.11502359999997</v>
      </c>
      <c r="Z63" s="6">
        <f>[1]Results!AC857+[1]Results!AC485</f>
        <v>606.38249450000001</v>
      </c>
      <c r="AA63" s="6">
        <f>[1]Results!AD857+[1]Results!AD485</f>
        <v>613.63763759999995</v>
      </c>
      <c r="AB63" s="6">
        <f>[1]Results!AE857+[1]Results!AE485</f>
        <v>620.66174360000002</v>
      </c>
      <c r="AC63" s="6">
        <f>[1]Results!AF857+[1]Results!AF485</f>
        <v>627.39956960000006</v>
      </c>
      <c r="AD63" s="6">
        <f>[1]Results!AG857+[1]Results!AG485</f>
        <v>634.16391210000006</v>
      </c>
      <c r="AE63" s="6">
        <f>[1]Results!AH857+[1]Results!AH485</f>
        <v>640.98233279999999</v>
      </c>
      <c r="AF63" s="6">
        <f>[1]Results!AI857+[1]Results!AI485</f>
        <v>647.85692510000001</v>
      </c>
      <c r="AG63" s="6">
        <f>[1]Results!AJ857+[1]Results!AJ485</f>
        <v>654.78924099999995</v>
      </c>
      <c r="AH63" s="6">
        <f>[1]Results!AK857+[1]Results!AK485</f>
        <v>661.79459010000005</v>
      </c>
      <c r="AI63" s="6">
        <f>[1]Results!AL857+[1]Results!AL485</f>
        <v>668.95930920000001</v>
      </c>
      <c r="AJ63" s="6">
        <f>[1]Results!AM857+[1]Results!AM485</f>
        <v>676.26691990000006</v>
      </c>
      <c r="AK63" s="6">
        <f>[1]Results!AN857+[1]Results!AN485</f>
        <v>683.6897798</v>
      </c>
      <c r="AL63" s="6">
        <f>[1]Results!AO857+[1]Results!AO485</f>
        <v>691.20282339999994</v>
      </c>
    </row>
    <row r="65" spans="1:38" x14ac:dyDescent="0.35">
      <c r="B65" t="s">
        <v>15</v>
      </c>
      <c r="C65" s="6">
        <f>[1]Results!F1551</f>
        <v>1966438.3859999999</v>
      </c>
      <c r="D65" s="6">
        <f>[1]Results!G1551</f>
        <v>1997094.0649999999</v>
      </c>
      <c r="E65" s="6">
        <f>[1]Results!H1551</f>
        <v>2026199.588</v>
      </c>
      <c r="F65" s="6">
        <f>[1]Results!I1551</f>
        <v>2054509.875</v>
      </c>
      <c r="G65" s="6">
        <f>[1]Results!J1551</f>
        <v>2086663.9539999999</v>
      </c>
      <c r="H65" s="6">
        <f>[1]Results!K1551</f>
        <v>2128034.7220000001</v>
      </c>
      <c r="I65" s="6">
        <f>[1]Results!L1551</f>
        <v>2170733.7659999998</v>
      </c>
      <c r="J65" s="6">
        <f>[1]Results!M1551</f>
        <v>2214104.6949999998</v>
      </c>
      <c r="K65" s="6">
        <f>[1]Results!N1551</f>
        <v>2258223.497</v>
      </c>
      <c r="L65" s="6">
        <f>[1]Results!O1551</f>
        <v>2303260.659</v>
      </c>
      <c r="M65" s="6">
        <f>[1]Results!P1551</f>
        <v>2349912.8429999999</v>
      </c>
      <c r="N65" s="6">
        <f>[1]Results!Q1551</f>
        <v>2397580.375</v>
      </c>
      <c r="O65" s="6">
        <f>[1]Results!R1551</f>
        <v>2446785.5389999999</v>
      </c>
      <c r="P65" s="6">
        <f>[1]Results!S1551</f>
        <v>2497603.023</v>
      </c>
      <c r="Q65" s="6">
        <f>[1]Results!T1551</f>
        <v>2549944.9029999999</v>
      </c>
      <c r="R65" s="6">
        <f>[1]Results!U1551</f>
        <v>2603658.2880000002</v>
      </c>
      <c r="S65" s="6">
        <f>[1]Results!V1551</f>
        <v>2655918.7379999999</v>
      </c>
      <c r="T65" s="6">
        <f>[1]Results!W1551</f>
        <v>2708811.571</v>
      </c>
      <c r="U65" s="6">
        <f>[1]Results!X1551</f>
        <v>2762317.3739999998</v>
      </c>
      <c r="V65" s="6">
        <f>[1]Results!Y1551</f>
        <v>2816513.977</v>
      </c>
      <c r="W65" s="6">
        <f>[1]Results!Z1551</f>
        <v>2871161.0440000002</v>
      </c>
      <c r="X65" s="6">
        <f>[1]Results!AA1551</f>
        <v>2924265.2960000001</v>
      </c>
      <c r="Y65" s="6">
        <f>[1]Results!AB1551</f>
        <v>2977964.5189999999</v>
      </c>
      <c r="Z65" s="6">
        <f>[1]Results!AC1551</f>
        <v>3032378.84</v>
      </c>
      <c r="AA65" s="6">
        <f>[1]Results!AD1551</f>
        <v>3087683.3339999998</v>
      </c>
      <c r="AB65" s="6">
        <f>[1]Results!AE1551</f>
        <v>3143023.5380000002</v>
      </c>
      <c r="AC65" s="6">
        <f>[1]Results!AF1551</f>
        <v>3187216.0329999998</v>
      </c>
      <c r="AD65" s="6">
        <f>[1]Results!AG1551</f>
        <v>3230270.3369999998</v>
      </c>
      <c r="AE65" s="6">
        <f>[1]Results!AH1551</f>
        <v>3272402.801</v>
      </c>
      <c r="AF65" s="6">
        <f>[1]Results!AI1551</f>
        <v>3314084.4679999999</v>
      </c>
      <c r="AG65" s="6">
        <f>[1]Results!AJ1551</f>
        <v>3355752.0839999998</v>
      </c>
      <c r="AH65" s="6">
        <f>[1]Results!AK1551</f>
        <v>3405297.29</v>
      </c>
      <c r="AI65" s="6">
        <f>[1]Results!AL1551</f>
        <v>3456842.7940000002</v>
      </c>
      <c r="AJ65" s="6">
        <f>[1]Results!AM1551</f>
        <v>3510493.6</v>
      </c>
      <c r="AK65" s="6">
        <f>[1]Results!AN1551</f>
        <v>3566137.1880000001</v>
      </c>
      <c r="AL65" s="6">
        <f>[1]Results!AO1551</f>
        <v>3623614.1170000001</v>
      </c>
    </row>
    <row r="66" spans="1:38" x14ac:dyDescent="0.35">
      <c r="A66" t="s">
        <v>13</v>
      </c>
      <c r="B66" t="s">
        <v>7</v>
      </c>
      <c r="C66" s="6">
        <f>[1]Results!F1552</f>
        <v>36114.190640000001</v>
      </c>
      <c r="D66" s="6">
        <f>[1]Results!G1552</f>
        <v>36472.798750000002</v>
      </c>
      <c r="E66" s="6">
        <f>[1]Results!H1552</f>
        <v>36864.5101</v>
      </c>
      <c r="F66" s="6">
        <f>[1]Results!I1552</f>
        <v>37293.557079999999</v>
      </c>
      <c r="G66" s="6">
        <f>[1]Results!J1552</f>
        <v>37798.516669999997</v>
      </c>
      <c r="H66" s="6">
        <f>[1]Results!K1552</f>
        <v>38439.777049999997</v>
      </c>
      <c r="I66" s="6">
        <f>[1]Results!L1552</f>
        <v>39176.434710000001</v>
      </c>
      <c r="J66" s="6">
        <f>[1]Results!M1552</f>
        <v>39934.610999999997</v>
      </c>
      <c r="K66" s="6">
        <f>[1]Results!N1552</f>
        <v>40715.191639999997</v>
      </c>
      <c r="L66" s="6">
        <f>[1]Results!O1552</f>
        <v>41521.116069999996</v>
      </c>
      <c r="M66" s="6">
        <f>[1]Results!P1552</f>
        <v>42369.138599999998</v>
      </c>
      <c r="N66" s="6">
        <f>[1]Results!Q1552</f>
        <v>43238.5046</v>
      </c>
      <c r="O66" s="6">
        <f>[1]Results!R1552</f>
        <v>44140.202400000002</v>
      </c>
      <c r="P66" s="6">
        <f>[1]Results!S1552</f>
        <v>45073.44197</v>
      </c>
      <c r="Q66" s="6">
        <f>[1]Results!T1552</f>
        <v>46034.540809999999</v>
      </c>
      <c r="R66" s="6">
        <f>[1]Results!U1552</f>
        <v>47019.245970000004</v>
      </c>
      <c r="S66" s="6">
        <f>[1]Results!V1552</f>
        <v>47959.818590000003</v>
      </c>
      <c r="T66" s="6">
        <f>[1]Results!W1552</f>
        <v>48909.616090000003</v>
      </c>
      <c r="U66" s="6">
        <f>[1]Results!X1552</f>
        <v>49865.627500000002</v>
      </c>
      <c r="V66" s="6">
        <f>[1]Results!Y1552</f>
        <v>50828.935449999997</v>
      </c>
      <c r="W66" s="6">
        <f>[1]Results!Z1552</f>
        <v>51792.529970000003</v>
      </c>
      <c r="X66" s="6">
        <f>[1]Results!AA1552</f>
        <v>52711.437940000003</v>
      </c>
      <c r="Y66" s="6">
        <f>[1]Results!AB1552</f>
        <v>53639.170030000001</v>
      </c>
      <c r="Z66" s="6">
        <f>[1]Results!AC1552</f>
        <v>54576.109859999997</v>
      </c>
      <c r="AA66" s="6">
        <f>[1]Results!AD1552</f>
        <v>55526.040139999997</v>
      </c>
      <c r="AB66" s="6">
        <f>[1]Results!AE1552</f>
        <v>56466.072560000001</v>
      </c>
      <c r="AC66" s="6">
        <f>[1]Results!AF1552</f>
        <v>57136.609669999998</v>
      </c>
      <c r="AD66" s="6">
        <f>[1]Results!AG1552</f>
        <v>57792.164980000001</v>
      </c>
      <c r="AE66" s="6">
        <f>[1]Results!AH1552</f>
        <v>58427.407090000001</v>
      </c>
      <c r="AF66" s="6">
        <f>[1]Results!AI1552</f>
        <v>59051.610780000003</v>
      </c>
      <c r="AG66" s="6">
        <f>[1]Results!AJ1552</f>
        <v>59675.777150000002</v>
      </c>
      <c r="AH66" s="6">
        <f>[1]Results!AK1552</f>
        <v>60488.523880000001</v>
      </c>
      <c r="AI66" s="6">
        <f>[1]Results!AL1552</f>
        <v>61341.404609999998</v>
      </c>
      <c r="AJ66" s="6">
        <f>[1]Results!AM1552</f>
        <v>62244.695919999998</v>
      </c>
      <c r="AK66" s="6">
        <f>[1]Results!AN1552</f>
        <v>63198.120450000002</v>
      </c>
      <c r="AL66" s="6">
        <f>[1]Results!AO1552</f>
        <v>64198.508390000003</v>
      </c>
    </row>
    <row r="67" spans="1:38" x14ac:dyDescent="0.35">
      <c r="B67" t="s">
        <v>8</v>
      </c>
      <c r="C67" s="6">
        <f>[1]Results!F1555</f>
        <v>331548.22450000001</v>
      </c>
      <c r="D67" s="6">
        <f>[1]Results!G1555</f>
        <v>337812.1189</v>
      </c>
      <c r="E67" s="6">
        <f>[1]Results!H1555</f>
        <v>343474.30410000001</v>
      </c>
      <c r="F67" s="6">
        <f>[1]Results!I1555</f>
        <v>348646.31329999998</v>
      </c>
      <c r="G67" s="6">
        <f>[1]Results!J1555</f>
        <v>354698.81699999998</v>
      </c>
      <c r="H67" s="6">
        <f>[1]Results!K1555</f>
        <v>362790.01569999999</v>
      </c>
      <c r="I67" s="6">
        <f>[1]Results!L1555</f>
        <v>371142.7745</v>
      </c>
      <c r="J67" s="6">
        <f>[1]Results!M1555</f>
        <v>379752.01520000002</v>
      </c>
      <c r="K67" s="6">
        <f>[1]Results!N1555</f>
        <v>388614.10590000002</v>
      </c>
      <c r="L67" s="6">
        <f>[1]Results!O1555</f>
        <v>397751.68790000002</v>
      </c>
      <c r="M67" s="6">
        <f>[1]Results!P1555</f>
        <v>407246.77630000003</v>
      </c>
      <c r="N67" s="6">
        <f>[1]Results!Q1555</f>
        <v>416963.6655</v>
      </c>
      <c r="O67" s="6">
        <f>[1]Results!R1555</f>
        <v>427012.54399999999</v>
      </c>
      <c r="P67" s="6">
        <f>[1]Results!S1555</f>
        <v>437403.57419999997</v>
      </c>
      <c r="Q67" s="6">
        <f>[1]Results!T1555</f>
        <v>448139.15860000002</v>
      </c>
      <c r="R67" s="6">
        <f>[1]Results!U1555</f>
        <v>459213.19390000001</v>
      </c>
      <c r="S67" s="6">
        <f>[1]Results!V1555</f>
        <v>469845.02750000003</v>
      </c>
      <c r="T67" s="6">
        <f>[1]Results!W1555</f>
        <v>480790.08370000002</v>
      </c>
      <c r="U67" s="6">
        <f>[1]Results!X1555</f>
        <v>491988.78889999999</v>
      </c>
      <c r="V67" s="6">
        <f>[1]Results!Y1555</f>
        <v>503455.16970000003</v>
      </c>
      <c r="W67" s="6">
        <f>[1]Results!Z1555</f>
        <v>515163.71</v>
      </c>
      <c r="X67" s="6">
        <f>[1]Results!AA1555</f>
        <v>526460.71680000005</v>
      </c>
      <c r="Y67" s="6">
        <f>[1]Results!AB1555</f>
        <v>538088.24140000006</v>
      </c>
      <c r="Z67" s="6">
        <f>[1]Results!AC1555</f>
        <v>550008.02309999999</v>
      </c>
      <c r="AA67" s="6">
        <f>[1]Results!AD1555</f>
        <v>562243.92429999996</v>
      </c>
      <c r="AB67" s="6">
        <f>[1]Results!AE1555</f>
        <v>574673.31169999996</v>
      </c>
      <c r="AC67" s="6">
        <f>[1]Results!AF1555</f>
        <v>583921.19880000001</v>
      </c>
      <c r="AD67" s="6">
        <f>[1]Results!AG1555</f>
        <v>593448.92760000005</v>
      </c>
      <c r="AE67" s="6">
        <f>[1]Results!AH1555</f>
        <v>602975.55700000003</v>
      </c>
      <c r="AF67" s="6">
        <f>[1]Results!AI1555</f>
        <v>612523.66890000005</v>
      </c>
      <c r="AG67" s="6">
        <f>[1]Results!AJ1555</f>
        <v>622136.30469999998</v>
      </c>
      <c r="AH67" s="6">
        <f>[1]Results!AK1555</f>
        <v>634009.54480000003</v>
      </c>
      <c r="AI67" s="6">
        <f>[1]Results!AL1555</f>
        <v>646018.03729999997</v>
      </c>
      <c r="AJ67" s="6">
        <f>[1]Results!AM1555</f>
        <v>658337.41910000006</v>
      </c>
      <c r="AK67" s="6">
        <f>[1]Results!AN1555</f>
        <v>670949.19640000002</v>
      </c>
      <c r="AL67" s="6">
        <f>[1]Results!AO1555</f>
        <v>683814.07830000005</v>
      </c>
    </row>
    <row r="68" spans="1:38" x14ac:dyDescent="0.35">
      <c r="B68" t="s">
        <v>9</v>
      </c>
      <c r="C68" s="6">
        <f>[1]Results!F1567</f>
        <v>48520.7408</v>
      </c>
      <c r="D68" s="6">
        <f>[1]Results!G1567</f>
        <v>49273.55659</v>
      </c>
      <c r="E68" s="6">
        <f>[1]Results!H1567</f>
        <v>50066.948989999997</v>
      </c>
      <c r="F68" s="6">
        <f>[1]Results!I1567</f>
        <v>50938.210209999997</v>
      </c>
      <c r="G68" s="6">
        <f>[1]Results!J1567</f>
        <v>51842.300219999997</v>
      </c>
      <c r="H68" s="6">
        <f>[1]Results!K1567</f>
        <v>52746.679250000001</v>
      </c>
      <c r="I68" s="6">
        <f>[1]Results!L1567</f>
        <v>53802.649250000002</v>
      </c>
      <c r="J68" s="6">
        <f>[1]Results!M1567</f>
        <v>54877.809159999997</v>
      </c>
      <c r="K68" s="6">
        <f>[1]Results!N1567</f>
        <v>55980.180540000001</v>
      </c>
      <c r="L68" s="6">
        <f>[1]Results!O1567</f>
        <v>57123.287929999999</v>
      </c>
      <c r="M68" s="6">
        <f>[1]Results!P1567</f>
        <v>58326.131450000001</v>
      </c>
      <c r="N68" s="6">
        <f>[1]Results!Q1567</f>
        <v>59563.797059999997</v>
      </c>
      <c r="O68" s="6">
        <f>[1]Results!R1567</f>
        <v>60844.10643</v>
      </c>
      <c r="P68" s="6">
        <f>[1]Results!S1567</f>
        <v>62160.191830000003</v>
      </c>
      <c r="Q68" s="6">
        <f>[1]Results!T1567</f>
        <v>63505.625690000001</v>
      </c>
      <c r="R68" s="6">
        <f>[1]Results!U1567</f>
        <v>64875.36277</v>
      </c>
      <c r="S68" s="6">
        <f>[1]Results!V1567</f>
        <v>66162.82243</v>
      </c>
      <c r="T68" s="6">
        <f>[1]Results!W1567</f>
        <v>67465.539839999998</v>
      </c>
      <c r="U68" s="6">
        <f>[1]Results!X1567</f>
        <v>68776.190470000001</v>
      </c>
      <c r="V68" s="6">
        <f>[1]Results!Y1567</f>
        <v>70097.387780000005</v>
      </c>
      <c r="W68" s="6">
        <f>[1]Results!Z1567</f>
        <v>71425.127829999998</v>
      </c>
      <c r="X68" s="6">
        <f>[1]Results!AA1567</f>
        <v>72677.925659999994</v>
      </c>
      <c r="Y68" s="6">
        <f>[1]Results!AB1567</f>
        <v>73953.965559999997</v>
      </c>
      <c r="Z68" s="6">
        <f>[1]Results!AC1567</f>
        <v>75250.870859999995</v>
      </c>
      <c r="AA68" s="6">
        <f>[1]Results!AD1567</f>
        <v>76574.481480000002</v>
      </c>
      <c r="AB68" s="6">
        <f>[1]Results!AE1567</f>
        <v>77905.918990000006</v>
      </c>
      <c r="AC68" s="6">
        <f>[1]Results!AF1567</f>
        <v>78809.503719999993</v>
      </c>
      <c r="AD68" s="6">
        <f>[1]Results!AG1567</f>
        <v>79739.551290000003</v>
      </c>
      <c r="AE68" s="6">
        <f>[1]Results!AH1567</f>
        <v>80667.222810000007</v>
      </c>
      <c r="AF68" s="6">
        <f>[1]Results!AI1567</f>
        <v>81602.093940000006</v>
      </c>
      <c r="AG68" s="6">
        <f>[1]Results!AJ1567</f>
        <v>82556.863889999993</v>
      </c>
      <c r="AH68" s="6">
        <f>[1]Results!AK1567</f>
        <v>83828.526150000005</v>
      </c>
      <c r="AI68" s="6">
        <f>[1]Results!AL1567</f>
        <v>85147.14013</v>
      </c>
      <c r="AJ68" s="6">
        <f>[1]Results!AM1567</f>
        <v>86537.828540000002</v>
      </c>
      <c r="AK68" s="6">
        <f>[1]Results!AN1567</f>
        <v>87999.525909999997</v>
      </c>
      <c r="AL68" s="6">
        <f>[1]Results!AO1567</f>
        <v>89526.705449999994</v>
      </c>
    </row>
    <row r="69" spans="1:38" x14ac:dyDescent="0.35">
      <c r="B69" t="s">
        <v>10</v>
      </c>
      <c r="C69" s="6">
        <f>[1]Results!F1572</f>
        <v>1511704.0190000001</v>
      </c>
      <c r="D69" s="6">
        <f>[1]Results!G1572</f>
        <v>1534651.358</v>
      </c>
      <c r="E69" s="6">
        <f>[1]Results!H1572</f>
        <v>1556702.0330000001</v>
      </c>
      <c r="F69" s="6">
        <f>[1]Results!I1572</f>
        <v>1578284.84</v>
      </c>
      <c r="G69" s="6">
        <f>[1]Results!J1572</f>
        <v>1602662.72</v>
      </c>
      <c r="H69" s="6">
        <f>[1]Results!K1572</f>
        <v>1633961.5649999999</v>
      </c>
      <c r="I69" s="6">
        <f>[1]Results!L1572</f>
        <v>1665952.0020000001</v>
      </c>
      <c r="J69" s="6">
        <f>[1]Results!M1572</f>
        <v>1698353.7949999999</v>
      </c>
      <c r="K69" s="6">
        <f>[1]Results!N1572</f>
        <v>1731206.8430000001</v>
      </c>
      <c r="L69" s="6">
        <f>[1]Results!O1572</f>
        <v>1764637.855</v>
      </c>
      <c r="M69" s="6">
        <f>[1]Results!P1572</f>
        <v>1799206.6189999999</v>
      </c>
      <c r="N69" s="6">
        <f>[1]Results!Q1572</f>
        <v>1834513.2860000001</v>
      </c>
      <c r="O69" s="6">
        <f>[1]Results!R1572</f>
        <v>1870936.254</v>
      </c>
      <c r="P69" s="6">
        <f>[1]Results!S1572</f>
        <v>1908542.392</v>
      </c>
      <c r="Q69" s="6">
        <f>[1]Results!T1572</f>
        <v>1947250.2050000001</v>
      </c>
      <c r="R69" s="6">
        <f>[1]Results!U1572</f>
        <v>1986923.0759999999</v>
      </c>
      <c r="S69" s="6">
        <f>[1]Results!V1572</f>
        <v>2025740.8430000001</v>
      </c>
      <c r="T69" s="6">
        <f>[1]Results!W1572</f>
        <v>2064839.415</v>
      </c>
      <c r="U69" s="6">
        <f>[1]Results!X1572</f>
        <v>2104268.3259999999</v>
      </c>
      <c r="V69" s="6">
        <f>[1]Results!Y1572</f>
        <v>2144086.923</v>
      </c>
      <c r="W69" s="6">
        <f>[1]Results!Z1572</f>
        <v>2184099.9619999998</v>
      </c>
      <c r="X69" s="6">
        <f>[1]Results!AA1572</f>
        <v>2223124.9610000001</v>
      </c>
      <c r="Y69" s="6">
        <f>[1]Results!AB1572</f>
        <v>2262365.4849999999</v>
      </c>
      <c r="Z69" s="6">
        <f>[1]Results!AC1572</f>
        <v>2301980.835</v>
      </c>
      <c r="AA69" s="6">
        <f>[1]Results!AD1572</f>
        <v>2342111.7000000002</v>
      </c>
      <c r="AB69" s="6">
        <f>[1]Results!AE1572</f>
        <v>2382094.0490000001</v>
      </c>
      <c r="AC69" s="6">
        <f>[1]Results!AF1572</f>
        <v>2415004.73</v>
      </c>
      <c r="AD69" s="6">
        <f>[1]Results!AG1572</f>
        <v>2446483.2999999998</v>
      </c>
      <c r="AE69" s="6">
        <f>[1]Results!AH1572</f>
        <v>2477057.1710000001</v>
      </c>
      <c r="AF69" s="6">
        <f>[1]Results!AI1572</f>
        <v>2507154.1</v>
      </c>
      <c r="AG69" s="6">
        <f>[1]Results!AJ1572</f>
        <v>2537142.2489999998</v>
      </c>
      <c r="AH69" s="6">
        <f>[1]Results!AK1572</f>
        <v>2572095.67</v>
      </c>
      <c r="AI69" s="6">
        <f>[1]Results!AL1572</f>
        <v>2608804.23</v>
      </c>
      <c r="AJ69" s="6">
        <f>[1]Results!AM1572</f>
        <v>2647164.4449999998</v>
      </c>
      <c r="AK69" s="6">
        <f>[1]Results!AN1572</f>
        <v>2687084.5019999999</v>
      </c>
      <c r="AL69" s="6">
        <f>[1]Results!AO1572</f>
        <v>2728453.9440000001</v>
      </c>
    </row>
    <row r="70" spans="1:38" x14ac:dyDescent="0.35">
      <c r="B70" t="s">
        <v>12</v>
      </c>
      <c r="C70" s="6">
        <f>[1]Results!F1575</f>
        <v>-2031.3633159999999</v>
      </c>
      <c r="D70" s="6">
        <f>[1]Results!G1575</f>
        <v>-2087.1233240000001</v>
      </c>
      <c r="E70" s="6">
        <f>[1]Results!H1575</f>
        <v>-2080.210032</v>
      </c>
      <c r="F70" s="6">
        <f>[1]Results!I1575</f>
        <v>-2004.108459</v>
      </c>
      <c r="G70" s="6">
        <f>[1]Results!J1575</f>
        <v>-1939.7606330000001</v>
      </c>
      <c r="H70" s="6">
        <f>[1]Results!K1575</f>
        <v>-1989.7753949999999</v>
      </c>
      <c r="I70" s="6">
        <f>[1]Results!L1575</f>
        <v>-1959.56124</v>
      </c>
      <c r="J70" s="6">
        <f>[1]Results!M1575</f>
        <v>-1971.6164269999999</v>
      </c>
      <c r="K70" s="6">
        <f>[1]Results!N1575</f>
        <v>-1994.2068839999999</v>
      </c>
      <c r="L70" s="6">
        <f>[1]Results!O1575</f>
        <v>-2021.9344630000001</v>
      </c>
      <c r="M70" s="6">
        <f>[1]Results!P1575</f>
        <v>-2052.6040950000001</v>
      </c>
      <c r="N70" s="6">
        <f>[1]Results!Q1575</f>
        <v>-2086.5383120000001</v>
      </c>
      <c r="O70" s="6">
        <f>[1]Results!R1575</f>
        <v>-2122.2321569999999</v>
      </c>
      <c r="P70" s="6">
        <f>[1]Results!S1575</f>
        <v>-2159.8714930000001</v>
      </c>
      <c r="Q70" s="6">
        <f>[1]Results!T1575</f>
        <v>-2199.617135</v>
      </c>
      <c r="R70" s="6">
        <f>[1]Results!U1575</f>
        <v>-2241.4905789999998</v>
      </c>
      <c r="S70" s="6">
        <f>[1]Results!V1575</f>
        <v>-2287.2905740000001</v>
      </c>
      <c r="T70" s="6">
        <f>[1]Results!W1575</f>
        <v>-2330.369862</v>
      </c>
      <c r="U70" s="6">
        <f>[1]Results!X1575</f>
        <v>-2373.4990349999998</v>
      </c>
      <c r="V70" s="6">
        <f>[1]Results!Y1575</f>
        <v>-2417.1908570000001</v>
      </c>
      <c r="W70" s="6">
        <f>[1]Results!Z1575</f>
        <v>-2461.6656320000002</v>
      </c>
      <c r="X70" s="6">
        <f>[1]Results!AA1575</f>
        <v>-2508.0175979999999</v>
      </c>
      <c r="Y70" s="6">
        <f>[1]Results!AB1575</f>
        <v>-2550.4275170000001</v>
      </c>
      <c r="Z70" s="6">
        <f>[1]Results!AC1575</f>
        <v>-2591.8679750000001</v>
      </c>
      <c r="AA70" s="6">
        <f>[1]Results!AD1575</f>
        <v>-2633.07465</v>
      </c>
      <c r="AB70" s="6">
        <f>[1]Results!AE1575</f>
        <v>-2675.0154250000001</v>
      </c>
      <c r="AC70" s="6">
        <f>[1]Results!AF1575</f>
        <v>-2725.0486460000002</v>
      </c>
      <c r="AD70" s="6">
        <f>[1]Results!AG1575</f>
        <v>-2754.902313</v>
      </c>
      <c r="AE70" s="6">
        <f>[1]Results!AH1575</f>
        <v>-2779.1661260000001</v>
      </c>
      <c r="AF70" s="6">
        <f>[1]Results!AI1575</f>
        <v>-2801.5140769999998</v>
      </c>
      <c r="AG70" s="6">
        <f>[1]Results!AJ1575</f>
        <v>-2822.6935050000002</v>
      </c>
      <c r="AH70" s="6">
        <f>[1]Results!AK1575</f>
        <v>-2837.4929000000002</v>
      </c>
      <c r="AI70" s="6">
        <f>[1]Results!AL1575</f>
        <v>-2863.9249249999998</v>
      </c>
      <c r="AJ70" s="6">
        <f>[1]Results!AM1575</f>
        <v>-2893.3433719999998</v>
      </c>
      <c r="AK70" s="6">
        <f>[1]Results!AN1575</f>
        <v>-2923.7279530000001</v>
      </c>
      <c r="AL70" s="6">
        <f>[1]Results!AO1575</f>
        <v>-2954.8635549999999</v>
      </c>
    </row>
    <row r="71" spans="1:38" x14ac:dyDescent="0.35">
      <c r="B71" t="s">
        <v>11</v>
      </c>
      <c r="C71" s="6">
        <f>[1]Results!F1580</f>
        <v>40582.573940000002</v>
      </c>
      <c r="D71" s="6">
        <f>[1]Results!G1580</f>
        <v>40971.356140000004</v>
      </c>
      <c r="E71" s="6">
        <f>[1]Results!H1580</f>
        <v>41172.001510000002</v>
      </c>
      <c r="F71" s="6">
        <f>[1]Results!I1580</f>
        <v>41351.062760000001</v>
      </c>
      <c r="G71" s="6">
        <f>[1]Results!J1580</f>
        <v>41601.36088</v>
      </c>
      <c r="H71" s="6">
        <f>[1]Results!K1580</f>
        <v>42086.460469999998</v>
      </c>
      <c r="I71" s="6">
        <f>[1]Results!L1580</f>
        <v>42619.466939999998</v>
      </c>
      <c r="J71" s="6">
        <f>[1]Results!M1580</f>
        <v>43158.081030000001</v>
      </c>
      <c r="K71" s="6">
        <f>[1]Results!N1580</f>
        <v>43701.383170000001</v>
      </c>
      <c r="L71" s="6">
        <f>[1]Results!O1580</f>
        <v>44248.646950000002</v>
      </c>
      <c r="M71" s="6">
        <f>[1]Results!P1580</f>
        <v>44816.781909999998</v>
      </c>
      <c r="N71" s="6">
        <f>[1]Results!Q1580</f>
        <v>45387.659930000002</v>
      </c>
      <c r="O71" s="6">
        <f>[1]Results!R1580</f>
        <v>45974.664599999996</v>
      </c>
      <c r="P71" s="6">
        <f>[1]Results!S1580</f>
        <v>46583.294029999997</v>
      </c>
      <c r="Q71" s="6">
        <f>[1]Results!T1580</f>
        <v>47214.990380000003</v>
      </c>
      <c r="R71" s="6">
        <f>[1]Results!U1580</f>
        <v>47868.900320000001</v>
      </c>
      <c r="S71" s="6">
        <f>[1]Results!V1580</f>
        <v>48497.516100000001</v>
      </c>
      <c r="T71" s="6">
        <f>[1]Results!W1580</f>
        <v>49137.28602</v>
      </c>
      <c r="U71" s="6">
        <f>[1]Results!X1580</f>
        <v>49791.940390000003</v>
      </c>
      <c r="V71" s="6">
        <f>[1]Results!Y1580</f>
        <v>50462.751909999999</v>
      </c>
      <c r="W71" s="6">
        <f>[1]Results!Z1580</f>
        <v>51141.38005</v>
      </c>
      <c r="X71" s="6">
        <f>[1]Results!AA1580</f>
        <v>51798.27132</v>
      </c>
      <c r="Y71" s="6">
        <f>[1]Results!AB1580</f>
        <v>52468.084580000002</v>
      </c>
      <c r="Z71" s="6">
        <f>[1]Results!AC1580</f>
        <v>53154.868889999998</v>
      </c>
      <c r="AA71" s="6">
        <f>[1]Results!AD1580</f>
        <v>53860.262499999997</v>
      </c>
      <c r="AB71" s="6">
        <f>[1]Results!AE1580</f>
        <v>54559.200830000002</v>
      </c>
      <c r="AC71" s="6">
        <f>[1]Results!AF1580</f>
        <v>55069.0389</v>
      </c>
      <c r="AD71" s="6">
        <f>[1]Results!AG1580</f>
        <v>55561.294990000002</v>
      </c>
      <c r="AE71" s="6">
        <f>[1]Results!AH1580</f>
        <v>56054.609759999999</v>
      </c>
      <c r="AF71" s="6">
        <f>[1]Results!AI1580</f>
        <v>56554.50834</v>
      </c>
      <c r="AG71" s="6">
        <f>[1]Results!AJ1580</f>
        <v>57063.582340000001</v>
      </c>
      <c r="AH71" s="6">
        <f>[1]Results!AK1580</f>
        <v>57712.51715</v>
      </c>
      <c r="AI71" s="6">
        <f>[1]Results!AL1580</f>
        <v>58395.907010000003</v>
      </c>
      <c r="AJ71" s="6">
        <f>[1]Results!AM1580</f>
        <v>59102.554519999998</v>
      </c>
      <c r="AK71" s="6">
        <f>[1]Results!AN1580</f>
        <v>59829.570699999997</v>
      </c>
      <c r="AL71" s="6">
        <f>[1]Results!AO1580</f>
        <v>60575.745199999998</v>
      </c>
    </row>
    <row r="73" spans="1:38" x14ac:dyDescent="0.35">
      <c r="B73" t="s">
        <v>15</v>
      </c>
      <c r="C73" s="6">
        <f>[1]Results!F1512</f>
        <v>1966438.3859999999</v>
      </c>
      <c r="D73" s="6">
        <f>[1]Results!G1512</f>
        <v>1997094.0649999999</v>
      </c>
      <c r="E73" s="6">
        <f>[1]Results!H1512</f>
        <v>2026199.588</v>
      </c>
      <c r="F73" s="6">
        <f>[1]Results!I1512</f>
        <v>2054509.875</v>
      </c>
      <c r="G73" s="6">
        <f>[1]Results!J1512</f>
        <v>2086663.9539999999</v>
      </c>
      <c r="H73" s="6">
        <f>[1]Results!K1512</f>
        <v>2128034.7220000001</v>
      </c>
      <c r="I73" s="6">
        <f>[1]Results!L1512</f>
        <v>2169475.9939999999</v>
      </c>
      <c r="J73" s="6">
        <f>[1]Results!M1512</f>
        <v>2212478.5389999999</v>
      </c>
      <c r="K73" s="6">
        <f>[1]Results!N1512</f>
        <v>2257212.2050000001</v>
      </c>
      <c r="L73" s="6">
        <f>[1]Results!O1512</f>
        <v>2304391.5669999998</v>
      </c>
      <c r="M73" s="6">
        <f>[1]Results!P1512</f>
        <v>2355220.4190000002</v>
      </c>
      <c r="N73" s="6">
        <f>[1]Results!Q1512</f>
        <v>2404465.9789999998</v>
      </c>
      <c r="O73" s="6">
        <f>[1]Results!R1512</f>
        <v>2455294.375</v>
      </c>
      <c r="P73" s="6">
        <f>[1]Results!S1512</f>
        <v>2507861.2540000002</v>
      </c>
      <c r="Q73" s="6">
        <f>[1]Results!T1512</f>
        <v>2561671.807</v>
      </c>
      <c r="R73" s="6">
        <f>[1]Results!U1512</f>
        <v>2616254.5520000001</v>
      </c>
      <c r="S73" s="6">
        <f>[1]Results!V1512</f>
        <v>2669995.4040000001</v>
      </c>
      <c r="T73" s="6">
        <f>[1]Results!W1512</f>
        <v>2723590.96</v>
      </c>
      <c r="U73" s="6">
        <f>[1]Results!X1512</f>
        <v>2776934.2039999999</v>
      </c>
      <c r="V73" s="6">
        <f>[1]Results!Y1512</f>
        <v>2830191.8629999999</v>
      </c>
      <c r="W73" s="6">
        <f>[1]Results!Z1512</f>
        <v>2883255.5559999999</v>
      </c>
      <c r="X73" s="6">
        <f>[1]Results!AA1512</f>
        <v>2933690.497</v>
      </c>
      <c r="Y73" s="6">
        <f>[1]Results!AB1512</f>
        <v>2984129.4029999999</v>
      </c>
      <c r="Z73" s="6">
        <f>[1]Results!AC1512</f>
        <v>3034796.537</v>
      </c>
      <c r="AA73" s="6">
        <f>[1]Results!AD1512</f>
        <v>3085879.4210000001</v>
      </c>
      <c r="AB73" s="6">
        <f>[1]Results!AE1512</f>
        <v>3136527.645</v>
      </c>
      <c r="AC73" s="6">
        <f>[1]Results!AF1512</f>
        <v>3184863.7620000001</v>
      </c>
      <c r="AD73" s="6">
        <f>[1]Results!AG1512</f>
        <v>3233338.5959999999</v>
      </c>
      <c r="AE73" s="6">
        <f>[1]Results!AH1512</f>
        <v>3282252.156</v>
      </c>
      <c r="AF73" s="6">
        <f>[1]Results!AI1512</f>
        <v>3331914.3730000001</v>
      </c>
      <c r="AG73" s="6">
        <f>[1]Results!AJ1512</f>
        <v>3382574.6690000002</v>
      </c>
      <c r="AH73" s="6">
        <f>[1]Results!AK1512</f>
        <v>3433395.568</v>
      </c>
      <c r="AI73" s="6">
        <f>[1]Results!AL1512</f>
        <v>3485334.7310000001</v>
      </c>
      <c r="AJ73" s="6">
        <f>[1]Results!AM1512</f>
        <v>3538516.196</v>
      </c>
      <c r="AK73" s="6">
        <f>[1]Results!AN1512</f>
        <v>3593004.9610000001</v>
      </c>
      <c r="AL73" s="6">
        <f>[1]Results!AO1512</f>
        <v>3648828.0180000002</v>
      </c>
    </row>
    <row r="74" spans="1:38" x14ac:dyDescent="0.35">
      <c r="A74" t="s">
        <v>14</v>
      </c>
      <c r="B74" t="s">
        <v>7</v>
      </c>
      <c r="C74" s="6">
        <f>[1]Results!F1513</f>
        <v>36114.190640000001</v>
      </c>
      <c r="D74" s="6">
        <f>[1]Results!G1513</f>
        <v>36472.798750000002</v>
      </c>
      <c r="E74" s="6">
        <f>[1]Results!H1513</f>
        <v>36864.5101</v>
      </c>
      <c r="F74" s="6">
        <f>[1]Results!I1513</f>
        <v>37293.557079999999</v>
      </c>
      <c r="G74" s="6">
        <f>[1]Results!J1513</f>
        <v>37798.516669999997</v>
      </c>
      <c r="H74" s="6">
        <f>[1]Results!K1513</f>
        <v>38439.777049999997</v>
      </c>
      <c r="I74" s="6">
        <f>[1]Results!L1513</f>
        <v>39147.202729999997</v>
      </c>
      <c r="J74" s="6">
        <f>[1]Results!M1513</f>
        <v>39892.771070000003</v>
      </c>
      <c r="K74" s="6">
        <f>[1]Results!N1513</f>
        <v>40683.68361</v>
      </c>
      <c r="L74" s="6">
        <f>[1]Results!O1513</f>
        <v>41539.45594</v>
      </c>
      <c r="M74" s="6">
        <f>[1]Results!P1513</f>
        <v>42492.858970000001</v>
      </c>
      <c r="N74" s="6">
        <f>[1]Results!Q1513</f>
        <v>43414.67555</v>
      </c>
      <c r="O74" s="6">
        <f>[1]Results!R1513</f>
        <v>44374.472930000004</v>
      </c>
      <c r="P74" s="6">
        <f>[1]Results!S1513</f>
        <v>45372.068050000002</v>
      </c>
      <c r="Q74" s="6">
        <f>[1]Results!T1513</f>
        <v>46393.206440000002</v>
      </c>
      <c r="R74" s="6">
        <f>[1]Results!U1513</f>
        <v>47425.714370000002</v>
      </c>
      <c r="S74" s="6">
        <f>[1]Results!V1513</f>
        <v>48433.12833</v>
      </c>
      <c r="T74" s="6">
        <f>[1]Results!W1513</f>
        <v>49436.359949999998</v>
      </c>
      <c r="U74" s="6">
        <f>[1]Results!X1513</f>
        <v>50430.188679999999</v>
      </c>
      <c r="V74" s="6">
        <f>[1]Results!Y1513</f>
        <v>51415.549019999999</v>
      </c>
      <c r="W74" s="6">
        <f>[1]Results!Z1513</f>
        <v>52386.404069999997</v>
      </c>
      <c r="X74" s="6">
        <f>[1]Results!AA1513</f>
        <v>53282.799270000003</v>
      </c>
      <c r="Y74" s="6">
        <f>[1]Results!AB1513</f>
        <v>54171.112130000001</v>
      </c>
      <c r="Z74" s="6">
        <f>[1]Results!AC1513</f>
        <v>55054.573830000001</v>
      </c>
      <c r="AA74" s="6">
        <f>[1]Results!AD1513</f>
        <v>55937.299480000001</v>
      </c>
      <c r="AB74" s="6">
        <f>[1]Results!AE1513</f>
        <v>56796.563410000002</v>
      </c>
      <c r="AC74" s="6">
        <f>[1]Results!AF1513</f>
        <v>57591.823759999999</v>
      </c>
      <c r="AD74" s="6">
        <f>[1]Results!AG1513</f>
        <v>58386.463109999997</v>
      </c>
      <c r="AE74" s="6">
        <f>[1]Results!AH1513</f>
        <v>59186.096310000001</v>
      </c>
      <c r="AF74" s="6">
        <f>[1]Results!AI1513</f>
        <v>59997.51064</v>
      </c>
      <c r="AG74" s="6">
        <f>[1]Results!AJ1513</f>
        <v>60826.34792</v>
      </c>
      <c r="AH74" s="6">
        <f>[1]Results!AK1513</f>
        <v>61650.987300000001</v>
      </c>
      <c r="AI74" s="6">
        <f>[1]Results!AL1513</f>
        <v>62496.578079999999</v>
      </c>
      <c r="AJ74" s="6">
        <f>[1]Results!AM1513</f>
        <v>63365.949919999999</v>
      </c>
      <c r="AK74" s="6">
        <f>[1]Results!AN1513</f>
        <v>64260.70448</v>
      </c>
      <c r="AL74" s="6">
        <f>[1]Results!AO1513</f>
        <v>65181.577700000002</v>
      </c>
    </row>
    <row r="75" spans="1:38" x14ac:dyDescent="0.35">
      <c r="B75" t="s">
        <v>8</v>
      </c>
      <c r="C75" s="6">
        <f>[1]Results!F1516</f>
        <v>331548.22450000001</v>
      </c>
      <c r="D75" s="6">
        <f>[1]Results!G1516</f>
        <v>337812.1189</v>
      </c>
      <c r="E75" s="6">
        <f>[1]Results!H1516</f>
        <v>343474.30410000001</v>
      </c>
      <c r="F75" s="6">
        <f>[1]Results!I1516</f>
        <v>348646.31329999998</v>
      </c>
      <c r="G75" s="6">
        <f>[1]Results!J1516</f>
        <v>354698.81699999998</v>
      </c>
      <c r="H75" s="6">
        <f>[1]Results!K1516</f>
        <v>362790.01569999999</v>
      </c>
      <c r="I75" s="6">
        <f>[1]Results!L1516</f>
        <v>370797.89409999998</v>
      </c>
      <c r="J75" s="6">
        <f>[1]Results!M1516</f>
        <v>379103.7475</v>
      </c>
      <c r="K75" s="6">
        <f>[1]Results!N1516</f>
        <v>387624.54950000002</v>
      </c>
      <c r="L75" s="6">
        <f>[1]Results!O1516</f>
        <v>396382.76740000001</v>
      </c>
      <c r="M75" s="6">
        <f>[1]Results!P1516</f>
        <v>405428.92099999997</v>
      </c>
      <c r="N75" s="6">
        <f>[1]Results!Q1516</f>
        <v>414374.39159999997</v>
      </c>
      <c r="O75" s="6">
        <f>[1]Results!R1516</f>
        <v>423739.19939999998</v>
      </c>
      <c r="P75" s="6">
        <f>[1]Results!S1516</f>
        <v>433501.0968</v>
      </c>
      <c r="Q75" s="6">
        <f>[1]Results!T1516</f>
        <v>443592.3075</v>
      </c>
      <c r="R75" s="6">
        <f>[1]Results!U1516</f>
        <v>453952.31530000002</v>
      </c>
      <c r="S75" s="6">
        <f>[1]Results!V1516</f>
        <v>464088.6617</v>
      </c>
      <c r="T75" s="6">
        <f>[1]Results!W1516</f>
        <v>474325.40529999998</v>
      </c>
      <c r="U75" s="6">
        <f>[1]Results!X1516</f>
        <v>484594.60960000003</v>
      </c>
      <c r="V75" s="6">
        <f>[1]Results!Y1516</f>
        <v>494922.065</v>
      </c>
      <c r="W75" s="6">
        <f>[1]Results!Z1516</f>
        <v>505303.58760000003</v>
      </c>
      <c r="X75" s="6">
        <f>[1]Results!AA1516</f>
        <v>515076.02159999998</v>
      </c>
      <c r="Y75" s="6">
        <f>[1]Results!AB1516</f>
        <v>525060.90469999996</v>
      </c>
      <c r="Z75" s="6">
        <f>[1]Results!AC1516</f>
        <v>535233.14720000001</v>
      </c>
      <c r="AA75" s="6">
        <f>[1]Results!AD1516</f>
        <v>545622.57440000004</v>
      </c>
      <c r="AB75" s="6">
        <f>[1]Results!AE1516</f>
        <v>556116.20360000001</v>
      </c>
      <c r="AC75" s="6">
        <f>[1]Results!AF1516</f>
        <v>566119.1581</v>
      </c>
      <c r="AD75" s="6">
        <f>[1]Results!AG1516</f>
        <v>576404.79909999995</v>
      </c>
      <c r="AE75" s="6">
        <f>[1]Results!AH1516</f>
        <v>586937.05020000006</v>
      </c>
      <c r="AF75" s="6">
        <f>[1]Results!AI1516</f>
        <v>597742.49650000001</v>
      </c>
      <c r="AG75" s="6">
        <f>[1]Results!AJ1516</f>
        <v>608847.34030000004</v>
      </c>
      <c r="AH75" s="6">
        <f>[1]Results!AK1516</f>
        <v>620042.28639999998</v>
      </c>
      <c r="AI75" s="6">
        <f>[1]Results!AL1516</f>
        <v>631587.1618</v>
      </c>
      <c r="AJ75" s="6">
        <f>[1]Results!AM1516</f>
        <v>643465.03810000001</v>
      </c>
      <c r="AK75" s="6">
        <f>[1]Results!AN1516</f>
        <v>655669.72129999998</v>
      </c>
      <c r="AL75" s="6">
        <f>[1]Results!AO1516</f>
        <v>668191.45929999999</v>
      </c>
    </row>
    <row r="76" spans="1:38" x14ac:dyDescent="0.35">
      <c r="B76" t="s">
        <v>9</v>
      </c>
      <c r="C76" s="6">
        <f>[1]Results!F1528</f>
        <v>48520.7408</v>
      </c>
      <c r="D76" s="6">
        <f>[1]Results!G1528</f>
        <v>49273.55659</v>
      </c>
      <c r="E76" s="6">
        <f>[1]Results!H1528</f>
        <v>50066.948989999997</v>
      </c>
      <c r="F76" s="6">
        <f>[1]Results!I1528</f>
        <v>50938.210209999997</v>
      </c>
      <c r="G76" s="6">
        <f>[1]Results!J1528</f>
        <v>51842.300219999997</v>
      </c>
      <c r="H76" s="6">
        <f>[1]Results!K1528</f>
        <v>52746.679250000001</v>
      </c>
      <c r="I76" s="6">
        <f>[1]Results!L1528</f>
        <v>53759.698190000003</v>
      </c>
      <c r="J76" s="6">
        <f>[1]Results!M1528</f>
        <v>54854.130599999997</v>
      </c>
      <c r="K76" s="6">
        <f>[1]Results!N1528</f>
        <v>56020.156470000002</v>
      </c>
      <c r="L76" s="6">
        <f>[1]Results!O1528</f>
        <v>57274.037490000002</v>
      </c>
      <c r="M76" s="6">
        <f>[1]Results!P1528</f>
        <v>58638.420100000003</v>
      </c>
      <c r="N76" s="6">
        <f>[1]Results!Q1528</f>
        <v>59903.33223</v>
      </c>
      <c r="O76" s="6">
        <f>[1]Results!R1528</f>
        <v>61161.776330000001</v>
      </c>
      <c r="P76" s="6">
        <f>[1]Results!S1528</f>
        <v>62416.76266</v>
      </c>
      <c r="Q76" s="6">
        <f>[1]Results!T1528</f>
        <v>63657.99222</v>
      </c>
      <c r="R76" s="6">
        <f>[1]Results!U1528</f>
        <v>64876.196830000001</v>
      </c>
      <c r="S76" s="6">
        <f>[1]Results!V1528</f>
        <v>66027.289969999998</v>
      </c>
      <c r="T76" s="6">
        <f>[1]Results!W1528</f>
        <v>67180.324619999999</v>
      </c>
      <c r="U76" s="6">
        <f>[1]Results!X1528</f>
        <v>68343.724109999996</v>
      </c>
      <c r="V76" s="6">
        <f>[1]Results!Y1528</f>
        <v>69524.913020000007</v>
      </c>
      <c r="W76" s="6">
        <f>[1]Results!Z1528</f>
        <v>70718.871790000005</v>
      </c>
      <c r="X76" s="6">
        <f>[1]Results!AA1528</f>
        <v>71817.279729999995</v>
      </c>
      <c r="Y76" s="6">
        <f>[1]Results!AB1528</f>
        <v>72928.671159999998</v>
      </c>
      <c r="Z76" s="6">
        <f>[1]Results!AC1528</f>
        <v>74050.272459999993</v>
      </c>
      <c r="AA76" s="6">
        <f>[1]Results!AD1528</f>
        <v>75185.143200000006</v>
      </c>
      <c r="AB76" s="6">
        <f>[1]Results!AE1528</f>
        <v>76311.870139999999</v>
      </c>
      <c r="AC76" s="6">
        <f>[1]Results!AF1528</f>
        <v>77350.272570000001</v>
      </c>
      <c r="AD76" s="6">
        <f>[1]Results!AG1528</f>
        <v>78408.289940000002</v>
      </c>
      <c r="AE76" s="6">
        <f>[1]Results!AH1528</f>
        <v>79487.705289999998</v>
      </c>
      <c r="AF76" s="6">
        <f>[1]Results!AI1528</f>
        <v>80595.837979999997</v>
      </c>
      <c r="AG76" s="6">
        <f>[1]Results!AJ1528</f>
        <v>81738.744949999993</v>
      </c>
      <c r="AH76" s="6">
        <f>[1]Results!AK1528</f>
        <v>82882.798980000007</v>
      </c>
      <c r="AI76" s="6">
        <f>[1]Results!AL1528</f>
        <v>84066.460890000002</v>
      </c>
      <c r="AJ76" s="6">
        <f>[1]Results!AM1528</f>
        <v>85291.02562</v>
      </c>
      <c r="AK76" s="6">
        <f>[1]Results!AN1528</f>
        <v>86557.813290000006</v>
      </c>
      <c r="AL76" s="6">
        <f>[1]Results!AO1528</f>
        <v>87866.927599999995</v>
      </c>
    </row>
    <row r="77" spans="1:38" x14ac:dyDescent="0.35">
      <c r="B77" t="s">
        <v>10</v>
      </c>
      <c r="C77" s="6">
        <f>[1]Results!F1533</f>
        <v>1511704.0190000001</v>
      </c>
      <c r="D77" s="6">
        <f>[1]Results!G1533</f>
        <v>1534651.358</v>
      </c>
      <c r="E77" s="6">
        <f>[1]Results!H1533</f>
        <v>1556702.0330000001</v>
      </c>
      <c r="F77" s="6">
        <f>[1]Results!I1533</f>
        <v>1578284.84</v>
      </c>
      <c r="G77" s="6">
        <f>[1]Results!J1533</f>
        <v>1602662.72</v>
      </c>
      <c r="H77" s="6">
        <f>[1]Results!K1533</f>
        <v>1633961.5649999999</v>
      </c>
      <c r="I77" s="6">
        <f>[1]Results!L1533</f>
        <v>1665134.514</v>
      </c>
      <c r="J77" s="6">
        <f>[1]Results!M1533</f>
        <v>1697453.034</v>
      </c>
      <c r="K77" s="6">
        <f>[1]Results!N1533</f>
        <v>1731185.9240000001</v>
      </c>
      <c r="L77" s="6">
        <f>[1]Results!O1533</f>
        <v>1766993.831</v>
      </c>
      <c r="M77" s="6">
        <f>[1]Results!P1533</f>
        <v>1805960.8189999999</v>
      </c>
      <c r="N77" s="6">
        <f>[1]Results!Q1533</f>
        <v>1843732.1429999999</v>
      </c>
      <c r="O77" s="6">
        <f>[1]Results!R1533</f>
        <v>1882639.791</v>
      </c>
      <c r="P77" s="6">
        <f>[1]Results!S1533</f>
        <v>1922830.53</v>
      </c>
      <c r="Q77" s="6">
        <f>[1]Results!T1533</f>
        <v>1963913.129</v>
      </c>
      <c r="R77" s="6">
        <f>[1]Results!U1533</f>
        <v>2005521.226</v>
      </c>
      <c r="S77" s="6">
        <f>[1]Results!V1533</f>
        <v>2046644.6540000001</v>
      </c>
      <c r="T77" s="6">
        <f>[1]Results!W1533</f>
        <v>2087501.4450000001</v>
      </c>
      <c r="U77" s="6">
        <f>[1]Results!X1533</f>
        <v>2128032.6609999998</v>
      </c>
      <c r="V77" s="6">
        <f>[1]Results!Y1533</f>
        <v>2168372.213</v>
      </c>
      <c r="W77" s="6">
        <f>[1]Results!Z1533</f>
        <v>2208437.1329999999</v>
      </c>
      <c r="X77" s="6">
        <f>[1]Results!AA1533</f>
        <v>2246668.9870000002</v>
      </c>
      <c r="Y77" s="6">
        <f>[1]Results!AB1533</f>
        <v>2284648.7919999999</v>
      </c>
      <c r="Z77" s="6">
        <f>[1]Results!AC1533</f>
        <v>2322624.9569999999</v>
      </c>
      <c r="AA77" s="6">
        <f>[1]Results!AD1533</f>
        <v>2360751.9959999998</v>
      </c>
      <c r="AB77" s="6">
        <f>[1]Results!AE1533</f>
        <v>2398367.2110000001</v>
      </c>
      <c r="AC77" s="6">
        <f>[1]Results!AF1533</f>
        <v>2434336.2230000002</v>
      </c>
      <c r="AD77" s="6">
        <f>[1]Results!AG1533</f>
        <v>2470122.1349999998</v>
      </c>
      <c r="AE77" s="6">
        <f>[1]Results!AH1533</f>
        <v>2506053.1260000002</v>
      </c>
      <c r="AF77" s="6">
        <f>[1]Results!AI1533</f>
        <v>2542398.023</v>
      </c>
      <c r="AG77" s="6">
        <f>[1]Results!AJ1533</f>
        <v>2579367.9350000001</v>
      </c>
      <c r="AH77" s="6">
        <f>[1]Results!AK1533</f>
        <v>2616408.094</v>
      </c>
      <c r="AI77" s="6">
        <f>[1]Results!AL1533</f>
        <v>2654135.148</v>
      </c>
      <c r="AJ77" s="6">
        <f>[1]Results!AM1533</f>
        <v>2692685.1839999999</v>
      </c>
      <c r="AK77" s="6">
        <f>[1]Results!AN1533</f>
        <v>2732126.8760000002</v>
      </c>
      <c r="AL77" s="6">
        <f>[1]Results!AO1533</f>
        <v>2772496.6749999998</v>
      </c>
    </row>
    <row r="78" spans="1:38" x14ac:dyDescent="0.35">
      <c r="B78" t="s">
        <v>12</v>
      </c>
      <c r="C78" s="6">
        <f>[1]Results!F1537</f>
        <v>-2123.6906530000001</v>
      </c>
      <c r="D78" s="6">
        <f>[1]Results!G1537</f>
        <v>-2178.432331</v>
      </c>
      <c r="E78" s="6">
        <f>[1]Results!H1537</f>
        <v>-2172.3623010000001</v>
      </c>
      <c r="F78" s="6">
        <f>[1]Results!I1537</f>
        <v>-2102.9290169999999</v>
      </c>
      <c r="G78" s="6">
        <f>[1]Results!J1537</f>
        <v>-2051.3827679999999</v>
      </c>
      <c r="H78" s="6">
        <f>[1]Results!K1537</f>
        <v>-2108.913262</v>
      </c>
      <c r="I78" s="6">
        <f>[1]Results!L1537</f>
        <v>-2083.523428</v>
      </c>
      <c r="J78" s="6">
        <f>[1]Results!M1537</f>
        <v>-2104.3620689999998</v>
      </c>
      <c r="K78" s="6">
        <f>[1]Results!N1537</f>
        <v>-2147.4317040000001</v>
      </c>
      <c r="L78" s="6">
        <f>[1]Results!O1537</f>
        <v>-2211.6999489999998</v>
      </c>
      <c r="M78" s="6">
        <f>[1]Results!P1537</f>
        <v>-2297.7555630000002</v>
      </c>
      <c r="N78" s="6">
        <f>[1]Results!Q1537</f>
        <v>-2407.3521219999998</v>
      </c>
      <c r="O78" s="6">
        <f>[1]Results!R1537</f>
        <v>-2555.4162289999999</v>
      </c>
      <c r="P78" s="6">
        <f>[1]Results!S1537</f>
        <v>-2745.1472610000001</v>
      </c>
      <c r="Q78" s="6">
        <f>[1]Results!T1537</f>
        <v>-2979.400416</v>
      </c>
      <c r="R78" s="6">
        <f>[1]Results!U1537</f>
        <v>-3265.342314</v>
      </c>
      <c r="S78" s="6">
        <f>[1]Results!V1537</f>
        <v>-3600.4078730000001</v>
      </c>
      <c r="T78" s="6">
        <f>[1]Results!W1537</f>
        <v>-3913.559432</v>
      </c>
      <c r="U78" s="6">
        <f>[1]Results!X1537</f>
        <v>-4176.8542079999997</v>
      </c>
      <c r="V78" s="6">
        <f>[1]Results!Y1537</f>
        <v>-4390.813897</v>
      </c>
      <c r="W78" s="6">
        <f>[1]Results!Z1537</f>
        <v>-4560.9503279999999</v>
      </c>
      <c r="X78" s="6">
        <f>[1]Results!AA1537</f>
        <v>-4699.6142319999999</v>
      </c>
      <c r="Y78" s="6">
        <f>[1]Results!AB1537</f>
        <v>-4806.2000269999999</v>
      </c>
      <c r="Z78" s="6">
        <f>[1]Results!AC1537</f>
        <v>-4888.3997589999999</v>
      </c>
      <c r="AA78" s="6">
        <f>[1]Results!AD1537</f>
        <v>-4951.5856030000004</v>
      </c>
      <c r="AB78" s="6">
        <f>[1]Results!AE1537</f>
        <v>-4999.6097870000003</v>
      </c>
      <c r="AC78" s="6">
        <f>[1]Results!AF1537</f>
        <v>-5038.8599260000001</v>
      </c>
      <c r="AD78" s="6">
        <f>[1]Results!AG1537</f>
        <v>-5069.8534760000002</v>
      </c>
      <c r="AE78" s="6">
        <f>[1]Results!AH1537</f>
        <v>-5097.1808860000001</v>
      </c>
      <c r="AF78" s="6">
        <f>[1]Results!AI1537</f>
        <v>-5121.7749400000002</v>
      </c>
      <c r="AG78" s="6">
        <f>[1]Results!AJ1537</f>
        <v>-5143.77124</v>
      </c>
      <c r="AH78" s="6">
        <f>[1]Results!AK1537</f>
        <v>-5166.2586929999998</v>
      </c>
      <c r="AI78" s="6">
        <f>[1]Results!AL1537</f>
        <v>-5188.869361</v>
      </c>
      <c r="AJ78" s="6">
        <f>[1]Results!AM1537</f>
        <v>-5212.0913890000002</v>
      </c>
      <c r="AK78" s="6">
        <f>[1]Results!AN1537</f>
        <v>-5235.3079639999996</v>
      </c>
      <c r="AL78" s="6">
        <f>[1]Results!AO1537</f>
        <v>-5257.7796900000003</v>
      </c>
    </row>
    <row r="79" spans="1:38" x14ac:dyDescent="0.35">
      <c r="B79" t="s">
        <v>11</v>
      </c>
      <c r="C79" s="6">
        <f>[1]Results!F1541</f>
        <v>40582.573940000002</v>
      </c>
      <c r="D79" s="6">
        <f>[1]Results!G1541</f>
        <v>40971.356140000004</v>
      </c>
      <c r="E79" s="6">
        <f>[1]Results!H1541</f>
        <v>41172.001510000002</v>
      </c>
      <c r="F79" s="6">
        <f>[1]Results!I1541</f>
        <v>41351.062760000001</v>
      </c>
      <c r="G79" s="6">
        <f>[1]Results!J1541</f>
        <v>41601.36088</v>
      </c>
      <c r="H79" s="6">
        <f>[1]Results!K1541</f>
        <v>42086.460469999998</v>
      </c>
      <c r="I79" s="6">
        <f>[1]Results!L1541</f>
        <v>42597.353790000001</v>
      </c>
      <c r="J79" s="6">
        <f>[1]Results!M1541</f>
        <v>43158.677409999997</v>
      </c>
      <c r="K79" s="6">
        <f>[1]Results!N1541</f>
        <v>43726.834459999998</v>
      </c>
      <c r="L79" s="6">
        <f>[1]Results!O1541</f>
        <v>44295.542479999996</v>
      </c>
      <c r="M79" s="6">
        <f>[1]Results!P1541</f>
        <v>44878.065820000003</v>
      </c>
      <c r="N79" s="6">
        <f>[1]Results!Q1541</f>
        <v>45325.504249999998</v>
      </c>
      <c r="O79" s="6">
        <f>[1]Results!R1541</f>
        <v>45807.885999999999</v>
      </c>
      <c r="P79" s="6">
        <f>[1]Results!S1541</f>
        <v>46357.439890000001</v>
      </c>
      <c r="Q79" s="6">
        <f>[1]Results!T1541</f>
        <v>46965.250330000003</v>
      </c>
      <c r="R79" s="6">
        <f>[1]Results!U1541</f>
        <v>47614.128949999998</v>
      </c>
      <c r="S79" s="6">
        <f>[1]Results!V1541</f>
        <v>48269.08741</v>
      </c>
      <c r="T79" s="6">
        <f>[1]Results!W1541</f>
        <v>48921.883529999999</v>
      </c>
      <c r="U79" s="6">
        <f>[1]Results!X1541</f>
        <v>49563.206630000001</v>
      </c>
      <c r="V79" s="6">
        <f>[1]Results!Y1541</f>
        <v>50193.343289999997</v>
      </c>
      <c r="W79" s="6">
        <f>[1]Results!Z1541</f>
        <v>50807.602749999998</v>
      </c>
      <c r="X79" s="6">
        <f>[1]Results!AA1541</f>
        <v>51373.976560000003</v>
      </c>
      <c r="Y79" s="6">
        <f>[1]Results!AB1541</f>
        <v>51946.741099999999</v>
      </c>
      <c r="Z79" s="6">
        <f>[1]Results!AC1541</f>
        <v>52534.482759999999</v>
      </c>
      <c r="AA79" s="6">
        <f>[1]Results!AD1541</f>
        <v>53138.621400000004</v>
      </c>
      <c r="AB79" s="6">
        <f>[1]Results!AE1541</f>
        <v>53732.549420000003</v>
      </c>
      <c r="AC79" s="6">
        <f>[1]Results!AF1541</f>
        <v>54295.465940000002</v>
      </c>
      <c r="AD79" s="6">
        <f>[1]Results!AG1541</f>
        <v>54870.1754</v>
      </c>
      <c r="AE79" s="6">
        <f>[1]Results!AH1541</f>
        <v>55461.700270000001</v>
      </c>
      <c r="AF79" s="6">
        <f>[1]Results!AI1541</f>
        <v>56071.256560000002</v>
      </c>
      <c r="AG79" s="6">
        <f>[1]Results!AJ1541</f>
        <v>56699.285250000001</v>
      </c>
      <c r="AH79" s="6">
        <f>[1]Results!AK1541</f>
        <v>57330.957670000003</v>
      </c>
      <c r="AI79" s="6">
        <f>[1]Results!AL1541</f>
        <v>57983.330280000002</v>
      </c>
      <c r="AJ79" s="6">
        <f>[1]Results!AM1541</f>
        <v>58657.634339999997</v>
      </c>
      <c r="AK79" s="6">
        <f>[1]Results!AN1541</f>
        <v>59352.800369999997</v>
      </c>
      <c r="AL79" s="6">
        <f>[1]Results!AO1541</f>
        <v>60067.490819999999</v>
      </c>
    </row>
    <row r="81" spans="2:38" x14ac:dyDescent="0.35">
      <c r="B81" t="s">
        <v>16</v>
      </c>
      <c r="C81" s="8" t="s">
        <v>17</v>
      </c>
      <c r="D81" s="8" t="s">
        <v>18</v>
      </c>
      <c r="E81" s="8" t="s">
        <v>19</v>
      </c>
    </row>
    <row r="82" spans="2:38" x14ac:dyDescent="0.35">
      <c r="B82" t="s">
        <v>7</v>
      </c>
      <c r="C82" s="6">
        <f t="shared" ref="C82:C87" si="2">(R74-R66)/R73*100</f>
        <v>1.5536271105167211E-2</v>
      </c>
      <c r="D82" s="6">
        <f t="shared" ref="D82:D87" si="3">(AB74-AB66)/AB73*100</f>
        <v>1.0536838421521451E-2</v>
      </c>
      <c r="E82" s="6">
        <f t="shared" ref="E82:E87" si="4">(AL74-AL66)/AL73*100</f>
        <v>2.6942056604214525E-2</v>
      </c>
      <c r="Q82" s="5"/>
      <c r="U82" s="5"/>
      <c r="V82" s="5"/>
      <c r="Y82" s="5"/>
      <c r="Z82" s="5"/>
      <c r="AA82" s="5"/>
    </row>
    <row r="83" spans="2:38" x14ac:dyDescent="0.35">
      <c r="B83" t="s">
        <v>8</v>
      </c>
      <c r="C83" s="6">
        <f t="shared" si="2"/>
        <v>-11.092882141861548</v>
      </c>
      <c r="D83" s="6">
        <f t="shared" si="3"/>
        <v>-32.672941787060054</v>
      </c>
      <c r="E83" s="6">
        <f t="shared" si="4"/>
        <v>-23.967844214976807</v>
      </c>
      <c r="Q83" s="5"/>
      <c r="U83" s="5"/>
      <c r="V83" s="5"/>
      <c r="Y83" s="5"/>
      <c r="Z83" s="5"/>
      <c r="AA83" s="5"/>
    </row>
    <row r="84" spans="2:38" x14ac:dyDescent="0.35">
      <c r="B84" t="s">
        <v>9</v>
      </c>
      <c r="C84" s="6">
        <f t="shared" si="2"/>
        <v>1.8373295429715926E-4</v>
      </c>
      <c r="D84" s="6">
        <f t="shared" si="3"/>
        <v>-0.28663952599852038</v>
      </c>
      <c r="E84" s="6">
        <f t="shared" si="4"/>
        <v>-0.24839854309703216</v>
      </c>
      <c r="Q84" s="5"/>
      <c r="U84" s="5"/>
      <c r="V84" s="5"/>
      <c r="Y84" s="5"/>
      <c r="Z84" s="5"/>
      <c r="AA84" s="5"/>
    </row>
    <row r="85" spans="2:38" x14ac:dyDescent="0.35">
      <c r="B85" t="s">
        <v>10</v>
      </c>
      <c r="C85" s="6">
        <f t="shared" si="2"/>
        <v>28.667139734985202</v>
      </c>
      <c r="D85" s="6">
        <f t="shared" si="3"/>
        <v>21.324548815466905</v>
      </c>
      <c r="E85" s="6">
        <f t="shared" si="4"/>
        <v>50.124355321147796</v>
      </c>
      <c r="Q85" s="5"/>
      <c r="U85" s="5"/>
      <c r="V85" s="5"/>
      <c r="Y85" s="5"/>
      <c r="Z85" s="5"/>
      <c r="AA85" s="5"/>
    </row>
    <row r="86" spans="2:38" x14ac:dyDescent="0.35">
      <c r="B86" t="s">
        <v>12</v>
      </c>
      <c r="C86" s="6">
        <f t="shared" si="2"/>
        <v>-5.1051652893351139E-2</v>
      </c>
      <c r="D86" s="6">
        <f t="shared" si="3"/>
        <v>-9.6924038626710535E-2</v>
      </c>
      <c r="E86" s="6">
        <f t="shared" si="4"/>
        <v>-8.3062899795903297E-2</v>
      </c>
      <c r="Q86" s="5"/>
      <c r="U86" s="5"/>
      <c r="V86" s="5"/>
      <c r="Y86" s="5"/>
      <c r="Z86" s="5"/>
      <c r="AA86" s="5"/>
    </row>
    <row r="87" spans="2:38" x14ac:dyDescent="0.35">
      <c r="B87" t="s">
        <v>11</v>
      </c>
      <c r="C87" s="6">
        <f t="shared" si="2"/>
        <v>7.8022867283372417</v>
      </c>
      <c r="D87" s="6">
        <f t="shared" si="3"/>
        <v>16.534318581211277</v>
      </c>
      <c r="E87" s="6">
        <f t="shared" si="4"/>
        <v>9.6667112349090925</v>
      </c>
      <c r="Q87" s="5"/>
      <c r="U87" s="5"/>
      <c r="V87" s="5"/>
      <c r="Y87" s="5"/>
      <c r="Z87" s="5"/>
      <c r="AA87" s="5"/>
    </row>
    <row r="88" spans="2:38" x14ac:dyDescent="0.35"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</row>
    <row r="89" spans="2:38" x14ac:dyDescent="0.35">
      <c r="B89" t="s">
        <v>16</v>
      </c>
      <c r="C89" s="8" t="s">
        <v>17</v>
      </c>
      <c r="D89" s="8" t="s">
        <v>18</v>
      </c>
      <c r="E89" s="8" t="s">
        <v>19</v>
      </c>
    </row>
    <row r="90" spans="2:38" x14ac:dyDescent="0.35">
      <c r="B90" t="s">
        <v>7</v>
      </c>
      <c r="C90" s="4">
        <f t="shared" ref="C90:C95" si="5">R74/R66-1</f>
        <v>8.6447239128280007E-3</v>
      </c>
      <c r="D90" s="4">
        <f t="shared" ref="D90:D95" si="6">AB74/AB66-1</f>
        <v>5.8529101638657988E-3</v>
      </c>
      <c r="E90" s="4">
        <f t="shared" ref="E90:E95" si="7">AL74/AL66-1</f>
        <v>1.5312961853068963E-2</v>
      </c>
    </row>
    <row r="91" spans="2:38" x14ac:dyDescent="0.35">
      <c r="B91" t="s">
        <v>8</v>
      </c>
      <c r="C91" s="4">
        <f t="shared" si="5"/>
        <v>-1.1456287994080605E-2</v>
      </c>
      <c r="D91" s="4">
        <f t="shared" si="6"/>
        <v>-3.2291578053458392E-2</v>
      </c>
      <c r="E91" s="4">
        <f t="shared" si="7"/>
        <v>-2.2846296231336383E-2</v>
      </c>
    </row>
    <row r="92" spans="2:38" x14ac:dyDescent="0.35">
      <c r="B92" t="s">
        <v>9</v>
      </c>
      <c r="C92" s="4">
        <f t="shared" si="5"/>
        <v>1.2856344294487343E-5</v>
      </c>
      <c r="D92" s="4">
        <f t="shared" si="6"/>
        <v>-2.0461203342003076E-2</v>
      </c>
      <c r="E92" s="4">
        <f t="shared" si="7"/>
        <v>-1.8539472011811831E-2</v>
      </c>
    </row>
    <row r="93" spans="2:38" x14ac:dyDescent="0.35">
      <c r="B93" t="s">
        <v>10</v>
      </c>
      <c r="C93" s="4">
        <f t="shared" si="5"/>
        <v>9.3602768142595494E-3</v>
      </c>
      <c r="D93" s="4">
        <f t="shared" si="6"/>
        <v>6.8314523546337824E-3</v>
      </c>
      <c r="E93" s="4">
        <f t="shared" si="7"/>
        <v>1.6142010055493872E-2</v>
      </c>
    </row>
    <row r="94" spans="2:38" x14ac:dyDescent="0.35">
      <c r="B94" t="s">
        <v>12</v>
      </c>
      <c r="C94" s="4">
        <f t="shared" si="5"/>
        <v>0.45677271392181051</v>
      </c>
      <c r="D94" s="4">
        <f t="shared" si="6"/>
        <v>0.86900222715538189</v>
      </c>
      <c r="E94" s="4">
        <f t="shared" si="7"/>
        <v>0.77936462788719196</v>
      </c>
    </row>
    <row r="95" spans="2:38" x14ac:dyDescent="0.35">
      <c r="B95" t="s">
        <v>11</v>
      </c>
      <c r="C95" s="4">
        <f t="shared" si="5"/>
        <v>-5.3222732984646859E-3</v>
      </c>
      <c r="D95" s="4">
        <f t="shared" si="6"/>
        <v>-1.5151457452167394E-2</v>
      </c>
      <c r="E95" s="4">
        <f t="shared" si="7"/>
        <v>-8.3903941804086557E-3</v>
      </c>
    </row>
  </sheetData>
  <mergeCells count="3">
    <mergeCell ref="A56:A57"/>
    <mergeCell ref="A62:A63"/>
    <mergeCell ref="A59:A6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Graphiques</vt:lpstr>
      </vt:variant>
      <vt:variant>
        <vt:i4>5</vt:i4>
      </vt:variant>
    </vt:vector>
  </HeadingPairs>
  <TitlesOfParts>
    <vt:vector size="6" baseType="lpstr">
      <vt:lpstr>Données</vt:lpstr>
      <vt:lpstr>Gr Macro</vt:lpstr>
      <vt:lpstr>Gr inflation</vt:lpstr>
      <vt:lpstr>Gr émissions</vt:lpstr>
      <vt:lpstr>Gr secteurs (% VA)</vt:lpstr>
      <vt:lpstr>Gr secteurs (%)</vt:lpstr>
    </vt:vector>
  </TitlesOfParts>
  <Company>ADEME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JACQUETIN Florian</dc:creator>
  <cp:lastModifiedBy>JACQUETIN Florian</cp:lastModifiedBy>
  <dcterms:created xsi:type="dcterms:W3CDTF">2021-11-04T11:19:34Z</dcterms:created>
  <dcterms:modified xsi:type="dcterms:W3CDTF">2021-11-08T17:57:01Z</dcterms:modified>
</cp:coreProperties>
</file>