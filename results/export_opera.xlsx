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onmanhj\Documents\Gitlab\ThreeME_V3\results\"/>
    </mc:Choice>
  </mc:AlternateContent>
  <xr:revisionPtr revIDLastSave="0" documentId="13_ncr:1_{D6464555-8D71-4C4C-B146-4297F1290E60}" xr6:coauthVersionLast="47" xr6:coauthVersionMax="47" xr10:uidLastSave="{00000000-0000-0000-0000-000000000000}"/>
  <bookViews>
    <workbookView xWindow="-108" yWindow="-108" windowWidth="23256" windowHeight="12576" xr2:uid="{2E16E4CE-EFA6-4593-BC2C-7629DDB29AF0}"/>
  </bookViews>
  <sheets>
    <sheet name="baseline" sheetId="2" r:id="rId1"/>
    <sheet name="shock" sheetId="3" r:id="rId2"/>
    <sheet name="Check fittarget" sheetId="4" r:id="rId3"/>
    <sheet name="Emissions" sheetId="5" r:id="rId4"/>
    <sheet name="va" sheetId="10" r:id="rId5"/>
    <sheet name="Employment" sheetId="9" r:id="rId6"/>
    <sheet name="Output" sheetId="7" r:id="rId7"/>
    <sheet name="Market prices" sheetId="12" r:id="rId8"/>
    <sheet name="CPI" sheetId="11" r:id="rId9"/>
    <sheet name="Adj CO2 coefficients THREEME" sheetId="6" r:id="rId10"/>
  </sheets>
  <definedNames>
    <definedName name="_xlnm._FilterDatabase" localSheetId="2" hidden="1">'Check fittarget'!$A$4:$AU$137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N25" i="12" l="1"/>
  <c r="AM25" i="12"/>
  <c r="AL25" i="12"/>
  <c r="AK25" i="12"/>
  <c r="AJ25" i="12"/>
  <c r="AI25" i="12"/>
  <c r="AH25" i="12"/>
  <c r="AG25" i="12"/>
  <c r="AF25" i="12"/>
  <c r="AE25" i="12"/>
  <c r="AD25" i="12"/>
  <c r="AC25" i="12"/>
  <c r="AB25" i="12"/>
  <c r="AA25" i="12"/>
  <c r="Z25" i="12"/>
  <c r="Y25" i="12"/>
  <c r="X25" i="12"/>
  <c r="W25" i="12"/>
  <c r="V25" i="12"/>
  <c r="U25" i="12"/>
  <c r="T25" i="12"/>
  <c r="S25" i="12"/>
  <c r="R25" i="12"/>
  <c r="Q25" i="12"/>
  <c r="P25" i="12"/>
  <c r="O25" i="12"/>
  <c r="N25" i="12"/>
  <c r="M25" i="12"/>
  <c r="L25" i="12"/>
  <c r="K25" i="12"/>
  <c r="J25" i="12"/>
  <c r="I25" i="12"/>
  <c r="H25" i="12"/>
  <c r="G25" i="12"/>
  <c r="F25" i="12"/>
  <c r="E25" i="12"/>
  <c r="E50" i="12" s="1"/>
  <c r="AN24" i="12"/>
  <c r="AM24" i="12"/>
  <c r="AL24" i="12"/>
  <c r="AK24" i="12"/>
  <c r="AJ24" i="12"/>
  <c r="AI24" i="12"/>
  <c r="AH24" i="12"/>
  <c r="AG24" i="12"/>
  <c r="AF24" i="12"/>
  <c r="AE24" i="12"/>
  <c r="AD24" i="12"/>
  <c r="AC24" i="12"/>
  <c r="AB24" i="12"/>
  <c r="AA24" i="12"/>
  <c r="Z24" i="12"/>
  <c r="Y24" i="12"/>
  <c r="X24" i="12"/>
  <c r="W24" i="12"/>
  <c r="V24" i="12"/>
  <c r="U24" i="12"/>
  <c r="T24" i="12"/>
  <c r="S24" i="12"/>
  <c r="R24" i="12"/>
  <c r="Q24" i="12"/>
  <c r="P24" i="12"/>
  <c r="O24" i="12"/>
  <c r="N24" i="12"/>
  <c r="M24" i="12"/>
  <c r="L24" i="12"/>
  <c r="K24" i="12"/>
  <c r="J24" i="12"/>
  <c r="I24" i="12"/>
  <c r="H24" i="12"/>
  <c r="G24" i="12"/>
  <c r="F24" i="12"/>
  <c r="E24" i="12"/>
  <c r="E49" i="12" s="1"/>
  <c r="AN23" i="12"/>
  <c r="AM23" i="12"/>
  <c r="AL23" i="12"/>
  <c r="AK23" i="12"/>
  <c r="AJ23" i="12"/>
  <c r="AI23" i="12"/>
  <c r="AH23" i="12"/>
  <c r="AG23" i="12"/>
  <c r="AF23" i="12"/>
  <c r="AE23" i="12"/>
  <c r="AD23" i="12"/>
  <c r="AC23" i="12"/>
  <c r="AB23" i="12"/>
  <c r="AA23" i="12"/>
  <c r="Z23" i="12"/>
  <c r="Y23" i="12"/>
  <c r="X23" i="12"/>
  <c r="W23" i="12"/>
  <c r="V23" i="12"/>
  <c r="U23" i="12"/>
  <c r="T23" i="12"/>
  <c r="S23" i="12"/>
  <c r="R23" i="12"/>
  <c r="Q23" i="12"/>
  <c r="P23" i="12"/>
  <c r="O23" i="12"/>
  <c r="N23" i="12"/>
  <c r="M23" i="12"/>
  <c r="L23" i="12"/>
  <c r="K23" i="12"/>
  <c r="J23" i="12"/>
  <c r="I23" i="12"/>
  <c r="H23" i="12"/>
  <c r="G23" i="12"/>
  <c r="F23" i="12"/>
  <c r="E23" i="12"/>
  <c r="E48" i="12" s="1"/>
  <c r="AN22" i="12"/>
  <c r="AM22" i="12"/>
  <c r="AL22" i="12"/>
  <c r="AK22" i="12"/>
  <c r="AJ22" i="12"/>
  <c r="AI22" i="12"/>
  <c r="AH22" i="12"/>
  <c r="AG22" i="12"/>
  <c r="AF22" i="12"/>
  <c r="AE22" i="12"/>
  <c r="AD22" i="12"/>
  <c r="AC22" i="12"/>
  <c r="AB22" i="12"/>
  <c r="AA22" i="12"/>
  <c r="Z22" i="12"/>
  <c r="Y22" i="12"/>
  <c r="X22" i="12"/>
  <c r="W22" i="12"/>
  <c r="V22" i="12"/>
  <c r="U22" i="12"/>
  <c r="T22" i="12"/>
  <c r="S22" i="12"/>
  <c r="R22" i="12"/>
  <c r="Q22" i="12"/>
  <c r="P22" i="12"/>
  <c r="O22" i="12"/>
  <c r="N22" i="12"/>
  <c r="M22" i="12"/>
  <c r="L22" i="12"/>
  <c r="K22" i="12"/>
  <c r="J22" i="12"/>
  <c r="I22" i="12"/>
  <c r="H22" i="12"/>
  <c r="G22" i="12"/>
  <c r="F22" i="12"/>
  <c r="E22" i="12"/>
  <c r="E47" i="12" s="1"/>
  <c r="AN21" i="12"/>
  <c r="AM21" i="12"/>
  <c r="AL21" i="12"/>
  <c r="AK21" i="12"/>
  <c r="AJ21" i="12"/>
  <c r="AI21" i="12"/>
  <c r="AH21" i="12"/>
  <c r="AG21" i="12"/>
  <c r="AF21" i="12"/>
  <c r="AE21" i="12"/>
  <c r="AD21" i="12"/>
  <c r="AC21" i="12"/>
  <c r="AB21" i="12"/>
  <c r="AA21" i="12"/>
  <c r="Z21" i="12"/>
  <c r="Y21" i="12"/>
  <c r="X21" i="12"/>
  <c r="W21" i="12"/>
  <c r="V21" i="12"/>
  <c r="U21" i="12"/>
  <c r="T21" i="12"/>
  <c r="S21" i="12"/>
  <c r="R21" i="12"/>
  <c r="Q21" i="12"/>
  <c r="P21" i="12"/>
  <c r="O21" i="12"/>
  <c r="N21" i="12"/>
  <c r="M21" i="12"/>
  <c r="L21" i="12"/>
  <c r="K21" i="12"/>
  <c r="J21" i="12"/>
  <c r="I21" i="12"/>
  <c r="H21" i="12"/>
  <c r="G21" i="12"/>
  <c r="F21" i="12"/>
  <c r="E21" i="12"/>
  <c r="AN20" i="12"/>
  <c r="AM20" i="12"/>
  <c r="AL20" i="12"/>
  <c r="AK20" i="12"/>
  <c r="AJ20" i="12"/>
  <c r="AI20" i="12"/>
  <c r="AH20" i="12"/>
  <c r="AG20" i="12"/>
  <c r="AF20" i="12"/>
  <c r="AE20" i="12"/>
  <c r="AD20" i="12"/>
  <c r="AC20" i="12"/>
  <c r="AB20" i="12"/>
  <c r="AA20" i="12"/>
  <c r="Z20" i="12"/>
  <c r="Y20" i="12"/>
  <c r="X20" i="12"/>
  <c r="W20" i="12"/>
  <c r="V20" i="12"/>
  <c r="U20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H20" i="12"/>
  <c r="G20" i="12"/>
  <c r="F20" i="12"/>
  <c r="E20" i="12"/>
  <c r="E45" i="12" s="1"/>
  <c r="AN19" i="12"/>
  <c r="AM19" i="12"/>
  <c r="AL19" i="12"/>
  <c r="AK19" i="12"/>
  <c r="AJ19" i="12"/>
  <c r="AI19" i="12"/>
  <c r="AH19" i="12"/>
  <c r="AG19" i="12"/>
  <c r="AF19" i="12"/>
  <c r="AE19" i="12"/>
  <c r="AD19" i="12"/>
  <c r="AC19" i="12"/>
  <c r="AB19" i="12"/>
  <c r="AA19" i="12"/>
  <c r="Z19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E44" i="12" s="1"/>
  <c r="AN18" i="12"/>
  <c r="AM18" i="12"/>
  <c r="AL18" i="12"/>
  <c r="AK18" i="12"/>
  <c r="AJ18" i="12"/>
  <c r="AI18" i="12"/>
  <c r="AH18" i="12"/>
  <c r="AG18" i="12"/>
  <c r="AF18" i="12"/>
  <c r="AE18" i="12"/>
  <c r="AD18" i="12"/>
  <c r="AC18" i="12"/>
  <c r="AB18" i="12"/>
  <c r="AA18" i="12"/>
  <c r="Z18" i="12"/>
  <c r="Y18" i="12"/>
  <c r="X18" i="12"/>
  <c r="W18" i="12"/>
  <c r="V18" i="12"/>
  <c r="U18" i="12"/>
  <c r="T18" i="12"/>
  <c r="S18" i="12"/>
  <c r="R18" i="12"/>
  <c r="Q18" i="12"/>
  <c r="P18" i="12"/>
  <c r="O18" i="12"/>
  <c r="N18" i="12"/>
  <c r="M18" i="12"/>
  <c r="L18" i="12"/>
  <c r="K18" i="12"/>
  <c r="J18" i="12"/>
  <c r="I18" i="12"/>
  <c r="H18" i="12"/>
  <c r="G18" i="12"/>
  <c r="F18" i="12"/>
  <c r="E18" i="12"/>
  <c r="E43" i="12" s="1"/>
  <c r="AN17" i="12"/>
  <c r="AM17" i="12"/>
  <c r="AL17" i="12"/>
  <c r="AK17" i="12"/>
  <c r="AJ17" i="12"/>
  <c r="AI17" i="12"/>
  <c r="AH17" i="12"/>
  <c r="AG17" i="12"/>
  <c r="AF17" i="12"/>
  <c r="AE17" i="12"/>
  <c r="AD17" i="12"/>
  <c r="AC17" i="12"/>
  <c r="AB17" i="12"/>
  <c r="AA17" i="12"/>
  <c r="Z17" i="12"/>
  <c r="Y17" i="12"/>
  <c r="X17" i="12"/>
  <c r="W17" i="12"/>
  <c r="V17" i="12"/>
  <c r="U17" i="12"/>
  <c r="T17" i="12"/>
  <c r="S17" i="12"/>
  <c r="R17" i="12"/>
  <c r="Q17" i="12"/>
  <c r="P17" i="12"/>
  <c r="O17" i="12"/>
  <c r="N17" i="12"/>
  <c r="M17" i="12"/>
  <c r="L17" i="12"/>
  <c r="K17" i="12"/>
  <c r="J17" i="12"/>
  <c r="I17" i="12"/>
  <c r="H17" i="12"/>
  <c r="G17" i="12"/>
  <c r="F17" i="12"/>
  <c r="E17" i="12"/>
  <c r="E42" i="12" s="1"/>
  <c r="AN16" i="12"/>
  <c r="AM16" i="12"/>
  <c r="AL16" i="12"/>
  <c r="AK16" i="12"/>
  <c r="AJ16" i="12"/>
  <c r="AI16" i="12"/>
  <c r="AH16" i="12"/>
  <c r="AG16" i="12"/>
  <c r="AF16" i="12"/>
  <c r="AE16" i="12"/>
  <c r="AD16" i="12"/>
  <c r="AC16" i="12"/>
  <c r="AB16" i="12"/>
  <c r="AA16" i="12"/>
  <c r="Z16" i="12"/>
  <c r="Y16" i="12"/>
  <c r="X16" i="12"/>
  <c r="W16" i="12"/>
  <c r="V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6" i="12"/>
  <c r="F16" i="12"/>
  <c r="E16" i="12"/>
  <c r="E41" i="12" s="1"/>
  <c r="AN15" i="12"/>
  <c r="AM15" i="12"/>
  <c r="AL15" i="12"/>
  <c r="AK15" i="12"/>
  <c r="AJ15" i="12"/>
  <c r="AI15" i="12"/>
  <c r="AH15" i="12"/>
  <c r="AG15" i="12"/>
  <c r="AF15" i="12"/>
  <c r="AE15" i="12"/>
  <c r="AD15" i="12"/>
  <c r="AC15" i="12"/>
  <c r="AB15" i="12"/>
  <c r="AA15" i="12"/>
  <c r="Z15" i="12"/>
  <c r="Y15" i="12"/>
  <c r="X15" i="12"/>
  <c r="W15" i="12"/>
  <c r="V15" i="12"/>
  <c r="U15" i="12"/>
  <c r="T15" i="12"/>
  <c r="S15" i="12"/>
  <c r="R15" i="12"/>
  <c r="Q15" i="12"/>
  <c r="P15" i="12"/>
  <c r="O15" i="12"/>
  <c r="N15" i="12"/>
  <c r="M15" i="12"/>
  <c r="L15" i="12"/>
  <c r="K15" i="12"/>
  <c r="J15" i="12"/>
  <c r="I15" i="12"/>
  <c r="H15" i="12"/>
  <c r="G15" i="12"/>
  <c r="F15" i="12"/>
  <c r="E15" i="12"/>
  <c r="E40" i="12" s="1"/>
  <c r="AN14" i="12"/>
  <c r="AM14" i="12"/>
  <c r="AL14" i="12"/>
  <c r="AK14" i="12"/>
  <c r="AJ14" i="12"/>
  <c r="AI14" i="12"/>
  <c r="AH14" i="12"/>
  <c r="AG14" i="12"/>
  <c r="AF14" i="12"/>
  <c r="AE14" i="12"/>
  <c r="AD14" i="12"/>
  <c r="AC14" i="12"/>
  <c r="AB14" i="12"/>
  <c r="AA14" i="12"/>
  <c r="Z14" i="12"/>
  <c r="Y14" i="12"/>
  <c r="X14" i="12"/>
  <c r="W14" i="12"/>
  <c r="V14" i="12"/>
  <c r="U14" i="12"/>
  <c r="T14" i="12"/>
  <c r="S14" i="12"/>
  <c r="R14" i="12"/>
  <c r="Q14" i="12"/>
  <c r="P14" i="12"/>
  <c r="O14" i="12"/>
  <c r="N14" i="12"/>
  <c r="M14" i="12"/>
  <c r="L14" i="12"/>
  <c r="K14" i="12"/>
  <c r="J14" i="12"/>
  <c r="I14" i="12"/>
  <c r="H14" i="12"/>
  <c r="G14" i="12"/>
  <c r="F14" i="12"/>
  <c r="E14" i="12"/>
  <c r="E39" i="12" s="1"/>
  <c r="AN13" i="12"/>
  <c r="AM13" i="12"/>
  <c r="AL13" i="12"/>
  <c r="AK13" i="12"/>
  <c r="AJ13" i="12"/>
  <c r="AI13" i="12"/>
  <c r="AH13" i="12"/>
  <c r="AG13" i="12"/>
  <c r="AF13" i="12"/>
  <c r="AE13" i="12"/>
  <c r="AD13" i="12"/>
  <c r="AC13" i="12"/>
  <c r="AB13" i="12"/>
  <c r="AA13" i="12"/>
  <c r="Z13" i="12"/>
  <c r="Y13" i="12"/>
  <c r="X13" i="12"/>
  <c r="W13" i="12"/>
  <c r="V13" i="12"/>
  <c r="U13" i="12"/>
  <c r="T13" i="12"/>
  <c r="S13" i="12"/>
  <c r="R13" i="12"/>
  <c r="Q13" i="12"/>
  <c r="P13" i="12"/>
  <c r="O13" i="12"/>
  <c r="N13" i="12"/>
  <c r="M13" i="12"/>
  <c r="L13" i="12"/>
  <c r="K13" i="12"/>
  <c r="J13" i="12"/>
  <c r="I13" i="12"/>
  <c r="H13" i="12"/>
  <c r="G13" i="12"/>
  <c r="F13" i="12"/>
  <c r="E13" i="12"/>
  <c r="E38" i="12" s="1"/>
  <c r="AN12" i="12"/>
  <c r="AM12" i="12"/>
  <c r="AL12" i="12"/>
  <c r="AK12" i="12"/>
  <c r="AJ12" i="12"/>
  <c r="AI12" i="12"/>
  <c r="AH12" i="12"/>
  <c r="AG12" i="12"/>
  <c r="AF12" i="12"/>
  <c r="AE12" i="12"/>
  <c r="AD12" i="12"/>
  <c r="AC12" i="12"/>
  <c r="AB12" i="12"/>
  <c r="AA12" i="12"/>
  <c r="Z12" i="12"/>
  <c r="Y12" i="12"/>
  <c r="X12" i="12"/>
  <c r="W12" i="12"/>
  <c r="V12" i="12"/>
  <c r="U12" i="12"/>
  <c r="T12" i="12"/>
  <c r="S12" i="12"/>
  <c r="R12" i="12"/>
  <c r="Q12" i="12"/>
  <c r="P12" i="12"/>
  <c r="O12" i="12"/>
  <c r="N12" i="12"/>
  <c r="M12" i="12"/>
  <c r="L12" i="12"/>
  <c r="K12" i="12"/>
  <c r="J12" i="12"/>
  <c r="I12" i="12"/>
  <c r="H12" i="12"/>
  <c r="G12" i="12"/>
  <c r="F12" i="12"/>
  <c r="E12" i="12"/>
  <c r="E37" i="12" s="1"/>
  <c r="AN11" i="12"/>
  <c r="AM11" i="12"/>
  <c r="AL11" i="12"/>
  <c r="AK11" i="12"/>
  <c r="AJ11" i="12"/>
  <c r="AI11" i="12"/>
  <c r="AH11" i="12"/>
  <c r="AG11" i="12"/>
  <c r="AF11" i="12"/>
  <c r="AE11" i="12"/>
  <c r="AD11" i="12"/>
  <c r="AC11" i="12"/>
  <c r="AB11" i="12"/>
  <c r="AA11" i="12"/>
  <c r="Z11" i="12"/>
  <c r="Y11" i="12"/>
  <c r="X11" i="12"/>
  <c r="W11" i="12"/>
  <c r="V11" i="12"/>
  <c r="U11" i="12"/>
  <c r="T11" i="12"/>
  <c r="S11" i="12"/>
  <c r="R11" i="12"/>
  <c r="Q11" i="12"/>
  <c r="P11" i="12"/>
  <c r="O11" i="12"/>
  <c r="N11" i="12"/>
  <c r="M11" i="12"/>
  <c r="L11" i="12"/>
  <c r="K11" i="12"/>
  <c r="J11" i="12"/>
  <c r="I11" i="12"/>
  <c r="H11" i="12"/>
  <c r="G11" i="12"/>
  <c r="F11" i="12"/>
  <c r="E11" i="12"/>
  <c r="E36" i="12" s="1"/>
  <c r="AN10" i="12"/>
  <c r="AM10" i="12"/>
  <c r="AL10" i="12"/>
  <c r="AK10" i="12"/>
  <c r="AJ10" i="12"/>
  <c r="AI10" i="12"/>
  <c r="AH10" i="12"/>
  <c r="AG10" i="12"/>
  <c r="AF10" i="12"/>
  <c r="AE10" i="12"/>
  <c r="AD10" i="12"/>
  <c r="AC10" i="12"/>
  <c r="AB10" i="12"/>
  <c r="AA10" i="12"/>
  <c r="Z10" i="12"/>
  <c r="Y10" i="12"/>
  <c r="X10" i="12"/>
  <c r="W10" i="12"/>
  <c r="V10" i="12"/>
  <c r="U10" i="12"/>
  <c r="T10" i="12"/>
  <c r="S10" i="12"/>
  <c r="R10" i="12"/>
  <c r="Q10" i="12"/>
  <c r="P10" i="12"/>
  <c r="O10" i="12"/>
  <c r="N10" i="12"/>
  <c r="M10" i="12"/>
  <c r="L10" i="12"/>
  <c r="K10" i="12"/>
  <c r="J10" i="12"/>
  <c r="I10" i="12"/>
  <c r="H10" i="12"/>
  <c r="G10" i="12"/>
  <c r="F10" i="12"/>
  <c r="E10" i="12"/>
  <c r="E35" i="12" s="1"/>
  <c r="AN9" i="12"/>
  <c r="AM9" i="12"/>
  <c r="AL9" i="12"/>
  <c r="AK9" i="12"/>
  <c r="AJ9" i="12"/>
  <c r="AI9" i="12"/>
  <c r="AH9" i="12"/>
  <c r="AG9" i="12"/>
  <c r="AF9" i="12"/>
  <c r="AE9" i="12"/>
  <c r="AD9" i="12"/>
  <c r="AC9" i="12"/>
  <c r="AB9" i="12"/>
  <c r="AA9" i="12"/>
  <c r="Z9" i="12"/>
  <c r="Y9" i="12"/>
  <c r="X9" i="12"/>
  <c r="W9" i="12"/>
  <c r="V9" i="12"/>
  <c r="U9" i="12"/>
  <c r="T9" i="12"/>
  <c r="S9" i="12"/>
  <c r="R9" i="12"/>
  <c r="Q9" i="12"/>
  <c r="P9" i="12"/>
  <c r="O9" i="12"/>
  <c r="N9" i="12"/>
  <c r="M9" i="12"/>
  <c r="L9" i="12"/>
  <c r="K9" i="12"/>
  <c r="J9" i="12"/>
  <c r="I9" i="12"/>
  <c r="H9" i="12"/>
  <c r="G9" i="12"/>
  <c r="F9" i="12"/>
  <c r="E9" i="12"/>
  <c r="E34" i="12" s="1"/>
  <c r="AN8" i="12"/>
  <c r="AM8" i="12"/>
  <c r="AL8" i="12"/>
  <c r="AK8" i="12"/>
  <c r="AJ8" i="12"/>
  <c r="AI8" i="12"/>
  <c r="AH8" i="12"/>
  <c r="AG8" i="12"/>
  <c r="AF8" i="12"/>
  <c r="AE8" i="12"/>
  <c r="AD8" i="12"/>
  <c r="AC8" i="12"/>
  <c r="AB8" i="12"/>
  <c r="AA8" i="12"/>
  <c r="Z8" i="12"/>
  <c r="Y8" i="12"/>
  <c r="X8" i="12"/>
  <c r="W8" i="12"/>
  <c r="V8" i="12"/>
  <c r="U8" i="12"/>
  <c r="T8" i="12"/>
  <c r="S8" i="12"/>
  <c r="R8" i="12"/>
  <c r="Q8" i="12"/>
  <c r="P8" i="12"/>
  <c r="O8" i="12"/>
  <c r="N8" i="12"/>
  <c r="M8" i="12"/>
  <c r="L8" i="12"/>
  <c r="K8" i="12"/>
  <c r="J8" i="12"/>
  <c r="I8" i="12"/>
  <c r="H8" i="12"/>
  <c r="G8" i="12"/>
  <c r="F8" i="12"/>
  <c r="E8" i="12"/>
  <c r="E33" i="12" s="1"/>
  <c r="AN7" i="12"/>
  <c r="AM7" i="12"/>
  <c r="AL7" i="12"/>
  <c r="AK7" i="12"/>
  <c r="AJ7" i="12"/>
  <c r="AI7" i="12"/>
  <c r="AH7" i="12"/>
  <c r="AG7" i="12"/>
  <c r="AF7" i="12"/>
  <c r="AE7" i="12"/>
  <c r="AD7" i="12"/>
  <c r="AC7" i="12"/>
  <c r="AB7" i="12"/>
  <c r="AA7" i="12"/>
  <c r="Z7" i="12"/>
  <c r="Y7" i="12"/>
  <c r="X7" i="12"/>
  <c r="W7" i="12"/>
  <c r="V7" i="12"/>
  <c r="U7" i="12"/>
  <c r="T7" i="12"/>
  <c r="S7" i="12"/>
  <c r="R7" i="12"/>
  <c r="Q7" i="12"/>
  <c r="P7" i="12"/>
  <c r="O7" i="12"/>
  <c r="N7" i="12"/>
  <c r="M7" i="12"/>
  <c r="L7" i="12"/>
  <c r="K7" i="12"/>
  <c r="J7" i="12"/>
  <c r="I7" i="12"/>
  <c r="H7" i="12"/>
  <c r="G7" i="12"/>
  <c r="F7" i="12"/>
  <c r="E7" i="12"/>
  <c r="E32" i="12" s="1"/>
  <c r="AN6" i="12"/>
  <c r="AM6" i="12"/>
  <c r="AL6" i="12"/>
  <c r="AK6" i="12"/>
  <c r="AJ6" i="12"/>
  <c r="AI6" i="12"/>
  <c r="AH6" i="12"/>
  <c r="AG6" i="12"/>
  <c r="AF6" i="12"/>
  <c r="AE6" i="12"/>
  <c r="AD6" i="12"/>
  <c r="AC6" i="12"/>
  <c r="AB6" i="12"/>
  <c r="AA6" i="12"/>
  <c r="Z6" i="12"/>
  <c r="Y6" i="12"/>
  <c r="X6" i="12"/>
  <c r="W6" i="12"/>
  <c r="V6" i="12"/>
  <c r="U6" i="12"/>
  <c r="T6" i="12"/>
  <c r="S6" i="12"/>
  <c r="R6" i="12"/>
  <c r="Q6" i="12"/>
  <c r="P6" i="12"/>
  <c r="O6" i="12"/>
  <c r="N6" i="12"/>
  <c r="M6" i="12"/>
  <c r="L6" i="12"/>
  <c r="K6" i="12"/>
  <c r="J6" i="12"/>
  <c r="I6" i="12"/>
  <c r="H6" i="12"/>
  <c r="G6" i="12"/>
  <c r="F6" i="12"/>
  <c r="E6" i="12"/>
  <c r="E31" i="12" s="1"/>
  <c r="AN5" i="12"/>
  <c r="AM5" i="12"/>
  <c r="AL5" i="12"/>
  <c r="AK5" i="12"/>
  <c r="AJ5" i="12"/>
  <c r="AI5" i="12"/>
  <c r="AH5" i="12"/>
  <c r="AG5" i="12"/>
  <c r="AF5" i="12"/>
  <c r="AE5" i="12"/>
  <c r="AD5" i="12"/>
  <c r="AC5" i="12"/>
  <c r="AB5" i="12"/>
  <c r="AA5" i="12"/>
  <c r="Z5" i="12"/>
  <c r="Y5" i="12"/>
  <c r="X5" i="12"/>
  <c r="W5" i="12"/>
  <c r="V5" i="12"/>
  <c r="U5" i="12"/>
  <c r="T5" i="12"/>
  <c r="S5" i="12"/>
  <c r="R5" i="12"/>
  <c r="Q5" i="12"/>
  <c r="P5" i="12"/>
  <c r="O5" i="12"/>
  <c r="N5" i="12"/>
  <c r="M5" i="12"/>
  <c r="L5" i="12"/>
  <c r="K5" i="12"/>
  <c r="J5" i="12"/>
  <c r="I5" i="12"/>
  <c r="H5" i="12"/>
  <c r="G5" i="12"/>
  <c r="F5" i="12"/>
  <c r="E5" i="12"/>
  <c r="E30" i="12" s="1"/>
  <c r="AN4" i="12"/>
  <c r="AM4" i="12"/>
  <c r="AL4" i="12"/>
  <c r="AK4" i="12"/>
  <c r="AJ4" i="12"/>
  <c r="AI4" i="12"/>
  <c r="AH4" i="12"/>
  <c r="AG4" i="12"/>
  <c r="AF4" i="12"/>
  <c r="AE4" i="12"/>
  <c r="AD4" i="12"/>
  <c r="AC4" i="12"/>
  <c r="AB4" i="12"/>
  <c r="AA4" i="12"/>
  <c r="Z4" i="12"/>
  <c r="Y4" i="12"/>
  <c r="X4" i="12"/>
  <c r="W4" i="12"/>
  <c r="V4" i="12"/>
  <c r="U4" i="12"/>
  <c r="T4" i="12"/>
  <c r="S4" i="12"/>
  <c r="R4" i="12"/>
  <c r="Q4" i="12"/>
  <c r="P4" i="12"/>
  <c r="O4" i="12"/>
  <c r="N4" i="12"/>
  <c r="M4" i="12"/>
  <c r="L4" i="12"/>
  <c r="K4" i="12"/>
  <c r="J4" i="12"/>
  <c r="I4" i="12"/>
  <c r="H4" i="12"/>
  <c r="G4" i="12"/>
  <c r="F4" i="12"/>
  <c r="E4" i="12"/>
  <c r="E29" i="12" s="1"/>
  <c r="AN4" i="11"/>
  <c r="AM4" i="11"/>
  <c r="AL4" i="11"/>
  <c r="AK4" i="11"/>
  <c r="AJ4" i="11"/>
  <c r="AI4" i="11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AN30" i="10"/>
  <c r="AM30" i="10"/>
  <c r="AL30" i="10"/>
  <c r="AK30" i="10"/>
  <c r="AJ30" i="10"/>
  <c r="AI30" i="10"/>
  <c r="AH30" i="10"/>
  <c r="AG30" i="10"/>
  <c r="AG60" i="10" s="1"/>
  <c r="AF30" i="10"/>
  <c r="AE30" i="10"/>
  <c r="AD30" i="10"/>
  <c r="AC30" i="10"/>
  <c r="AB30" i="10"/>
  <c r="AA30" i="10"/>
  <c r="Z30" i="10"/>
  <c r="Y30" i="10"/>
  <c r="Y60" i="10" s="1"/>
  <c r="X30" i="10"/>
  <c r="W30" i="10"/>
  <c r="V30" i="10"/>
  <c r="U30" i="10"/>
  <c r="T30" i="10"/>
  <c r="S30" i="10"/>
  <c r="R30" i="10"/>
  <c r="Q30" i="10"/>
  <c r="Q60" i="10" s="1"/>
  <c r="P30" i="10"/>
  <c r="O30" i="10"/>
  <c r="N30" i="10"/>
  <c r="M30" i="10"/>
  <c r="L30" i="10"/>
  <c r="K30" i="10"/>
  <c r="J30" i="10"/>
  <c r="I30" i="10"/>
  <c r="I60" i="10" s="1"/>
  <c r="H30" i="10"/>
  <c r="G30" i="10"/>
  <c r="F30" i="10"/>
  <c r="E30" i="10"/>
  <c r="E60" i="10" s="1"/>
  <c r="AN29" i="10"/>
  <c r="AM29" i="10"/>
  <c r="AL29" i="10"/>
  <c r="AK29" i="10"/>
  <c r="AJ29" i="10"/>
  <c r="AI29" i="10"/>
  <c r="AH29" i="10"/>
  <c r="AG29" i="10"/>
  <c r="AF29" i="10"/>
  <c r="AE29" i="10"/>
  <c r="AD29" i="10"/>
  <c r="AC29" i="10"/>
  <c r="AB29" i="10"/>
  <c r="AA29" i="10"/>
  <c r="Z29" i="10"/>
  <c r="Y29" i="10"/>
  <c r="X29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E59" i="10" s="1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Z58" i="10" s="1"/>
  <c r="Y28" i="10"/>
  <c r="X28" i="10"/>
  <c r="W28" i="10"/>
  <c r="V28" i="10"/>
  <c r="U28" i="10"/>
  <c r="T28" i="10"/>
  <c r="S28" i="10"/>
  <c r="R28" i="10"/>
  <c r="R58" i="10" s="1"/>
  <c r="Q28" i="10"/>
  <c r="P28" i="10"/>
  <c r="O28" i="10"/>
  <c r="N28" i="10"/>
  <c r="M28" i="10"/>
  <c r="L28" i="10"/>
  <c r="K28" i="10"/>
  <c r="J28" i="10"/>
  <c r="J58" i="10" s="1"/>
  <c r="I28" i="10"/>
  <c r="H28" i="10"/>
  <c r="G28" i="10"/>
  <c r="F28" i="10"/>
  <c r="E28" i="10"/>
  <c r="E58" i="10" s="1"/>
  <c r="AN27" i="10"/>
  <c r="AM27" i="10"/>
  <c r="AL27" i="10"/>
  <c r="AK27" i="10"/>
  <c r="AJ27" i="10"/>
  <c r="AI27" i="10"/>
  <c r="AH27" i="10"/>
  <c r="AG27" i="10"/>
  <c r="AF27" i="10"/>
  <c r="AE27" i="10"/>
  <c r="AD27" i="10"/>
  <c r="AC27" i="10"/>
  <c r="AB27" i="10"/>
  <c r="AA27" i="10"/>
  <c r="Z27" i="10"/>
  <c r="Y27" i="10"/>
  <c r="X27" i="10"/>
  <c r="W27" i="10"/>
  <c r="V27" i="10"/>
  <c r="U27" i="10"/>
  <c r="T27" i="10"/>
  <c r="S27" i="10"/>
  <c r="R27" i="10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E57" i="10" s="1"/>
  <c r="AN26" i="10"/>
  <c r="AM26" i="10"/>
  <c r="AL26" i="10"/>
  <c r="AK26" i="10"/>
  <c r="AJ26" i="10"/>
  <c r="AJ56" i="10" s="1"/>
  <c r="AI26" i="10"/>
  <c r="AH26" i="10"/>
  <c r="AG26" i="10"/>
  <c r="AG56" i="10" s="1"/>
  <c r="AF26" i="10"/>
  <c r="AE26" i="10"/>
  <c r="AD26" i="10"/>
  <c r="AC26" i="10"/>
  <c r="AB26" i="10"/>
  <c r="AB56" i="10" s="1"/>
  <c r="AA26" i="10"/>
  <c r="Z26" i="10"/>
  <c r="Y26" i="10"/>
  <c r="X26" i="10"/>
  <c r="W26" i="10"/>
  <c r="V26" i="10"/>
  <c r="U26" i="10"/>
  <c r="T26" i="10"/>
  <c r="T56" i="10" s="1"/>
  <c r="S26" i="10"/>
  <c r="R26" i="10"/>
  <c r="Q26" i="10"/>
  <c r="P26" i="10"/>
  <c r="O26" i="10"/>
  <c r="N26" i="10"/>
  <c r="M26" i="10"/>
  <c r="L26" i="10"/>
  <c r="L56" i="10" s="1"/>
  <c r="K26" i="10"/>
  <c r="J26" i="10"/>
  <c r="J56" i="10" s="1"/>
  <c r="I26" i="10"/>
  <c r="H26" i="10"/>
  <c r="G26" i="10"/>
  <c r="F26" i="10"/>
  <c r="F56" i="10" s="1"/>
  <c r="E26" i="10"/>
  <c r="E56" i="10" s="1"/>
  <c r="AN25" i="10"/>
  <c r="AM25" i="10"/>
  <c r="AL25" i="10"/>
  <c r="AK25" i="10"/>
  <c r="AJ25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E55" i="10" s="1"/>
  <c r="AN24" i="10"/>
  <c r="AM24" i="10"/>
  <c r="AL24" i="10"/>
  <c r="AK24" i="10"/>
  <c r="AJ24" i="10"/>
  <c r="AI24" i="10"/>
  <c r="AH24" i="10"/>
  <c r="AG24" i="10"/>
  <c r="AF24" i="10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T54" i="10" s="1"/>
  <c r="S24" i="10"/>
  <c r="R24" i="10"/>
  <c r="Q24" i="10"/>
  <c r="P24" i="10"/>
  <c r="O24" i="10"/>
  <c r="N24" i="10"/>
  <c r="M24" i="10"/>
  <c r="L24" i="10"/>
  <c r="L54" i="10" s="1"/>
  <c r="K24" i="10"/>
  <c r="J24" i="10"/>
  <c r="I24" i="10"/>
  <c r="I54" i="10" s="1"/>
  <c r="H24" i="10"/>
  <c r="G24" i="10"/>
  <c r="F24" i="10"/>
  <c r="E24" i="10"/>
  <c r="E54" i="10" s="1"/>
  <c r="AN23" i="10"/>
  <c r="AP23" i="10" s="1"/>
  <c r="AM23" i="10"/>
  <c r="AL23" i="10"/>
  <c r="AK23" i="10"/>
  <c r="AJ23" i="10"/>
  <c r="AI23" i="10"/>
  <c r="AH23" i="10"/>
  <c r="AG23" i="10"/>
  <c r="AG53" i="10" s="1"/>
  <c r="AF23" i="10"/>
  <c r="AE23" i="10"/>
  <c r="AD23" i="10"/>
  <c r="AC23" i="10"/>
  <c r="AB23" i="10"/>
  <c r="AA23" i="10"/>
  <c r="Z23" i="10"/>
  <c r="Y23" i="10"/>
  <c r="Y53" i="10" s="1"/>
  <c r="X23" i="10"/>
  <c r="W23" i="10"/>
  <c r="V23" i="10"/>
  <c r="U23" i="10"/>
  <c r="T23" i="10"/>
  <c r="S23" i="10"/>
  <c r="R23" i="10"/>
  <c r="Q23" i="10"/>
  <c r="Q53" i="10" s="1"/>
  <c r="P23" i="10"/>
  <c r="O23" i="10"/>
  <c r="N23" i="10"/>
  <c r="M23" i="10"/>
  <c r="L23" i="10"/>
  <c r="K23" i="10"/>
  <c r="J23" i="10"/>
  <c r="I23" i="10"/>
  <c r="I53" i="10" s="1"/>
  <c r="H23" i="10"/>
  <c r="G23" i="10"/>
  <c r="F23" i="10"/>
  <c r="E23" i="10"/>
  <c r="E53" i="10" s="1"/>
  <c r="AN22" i="10"/>
  <c r="AM22" i="10"/>
  <c r="AL22" i="10"/>
  <c r="AK22" i="10"/>
  <c r="AJ22" i="10"/>
  <c r="AI22" i="10"/>
  <c r="AH22" i="10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E22" i="10"/>
  <c r="E52" i="10" s="1"/>
  <c r="AN21" i="10"/>
  <c r="AM21" i="10"/>
  <c r="AL21" i="10"/>
  <c r="AK21" i="10"/>
  <c r="AJ21" i="10"/>
  <c r="AI21" i="10"/>
  <c r="AH21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E51" i="10" s="1"/>
  <c r="AN20" i="10"/>
  <c r="AM20" i="10"/>
  <c r="AL20" i="10"/>
  <c r="AK20" i="10"/>
  <c r="AJ20" i="10"/>
  <c r="AI20" i="10"/>
  <c r="AH20" i="10"/>
  <c r="AG20" i="10"/>
  <c r="AF20" i="10"/>
  <c r="AE20" i="10"/>
  <c r="AD20" i="10"/>
  <c r="AC20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E50" i="10" s="1"/>
  <c r="AN19" i="10"/>
  <c r="AM19" i="10"/>
  <c r="AL19" i="10"/>
  <c r="AK19" i="10"/>
  <c r="AJ19" i="10"/>
  <c r="AI19" i="10"/>
  <c r="AH19" i="10"/>
  <c r="AG19" i="10"/>
  <c r="AF19" i="10"/>
  <c r="AE19" i="10"/>
  <c r="AD19" i="10"/>
  <c r="AC19" i="10"/>
  <c r="AB19" i="10"/>
  <c r="AA19" i="10"/>
  <c r="Z19" i="10"/>
  <c r="Y19" i="10"/>
  <c r="X19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AN18" i="10"/>
  <c r="AM18" i="10"/>
  <c r="AL18" i="10"/>
  <c r="AK18" i="10"/>
  <c r="AJ18" i="10"/>
  <c r="AI18" i="10"/>
  <c r="AH18" i="10"/>
  <c r="AG18" i="10"/>
  <c r="AF18" i="10"/>
  <c r="AE18" i="10"/>
  <c r="AD18" i="10"/>
  <c r="AC18" i="10"/>
  <c r="AB18" i="10"/>
  <c r="AA18" i="10"/>
  <c r="Z18" i="10"/>
  <c r="Y18" i="10"/>
  <c r="X18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E48" i="10" s="1"/>
  <c r="AN17" i="10"/>
  <c r="AM17" i="10"/>
  <c r="AL17" i="10"/>
  <c r="AK17" i="10"/>
  <c r="AJ17" i="10"/>
  <c r="AI17" i="10"/>
  <c r="AH17" i="10"/>
  <c r="AG17" i="10"/>
  <c r="AF17" i="10"/>
  <c r="AE17" i="10"/>
  <c r="AD17" i="10"/>
  <c r="AC17" i="10"/>
  <c r="AB17" i="10"/>
  <c r="AA17" i="10"/>
  <c r="Z17" i="10"/>
  <c r="Y17" i="10"/>
  <c r="X17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AN16" i="10"/>
  <c r="AM16" i="10"/>
  <c r="AL16" i="10"/>
  <c r="AK16" i="10"/>
  <c r="AJ16" i="10"/>
  <c r="AI16" i="10"/>
  <c r="AH16" i="10"/>
  <c r="AG16" i="10"/>
  <c r="AF16" i="10"/>
  <c r="AE16" i="10"/>
  <c r="AD16" i="10"/>
  <c r="AC16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E46" i="10" s="1"/>
  <c r="AN15" i="10"/>
  <c r="AM15" i="10"/>
  <c r="AL15" i="10"/>
  <c r="AK15" i="10"/>
  <c r="AJ15" i="10"/>
  <c r="AI15" i="10"/>
  <c r="AH15" i="10"/>
  <c r="AG15" i="10"/>
  <c r="AF15" i="10"/>
  <c r="AE15" i="10"/>
  <c r="AD15" i="10"/>
  <c r="AC15" i="10"/>
  <c r="AB15" i="10"/>
  <c r="AA15" i="10"/>
  <c r="Z15" i="10"/>
  <c r="Y15" i="10"/>
  <c r="X15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E45" i="10" s="1"/>
  <c r="AN14" i="10"/>
  <c r="AM14" i="10"/>
  <c r="AL14" i="10"/>
  <c r="AK14" i="10"/>
  <c r="AJ14" i="10"/>
  <c r="AI14" i="10"/>
  <c r="AH14" i="10"/>
  <c r="AG14" i="10"/>
  <c r="AF14" i="10"/>
  <c r="AE14" i="10"/>
  <c r="AD14" i="10"/>
  <c r="AC14" i="10"/>
  <c r="AB14" i="10"/>
  <c r="AA14" i="10"/>
  <c r="Z14" i="10"/>
  <c r="Y14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E44" i="10" s="1"/>
  <c r="AN13" i="10"/>
  <c r="AP13" i="10" s="1"/>
  <c r="AM13" i="10"/>
  <c r="AL13" i="10"/>
  <c r="AK13" i="10"/>
  <c r="AJ13" i="10"/>
  <c r="AI13" i="10"/>
  <c r="AH13" i="10"/>
  <c r="AG13" i="10"/>
  <c r="AF13" i="10"/>
  <c r="AE13" i="10"/>
  <c r="AD13" i="10"/>
  <c r="AC13" i="10"/>
  <c r="AB13" i="10"/>
  <c r="AA13" i="10"/>
  <c r="Z13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E43" i="10" s="1"/>
  <c r="AN12" i="10"/>
  <c r="AM12" i="10"/>
  <c r="AL12" i="10"/>
  <c r="AK12" i="10"/>
  <c r="AJ12" i="10"/>
  <c r="AI12" i="10"/>
  <c r="AH12" i="10"/>
  <c r="AG12" i="10"/>
  <c r="AF12" i="10"/>
  <c r="AE12" i="10"/>
  <c r="AD12" i="10"/>
  <c r="AC12" i="10"/>
  <c r="AB12" i="10"/>
  <c r="AA12" i="10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E42" i="10" s="1"/>
  <c r="AN11" i="10"/>
  <c r="AM11" i="10"/>
  <c r="AL11" i="10"/>
  <c r="AK11" i="10"/>
  <c r="AJ11" i="10"/>
  <c r="AI11" i="10"/>
  <c r="AH11" i="10"/>
  <c r="AG11" i="10"/>
  <c r="AF11" i="10"/>
  <c r="AE11" i="10"/>
  <c r="AD11" i="10"/>
  <c r="AC11" i="10"/>
  <c r="AB11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E41" i="10" s="1"/>
  <c r="AN10" i="10"/>
  <c r="AM10" i="10"/>
  <c r="AL10" i="10"/>
  <c r="AK10" i="10"/>
  <c r="AJ10" i="10"/>
  <c r="AI10" i="10"/>
  <c r="AH10" i="10"/>
  <c r="AG10" i="10"/>
  <c r="AF10" i="10"/>
  <c r="AE10" i="10"/>
  <c r="AD10" i="10"/>
  <c r="AC10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E40" i="10" s="1"/>
  <c r="AN9" i="10"/>
  <c r="AM9" i="10"/>
  <c r="AL9" i="10"/>
  <c r="AK9" i="10"/>
  <c r="AJ9" i="10"/>
  <c r="AI9" i="10"/>
  <c r="AH9" i="10"/>
  <c r="AG9" i="10"/>
  <c r="AF9" i="10"/>
  <c r="AE9" i="10"/>
  <c r="AD9" i="10"/>
  <c r="AC9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E39" i="10" s="1"/>
  <c r="AN8" i="10"/>
  <c r="AM8" i="10"/>
  <c r="AL8" i="10"/>
  <c r="AK8" i="10"/>
  <c r="AJ8" i="10"/>
  <c r="AI8" i="10"/>
  <c r="AH8" i="10"/>
  <c r="AG8" i="10"/>
  <c r="AF8" i="10"/>
  <c r="AE8" i="10"/>
  <c r="AD8" i="10"/>
  <c r="AC8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E38" i="10" s="1"/>
  <c r="AN7" i="10"/>
  <c r="AM7" i="10"/>
  <c r="AL7" i="10"/>
  <c r="AK7" i="10"/>
  <c r="AJ7" i="10"/>
  <c r="AI7" i="10"/>
  <c r="AH7" i="10"/>
  <c r="AG7" i="10"/>
  <c r="AF7" i="10"/>
  <c r="AE7" i="10"/>
  <c r="AD7" i="10"/>
  <c r="AC7" i="10"/>
  <c r="AB7" i="10"/>
  <c r="AA7" i="10"/>
  <c r="Z7" i="10"/>
  <c r="Y7" i="10"/>
  <c r="X7" i="10"/>
  <c r="W7" i="10"/>
  <c r="V7" i="10"/>
  <c r="U7" i="10"/>
  <c r="T7" i="10"/>
  <c r="S7" i="10"/>
  <c r="R7" i="10"/>
  <c r="R37" i="10" s="1"/>
  <c r="Q7" i="10"/>
  <c r="P7" i="10"/>
  <c r="O7" i="10"/>
  <c r="N7" i="10"/>
  <c r="M7" i="10"/>
  <c r="L7" i="10"/>
  <c r="K7" i="10"/>
  <c r="J7" i="10"/>
  <c r="J37" i="10" s="1"/>
  <c r="I7" i="10"/>
  <c r="H7" i="10"/>
  <c r="G7" i="10"/>
  <c r="F7" i="10"/>
  <c r="E7" i="10"/>
  <c r="E37" i="10" s="1"/>
  <c r="AN6" i="10"/>
  <c r="AM6" i="10"/>
  <c r="AL6" i="10"/>
  <c r="AK6" i="10"/>
  <c r="AJ6" i="10"/>
  <c r="AI6" i="10"/>
  <c r="AI36" i="10" s="1"/>
  <c r="AH6" i="10"/>
  <c r="AG6" i="10"/>
  <c r="AF6" i="10"/>
  <c r="AE6" i="10"/>
  <c r="AD6" i="10"/>
  <c r="AC6" i="10"/>
  <c r="AB6" i="10"/>
  <c r="AA6" i="10"/>
  <c r="AA36" i="10" s="1"/>
  <c r="Z6" i="10"/>
  <c r="Y6" i="10"/>
  <c r="X6" i="10"/>
  <c r="W6" i="10"/>
  <c r="V6" i="10"/>
  <c r="U6" i="10"/>
  <c r="T6" i="10"/>
  <c r="S6" i="10"/>
  <c r="S36" i="10" s="1"/>
  <c r="R6" i="10"/>
  <c r="Q6" i="10"/>
  <c r="P6" i="10"/>
  <c r="O6" i="10"/>
  <c r="N6" i="10"/>
  <c r="M6" i="10"/>
  <c r="L6" i="10"/>
  <c r="K6" i="10"/>
  <c r="K36" i="10" s="1"/>
  <c r="J6" i="10"/>
  <c r="I6" i="10"/>
  <c r="H6" i="10"/>
  <c r="G6" i="10"/>
  <c r="G36" i="10" s="1"/>
  <c r="F6" i="10"/>
  <c r="E6" i="10"/>
  <c r="E36" i="10" s="1"/>
  <c r="AN5" i="10"/>
  <c r="AM5" i="10"/>
  <c r="AL5" i="10"/>
  <c r="AK5" i="10"/>
  <c r="AJ5" i="10"/>
  <c r="AI5" i="10"/>
  <c r="AH5" i="10"/>
  <c r="AH35" i="10" s="1"/>
  <c r="AG5" i="10"/>
  <c r="AF5" i="10"/>
  <c r="AE5" i="10"/>
  <c r="AD5" i="10"/>
  <c r="AC5" i="10"/>
  <c r="AB5" i="10"/>
  <c r="AA5" i="10"/>
  <c r="Z5" i="10"/>
  <c r="Z35" i="10" s="1"/>
  <c r="Y5" i="10"/>
  <c r="X5" i="10"/>
  <c r="W5" i="10"/>
  <c r="V5" i="10"/>
  <c r="U5" i="10"/>
  <c r="T5" i="10"/>
  <c r="S5" i="10"/>
  <c r="R5" i="10"/>
  <c r="R35" i="10" s="1"/>
  <c r="Q5" i="10"/>
  <c r="P5" i="10"/>
  <c r="O5" i="10"/>
  <c r="N5" i="10"/>
  <c r="M5" i="10"/>
  <c r="L5" i="10"/>
  <c r="K5" i="10"/>
  <c r="J5" i="10"/>
  <c r="J35" i="10" s="1"/>
  <c r="I5" i="10"/>
  <c r="H5" i="10"/>
  <c r="G5" i="10"/>
  <c r="F5" i="10"/>
  <c r="E5" i="10"/>
  <c r="E35" i="10" s="1"/>
  <c r="AN4" i="10"/>
  <c r="AM4" i="10"/>
  <c r="AL4" i="10"/>
  <c r="AK4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E34" i="10" s="1"/>
  <c r="AN30" i="9"/>
  <c r="AM30" i="9"/>
  <c r="AL30" i="9"/>
  <c r="AK30" i="9"/>
  <c r="AJ30" i="9"/>
  <c r="AI30" i="9"/>
  <c r="AH30" i="9"/>
  <c r="AG30" i="9"/>
  <c r="AF30" i="9"/>
  <c r="AE30" i="9"/>
  <c r="AD30" i="9"/>
  <c r="AC30" i="9"/>
  <c r="AB30" i="9"/>
  <c r="AA30" i="9"/>
  <c r="Z30" i="9"/>
  <c r="Y30" i="9"/>
  <c r="X30" i="9"/>
  <c r="W30" i="9"/>
  <c r="V30" i="9"/>
  <c r="U30" i="9"/>
  <c r="T30" i="9"/>
  <c r="S30" i="9"/>
  <c r="R30" i="9"/>
  <c r="Q30" i="9"/>
  <c r="P30" i="9"/>
  <c r="O30" i="9"/>
  <c r="N30" i="9"/>
  <c r="M30" i="9"/>
  <c r="L30" i="9"/>
  <c r="K30" i="9"/>
  <c r="J30" i="9"/>
  <c r="I30" i="9"/>
  <c r="H30" i="9"/>
  <c r="G30" i="9"/>
  <c r="F30" i="9"/>
  <c r="E30" i="9"/>
  <c r="E60" i="9" s="1"/>
  <c r="AN29" i="9"/>
  <c r="AM29" i="9"/>
  <c r="AL29" i="9"/>
  <c r="AK29" i="9"/>
  <c r="AJ29" i="9"/>
  <c r="AI29" i="9"/>
  <c r="AH29" i="9"/>
  <c r="AG29" i="9"/>
  <c r="AF29" i="9"/>
  <c r="AE29" i="9"/>
  <c r="AD29" i="9"/>
  <c r="AC29" i="9"/>
  <c r="AB29" i="9"/>
  <c r="AA29" i="9"/>
  <c r="Z29" i="9"/>
  <c r="Y29" i="9"/>
  <c r="X29" i="9"/>
  <c r="W29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E59" i="9" s="1"/>
  <c r="AN28" i="9"/>
  <c r="AM28" i="9"/>
  <c r="AL28" i="9"/>
  <c r="AK28" i="9"/>
  <c r="AJ28" i="9"/>
  <c r="AI28" i="9"/>
  <c r="AH28" i="9"/>
  <c r="AG28" i="9"/>
  <c r="AF28" i="9"/>
  <c r="AE28" i="9"/>
  <c r="AD28" i="9"/>
  <c r="AC28" i="9"/>
  <c r="AB28" i="9"/>
  <c r="AA28" i="9"/>
  <c r="Z28" i="9"/>
  <c r="Y28" i="9"/>
  <c r="X28" i="9"/>
  <c r="W28" i="9"/>
  <c r="V28" i="9"/>
  <c r="U28" i="9"/>
  <c r="T28" i="9"/>
  <c r="S28" i="9"/>
  <c r="R28" i="9"/>
  <c r="R58" i="9" s="1"/>
  <c r="Q28" i="9"/>
  <c r="P28" i="9"/>
  <c r="O28" i="9"/>
  <c r="O58" i="9" s="1"/>
  <c r="N28" i="9"/>
  <c r="M28" i="9"/>
  <c r="L28" i="9"/>
  <c r="K28" i="9"/>
  <c r="J28" i="9"/>
  <c r="J58" i="9" s="1"/>
  <c r="I28" i="9"/>
  <c r="H28" i="9"/>
  <c r="G28" i="9"/>
  <c r="G58" i="9" s="1"/>
  <c r="F28" i="9"/>
  <c r="E28" i="9"/>
  <c r="E58" i="9" s="1"/>
  <c r="AN27" i="9"/>
  <c r="AM27" i="9"/>
  <c r="AL27" i="9"/>
  <c r="AK27" i="9"/>
  <c r="AJ27" i="9"/>
  <c r="AI27" i="9"/>
  <c r="AI57" i="9" s="1"/>
  <c r="AH27" i="9"/>
  <c r="AG27" i="9"/>
  <c r="AF27" i="9"/>
  <c r="AE27" i="9"/>
  <c r="AD27" i="9"/>
  <c r="AC27" i="9"/>
  <c r="AB27" i="9"/>
  <c r="AA27" i="9"/>
  <c r="AA57" i="9" s="1"/>
  <c r="Z27" i="9"/>
  <c r="Y27" i="9"/>
  <c r="X27" i="9"/>
  <c r="W27" i="9"/>
  <c r="V27" i="9"/>
  <c r="U27" i="9"/>
  <c r="T27" i="9"/>
  <c r="S27" i="9"/>
  <c r="S57" i="9" s="1"/>
  <c r="R27" i="9"/>
  <c r="Q27" i="9"/>
  <c r="P27" i="9"/>
  <c r="O27" i="9"/>
  <c r="N27" i="9"/>
  <c r="M27" i="9"/>
  <c r="L27" i="9"/>
  <c r="L57" i="9" s="1"/>
  <c r="K27" i="9"/>
  <c r="K57" i="9" s="1"/>
  <c r="J27" i="9"/>
  <c r="I27" i="9"/>
  <c r="H27" i="9"/>
  <c r="H57" i="9" s="1"/>
  <c r="G27" i="9"/>
  <c r="G57" i="9" s="1"/>
  <c r="F27" i="9"/>
  <c r="E27" i="9"/>
  <c r="E57" i="9" s="1"/>
  <c r="AN26" i="9"/>
  <c r="AM26" i="9"/>
  <c r="AL26" i="9"/>
  <c r="AK26" i="9"/>
  <c r="AJ26" i="9"/>
  <c r="AI26" i="9"/>
  <c r="AH26" i="9"/>
  <c r="AG26" i="9"/>
  <c r="AF26" i="9"/>
  <c r="AE26" i="9"/>
  <c r="AD26" i="9"/>
  <c r="AC26" i="9"/>
  <c r="AB26" i="9"/>
  <c r="AA26" i="9"/>
  <c r="Z26" i="9"/>
  <c r="Y26" i="9"/>
  <c r="X26" i="9"/>
  <c r="W26" i="9"/>
  <c r="V26" i="9"/>
  <c r="U26" i="9"/>
  <c r="T26" i="9"/>
  <c r="S26" i="9"/>
  <c r="R26" i="9"/>
  <c r="Q26" i="9"/>
  <c r="P26" i="9"/>
  <c r="O26" i="9"/>
  <c r="N26" i="9"/>
  <c r="M26" i="9"/>
  <c r="L26" i="9"/>
  <c r="K26" i="9"/>
  <c r="J26" i="9"/>
  <c r="I26" i="9"/>
  <c r="H26" i="9"/>
  <c r="G26" i="9"/>
  <c r="F26" i="9"/>
  <c r="E26" i="9"/>
  <c r="E56" i="9" s="1"/>
  <c r="AN25" i="9"/>
  <c r="AM25" i="9"/>
  <c r="AL25" i="9"/>
  <c r="AK25" i="9"/>
  <c r="AJ25" i="9"/>
  <c r="AI25" i="9"/>
  <c r="AH25" i="9"/>
  <c r="AG25" i="9"/>
  <c r="AF25" i="9"/>
  <c r="AE25" i="9"/>
  <c r="AD25" i="9"/>
  <c r="AC25" i="9"/>
  <c r="AB25" i="9"/>
  <c r="AA25" i="9"/>
  <c r="Z25" i="9"/>
  <c r="Y25" i="9"/>
  <c r="X25" i="9"/>
  <c r="W25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E55" i="9" s="1"/>
  <c r="AN24" i="9"/>
  <c r="AM24" i="9"/>
  <c r="AL24" i="9"/>
  <c r="AK24" i="9"/>
  <c r="AJ24" i="9"/>
  <c r="AI24" i="9"/>
  <c r="AH24" i="9"/>
  <c r="AG24" i="9"/>
  <c r="AF24" i="9"/>
  <c r="AE24" i="9"/>
  <c r="AD24" i="9"/>
  <c r="AC24" i="9"/>
  <c r="AB24" i="9"/>
  <c r="AA24" i="9"/>
  <c r="Z24" i="9"/>
  <c r="Y24" i="9"/>
  <c r="X24" i="9"/>
  <c r="W24" i="9"/>
  <c r="V24" i="9"/>
  <c r="U24" i="9"/>
  <c r="T24" i="9"/>
  <c r="S24" i="9"/>
  <c r="R24" i="9"/>
  <c r="Q24" i="9"/>
  <c r="P24" i="9"/>
  <c r="O24" i="9"/>
  <c r="N24" i="9"/>
  <c r="M24" i="9"/>
  <c r="L24" i="9"/>
  <c r="K24" i="9"/>
  <c r="J24" i="9"/>
  <c r="J54" i="9" s="1"/>
  <c r="I24" i="9"/>
  <c r="H24" i="9"/>
  <c r="G24" i="9"/>
  <c r="F24" i="9"/>
  <c r="E24" i="9"/>
  <c r="E54" i="9" s="1"/>
  <c r="AN23" i="9"/>
  <c r="AM23" i="9"/>
  <c r="AL23" i="9"/>
  <c r="AK23" i="9"/>
  <c r="AJ23" i="9"/>
  <c r="AI23" i="9"/>
  <c r="AH23" i="9"/>
  <c r="AG23" i="9"/>
  <c r="AF23" i="9"/>
  <c r="AE23" i="9"/>
  <c r="AD23" i="9"/>
  <c r="AC23" i="9"/>
  <c r="AB23" i="9"/>
  <c r="AA23" i="9"/>
  <c r="Z23" i="9"/>
  <c r="Y23" i="9"/>
  <c r="X23" i="9"/>
  <c r="W23" i="9"/>
  <c r="V23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G53" i="9" s="1"/>
  <c r="F23" i="9"/>
  <c r="E23" i="9"/>
  <c r="E53" i="9" s="1"/>
  <c r="AN22" i="9"/>
  <c r="AM22" i="9"/>
  <c r="AL22" i="9"/>
  <c r="AK22" i="9"/>
  <c r="AJ22" i="9"/>
  <c r="AI22" i="9"/>
  <c r="AH22" i="9"/>
  <c r="AG22" i="9"/>
  <c r="AF22" i="9"/>
  <c r="AE22" i="9"/>
  <c r="AD22" i="9"/>
  <c r="AC22" i="9"/>
  <c r="AB22" i="9"/>
  <c r="AA22" i="9"/>
  <c r="Z22" i="9"/>
  <c r="Y22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E52" i="9" s="1"/>
  <c r="AN21" i="9"/>
  <c r="AM21" i="9"/>
  <c r="AL21" i="9"/>
  <c r="AK21" i="9"/>
  <c r="AJ21" i="9"/>
  <c r="AI21" i="9"/>
  <c r="AH21" i="9"/>
  <c r="AG21" i="9"/>
  <c r="AF21" i="9"/>
  <c r="AE21" i="9"/>
  <c r="AD21" i="9"/>
  <c r="AC21" i="9"/>
  <c r="AB21" i="9"/>
  <c r="AA21" i="9"/>
  <c r="Z21" i="9"/>
  <c r="Y21" i="9"/>
  <c r="X21" i="9"/>
  <c r="W21" i="9"/>
  <c r="V21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AN20" i="9"/>
  <c r="AM20" i="9"/>
  <c r="AL20" i="9"/>
  <c r="AK20" i="9"/>
  <c r="AJ20" i="9"/>
  <c r="AI20" i="9"/>
  <c r="AH20" i="9"/>
  <c r="AG20" i="9"/>
  <c r="AF20" i="9"/>
  <c r="AE20" i="9"/>
  <c r="AD20" i="9"/>
  <c r="AC20" i="9"/>
  <c r="AB20" i="9"/>
  <c r="AA20" i="9"/>
  <c r="Z20" i="9"/>
  <c r="Y20" i="9"/>
  <c r="X20" i="9"/>
  <c r="W20" i="9"/>
  <c r="V20" i="9"/>
  <c r="U20" i="9"/>
  <c r="T20" i="9"/>
  <c r="S20" i="9"/>
  <c r="R20" i="9"/>
  <c r="Q20" i="9"/>
  <c r="P20" i="9"/>
  <c r="O20" i="9"/>
  <c r="N20" i="9"/>
  <c r="M20" i="9"/>
  <c r="L20" i="9"/>
  <c r="K20" i="9"/>
  <c r="J20" i="9"/>
  <c r="J50" i="9" s="1"/>
  <c r="I20" i="9"/>
  <c r="H20" i="9"/>
  <c r="G20" i="9"/>
  <c r="F20" i="9"/>
  <c r="E20" i="9"/>
  <c r="E50" i="9" s="1"/>
  <c r="AN19" i="9"/>
  <c r="AM19" i="9"/>
  <c r="AL19" i="9"/>
  <c r="AK19" i="9"/>
  <c r="AJ19" i="9"/>
  <c r="AI19" i="9"/>
  <c r="AH19" i="9"/>
  <c r="AG19" i="9"/>
  <c r="AF19" i="9"/>
  <c r="AE19" i="9"/>
  <c r="AD19" i="9"/>
  <c r="AC19" i="9"/>
  <c r="AB19" i="9"/>
  <c r="AA19" i="9"/>
  <c r="Z19" i="9"/>
  <c r="Y19" i="9"/>
  <c r="X19" i="9"/>
  <c r="W19" i="9"/>
  <c r="V19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E49" i="9" s="1"/>
  <c r="AN18" i="9"/>
  <c r="AM18" i="9"/>
  <c r="AL18" i="9"/>
  <c r="AK18" i="9"/>
  <c r="AJ18" i="9"/>
  <c r="AI18" i="9"/>
  <c r="AH18" i="9"/>
  <c r="AG18" i="9"/>
  <c r="AF18" i="9"/>
  <c r="AE18" i="9"/>
  <c r="AD18" i="9"/>
  <c r="AC18" i="9"/>
  <c r="AB18" i="9"/>
  <c r="AA18" i="9"/>
  <c r="Z18" i="9"/>
  <c r="Y18" i="9"/>
  <c r="X18" i="9"/>
  <c r="W18" i="9"/>
  <c r="V18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E48" i="9" s="1"/>
  <c r="AN17" i="9"/>
  <c r="AM17" i="9"/>
  <c r="AL17" i="9"/>
  <c r="AK17" i="9"/>
  <c r="AJ17" i="9"/>
  <c r="AI17" i="9"/>
  <c r="AH17" i="9"/>
  <c r="AG17" i="9"/>
  <c r="AF17" i="9"/>
  <c r="AE17" i="9"/>
  <c r="AD17" i="9"/>
  <c r="AC17" i="9"/>
  <c r="AB17" i="9"/>
  <c r="AA17" i="9"/>
  <c r="Z17" i="9"/>
  <c r="Y17" i="9"/>
  <c r="X17" i="9"/>
  <c r="W17" i="9"/>
  <c r="V17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E47" i="9" s="1"/>
  <c r="AN16" i="9"/>
  <c r="AM16" i="9"/>
  <c r="AL16" i="9"/>
  <c r="AK16" i="9"/>
  <c r="AJ16" i="9"/>
  <c r="AI16" i="9"/>
  <c r="AH16" i="9"/>
  <c r="AG16" i="9"/>
  <c r="AF16" i="9"/>
  <c r="AE16" i="9"/>
  <c r="AD16" i="9"/>
  <c r="AC16" i="9"/>
  <c r="AB16" i="9"/>
  <c r="AA16" i="9"/>
  <c r="Z16" i="9"/>
  <c r="Y16" i="9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E46" i="9" s="1"/>
  <c r="AN15" i="9"/>
  <c r="AM15" i="9"/>
  <c r="AL15" i="9"/>
  <c r="AK15" i="9"/>
  <c r="AJ15" i="9"/>
  <c r="AI15" i="9"/>
  <c r="AI45" i="9" s="1"/>
  <c r="AH15" i="9"/>
  <c r="AG15" i="9"/>
  <c r="AF15" i="9"/>
  <c r="AE15" i="9"/>
  <c r="AD15" i="9"/>
  <c r="AC15" i="9"/>
  <c r="AB15" i="9"/>
  <c r="AA15" i="9"/>
  <c r="AA45" i="9" s="1"/>
  <c r="Z15" i="9"/>
  <c r="Y15" i="9"/>
  <c r="X15" i="9"/>
  <c r="W15" i="9"/>
  <c r="V15" i="9"/>
  <c r="U15" i="9"/>
  <c r="T15" i="9"/>
  <c r="S15" i="9"/>
  <c r="S45" i="9" s="1"/>
  <c r="R15" i="9"/>
  <c r="Q15" i="9"/>
  <c r="P15" i="9"/>
  <c r="O15" i="9"/>
  <c r="N15" i="9"/>
  <c r="M15" i="9"/>
  <c r="L15" i="9"/>
  <c r="K15" i="9"/>
  <c r="K45" i="9" s="1"/>
  <c r="J15" i="9"/>
  <c r="I15" i="9"/>
  <c r="H15" i="9"/>
  <c r="G15" i="9"/>
  <c r="F15" i="9"/>
  <c r="E15" i="9"/>
  <c r="E45" i="9" s="1"/>
  <c r="AN14" i="9"/>
  <c r="AM14" i="9"/>
  <c r="AL14" i="9"/>
  <c r="AK14" i="9"/>
  <c r="AJ14" i="9"/>
  <c r="AI14" i="9"/>
  <c r="AH14" i="9"/>
  <c r="AG14" i="9"/>
  <c r="AF14" i="9"/>
  <c r="AE14" i="9"/>
  <c r="AD14" i="9"/>
  <c r="AC14" i="9"/>
  <c r="AB14" i="9"/>
  <c r="AA14" i="9"/>
  <c r="Z14" i="9"/>
  <c r="Y14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E44" i="9" s="1"/>
  <c r="AN13" i="9"/>
  <c r="AP13" i="9" s="1"/>
  <c r="AM13" i="9"/>
  <c r="AL13" i="9"/>
  <c r="AK13" i="9"/>
  <c r="AJ13" i="9"/>
  <c r="AJ43" i="9" s="1"/>
  <c r="AI13" i="9"/>
  <c r="AH13" i="9"/>
  <c r="AG13" i="9"/>
  <c r="AF13" i="9"/>
  <c r="AE13" i="9"/>
  <c r="AD13" i="9"/>
  <c r="AC13" i="9"/>
  <c r="AB13" i="9"/>
  <c r="AB43" i="9" s="1"/>
  <c r="AA13" i="9"/>
  <c r="Z13" i="9"/>
  <c r="Y13" i="9"/>
  <c r="X13" i="9"/>
  <c r="W13" i="9"/>
  <c r="V13" i="9"/>
  <c r="U13" i="9"/>
  <c r="T13" i="9"/>
  <c r="T43" i="9" s="1"/>
  <c r="S13" i="9"/>
  <c r="R13" i="9"/>
  <c r="Q13" i="9"/>
  <c r="P13" i="9"/>
  <c r="O13" i="9"/>
  <c r="N13" i="9"/>
  <c r="M13" i="9"/>
  <c r="L13" i="9"/>
  <c r="L43" i="9" s="1"/>
  <c r="K13" i="9"/>
  <c r="J13" i="9"/>
  <c r="I13" i="9"/>
  <c r="H13" i="9"/>
  <c r="G13" i="9"/>
  <c r="F13" i="9"/>
  <c r="E13" i="9"/>
  <c r="E43" i="9" s="1"/>
  <c r="AN12" i="9"/>
  <c r="AP12" i="9" s="1"/>
  <c r="AM12" i="9"/>
  <c r="AL12" i="9"/>
  <c r="AK12" i="9"/>
  <c r="AJ12" i="9"/>
  <c r="AI12" i="9"/>
  <c r="AH12" i="9"/>
  <c r="AG12" i="9"/>
  <c r="AF12" i="9"/>
  <c r="AE12" i="9"/>
  <c r="AD12" i="9"/>
  <c r="AC12" i="9"/>
  <c r="AB12" i="9"/>
  <c r="AA12" i="9"/>
  <c r="Z12" i="9"/>
  <c r="Y12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E42" i="9" s="1"/>
  <c r="AN11" i="9"/>
  <c r="AM11" i="9"/>
  <c r="AL11" i="9"/>
  <c r="AK11" i="9"/>
  <c r="AJ11" i="9"/>
  <c r="AI11" i="9"/>
  <c r="AH11" i="9"/>
  <c r="AG11" i="9"/>
  <c r="AF11" i="9"/>
  <c r="AE11" i="9"/>
  <c r="AD11" i="9"/>
  <c r="AC11" i="9"/>
  <c r="AB11" i="9"/>
  <c r="AA11" i="9"/>
  <c r="Z11" i="9"/>
  <c r="Y11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E41" i="9" s="1"/>
  <c r="AN10" i="9"/>
  <c r="AM10" i="9"/>
  <c r="AL10" i="9"/>
  <c r="AK10" i="9"/>
  <c r="AJ10" i="9"/>
  <c r="AI10" i="9"/>
  <c r="AH10" i="9"/>
  <c r="AG10" i="9"/>
  <c r="AF10" i="9"/>
  <c r="AE10" i="9"/>
  <c r="AD10" i="9"/>
  <c r="AC10" i="9"/>
  <c r="AB10" i="9"/>
  <c r="AA10" i="9"/>
  <c r="Z10" i="9"/>
  <c r="Y10" i="9"/>
  <c r="X10" i="9"/>
  <c r="W10" i="9"/>
  <c r="V10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E40" i="9" s="1"/>
  <c r="AN9" i="9"/>
  <c r="AM9" i="9"/>
  <c r="AL9" i="9"/>
  <c r="AK9" i="9"/>
  <c r="AJ9" i="9"/>
  <c r="AI9" i="9"/>
  <c r="AH9" i="9"/>
  <c r="AG9" i="9"/>
  <c r="AF9" i="9"/>
  <c r="AE9" i="9"/>
  <c r="AD9" i="9"/>
  <c r="AC9" i="9"/>
  <c r="AB9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E39" i="9" s="1"/>
  <c r="AN8" i="9"/>
  <c r="AM8" i="9"/>
  <c r="AL8" i="9"/>
  <c r="AK8" i="9"/>
  <c r="AJ8" i="9"/>
  <c r="AI8" i="9"/>
  <c r="AH8" i="9"/>
  <c r="AG8" i="9"/>
  <c r="AF8" i="9"/>
  <c r="AE8" i="9"/>
  <c r="AD8" i="9"/>
  <c r="AC8" i="9"/>
  <c r="AB8" i="9"/>
  <c r="AA8" i="9"/>
  <c r="Z8" i="9"/>
  <c r="Y8" i="9"/>
  <c r="X8" i="9"/>
  <c r="W8" i="9"/>
  <c r="V8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E38" i="9" s="1"/>
  <c r="AN7" i="9"/>
  <c r="AM7" i="9"/>
  <c r="AL7" i="9"/>
  <c r="AK7" i="9"/>
  <c r="AJ7" i="9"/>
  <c r="AI7" i="9"/>
  <c r="AH7" i="9"/>
  <c r="AG7" i="9"/>
  <c r="AF7" i="9"/>
  <c r="AE7" i="9"/>
  <c r="AD7" i="9"/>
  <c r="AC7" i="9"/>
  <c r="AB7" i="9"/>
  <c r="AA7" i="9"/>
  <c r="Z7" i="9"/>
  <c r="Y7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E37" i="9" s="1"/>
  <c r="AN6" i="9"/>
  <c r="AM6" i="9"/>
  <c r="AL6" i="9"/>
  <c r="AK6" i="9"/>
  <c r="AJ6" i="9"/>
  <c r="AI6" i="9"/>
  <c r="AH6" i="9"/>
  <c r="AG6" i="9"/>
  <c r="AF6" i="9"/>
  <c r="AE6" i="9"/>
  <c r="AD6" i="9"/>
  <c r="AC6" i="9"/>
  <c r="AB6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E36" i="9" s="1"/>
  <c r="AN5" i="9"/>
  <c r="AP5" i="9" s="1"/>
  <c r="AM5" i="9"/>
  <c r="AL5" i="9"/>
  <c r="AK5" i="9"/>
  <c r="AJ5" i="9"/>
  <c r="AI5" i="9"/>
  <c r="AH5" i="9"/>
  <c r="AG5" i="9"/>
  <c r="AF5" i="9"/>
  <c r="AE5" i="9"/>
  <c r="AD5" i="9"/>
  <c r="AC5" i="9"/>
  <c r="AB5" i="9"/>
  <c r="AA5" i="9"/>
  <c r="Z5" i="9"/>
  <c r="Y5" i="9"/>
  <c r="X5" i="9"/>
  <c r="W5" i="9"/>
  <c r="V5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E35" i="9" s="1"/>
  <c r="AN4" i="9"/>
  <c r="AM4" i="9"/>
  <c r="AL4" i="9"/>
  <c r="AK4" i="9"/>
  <c r="AJ4" i="9"/>
  <c r="AI4" i="9"/>
  <c r="AH4" i="9"/>
  <c r="AG4" i="9"/>
  <c r="AF4" i="9"/>
  <c r="AE4" i="9"/>
  <c r="AD4" i="9"/>
  <c r="AC4" i="9"/>
  <c r="AB4" i="9"/>
  <c r="AA4" i="9"/>
  <c r="Z4" i="9"/>
  <c r="Y4" i="9"/>
  <c r="X4" i="9"/>
  <c r="W4" i="9"/>
  <c r="V4" i="9"/>
  <c r="U4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E4" i="9"/>
  <c r="E34" i="9" s="1"/>
  <c r="U53" i="7"/>
  <c r="AH53" i="7"/>
  <c r="AH55" i="7"/>
  <c r="R57" i="7"/>
  <c r="G59" i="7"/>
  <c r="U59" i="7"/>
  <c r="I60" i="7"/>
  <c r="R60" i="7"/>
  <c r="U60" i="7"/>
  <c r="AG60" i="7"/>
  <c r="AN30" i="7"/>
  <c r="AN60" i="7" s="1"/>
  <c r="AM30" i="7"/>
  <c r="AM60" i="7" s="1"/>
  <c r="AL30" i="7"/>
  <c r="AL60" i="7" s="1"/>
  <c r="AK30" i="7"/>
  <c r="AJ30" i="7"/>
  <c r="AI30" i="7"/>
  <c r="AI60" i="7" s="1"/>
  <c r="AH30" i="7"/>
  <c r="AH60" i="7" s="1"/>
  <c r="AG30" i="7"/>
  <c r="AF30" i="7"/>
  <c r="AF60" i="7" s="1"/>
  <c r="AE30" i="7"/>
  <c r="AE60" i="7" s="1"/>
  <c r="AD30" i="7"/>
  <c r="AD60" i="7" s="1"/>
  <c r="AC30" i="7"/>
  <c r="AB30" i="7"/>
  <c r="AA30" i="7"/>
  <c r="AA60" i="7" s="1"/>
  <c r="Z30" i="7"/>
  <c r="Y30" i="7"/>
  <c r="X30" i="7"/>
  <c r="X60" i="7" s="1"/>
  <c r="W30" i="7"/>
  <c r="W60" i="7" s="1"/>
  <c r="V30" i="7"/>
  <c r="V60" i="7" s="1"/>
  <c r="U30" i="7"/>
  <c r="T30" i="7"/>
  <c r="S30" i="7"/>
  <c r="S60" i="7" s="1"/>
  <c r="R30" i="7"/>
  <c r="Q30" i="7"/>
  <c r="P30" i="7"/>
  <c r="P60" i="7" s="1"/>
  <c r="O30" i="7"/>
  <c r="O60" i="7" s="1"/>
  <c r="N30" i="7"/>
  <c r="N60" i="7" s="1"/>
  <c r="M30" i="7"/>
  <c r="M60" i="7" s="1"/>
  <c r="L30" i="7"/>
  <c r="L60" i="7" s="1"/>
  <c r="K30" i="7"/>
  <c r="K60" i="7" s="1"/>
  <c r="J30" i="7"/>
  <c r="I30" i="7"/>
  <c r="H30" i="7"/>
  <c r="H60" i="7" s="1"/>
  <c r="G30" i="7"/>
  <c r="G60" i="7" s="1"/>
  <c r="F30" i="7"/>
  <c r="F60" i="7" s="1"/>
  <c r="E30" i="7"/>
  <c r="AN29" i="7"/>
  <c r="AM29" i="7"/>
  <c r="AM59" i="7" s="1"/>
  <c r="AL29" i="7"/>
  <c r="AL59" i="7" s="1"/>
  <c r="AK29" i="7"/>
  <c r="AJ29" i="7"/>
  <c r="AJ59" i="7" s="1"/>
  <c r="AI29" i="7"/>
  <c r="AI59" i="7" s="1"/>
  <c r="AH29" i="7"/>
  <c r="AG29" i="7"/>
  <c r="AF29" i="7"/>
  <c r="AE29" i="7"/>
  <c r="AE59" i="7" s="1"/>
  <c r="AD29" i="7"/>
  <c r="AD59" i="7" s="1"/>
  <c r="AC29" i="7"/>
  <c r="AB29" i="7"/>
  <c r="AB59" i="7" s="1"/>
  <c r="AA29" i="7"/>
  <c r="Z29" i="7"/>
  <c r="Y29" i="7"/>
  <c r="X29" i="7"/>
  <c r="W29" i="7"/>
  <c r="W59" i="7" s="1"/>
  <c r="V29" i="7"/>
  <c r="V59" i="7" s="1"/>
  <c r="U29" i="7"/>
  <c r="T29" i="7"/>
  <c r="T59" i="7" s="1"/>
  <c r="S29" i="7"/>
  <c r="R29" i="7"/>
  <c r="Q29" i="7"/>
  <c r="P29" i="7"/>
  <c r="P59" i="7" s="1"/>
  <c r="O29" i="7"/>
  <c r="O59" i="7" s="1"/>
  <c r="N29" i="7"/>
  <c r="N59" i="7" s="1"/>
  <c r="M29" i="7"/>
  <c r="L29" i="7"/>
  <c r="L59" i="7" s="1"/>
  <c r="K29" i="7"/>
  <c r="K59" i="7" s="1"/>
  <c r="J29" i="7"/>
  <c r="I29" i="7"/>
  <c r="I59" i="7" s="1"/>
  <c r="H29" i="7"/>
  <c r="H59" i="7" s="1"/>
  <c r="G29" i="7"/>
  <c r="F29" i="7"/>
  <c r="E29" i="7"/>
  <c r="AN28" i="7"/>
  <c r="AM28" i="7"/>
  <c r="AM58" i="7" s="1"/>
  <c r="AL28" i="7"/>
  <c r="AK28" i="7"/>
  <c r="AJ28" i="7"/>
  <c r="AI28" i="7"/>
  <c r="AH28" i="7"/>
  <c r="AG28" i="7"/>
  <c r="AF28" i="7"/>
  <c r="AE28" i="7"/>
  <c r="AE58" i="7" s="1"/>
  <c r="AD28" i="7"/>
  <c r="AC28" i="7"/>
  <c r="AB28" i="7"/>
  <c r="AA28" i="7"/>
  <c r="Z28" i="7"/>
  <c r="Y28" i="7"/>
  <c r="X28" i="7"/>
  <c r="X58" i="7" s="1"/>
  <c r="W28" i="7"/>
  <c r="V28" i="7"/>
  <c r="U28" i="7"/>
  <c r="T28" i="7"/>
  <c r="S28" i="7"/>
  <c r="S58" i="7" s="1"/>
  <c r="R28" i="7"/>
  <c r="Q28" i="7"/>
  <c r="P28" i="7"/>
  <c r="O28" i="7"/>
  <c r="N28" i="7"/>
  <c r="M28" i="7"/>
  <c r="L28" i="7"/>
  <c r="K28" i="7"/>
  <c r="J28" i="7"/>
  <c r="I28" i="7"/>
  <c r="H28" i="7"/>
  <c r="G28" i="7"/>
  <c r="F28" i="7"/>
  <c r="E28" i="7"/>
  <c r="AN27" i="7"/>
  <c r="AM27" i="7"/>
  <c r="AM57" i="7" s="1"/>
  <c r="AL27" i="7"/>
  <c r="AK27" i="7"/>
  <c r="AJ27" i="7"/>
  <c r="AJ57" i="7" s="1"/>
  <c r="AI27" i="7"/>
  <c r="AI57" i="7" s="1"/>
  <c r="AH27" i="7"/>
  <c r="AG27" i="7"/>
  <c r="AF27" i="7"/>
  <c r="AF57" i="7" s="1"/>
  <c r="AE27" i="7"/>
  <c r="AE57" i="7" s="1"/>
  <c r="AD27" i="7"/>
  <c r="AC27" i="7"/>
  <c r="AB27" i="7"/>
  <c r="AB57" i="7" s="1"/>
  <c r="AA27" i="7"/>
  <c r="AA57" i="7" s="1"/>
  <c r="Z27" i="7"/>
  <c r="Y27" i="7"/>
  <c r="X27" i="7"/>
  <c r="W27" i="7"/>
  <c r="W57" i="7" s="1"/>
  <c r="V27" i="7"/>
  <c r="U27" i="7"/>
  <c r="T27" i="7"/>
  <c r="T57" i="7" s="1"/>
  <c r="S27" i="7"/>
  <c r="S57" i="7" s="1"/>
  <c r="R27" i="7"/>
  <c r="Q27" i="7"/>
  <c r="P27" i="7"/>
  <c r="P57" i="7" s="1"/>
  <c r="O27" i="7"/>
  <c r="O57" i="7" s="1"/>
  <c r="N27" i="7"/>
  <c r="M27" i="7"/>
  <c r="L27" i="7"/>
  <c r="L57" i="7" s="1"/>
  <c r="K27" i="7"/>
  <c r="K57" i="7" s="1"/>
  <c r="J27" i="7"/>
  <c r="I27" i="7"/>
  <c r="I57" i="7" s="1"/>
  <c r="H27" i="7"/>
  <c r="H57" i="7" s="1"/>
  <c r="G27" i="7"/>
  <c r="G57" i="7" s="1"/>
  <c r="F27" i="7"/>
  <c r="E27" i="7"/>
  <c r="AN26" i="7"/>
  <c r="AM26" i="7"/>
  <c r="AL26" i="7"/>
  <c r="AK26" i="7"/>
  <c r="AJ26" i="7"/>
  <c r="AI26" i="7"/>
  <c r="AH26" i="7"/>
  <c r="AG26" i="7"/>
  <c r="AF26" i="7"/>
  <c r="AE26" i="7"/>
  <c r="AD26" i="7"/>
  <c r="AC26" i="7"/>
  <c r="AB26" i="7"/>
  <c r="AA26" i="7"/>
  <c r="Z26" i="7"/>
  <c r="Y26" i="7"/>
  <c r="X26" i="7"/>
  <c r="W26" i="7"/>
  <c r="V26" i="7"/>
  <c r="U26" i="7"/>
  <c r="T26" i="7"/>
  <c r="T56" i="7" s="1"/>
  <c r="S26" i="7"/>
  <c r="R26" i="7"/>
  <c r="Q26" i="7"/>
  <c r="P26" i="7"/>
  <c r="O26" i="7"/>
  <c r="N26" i="7"/>
  <c r="M26" i="7"/>
  <c r="L26" i="7"/>
  <c r="K26" i="7"/>
  <c r="J26" i="7"/>
  <c r="I26" i="7"/>
  <c r="H26" i="7"/>
  <c r="G26" i="7"/>
  <c r="F26" i="7"/>
  <c r="E26" i="7"/>
  <c r="AN25" i="7"/>
  <c r="AN55" i="7" s="1"/>
  <c r="AM25" i="7"/>
  <c r="AM55" i="7" s="1"/>
  <c r="AL25" i="7"/>
  <c r="AK25" i="7"/>
  <c r="AJ25" i="7"/>
  <c r="AJ55" i="7" s="1"/>
  <c r="AI25" i="7"/>
  <c r="AH25" i="7"/>
  <c r="AG25" i="7"/>
  <c r="AF25" i="7"/>
  <c r="AE25" i="7"/>
  <c r="AE55" i="7" s="1"/>
  <c r="AD25" i="7"/>
  <c r="AC25" i="7"/>
  <c r="AB25" i="7"/>
  <c r="AB55" i="7" s="1"/>
  <c r="AA25" i="7"/>
  <c r="AA55" i="7" s="1"/>
  <c r="Z25" i="7"/>
  <c r="Y25" i="7"/>
  <c r="X25" i="7"/>
  <c r="X55" i="7" s="1"/>
  <c r="W25" i="7"/>
  <c r="W55" i="7" s="1"/>
  <c r="V25" i="7"/>
  <c r="U25" i="7"/>
  <c r="T25" i="7"/>
  <c r="T55" i="7" s="1"/>
  <c r="S25" i="7"/>
  <c r="S55" i="7" s="1"/>
  <c r="R25" i="7"/>
  <c r="R55" i="7" s="1"/>
  <c r="Q25" i="7"/>
  <c r="P25" i="7"/>
  <c r="P55" i="7" s="1"/>
  <c r="O25" i="7"/>
  <c r="O55" i="7" s="1"/>
  <c r="N25" i="7"/>
  <c r="M25" i="7"/>
  <c r="L25" i="7"/>
  <c r="L55" i="7" s="1"/>
  <c r="K25" i="7"/>
  <c r="K55" i="7" s="1"/>
  <c r="J25" i="7"/>
  <c r="I25" i="7"/>
  <c r="I55" i="7" s="1"/>
  <c r="H25" i="7"/>
  <c r="H55" i="7" s="1"/>
  <c r="G25" i="7"/>
  <c r="G55" i="7" s="1"/>
  <c r="F25" i="7"/>
  <c r="F55" i="7" s="1"/>
  <c r="E25" i="7"/>
  <c r="AN24" i="7"/>
  <c r="AM24" i="7"/>
  <c r="AL24" i="7"/>
  <c r="AK24" i="7"/>
  <c r="AJ24" i="7"/>
  <c r="AI24" i="7"/>
  <c r="AH24" i="7"/>
  <c r="AG24" i="7"/>
  <c r="AF24" i="7"/>
  <c r="AE24" i="7"/>
  <c r="AD24" i="7"/>
  <c r="AC24" i="7"/>
  <c r="AB24" i="7"/>
  <c r="AA24" i="7"/>
  <c r="Z24" i="7"/>
  <c r="Y24" i="7"/>
  <c r="X24" i="7"/>
  <c r="W24" i="7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F24" i="7"/>
  <c r="E24" i="7"/>
  <c r="AN23" i="7"/>
  <c r="AN53" i="7" s="1"/>
  <c r="AM23" i="7"/>
  <c r="AM53" i="7" s="1"/>
  <c r="AL23" i="7"/>
  <c r="AK23" i="7"/>
  <c r="AJ23" i="7"/>
  <c r="AJ53" i="7" s="1"/>
  <c r="AI23" i="7"/>
  <c r="AI53" i="7" s="1"/>
  <c r="AH23" i="7"/>
  <c r="AG23" i="7"/>
  <c r="AF23" i="7"/>
  <c r="AF53" i="7" s="1"/>
  <c r="AE23" i="7"/>
  <c r="AE53" i="7" s="1"/>
  <c r="AD23" i="7"/>
  <c r="AC23" i="7"/>
  <c r="AB23" i="7"/>
  <c r="AB53" i="7" s="1"/>
  <c r="AA23" i="7"/>
  <c r="Z23" i="7"/>
  <c r="Y23" i="7"/>
  <c r="X23" i="7"/>
  <c r="X53" i="7" s="1"/>
  <c r="W23" i="7"/>
  <c r="W53" i="7" s="1"/>
  <c r="V23" i="7"/>
  <c r="U23" i="7"/>
  <c r="T23" i="7"/>
  <c r="T53" i="7" s="1"/>
  <c r="S23" i="7"/>
  <c r="R23" i="7"/>
  <c r="Q23" i="7"/>
  <c r="P23" i="7"/>
  <c r="P53" i="7" s="1"/>
  <c r="O23" i="7"/>
  <c r="O53" i="7" s="1"/>
  <c r="N23" i="7"/>
  <c r="M23" i="7"/>
  <c r="M53" i="7" s="1"/>
  <c r="L23" i="7"/>
  <c r="L53" i="7" s="1"/>
  <c r="K23" i="7"/>
  <c r="K53" i="7" s="1"/>
  <c r="J23" i="7"/>
  <c r="I23" i="7"/>
  <c r="I53" i="7" s="1"/>
  <c r="H23" i="7"/>
  <c r="H53" i="7" s="1"/>
  <c r="G23" i="7"/>
  <c r="G53" i="7" s="1"/>
  <c r="F23" i="7"/>
  <c r="E23" i="7"/>
  <c r="AN22" i="7"/>
  <c r="AM22" i="7"/>
  <c r="AL22" i="7"/>
  <c r="AK22" i="7"/>
  <c r="AJ22" i="7"/>
  <c r="AI22" i="7"/>
  <c r="AH22" i="7"/>
  <c r="AG22" i="7"/>
  <c r="AF22" i="7"/>
  <c r="AE22" i="7"/>
  <c r="AD22" i="7"/>
  <c r="AC22" i="7"/>
  <c r="AB22" i="7"/>
  <c r="AA22" i="7"/>
  <c r="Z22" i="7"/>
  <c r="Y22" i="7"/>
  <c r="X22" i="7"/>
  <c r="W22" i="7"/>
  <c r="V22" i="7"/>
  <c r="U22" i="7"/>
  <c r="T22" i="7"/>
  <c r="S22" i="7"/>
  <c r="R22" i="7"/>
  <c r="Q22" i="7"/>
  <c r="P22" i="7"/>
  <c r="O22" i="7"/>
  <c r="N22" i="7"/>
  <c r="M22" i="7"/>
  <c r="L22" i="7"/>
  <c r="K22" i="7"/>
  <c r="J22" i="7"/>
  <c r="I22" i="7"/>
  <c r="H22" i="7"/>
  <c r="G22" i="7"/>
  <c r="F22" i="7"/>
  <c r="E22" i="7"/>
  <c r="AN21" i="7"/>
  <c r="AM21" i="7"/>
  <c r="AM51" i="7" s="1"/>
  <c r="AL21" i="7"/>
  <c r="AK21" i="7"/>
  <c r="AJ21" i="7"/>
  <c r="AJ51" i="7" s="1"/>
  <c r="AI21" i="7"/>
  <c r="AI51" i="7" s="1"/>
  <c r="AH21" i="7"/>
  <c r="AG21" i="7"/>
  <c r="AF21" i="7"/>
  <c r="AF51" i="7" s="1"/>
  <c r="AE21" i="7"/>
  <c r="AE51" i="7" s="1"/>
  <c r="AD21" i="7"/>
  <c r="AC21" i="7"/>
  <c r="AB21" i="7"/>
  <c r="AB51" i="7" s="1"/>
  <c r="AA21" i="7"/>
  <c r="AA51" i="7" s="1"/>
  <c r="Z21" i="7"/>
  <c r="Y21" i="7"/>
  <c r="X21" i="7"/>
  <c r="X51" i="7" s="1"/>
  <c r="W21" i="7"/>
  <c r="W51" i="7" s="1"/>
  <c r="V21" i="7"/>
  <c r="U21" i="7"/>
  <c r="T21" i="7"/>
  <c r="T51" i="7" s="1"/>
  <c r="S21" i="7"/>
  <c r="S51" i="7" s="1"/>
  <c r="R21" i="7"/>
  <c r="Q21" i="7"/>
  <c r="P21" i="7"/>
  <c r="P51" i="7" s="1"/>
  <c r="O21" i="7"/>
  <c r="O51" i="7" s="1"/>
  <c r="N21" i="7"/>
  <c r="M21" i="7"/>
  <c r="L21" i="7"/>
  <c r="L51" i="7" s="1"/>
  <c r="K21" i="7"/>
  <c r="K51" i="7" s="1"/>
  <c r="J21" i="7"/>
  <c r="J51" i="7" s="1"/>
  <c r="I21" i="7"/>
  <c r="I51" i="7" s="1"/>
  <c r="H21" i="7"/>
  <c r="H51" i="7" s="1"/>
  <c r="G21" i="7"/>
  <c r="G51" i="7" s="1"/>
  <c r="F21" i="7"/>
  <c r="F51" i="7" s="1"/>
  <c r="E21" i="7"/>
  <c r="AN20" i="7"/>
  <c r="AM20" i="7"/>
  <c r="AL20" i="7"/>
  <c r="AL50" i="7" s="1"/>
  <c r="AK20" i="7"/>
  <c r="AJ20" i="7"/>
  <c r="AI20" i="7"/>
  <c r="AH20" i="7"/>
  <c r="AG20" i="7"/>
  <c r="AF20" i="7"/>
  <c r="AE20" i="7"/>
  <c r="AD20" i="7"/>
  <c r="AC20" i="7"/>
  <c r="AB20" i="7"/>
  <c r="AA20" i="7"/>
  <c r="Z20" i="7"/>
  <c r="Y20" i="7"/>
  <c r="X20" i="7"/>
  <c r="W20" i="7"/>
  <c r="V20" i="7"/>
  <c r="U20" i="7"/>
  <c r="T20" i="7"/>
  <c r="S20" i="7"/>
  <c r="R20" i="7"/>
  <c r="Q20" i="7"/>
  <c r="P20" i="7"/>
  <c r="O20" i="7"/>
  <c r="N20" i="7"/>
  <c r="M20" i="7"/>
  <c r="L20" i="7"/>
  <c r="K20" i="7"/>
  <c r="J20" i="7"/>
  <c r="I20" i="7"/>
  <c r="H20" i="7"/>
  <c r="G20" i="7"/>
  <c r="F20" i="7"/>
  <c r="F50" i="7" s="1"/>
  <c r="E20" i="7"/>
  <c r="AN19" i="7"/>
  <c r="AN49" i="7" s="1"/>
  <c r="AM19" i="7"/>
  <c r="AM49" i="7" s="1"/>
  <c r="AL19" i="7"/>
  <c r="AL49" i="7" s="1"/>
  <c r="AK19" i="7"/>
  <c r="AJ19" i="7"/>
  <c r="AJ49" i="7" s="1"/>
  <c r="AI19" i="7"/>
  <c r="AH19" i="7"/>
  <c r="AG19" i="7"/>
  <c r="AF19" i="7"/>
  <c r="AF49" i="7" s="1"/>
  <c r="AE19" i="7"/>
  <c r="AE49" i="7" s="1"/>
  <c r="AD19" i="7"/>
  <c r="AC19" i="7"/>
  <c r="AB19" i="7"/>
  <c r="AB49" i="7" s="1"/>
  <c r="AA19" i="7"/>
  <c r="AA49" i="7" s="1"/>
  <c r="Z19" i="7"/>
  <c r="Y19" i="7"/>
  <c r="X19" i="7"/>
  <c r="X49" i="7" s="1"/>
  <c r="W19" i="7"/>
  <c r="W49" i="7" s="1"/>
  <c r="V19" i="7"/>
  <c r="U19" i="7"/>
  <c r="T19" i="7"/>
  <c r="T49" i="7" s="1"/>
  <c r="S19" i="7"/>
  <c r="S49" i="7" s="1"/>
  <c r="R19" i="7"/>
  <c r="Q19" i="7"/>
  <c r="P19" i="7"/>
  <c r="P49" i="7" s="1"/>
  <c r="O19" i="7"/>
  <c r="O49" i="7" s="1"/>
  <c r="N19" i="7"/>
  <c r="N49" i="7" s="1"/>
  <c r="M19" i="7"/>
  <c r="L19" i="7"/>
  <c r="L49" i="7" s="1"/>
  <c r="K19" i="7"/>
  <c r="K49" i="7" s="1"/>
  <c r="J19" i="7"/>
  <c r="I19" i="7"/>
  <c r="I49" i="7" s="1"/>
  <c r="H19" i="7"/>
  <c r="H49" i="7" s="1"/>
  <c r="G19" i="7"/>
  <c r="G49" i="7" s="1"/>
  <c r="F19" i="7"/>
  <c r="E19" i="7"/>
  <c r="E49" i="7" s="1"/>
  <c r="AN18" i="7"/>
  <c r="AM18" i="7"/>
  <c r="AL18" i="7"/>
  <c r="AL48" i="7" s="1"/>
  <c r="AK18" i="7"/>
  <c r="AJ18" i="7"/>
  <c r="AI18" i="7"/>
  <c r="AH18" i="7"/>
  <c r="AG18" i="7"/>
  <c r="AF18" i="7"/>
  <c r="AE18" i="7"/>
  <c r="AD18" i="7"/>
  <c r="AC18" i="7"/>
  <c r="AB18" i="7"/>
  <c r="AA18" i="7"/>
  <c r="Z18" i="7"/>
  <c r="Y18" i="7"/>
  <c r="X18" i="7"/>
  <c r="W18" i="7"/>
  <c r="V18" i="7"/>
  <c r="U18" i="7"/>
  <c r="T18" i="7"/>
  <c r="S18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E18" i="7"/>
  <c r="AN17" i="7"/>
  <c r="AN47" i="7" s="1"/>
  <c r="AM17" i="7"/>
  <c r="AM47" i="7" s="1"/>
  <c r="AL17" i="7"/>
  <c r="AL47" i="7" s="1"/>
  <c r="AK17" i="7"/>
  <c r="AJ17" i="7"/>
  <c r="AJ47" i="7" s="1"/>
  <c r="AI17" i="7"/>
  <c r="AI47" i="7" s="1"/>
  <c r="AH17" i="7"/>
  <c r="AH47" i="7" s="1"/>
  <c r="AG17" i="7"/>
  <c r="AF17" i="7"/>
  <c r="AF47" i="7" s="1"/>
  <c r="AE17" i="7"/>
  <c r="AE47" i="7" s="1"/>
  <c r="AD17" i="7"/>
  <c r="AC17" i="7"/>
  <c r="AB17" i="7"/>
  <c r="AB47" i="7" s="1"/>
  <c r="AA17" i="7"/>
  <c r="Z17" i="7"/>
  <c r="Z47" i="7" s="1"/>
  <c r="Y17" i="7"/>
  <c r="X17" i="7"/>
  <c r="X47" i="7" s="1"/>
  <c r="W17" i="7"/>
  <c r="W47" i="7" s="1"/>
  <c r="V17" i="7"/>
  <c r="V47" i="7" s="1"/>
  <c r="U17" i="7"/>
  <c r="T17" i="7"/>
  <c r="T47" i="7" s="1"/>
  <c r="S17" i="7"/>
  <c r="S47" i="7" s="1"/>
  <c r="R17" i="7"/>
  <c r="Q17" i="7"/>
  <c r="P17" i="7"/>
  <c r="P47" i="7" s="1"/>
  <c r="O17" i="7"/>
  <c r="O47" i="7" s="1"/>
  <c r="N17" i="7"/>
  <c r="M17" i="7"/>
  <c r="L17" i="7"/>
  <c r="L47" i="7" s="1"/>
  <c r="K17" i="7"/>
  <c r="K47" i="7" s="1"/>
  <c r="J17" i="7"/>
  <c r="I17" i="7"/>
  <c r="I47" i="7" s="1"/>
  <c r="H17" i="7"/>
  <c r="H47" i="7" s="1"/>
  <c r="G17" i="7"/>
  <c r="G47" i="7" s="1"/>
  <c r="F17" i="7"/>
  <c r="E17" i="7"/>
  <c r="E47" i="7" s="1"/>
  <c r="AN16" i="7"/>
  <c r="AM16" i="7"/>
  <c r="AL16" i="7"/>
  <c r="AK16" i="7"/>
  <c r="AJ16" i="7"/>
  <c r="AI16" i="7"/>
  <c r="AH16" i="7"/>
  <c r="AG16" i="7"/>
  <c r="AF16" i="7"/>
  <c r="AE16" i="7"/>
  <c r="AD16" i="7"/>
  <c r="AC16" i="7"/>
  <c r="AB16" i="7"/>
  <c r="AA16" i="7"/>
  <c r="Z16" i="7"/>
  <c r="Y16" i="7"/>
  <c r="X16" i="7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G16" i="7"/>
  <c r="F16" i="7"/>
  <c r="E16" i="7"/>
  <c r="AN15" i="7"/>
  <c r="AN45" i="7" s="1"/>
  <c r="AM15" i="7"/>
  <c r="AM45" i="7" s="1"/>
  <c r="AL15" i="7"/>
  <c r="AK15" i="7"/>
  <c r="AJ15" i="7"/>
  <c r="AJ45" i="7" s="1"/>
  <c r="AI15" i="7"/>
  <c r="AI45" i="7" s="1"/>
  <c r="AH15" i="7"/>
  <c r="AG15" i="7"/>
  <c r="AF15" i="7"/>
  <c r="AF45" i="7" s="1"/>
  <c r="AE15" i="7"/>
  <c r="AE45" i="7" s="1"/>
  <c r="AD15" i="7"/>
  <c r="AC15" i="7"/>
  <c r="AB15" i="7"/>
  <c r="AB45" i="7" s="1"/>
  <c r="AA15" i="7"/>
  <c r="AA45" i="7" s="1"/>
  <c r="Z15" i="7"/>
  <c r="Z45" i="7" s="1"/>
  <c r="Y15" i="7"/>
  <c r="X15" i="7"/>
  <c r="X45" i="7" s="1"/>
  <c r="W15" i="7"/>
  <c r="W45" i="7" s="1"/>
  <c r="V15" i="7"/>
  <c r="U15" i="7"/>
  <c r="T15" i="7"/>
  <c r="T45" i="7" s="1"/>
  <c r="S15" i="7"/>
  <c r="S45" i="7" s="1"/>
  <c r="R15" i="7"/>
  <c r="R45" i="7" s="1"/>
  <c r="Q15" i="7"/>
  <c r="P15" i="7"/>
  <c r="P45" i="7" s="1"/>
  <c r="O15" i="7"/>
  <c r="O45" i="7" s="1"/>
  <c r="N15" i="7"/>
  <c r="M15" i="7"/>
  <c r="L15" i="7"/>
  <c r="L45" i="7" s="1"/>
  <c r="K15" i="7"/>
  <c r="K45" i="7" s="1"/>
  <c r="J15" i="7"/>
  <c r="I15" i="7"/>
  <c r="H15" i="7"/>
  <c r="H45" i="7" s="1"/>
  <c r="G15" i="7"/>
  <c r="G45" i="7" s="1"/>
  <c r="F15" i="7"/>
  <c r="E15" i="7"/>
  <c r="AN14" i="7"/>
  <c r="AM14" i="7"/>
  <c r="AL14" i="7"/>
  <c r="AK14" i="7"/>
  <c r="AJ14" i="7"/>
  <c r="AI14" i="7"/>
  <c r="AH14" i="7"/>
  <c r="AG14" i="7"/>
  <c r="AF14" i="7"/>
  <c r="AE14" i="7"/>
  <c r="AD14" i="7"/>
  <c r="AC14" i="7"/>
  <c r="AB14" i="7"/>
  <c r="AA14" i="7"/>
  <c r="Z14" i="7"/>
  <c r="Y14" i="7"/>
  <c r="X14" i="7"/>
  <c r="W14" i="7"/>
  <c r="V14" i="7"/>
  <c r="U14" i="7"/>
  <c r="T14" i="7"/>
  <c r="S14" i="7"/>
  <c r="R14" i="7"/>
  <c r="Q14" i="7"/>
  <c r="P14" i="7"/>
  <c r="O14" i="7"/>
  <c r="N14" i="7"/>
  <c r="M14" i="7"/>
  <c r="L14" i="7"/>
  <c r="K14" i="7"/>
  <c r="J14" i="7"/>
  <c r="I14" i="7"/>
  <c r="H14" i="7"/>
  <c r="G14" i="7"/>
  <c r="F14" i="7"/>
  <c r="E14" i="7"/>
  <c r="AN13" i="7"/>
  <c r="AN43" i="7" s="1"/>
  <c r="AM13" i="7"/>
  <c r="AM43" i="7" s="1"/>
  <c r="AL13" i="7"/>
  <c r="AK13" i="7"/>
  <c r="AJ13" i="7"/>
  <c r="AJ43" i="7" s="1"/>
  <c r="AI13" i="7"/>
  <c r="AH13" i="7"/>
  <c r="AH43" i="7" s="1"/>
  <c r="AG13" i="7"/>
  <c r="AF13" i="7"/>
  <c r="AF43" i="7" s="1"/>
  <c r="AE13" i="7"/>
  <c r="AE43" i="7" s="1"/>
  <c r="AD13" i="7"/>
  <c r="AD43" i="7" s="1"/>
  <c r="AC13" i="7"/>
  <c r="AB13" i="7"/>
  <c r="AB43" i="7" s="1"/>
  <c r="AA13" i="7"/>
  <c r="AA43" i="7" s="1"/>
  <c r="Z13" i="7"/>
  <c r="Y13" i="7"/>
  <c r="X13" i="7"/>
  <c r="X43" i="7" s="1"/>
  <c r="W13" i="7"/>
  <c r="W43" i="7" s="1"/>
  <c r="V13" i="7"/>
  <c r="U13" i="7"/>
  <c r="T13" i="7"/>
  <c r="T43" i="7" s="1"/>
  <c r="S13" i="7"/>
  <c r="S43" i="7" s="1"/>
  <c r="R13" i="7"/>
  <c r="R43" i="7" s="1"/>
  <c r="Q13" i="7"/>
  <c r="P13" i="7"/>
  <c r="P43" i="7" s="1"/>
  <c r="O13" i="7"/>
  <c r="O43" i="7" s="1"/>
  <c r="N13" i="7"/>
  <c r="M13" i="7"/>
  <c r="L13" i="7"/>
  <c r="L43" i="7" s="1"/>
  <c r="K13" i="7"/>
  <c r="K43" i="7" s="1"/>
  <c r="J13" i="7"/>
  <c r="J43" i="7" s="1"/>
  <c r="I13" i="7"/>
  <c r="H13" i="7"/>
  <c r="H43" i="7" s="1"/>
  <c r="G13" i="7"/>
  <c r="G43" i="7" s="1"/>
  <c r="F13" i="7"/>
  <c r="F43" i="7" s="1"/>
  <c r="E13" i="7"/>
  <c r="E43" i="7" s="1"/>
  <c r="AN12" i="7"/>
  <c r="AM12" i="7"/>
  <c r="AL12" i="7"/>
  <c r="AK12" i="7"/>
  <c r="AJ12" i="7"/>
  <c r="AJ42" i="7" s="1"/>
  <c r="AI12" i="7"/>
  <c r="AH12" i="7"/>
  <c r="AG12" i="7"/>
  <c r="AF12" i="7"/>
  <c r="AE12" i="7"/>
  <c r="AD12" i="7"/>
  <c r="AC12" i="7"/>
  <c r="AB12" i="7"/>
  <c r="AB42" i="7" s="1"/>
  <c r="AA12" i="7"/>
  <c r="Z12" i="7"/>
  <c r="Y12" i="7"/>
  <c r="X12" i="7"/>
  <c r="W12" i="7"/>
  <c r="V12" i="7"/>
  <c r="U12" i="7"/>
  <c r="T12" i="7"/>
  <c r="T42" i="7" s="1"/>
  <c r="S12" i="7"/>
  <c r="R12" i="7"/>
  <c r="Q12" i="7"/>
  <c r="P12" i="7"/>
  <c r="O12" i="7"/>
  <c r="N12" i="7"/>
  <c r="M12" i="7"/>
  <c r="L12" i="7"/>
  <c r="L42" i="7" s="1"/>
  <c r="K12" i="7"/>
  <c r="J12" i="7"/>
  <c r="I12" i="7"/>
  <c r="H12" i="7"/>
  <c r="G12" i="7"/>
  <c r="F12" i="7"/>
  <c r="E12" i="7"/>
  <c r="E42" i="7" s="1"/>
  <c r="AN11" i="7"/>
  <c r="AN41" i="7" s="1"/>
  <c r="AM11" i="7"/>
  <c r="AM41" i="7" s="1"/>
  <c r="AL11" i="7"/>
  <c r="AL41" i="7" s="1"/>
  <c r="AK11" i="7"/>
  <c r="AJ11" i="7"/>
  <c r="AJ41" i="7" s="1"/>
  <c r="AI11" i="7"/>
  <c r="AH11" i="7"/>
  <c r="AG11" i="7"/>
  <c r="AF11" i="7"/>
  <c r="AF41" i="7" s="1"/>
  <c r="AE11" i="7"/>
  <c r="AE41" i="7" s="1"/>
  <c r="AD11" i="7"/>
  <c r="AC11" i="7"/>
  <c r="AB11" i="7"/>
  <c r="AB41" i="7" s="1"/>
  <c r="AA11" i="7"/>
  <c r="Z11" i="7"/>
  <c r="Y11" i="7"/>
  <c r="X11" i="7"/>
  <c r="X41" i="7" s="1"/>
  <c r="W11" i="7"/>
  <c r="W41" i="7" s="1"/>
  <c r="V11" i="7"/>
  <c r="U11" i="7"/>
  <c r="T11" i="7"/>
  <c r="T41" i="7" s="1"/>
  <c r="S11" i="7"/>
  <c r="S41" i="7" s="1"/>
  <c r="R11" i="7"/>
  <c r="Q11" i="7"/>
  <c r="P11" i="7"/>
  <c r="P41" i="7" s="1"/>
  <c r="O11" i="7"/>
  <c r="O41" i="7" s="1"/>
  <c r="N11" i="7"/>
  <c r="M11" i="7"/>
  <c r="L11" i="7"/>
  <c r="L41" i="7" s="1"/>
  <c r="K11" i="7"/>
  <c r="K41" i="7" s="1"/>
  <c r="J11" i="7"/>
  <c r="I11" i="7"/>
  <c r="I41" i="7" s="1"/>
  <c r="H11" i="7"/>
  <c r="H41" i="7" s="1"/>
  <c r="G11" i="7"/>
  <c r="G41" i="7" s="1"/>
  <c r="F11" i="7"/>
  <c r="E11" i="7"/>
  <c r="E41" i="7" s="1"/>
  <c r="AN10" i="7"/>
  <c r="AM10" i="7"/>
  <c r="AL10" i="7"/>
  <c r="AK10" i="7"/>
  <c r="AJ10" i="7"/>
  <c r="AJ40" i="7" s="1"/>
  <c r="AI10" i="7"/>
  <c r="AH10" i="7"/>
  <c r="AG10" i="7"/>
  <c r="AF10" i="7"/>
  <c r="AE10" i="7"/>
  <c r="AD10" i="7"/>
  <c r="AC10" i="7"/>
  <c r="AB10" i="7"/>
  <c r="AB40" i="7" s="1"/>
  <c r="AA10" i="7"/>
  <c r="Z10" i="7"/>
  <c r="Y10" i="7"/>
  <c r="X10" i="7"/>
  <c r="W10" i="7"/>
  <c r="V10" i="7"/>
  <c r="U10" i="7"/>
  <c r="T10" i="7"/>
  <c r="T40" i="7" s="1"/>
  <c r="S10" i="7"/>
  <c r="R10" i="7"/>
  <c r="Q10" i="7"/>
  <c r="P10" i="7"/>
  <c r="O10" i="7"/>
  <c r="N10" i="7"/>
  <c r="M10" i="7"/>
  <c r="L10" i="7"/>
  <c r="L40" i="7" s="1"/>
  <c r="K10" i="7"/>
  <c r="J10" i="7"/>
  <c r="I10" i="7"/>
  <c r="H10" i="7"/>
  <c r="G10" i="7"/>
  <c r="F10" i="7"/>
  <c r="E10" i="7"/>
  <c r="E40" i="7" s="1"/>
  <c r="AN9" i="7"/>
  <c r="AN39" i="7" s="1"/>
  <c r="AM9" i="7"/>
  <c r="AM39" i="7" s="1"/>
  <c r="AL9" i="7"/>
  <c r="AK9" i="7"/>
  <c r="AJ9" i="7"/>
  <c r="AJ39" i="7" s="1"/>
  <c r="AI9" i="7"/>
  <c r="AH9" i="7"/>
  <c r="AG9" i="7"/>
  <c r="AF9" i="7"/>
  <c r="AF39" i="7" s="1"/>
  <c r="AE9" i="7"/>
  <c r="AE39" i="7" s="1"/>
  <c r="AD9" i="7"/>
  <c r="AD39" i="7" s="1"/>
  <c r="AC9" i="7"/>
  <c r="AB9" i="7"/>
  <c r="AB39" i="7" s="1"/>
  <c r="AA9" i="7"/>
  <c r="Z9" i="7"/>
  <c r="Z39" i="7" s="1"/>
  <c r="Y9" i="7"/>
  <c r="X9" i="7"/>
  <c r="X39" i="7" s="1"/>
  <c r="W9" i="7"/>
  <c r="W39" i="7" s="1"/>
  <c r="V9" i="7"/>
  <c r="V39" i="7" s="1"/>
  <c r="U9" i="7"/>
  <c r="T9" i="7"/>
  <c r="T39" i="7" s="1"/>
  <c r="S9" i="7"/>
  <c r="S39" i="7" s="1"/>
  <c r="R9" i="7"/>
  <c r="Q9" i="7"/>
  <c r="P9" i="7"/>
  <c r="P39" i="7" s="1"/>
  <c r="O9" i="7"/>
  <c r="O39" i="7" s="1"/>
  <c r="N9" i="7"/>
  <c r="N39" i="7" s="1"/>
  <c r="M9" i="7"/>
  <c r="L9" i="7"/>
  <c r="L39" i="7" s="1"/>
  <c r="K9" i="7"/>
  <c r="K39" i="7" s="1"/>
  <c r="J9" i="7"/>
  <c r="J39" i="7" s="1"/>
  <c r="I9" i="7"/>
  <c r="I39" i="7" s="1"/>
  <c r="H9" i="7"/>
  <c r="H39" i="7" s="1"/>
  <c r="G9" i="7"/>
  <c r="G39" i="7" s="1"/>
  <c r="F9" i="7"/>
  <c r="F39" i="7" s="1"/>
  <c r="E9" i="7"/>
  <c r="E39" i="7" s="1"/>
  <c r="AN8" i="7"/>
  <c r="AM8" i="7"/>
  <c r="AL8" i="7"/>
  <c r="AK8" i="7"/>
  <c r="AJ8" i="7"/>
  <c r="AJ38" i="7" s="1"/>
  <c r="AI8" i="7"/>
  <c r="AH8" i="7"/>
  <c r="AG8" i="7"/>
  <c r="AF8" i="7"/>
  <c r="AE8" i="7"/>
  <c r="AD8" i="7"/>
  <c r="AC8" i="7"/>
  <c r="AB8" i="7"/>
  <c r="AB38" i="7" s="1"/>
  <c r="AA8" i="7"/>
  <c r="Z8" i="7"/>
  <c r="Y8" i="7"/>
  <c r="X8" i="7"/>
  <c r="W8" i="7"/>
  <c r="V8" i="7"/>
  <c r="U8" i="7"/>
  <c r="T8" i="7"/>
  <c r="T38" i="7" s="1"/>
  <c r="S8" i="7"/>
  <c r="R8" i="7"/>
  <c r="Q8" i="7"/>
  <c r="P8" i="7"/>
  <c r="O8" i="7"/>
  <c r="N8" i="7"/>
  <c r="M8" i="7"/>
  <c r="L8" i="7"/>
  <c r="L38" i="7" s="1"/>
  <c r="K8" i="7"/>
  <c r="J8" i="7"/>
  <c r="I8" i="7"/>
  <c r="H8" i="7"/>
  <c r="G8" i="7"/>
  <c r="F8" i="7"/>
  <c r="E8" i="7"/>
  <c r="AN7" i="7"/>
  <c r="AN37" i="7" s="1"/>
  <c r="AM7" i="7"/>
  <c r="AM37" i="7" s="1"/>
  <c r="AL7" i="7"/>
  <c r="AL37" i="7" s="1"/>
  <c r="AK7" i="7"/>
  <c r="AJ7" i="7"/>
  <c r="AJ37" i="7" s="1"/>
  <c r="AI7" i="7"/>
  <c r="AH7" i="7"/>
  <c r="AG7" i="7"/>
  <c r="AF7" i="7"/>
  <c r="AF37" i="7" s="1"/>
  <c r="AE7" i="7"/>
  <c r="AE37" i="7" s="1"/>
  <c r="AD7" i="7"/>
  <c r="AD37" i="7" s="1"/>
  <c r="AC7" i="7"/>
  <c r="AB7" i="7"/>
  <c r="AB37" i="7" s="1"/>
  <c r="AA7" i="7"/>
  <c r="AA37" i="7" s="1"/>
  <c r="Z7" i="7"/>
  <c r="Y7" i="7"/>
  <c r="X7" i="7"/>
  <c r="X37" i="7" s="1"/>
  <c r="W7" i="7"/>
  <c r="W37" i="7" s="1"/>
  <c r="V7" i="7"/>
  <c r="V37" i="7" s="1"/>
  <c r="U7" i="7"/>
  <c r="T7" i="7"/>
  <c r="T37" i="7" s="1"/>
  <c r="S7" i="7"/>
  <c r="S37" i="7" s="1"/>
  <c r="R7" i="7"/>
  <c r="Q7" i="7"/>
  <c r="Q37" i="7" s="1"/>
  <c r="P7" i="7"/>
  <c r="P37" i="7" s="1"/>
  <c r="O7" i="7"/>
  <c r="O37" i="7" s="1"/>
  <c r="N7" i="7"/>
  <c r="N37" i="7" s="1"/>
  <c r="M7" i="7"/>
  <c r="L7" i="7"/>
  <c r="L37" i="7" s="1"/>
  <c r="K7" i="7"/>
  <c r="K37" i="7" s="1"/>
  <c r="J7" i="7"/>
  <c r="J37" i="7" s="1"/>
  <c r="I7" i="7"/>
  <c r="I37" i="7" s="1"/>
  <c r="H7" i="7"/>
  <c r="H37" i="7" s="1"/>
  <c r="G7" i="7"/>
  <c r="G37" i="7" s="1"/>
  <c r="F7" i="7"/>
  <c r="F37" i="7" s="1"/>
  <c r="E7" i="7"/>
  <c r="AN6" i="7"/>
  <c r="AM6" i="7"/>
  <c r="AL6" i="7"/>
  <c r="AK6" i="7"/>
  <c r="AJ6" i="7"/>
  <c r="AJ36" i="7" s="1"/>
  <c r="AI6" i="7"/>
  <c r="AH6" i="7"/>
  <c r="AG6" i="7"/>
  <c r="AF6" i="7"/>
  <c r="AE6" i="7"/>
  <c r="AD6" i="7"/>
  <c r="AC6" i="7"/>
  <c r="AB6" i="7"/>
  <c r="AB36" i="7" s="1"/>
  <c r="AA6" i="7"/>
  <c r="Z6" i="7"/>
  <c r="Y6" i="7"/>
  <c r="X6" i="7"/>
  <c r="W6" i="7"/>
  <c r="V6" i="7"/>
  <c r="U6" i="7"/>
  <c r="T6" i="7"/>
  <c r="T36" i="7" s="1"/>
  <c r="S6" i="7"/>
  <c r="R6" i="7"/>
  <c r="Q6" i="7"/>
  <c r="P6" i="7"/>
  <c r="O6" i="7"/>
  <c r="N6" i="7"/>
  <c r="M6" i="7"/>
  <c r="L6" i="7"/>
  <c r="L36" i="7" s="1"/>
  <c r="K6" i="7"/>
  <c r="J6" i="7"/>
  <c r="I6" i="7"/>
  <c r="H6" i="7"/>
  <c r="G6" i="7"/>
  <c r="F6" i="7"/>
  <c r="E6" i="7"/>
  <c r="E36" i="7" s="1"/>
  <c r="AN5" i="7"/>
  <c r="AN35" i="7" s="1"/>
  <c r="AM5" i="7"/>
  <c r="AM35" i="7" s="1"/>
  <c r="AL5" i="7"/>
  <c r="AK5" i="7"/>
  <c r="AJ5" i="7"/>
  <c r="AJ35" i="7" s="1"/>
  <c r="AI5" i="7"/>
  <c r="AH5" i="7"/>
  <c r="AG5" i="7"/>
  <c r="AF5" i="7"/>
  <c r="AF35" i="7" s="1"/>
  <c r="AE5" i="7"/>
  <c r="AE35" i="7" s="1"/>
  <c r="AD5" i="7"/>
  <c r="AD35" i="7" s="1"/>
  <c r="AC5" i="7"/>
  <c r="AB5" i="7"/>
  <c r="AB35" i="7" s="1"/>
  <c r="AA5" i="7"/>
  <c r="Z5" i="7"/>
  <c r="Y5" i="7"/>
  <c r="X5" i="7"/>
  <c r="X35" i="7" s="1"/>
  <c r="W5" i="7"/>
  <c r="W35" i="7" s="1"/>
  <c r="V5" i="7"/>
  <c r="V35" i="7" s="1"/>
  <c r="U5" i="7"/>
  <c r="T5" i="7"/>
  <c r="T35" i="7" s="1"/>
  <c r="S5" i="7"/>
  <c r="S35" i="7" s="1"/>
  <c r="R5" i="7"/>
  <c r="Q5" i="7"/>
  <c r="Q35" i="7" s="1"/>
  <c r="P5" i="7"/>
  <c r="P35" i="7" s="1"/>
  <c r="O5" i="7"/>
  <c r="O35" i="7" s="1"/>
  <c r="N5" i="7"/>
  <c r="N35" i="7" s="1"/>
  <c r="M5" i="7"/>
  <c r="L5" i="7"/>
  <c r="L35" i="7" s="1"/>
  <c r="K5" i="7"/>
  <c r="K35" i="7" s="1"/>
  <c r="J5" i="7"/>
  <c r="I5" i="7"/>
  <c r="I35" i="7" s="1"/>
  <c r="H5" i="7"/>
  <c r="H35" i="7" s="1"/>
  <c r="G5" i="7"/>
  <c r="G35" i="7" s="1"/>
  <c r="F5" i="7"/>
  <c r="F35" i="7" s="1"/>
  <c r="E5" i="7"/>
  <c r="E35" i="7" s="1"/>
  <c r="AN4" i="7"/>
  <c r="AM4" i="7"/>
  <c r="AL4" i="7"/>
  <c r="AK4" i="7"/>
  <c r="AJ4" i="7"/>
  <c r="AJ34" i="7" s="1"/>
  <c r="AI4" i="7"/>
  <c r="AH4" i="7"/>
  <c r="AG4" i="7"/>
  <c r="AF4" i="7"/>
  <c r="AE4" i="7"/>
  <c r="AD4" i="7"/>
  <c r="AC4" i="7"/>
  <c r="AB4" i="7"/>
  <c r="AB34" i="7" s="1"/>
  <c r="AA4" i="7"/>
  <c r="Z4" i="7"/>
  <c r="Y4" i="7"/>
  <c r="X4" i="7"/>
  <c r="W4" i="7"/>
  <c r="V4" i="7"/>
  <c r="U4" i="7"/>
  <c r="T4" i="7"/>
  <c r="T34" i="7" s="1"/>
  <c r="S4" i="7"/>
  <c r="R4" i="7"/>
  <c r="Q4" i="7"/>
  <c r="P4" i="7"/>
  <c r="O4" i="7"/>
  <c r="N4" i="7"/>
  <c r="M4" i="7"/>
  <c r="L4" i="7"/>
  <c r="L34" i="7" s="1"/>
  <c r="K4" i="7"/>
  <c r="J4" i="7"/>
  <c r="I4" i="7"/>
  <c r="H4" i="7"/>
  <c r="G4" i="7"/>
  <c r="F4" i="7"/>
  <c r="E4" i="7"/>
  <c r="E34" i="7" s="1"/>
  <c r="X34" i="9" l="1"/>
  <c r="I30" i="12"/>
  <c r="I36" i="12"/>
  <c r="Q36" i="12"/>
  <c r="F42" i="9"/>
  <c r="I43" i="9"/>
  <c r="I47" i="9"/>
  <c r="Q47" i="9"/>
  <c r="Y47" i="9"/>
  <c r="AG47" i="9"/>
  <c r="I55" i="9"/>
  <c r="Q55" i="9"/>
  <c r="Y55" i="9"/>
  <c r="AG55" i="9"/>
  <c r="I34" i="10"/>
  <c r="Q34" i="10"/>
  <c r="Y34" i="10"/>
  <c r="AG34" i="10"/>
  <c r="I36" i="10"/>
  <c r="AP17" i="10"/>
  <c r="AC43" i="7"/>
  <c r="J45" i="7"/>
  <c r="M45" i="7"/>
  <c r="U45" i="7"/>
  <c r="AK45" i="7"/>
  <c r="M47" i="7"/>
  <c r="U47" i="7"/>
  <c r="AC47" i="7"/>
  <c r="AC49" i="7"/>
  <c r="AK49" i="7"/>
  <c r="AC51" i="7"/>
  <c r="J53" i="7"/>
  <c r="Z55" i="7"/>
  <c r="M57" i="7"/>
  <c r="AC57" i="7"/>
  <c r="AK57" i="7"/>
  <c r="I58" i="7"/>
  <c r="AG58" i="7"/>
  <c r="M59" i="7"/>
  <c r="AC59" i="7"/>
  <c r="Q60" i="7"/>
  <c r="Y60" i="7"/>
  <c r="E53" i="7"/>
  <c r="K35" i="9"/>
  <c r="S35" i="9"/>
  <c r="G36" i="9"/>
  <c r="K41" i="9"/>
  <c r="S41" i="9"/>
  <c r="AA41" i="9"/>
  <c r="AI41" i="9"/>
  <c r="G42" i="9"/>
  <c r="O42" i="9"/>
  <c r="W42" i="9"/>
  <c r="AE42" i="9"/>
  <c r="AM42" i="9"/>
  <c r="J43" i="9"/>
  <c r="R43" i="9"/>
  <c r="Z43" i="9"/>
  <c r="AH43" i="9"/>
  <c r="J53" i="9"/>
  <c r="Z34" i="10"/>
  <c r="J36" i="10"/>
  <c r="R36" i="10"/>
  <c r="Z36" i="10"/>
  <c r="AH36" i="10"/>
  <c r="J38" i="10"/>
  <c r="J44" i="10"/>
  <c r="R44" i="10"/>
  <c r="E47" i="10"/>
  <c r="AF34" i="9"/>
  <c r="I34" i="9"/>
  <c r="Q34" i="9"/>
  <c r="Y34" i="9"/>
  <c r="AG34" i="9"/>
  <c r="I40" i="9"/>
  <c r="Q40" i="9"/>
  <c r="Y40" i="9"/>
  <c r="AG40" i="9"/>
  <c r="I42" i="9"/>
  <c r="Q42" i="9"/>
  <c r="Y42" i="9"/>
  <c r="AG42" i="9"/>
  <c r="H34" i="9"/>
  <c r="AN51" i="7"/>
  <c r="AF55" i="7"/>
  <c r="AB56" i="7"/>
  <c r="AJ56" i="7"/>
  <c r="X57" i="7"/>
  <c r="AN57" i="7"/>
  <c r="X59" i="7"/>
  <c r="AF59" i="7"/>
  <c r="AN59" i="7"/>
  <c r="T60" i="7"/>
  <c r="AB60" i="7"/>
  <c r="AJ60" i="7"/>
  <c r="P34" i="9"/>
  <c r="Y35" i="7"/>
  <c r="AG35" i="7"/>
  <c r="M36" i="7"/>
  <c r="Y37" i="7"/>
  <c r="AG37" i="7"/>
  <c r="Q39" i="7"/>
  <c r="Y39" i="7"/>
  <c r="AG39" i="7"/>
  <c r="Q41" i="7"/>
  <c r="Y41" i="7"/>
  <c r="AG41" i="7"/>
  <c r="I43" i="7"/>
  <c r="Q43" i="7"/>
  <c r="Y43" i="7"/>
  <c r="AG43" i="7"/>
  <c r="I45" i="7"/>
  <c r="Q45" i="7"/>
  <c r="Y45" i="7"/>
  <c r="AG45" i="7"/>
  <c r="Q47" i="7"/>
  <c r="Y47" i="7"/>
  <c r="AG47" i="7"/>
  <c r="Q49" i="7"/>
  <c r="Y49" i="7"/>
  <c r="AG49" i="7"/>
  <c r="Q51" i="7"/>
  <c r="Y51" i="7"/>
  <c r="AG51" i="7"/>
  <c r="Q53" i="7"/>
  <c r="Y53" i="7"/>
  <c r="AG53" i="7"/>
  <c r="Q55" i="7"/>
  <c r="Y55" i="7"/>
  <c r="AG55" i="7"/>
  <c r="Q57" i="7"/>
  <c r="Y57" i="7"/>
  <c r="AG57" i="7"/>
  <c r="K58" i="7"/>
  <c r="M58" i="7"/>
  <c r="U58" i="7"/>
  <c r="AC58" i="7"/>
  <c r="AK58" i="7"/>
  <c r="Q59" i="7"/>
  <c r="Y59" i="7"/>
  <c r="J60" i="7"/>
  <c r="AC60" i="7"/>
  <c r="K34" i="9"/>
  <c r="S34" i="9"/>
  <c r="AA34" i="9"/>
  <c r="K40" i="9"/>
  <c r="K42" i="9"/>
  <c r="F43" i="9"/>
  <c r="N43" i="9"/>
  <c r="F49" i="9"/>
  <c r="N49" i="9"/>
  <c r="R54" i="9"/>
  <c r="F57" i="9"/>
  <c r="N57" i="9"/>
  <c r="V57" i="9"/>
  <c r="Z58" i="9"/>
  <c r="AH58" i="9"/>
  <c r="F36" i="10"/>
  <c r="N36" i="10"/>
  <c r="V36" i="10"/>
  <c r="AD36" i="10"/>
  <c r="AL36" i="10"/>
  <c r="Z37" i="10"/>
  <c r="AH37" i="10"/>
  <c r="U34" i="7"/>
  <c r="U38" i="7"/>
  <c r="M42" i="7"/>
  <c r="AK42" i="7"/>
  <c r="M44" i="7"/>
  <c r="N34" i="7"/>
  <c r="V34" i="7"/>
  <c r="AL34" i="7"/>
  <c r="F36" i="7"/>
  <c r="AD36" i="7"/>
  <c r="V38" i="7"/>
  <c r="F40" i="7"/>
  <c r="N40" i="7"/>
  <c r="AD40" i="7"/>
  <c r="AL40" i="7"/>
  <c r="N42" i="7"/>
  <c r="AD42" i="7"/>
  <c r="AD44" i="7"/>
  <c r="G34" i="7"/>
  <c r="O34" i="7"/>
  <c r="W34" i="7"/>
  <c r="AE34" i="7"/>
  <c r="AM34" i="7"/>
  <c r="AA35" i="7"/>
  <c r="AI35" i="7"/>
  <c r="G36" i="7"/>
  <c r="O36" i="7"/>
  <c r="W36" i="7"/>
  <c r="AE36" i="7"/>
  <c r="AM36" i="7"/>
  <c r="AI37" i="7"/>
  <c r="G38" i="7"/>
  <c r="O38" i="7"/>
  <c r="W38" i="7"/>
  <c r="AE38" i="7"/>
  <c r="AM38" i="7"/>
  <c r="AA39" i="7"/>
  <c r="AI39" i="7"/>
  <c r="G40" i="7"/>
  <c r="O40" i="7"/>
  <c r="W40" i="7"/>
  <c r="AE40" i="7"/>
  <c r="AM40" i="7"/>
  <c r="AA41" i="7"/>
  <c r="AI41" i="7"/>
  <c r="G42" i="7"/>
  <c r="G44" i="7"/>
  <c r="AE44" i="7"/>
  <c r="G46" i="7"/>
  <c r="O46" i="7"/>
  <c r="W46" i="7"/>
  <c r="AM46" i="7"/>
  <c r="O48" i="7"/>
  <c r="AE48" i="7"/>
  <c r="G52" i="7"/>
  <c r="O54" i="7"/>
  <c r="AE54" i="7"/>
  <c r="O56" i="7"/>
  <c r="AC34" i="7"/>
  <c r="AP8" i="7"/>
  <c r="E38" i="7"/>
  <c r="U40" i="7"/>
  <c r="X34" i="7"/>
  <c r="X36" i="7"/>
  <c r="X38" i="7"/>
  <c r="AN38" i="7"/>
  <c r="P40" i="7"/>
  <c r="AN40" i="7"/>
  <c r="H42" i="7"/>
  <c r="AF42" i="7"/>
  <c r="P44" i="7"/>
  <c r="AN44" i="7"/>
  <c r="H46" i="7"/>
  <c r="X46" i="7"/>
  <c r="AF46" i="7"/>
  <c r="AN46" i="7"/>
  <c r="H48" i="7"/>
  <c r="P48" i="7"/>
  <c r="X48" i="7"/>
  <c r="AF48" i="7"/>
  <c r="AN48" i="7"/>
  <c r="H50" i="7"/>
  <c r="P50" i="7"/>
  <c r="X50" i="7"/>
  <c r="AF50" i="7"/>
  <c r="AN50" i="7"/>
  <c r="H52" i="7"/>
  <c r="P52" i="7"/>
  <c r="X52" i="7"/>
  <c r="AF52" i="7"/>
  <c r="AN52" i="7"/>
  <c r="H54" i="7"/>
  <c r="P54" i="7"/>
  <c r="P56" i="7"/>
  <c r="X56" i="7"/>
  <c r="M34" i="7"/>
  <c r="AC36" i="7"/>
  <c r="AK38" i="7"/>
  <c r="M40" i="7"/>
  <c r="P34" i="7"/>
  <c r="H36" i="7"/>
  <c r="AF36" i="7"/>
  <c r="H38" i="7"/>
  <c r="AF38" i="7"/>
  <c r="H40" i="7"/>
  <c r="AF40" i="7"/>
  <c r="P42" i="7"/>
  <c r="AN42" i="7"/>
  <c r="H44" i="7"/>
  <c r="AF44" i="7"/>
  <c r="P46" i="7"/>
  <c r="I34" i="7"/>
  <c r="Q34" i="7"/>
  <c r="Y34" i="7"/>
  <c r="AG34" i="7"/>
  <c r="M35" i="7"/>
  <c r="U35" i="7"/>
  <c r="AC35" i="7"/>
  <c r="AK35" i="7"/>
  <c r="I36" i="7"/>
  <c r="Q36" i="7"/>
  <c r="Y36" i="7"/>
  <c r="AG36" i="7"/>
  <c r="R37" i="7"/>
  <c r="AH37" i="7"/>
  <c r="E37" i="7"/>
  <c r="M37" i="7"/>
  <c r="U37" i="7"/>
  <c r="AC37" i="7"/>
  <c r="AK37" i="7"/>
  <c r="I38" i="7"/>
  <c r="Q38" i="7"/>
  <c r="Y38" i="7"/>
  <c r="AG38" i="7"/>
  <c r="M39" i="7"/>
  <c r="U39" i="7"/>
  <c r="AC39" i="7"/>
  <c r="AK39" i="7"/>
  <c r="I40" i="7"/>
  <c r="Q40" i="7"/>
  <c r="Y40" i="7"/>
  <c r="AG40" i="7"/>
  <c r="M41" i="7"/>
  <c r="U41" i="7"/>
  <c r="AC41" i="7"/>
  <c r="I42" i="7"/>
  <c r="Q42" i="7"/>
  <c r="AG42" i="7"/>
  <c r="I46" i="7"/>
  <c r="Q50" i="7"/>
  <c r="AG54" i="7"/>
  <c r="Q56" i="7"/>
  <c r="AK34" i="7"/>
  <c r="AC40" i="7"/>
  <c r="U42" i="7"/>
  <c r="AF34" i="7"/>
  <c r="P36" i="7"/>
  <c r="AN36" i="7"/>
  <c r="P38" i="7"/>
  <c r="X40" i="7"/>
  <c r="X42" i="7"/>
  <c r="X44" i="7"/>
  <c r="J34" i="7"/>
  <c r="R34" i="7"/>
  <c r="Z34" i="7"/>
  <c r="AH34" i="7"/>
  <c r="AL35" i="7"/>
  <c r="J36" i="7"/>
  <c r="R36" i="7"/>
  <c r="Z36" i="7"/>
  <c r="AH36" i="7"/>
  <c r="J38" i="7"/>
  <c r="R38" i="7"/>
  <c r="Z38" i="7"/>
  <c r="AH38" i="7"/>
  <c r="AL39" i="7"/>
  <c r="J40" i="7"/>
  <c r="R40" i="7"/>
  <c r="AH40" i="7"/>
  <c r="R42" i="7"/>
  <c r="Z42" i="7"/>
  <c r="R44" i="7"/>
  <c r="AH44" i="7"/>
  <c r="J46" i="7"/>
  <c r="AH46" i="7"/>
  <c r="J48" i="7"/>
  <c r="R48" i="7"/>
  <c r="Z48" i="7"/>
  <c r="R50" i="7"/>
  <c r="Z50" i="7"/>
  <c r="AH50" i="7"/>
  <c r="AH52" i="7"/>
  <c r="U36" i="7"/>
  <c r="AC38" i="7"/>
  <c r="H34" i="7"/>
  <c r="AN34" i="7"/>
  <c r="K34" i="7"/>
  <c r="S34" i="7"/>
  <c r="AA34" i="7"/>
  <c r="AI34" i="7"/>
  <c r="K36" i="7"/>
  <c r="S36" i="7"/>
  <c r="AA36" i="7"/>
  <c r="AI36" i="7"/>
  <c r="K38" i="7"/>
  <c r="S38" i="7"/>
  <c r="AA38" i="7"/>
  <c r="AI38" i="7"/>
  <c r="K40" i="7"/>
  <c r="S40" i="7"/>
  <c r="AA40" i="7"/>
  <c r="AI40" i="7"/>
  <c r="K42" i="7"/>
  <c r="S42" i="7"/>
  <c r="AA42" i="7"/>
  <c r="AI42" i="7"/>
  <c r="K44" i="7"/>
  <c r="S44" i="7"/>
  <c r="AA44" i="7"/>
  <c r="AI44" i="7"/>
  <c r="AA48" i="7"/>
  <c r="AI48" i="7"/>
  <c r="AA50" i="7"/>
  <c r="AA56" i="7"/>
  <c r="AI56" i="7"/>
  <c r="L44" i="7"/>
  <c r="T44" i="7"/>
  <c r="AB44" i="7"/>
  <c r="AJ44" i="7"/>
  <c r="L46" i="7"/>
  <c r="T46" i="7"/>
  <c r="AB46" i="7"/>
  <c r="AJ46" i="7"/>
  <c r="L48" i="7"/>
  <c r="T48" i="7"/>
  <c r="AB48" i="7"/>
  <c r="AJ48" i="7"/>
  <c r="L50" i="7"/>
  <c r="T50" i="7"/>
  <c r="AB50" i="7"/>
  <c r="AJ50" i="7"/>
  <c r="L52" i="7"/>
  <c r="T52" i="7"/>
  <c r="AB52" i="7"/>
  <c r="AJ52" i="7"/>
  <c r="AK36" i="7"/>
  <c r="M38" i="7"/>
  <c r="AK40" i="7"/>
  <c r="AC42" i="7"/>
  <c r="F44" i="7"/>
  <c r="E44" i="7"/>
  <c r="U44" i="7"/>
  <c r="AC44" i="7"/>
  <c r="AK44" i="7"/>
  <c r="AP16" i="7"/>
  <c r="E46" i="7"/>
  <c r="AG46" i="7"/>
  <c r="M46" i="7"/>
  <c r="U46" i="7"/>
  <c r="AC46" i="7"/>
  <c r="AK46" i="7"/>
  <c r="E48" i="7"/>
  <c r="N48" i="7"/>
  <c r="W48" i="7"/>
  <c r="F48" i="7"/>
  <c r="M48" i="7"/>
  <c r="U48" i="7"/>
  <c r="AC48" i="7"/>
  <c r="AK48" i="7"/>
  <c r="AP20" i="7"/>
  <c r="E50" i="7"/>
  <c r="I50" i="7"/>
  <c r="AD50" i="7"/>
  <c r="M50" i="7"/>
  <c r="U50" i="7"/>
  <c r="AC50" i="7"/>
  <c r="AK50" i="7"/>
  <c r="N52" i="7"/>
  <c r="AL52" i="7"/>
  <c r="J52" i="7"/>
  <c r="AD52" i="7"/>
  <c r="E52" i="7"/>
  <c r="S52" i="7"/>
  <c r="F52" i="7"/>
  <c r="M52" i="7"/>
  <c r="U52" i="7"/>
  <c r="AC52" i="7"/>
  <c r="AK52" i="7"/>
  <c r="AL54" i="7"/>
  <c r="F54" i="7"/>
  <c r="N54" i="7"/>
  <c r="S54" i="7"/>
  <c r="AH54" i="7"/>
  <c r="V54" i="7"/>
  <c r="W54" i="7"/>
  <c r="I54" i="7"/>
  <c r="Z54" i="7"/>
  <c r="E54" i="7"/>
  <c r="J54" i="7"/>
  <c r="AD54" i="7"/>
  <c r="M54" i="7"/>
  <c r="U54" i="7"/>
  <c r="AC54" i="7"/>
  <c r="AK54" i="7"/>
  <c r="F56" i="7"/>
  <c r="N56" i="7"/>
  <c r="V56" i="7"/>
  <c r="E56" i="7"/>
  <c r="AL56" i="7"/>
  <c r="AG56" i="7"/>
  <c r="G56" i="7"/>
  <c r="Y56" i="7"/>
  <c r="AM56" i="7"/>
  <c r="I56" i="7"/>
  <c r="AD56" i="7"/>
  <c r="M56" i="7"/>
  <c r="U56" i="7"/>
  <c r="AC56" i="7"/>
  <c r="AK56" i="7"/>
  <c r="AK41" i="7"/>
  <c r="Y42" i="7"/>
  <c r="M43" i="7"/>
  <c r="U43" i="7"/>
  <c r="AK43" i="7"/>
  <c r="I44" i="7"/>
  <c r="Q44" i="7"/>
  <c r="Y44" i="7"/>
  <c r="AG44" i="7"/>
  <c r="AC45" i="7"/>
  <c r="Q46" i="7"/>
  <c r="Y46" i="7"/>
  <c r="AK47" i="7"/>
  <c r="I48" i="7"/>
  <c r="Q48" i="7"/>
  <c r="Y48" i="7"/>
  <c r="AG48" i="7"/>
  <c r="M49" i="7"/>
  <c r="U49" i="7"/>
  <c r="Y50" i="7"/>
  <c r="AG50" i="7"/>
  <c r="Z51" i="7"/>
  <c r="E51" i="7"/>
  <c r="M51" i="7"/>
  <c r="U51" i="7"/>
  <c r="AK51" i="7"/>
  <c r="I52" i="7"/>
  <c r="Q52" i="7"/>
  <c r="Y52" i="7"/>
  <c r="AG52" i="7"/>
  <c r="AC53" i="7"/>
  <c r="AK53" i="7"/>
  <c r="Q54" i="7"/>
  <c r="Y54" i="7"/>
  <c r="M55" i="7"/>
  <c r="U55" i="7"/>
  <c r="AC55" i="7"/>
  <c r="AK55" i="7"/>
  <c r="N57" i="7"/>
  <c r="AH57" i="7"/>
  <c r="AD57" i="7"/>
  <c r="E57" i="7"/>
  <c r="U57" i="7"/>
  <c r="Q58" i="7"/>
  <c r="Y58" i="7"/>
  <c r="R59" i="7"/>
  <c r="E59" i="7"/>
  <c r="J59" i="7"/>
  <c r="F59" i="7"/>
  <c r="AH59" i="7"/>
  <c r="AK59" i="7"/>
  <c r="E45" i="7"/>
  <c r="AL57" i="7"/>
  <c r="Z57" i="7"/>
  <c r="J57" i="7"/>
  <c r="Z40" i="7"/>
  <c r="F41" i="7"/>
  <c r="N41" i="7"/>
  <c r="V41" i="7"/>
  <c r="AD41" i="7"/>
  <c r="J42" i="7"/>
  <c r="AH42" i="7"/>
  <c r="N43" i="7"/>
  <c r="V43" i="7"/>
  <c r="AL43" i="7"/>
  <c r="J44" i="7"/>
  <c r="Z44" i="7"/>
  <c r="F45" i="7"/>
  <c r="N45" i="7"/>
  <c r="V45" i="7"/>
  <c r="AD45" i="7"/>
  <c r="AL45" i="7"/>
  <c r="R46" i="7"/>
  <c r="Z46" i="7"/>
  <c r="F47" i="7"/>
  <c r="N47" i="7"/>
  <c r="AD47" i="7"/>
  <c r="AH48" i="7"/>
  <c r="F49" i="7"/>
  <c r="V49" i="7"/>
  <c r="AD49" i="7"/>
  <c r="J50" i="7"/>
  <c r="N51" i="7"/>
  <c r="V51" i="7"/>
  <c r="AD51" i="7"/>
  <c r="AL51" i="7"/>
  <c r="R52" i="7"/>
  <c r="Z52" i="7"/>
  <c r="F53" i="7"/>
  <c r="N53" i="7"/>
  <c r="V53" i="7"/>
  <c r="AD53" i="7"/>
  <c r="AL53" i="7"/>
  <c r="R54" i="7"/>
  <c r="N55" i="7"/>
  <c r="V55" i="7"/>
  <c r="F57" i="7"/>
  <c r="Z58" i="7"/>
  <c r="E58" i="7"/>
  <c r="Z59" i="7"/>
  <c r="R58" i="7"/>
  <c r="V57" i="7"/>
  <c r="AD55" i="7"/>
  <c r="K46" i="7"/>
  <c r="S46" i="7"/>
  <c r="AA46" i="7"/>
  <c r="AI46" i="7"/>
  <c r="K48" i="7"/>
  <c r="S48" i="7"/>
  <c r="K50" i="7"/>
  <c r="S50" i="7"/>
  <c r="AI50" i="7"/>
  <c r="K52" i="7"/>
  <c r="AA52" i="7"/>
  <c r="AI52" i="7"/>
  <c r="K54" i="7"/>
  <c r="AA54" i="7"/>
  <c r="AI54" i="7"/>
  <c r="K56" i="7"/>
  <c r="S56" i="7"/>
  <c r="AI58" i="7"/>
  <c r="E55" i="7"/>
  <c r="AD58" i="7"/>
  <c r="O58" i="7"/>
  <c r="J55" i="7"/>
  <c r="Z53" i="7"/>
  <c r="R51" i="7"/>
  <c r="L54" i="7"/>
  <c r="T54" i="7"/>
  <c r="AB54" i="7"/>
  <c r="AJ54" i="7"/>
  <c r="L56" i="7"/>
  <c r="L58" i="7"/>
  <c r="T58" i="7"/>
  <c r="AB58" i="7"/>
  <c r="AJ58" i="7"/>
  <c r="AN58" i="7"/>
  <c r="AA58" i="7"/>
  <c r="AH58" i="7"/>
  <c r="N58" i="7"/>
  <c r="F34" i="7"/>
  <c r="AD34" i="7"/>
  <c r="J35" i="7"/>
  <c r="R35" i="7"/>
  <c r="Z35" i="7"/>
  <c r="AH35" i="7"/>
  <c r="N36" i="7"/>
  <c r="V36" i="7"/>
  <c r="AL36" i="7"/>
  <c r="Z37" i="7"/>
  <c r="F38" i="7"/>
  <c r="N38" i="7"/>
  <c r="AD38" i="7"/>
  <c r="AL38" i="7"/>
  <c r="R39" i="7"/>
  <c r="AH39" i="7"/>
  <c r="V40" i="7"/>
  <c r="J41" i="7"/>
  <c r="R41" i="7"/>
  <c r="Z41" i="7"/>
  <c r="AH41" i="7"/>
  <c r="F42" i="7"/>
  <c r="V42" i="7"/>
  <c r="AL42" i="7"/>
  <c r="Z43" i="7"/>
  <c r="N44" i="7"/>
  <c r="V44" i="7"/>
  <c r="AL44" i="7"/>
  <c r="AH45" i="7"/>
  <c r="F46" i="7"/>
  <c r="N46" i="7"/>
  <c r="V46" i="7"/>
  <c r="AD46" i="7"/>
  <c r="AL46" i="7"/>
  <c r="J47" i="7"/>
  <c r="R47" i="7"/>
  <c r="V48" i="7"/>
  <c r="AD48" i="7"/>
  <c r="J49" i="7"/>
  <c r="R49" i="7"/>
  <c r="Z49" i="7"/>
  <c r="AH49" i="7"/>
  <c r="N50" i="7"/>
  <c r="V50" i="7"/>
  <c r="AH51" i="7"/>
  <c r="V52" i="7"/>
  <c r="J58" i="7"/>
  <c r="O42" i="7"/>
  <c r="W42" i="7"/>
  <c r="AE42" i="7"/>
  <c r="AM42" i="7"/>
  <c r="AI43" i="7"/>
  <c r="O44" i="7"/>
  <c r="W44" i="7"/>
  <c r="AM44" i="7"/>
  <c r="AE46" i="7"/>
  <c r="AA47" i="7"/>
  <c r="G48" i="7"/>
  <c r="AM48" i="7"/>
  <c r="AI49" i="7"/>
  <c r="G50" i="7"/>
  <c r="O50" i="7"/>
  <c r="W50" i="7"/>
  <c r="AE50" i="7"/>
  <c r="AM50" i="7"/>
  <c r="O52" i="7"/>
  <c r="W52" i="7"/>
  <c r="AE52" i="7"/>
  <c r="AM52" i="7"/>
  <c r="S53" i="7"/>
  <c r="AA53" i="7"/>
  <c r="G54" i="7"/>
  <c r="AM54" i="7"/>
  <c r="AI55" i="7"/>
  <c r="W56" i="7"/>
  <c r="AE56" i="7"/>
  <c r="G58" i="7"/>
  <c r="W58" i="7"/>
  <c r="S59" i="7"/>
  <c r="AA59" i="7"/>
  <c r="AL58" i="7"/>
  <c r="V58" i="7"/>
  <c r="AL55" i="7"/>
  <c r="R53" i="7"/>
  <c r="X54" i="7"/>
  <c r="AF54" i="7"/>
  <c r="AN54" i="7"/>
  <c r="H56" i="7"/>
  <c r="AF56" i="7"/>
  <c r="AN56" i="7"/>
  <c r="H58" i="7"/>
  <c r="P58" i="7"/>
  <c r="AF58" i="7"/>
  <c r="F58" i="7"/>
  <c r="AG59" i="7"/>
  <c r="Z60" i="7"/>
  <c r="J56" i="7"/>
  <c r="R56" i="7"/>
  <c r="Z56" i="7"/>
  <c r="AH56" i="7"/>
  <c r="E60" i="7"/>
  <c r="AK60" i="7"/>
  <c r="AK55" i="10"/>
  <c r="AC57" i="10"/>
  <c r="H55" i="10"/>
  <c r="P55" i="10"/>
  <c r="X55" i="10"/>
  <c r="AF55" i="10"/>
  <c r="M59" i="10"/>
  <c r="U59" i="10"/>
  <c r="H44" i="10"/>
  <c r="P44" i="10"/>
  <c r="X44" i="10"/>
  <c r="AF44" i="10"/>
  <c r="AN44" i="10"/>
  <c r="K55" i="10"/>
  <c r="S55" i="10"/>
  <c r="AN34" i="9"/>
  <c r="L35" i="9"/>
  <c r="T35" i="9"/>
  <c r="AB35" i="9"/>
  <c r="AJ35" i="9"/>
  <c r="J45" i="9"/>
  <c r="R45" i="9"/>
  <c r="Z45" i="9"/>
  <c r="F50" i="9"/>
  <c r="N50" i="9"/>
  <c r="V50" i="9"/>
  <c r="AD50" i="9"/>
  <c r="AL50" i="9"/>
  <c r="F58" i="9"/>
  <c r="Q44" i="10"/>
  <c r="L55" i="10"/>
  <c r="T55" i="10"/>
  <c r="AB55" i="10"/>
  <c r="L57" i="10"/>
  <c r="T57" i="10"/>
  <c r="F35" i="9"/>
  <c r="L53" i="9"/>
  <c r="H56" i="9"/>
  <c r="AP9" i="10"/>
  <c r="G47" i="10"/>
  <c r="O47" i="10"/>
  <c r="W47" i="10"/>
  <c r="AE47" i="10"/>
  <c r="AM47" i="10"/>
  <c r="K48" i="10"/>
  <c r="S48" i="10"/>
  <c r="AA48" i="10"/>
  <c r="G51" i="10"/>
  <c r="O51" i="10"/>
  <c r="W51" i="10"/>
  <c r="AE51" i="10"/>
  <c r="AM51" i="10"/>
  <c r="K52" i="10"/>
  <c r="S52" i="10"/>
  <c r="AA52" i="10"/>
  <c r="AI52" i="10"/>
  <c r="F55" i="10"/>
  <c r="F57" i="10"/>
  <c r="N57" i="10"/>
  <c r="V57" i="10"/>
  <c r="AD57" i="10"/>
  <c r="AL57" i="10"/>
  <c r="AH58" i="10"/>
  <c r="I56" i="9"/>
  <c r="Q56" i="9"/>
  <c r="I41" i="10"/>
  <c r="Q41" i="10"/>
  <c r="I43" i="10"/>
  <c r="Q43" i="10"/>
  <c r="Y43" i="10"/>
  <c r="AG43" i="10"/>
  <c r="L44" i="10"/>
  <c r="T44" i="10"/>
  <c r="AB44" i="10"/>
  <c r="AJ44" i="10"/>
  <c r="AP15" i="10"/>
  <c r="G55" i="10"/>
  <c r="G57" i="10"/>
  <c r="F32" i="12"/>
  <c r="N32" i="12"/>
  <c r="F36" i="12"/>
  <c r="F40" i="12"/>
  <c r="F44" i="12"/>
  <c r="F50" i="12"/>
  <c r="G45" i="9"/>
  <c r="O45" i="9"/>
  <c r="W45" i="9"/>
  <c r="AE45" i="9"/>
  <c r="K48" i="9"/>
  <c r="G49" i="9"/>
  <c r="O49" i="9"/>
  <c r="W49" i="9"/>
  <c r="AE49" i="9"/>
  <c r="AM49" i="9"/>
  <c r="K50" i="9"/>
  <c r="S50" i="9"/>
  <c r="AA50" i="9"/>
  <c r="AI50" i="9"/>
  <c r="O53" i="9"/>
  <c r="W53" i="9"/>
  <c r="AE53" i="9"/>
  <c r="AM53" i="9"/>
  <c r="K54" i="9"/>
  <c r="O36" i="10"/>
  <c r="W36" i="10"/>
  <c r="K41" i="10"/>
  <c r="S41" i="10"/>
  <c r="AA41" i="10"/>
  <c r="AI41" i="10"/>
  <c r="K43" i="10"/>
  <c r="S43" i="10"/>
  <c r="AA43" i="10"/>
  <c r="AI43" i="10"/>
  <c r="F44" i="10"/>
  <c r="N44" i="10"/>
  <c r="V44" i="10"/>
  <c r="AD44" i="10"/>
  <c r="AL44" i="10"/>
  <c r="I55" i="10"/>
  <c r="Q55" i="10"/>
  <c r="Y55" i="10"/>
  <c r="AG55" i="10"/>
  <c r="I57" i="10"/>
  <c r="Q57" i="10"/>
  <c r="G30" i="12"/>
  <c r="J35" i="9"/>
  <c r="J37" i="9"/>
  <c r="R37" i="9"/>
  <c r="Z37" i="9"/>
  <c r="AH37" i="9"/>
  <c r="N42" i="9"/>
  <c r="V42" i="9"/>
  <c r="AD42" i="9"/>
  <c r="AL42" i="9"/>
  <c r="Q43" i="9"/>
  <c r="Y43" i="9"/>
  <c r="AG43" i="9"/>
  <c r="L44" i="9"/>
  <c r="T44" i="9"/>
  <c r="AB44" i="9"/>
  <c r="AJ44" i="9"/>
  <c r="H45" i="9"/>
  <c r="P45" i="9"/>
  <c r="X45" i="9"/>
  <c r="AF45" i="9"/>
  <c r="AN45" i="9"/>
  <c r="AP17" i="9"/>
  <c r="L48" i="9"/>
  <c r="T48" i="9"/>
  <c r="AB48" i="9"/>
  <c r="AJ48" i="9"/>
  <c r="H49" i="9"/>
  <c r="P49" i="9"/>
  <c r="X49" i="9"/>
  <c r="AF49" i="9"/>
  <c r="L50" i="9"/>
  <c r="T50" i="9"/>
  <c r="AB50" i="9"/>
  <c r="AJ50" i="9"/>
  <c r="H53" i="9"/>
  <c r="P53" i="9"/>
  <c r="X53" i="9"/>
  <c r="L56" i="9"/>
  <c r="T56" i="9"/>
  <c r="AB56" i="9"/>
  <c r="AJ56" i="9"/>
  <c r="H34" i="10"/>
  <c r="P34" i="10"/>
  <c r="X34" i="10"/>
  <c r="AF34" i="10"/>
  <c r="AN34" i="10"/>
  <c r="L35" i="10"/>
  <c r="T35" i="10"/>
  <c r="AB35" i="10"/>
  <c r="AJ35" i="10"/>
  <c r="G44" i="10"/>
  <c r="O44" i="10"/>
  <c r="W44" i="10"/>
  <c r="AE44" i="10"/>
  <c r="AM44" i="10"/>
  <c r="K47" i="10"/>
  <c r="S47" i="10"/>
  <c r="AA47" i="10"/>
  <c r="K51" i="10"/>
  <c r="S51" i="10"/>
  <c r="AA51" i="10"/>
  <c r="AI51" i="10"/>
  <c r="F54" i="10"/>
  <c r="N54" i="10"/>
  <c r="N56" i="10"/>
  <c r="H30" i="12"/>
  <c r="P30" i="12"/>
  <c r="H32" i="12"/>
  <c r="P32" i="12"/>
  <c r="H34" i="12"/>
  <c r="P34" i="12"/>
  <c r="H38" i="12"/>
  <c r="H40" i="12"/>
  <c r="H46" i="12"/>
  <c r="H48" i="12"/>
  <c r="H50" i="12"/>
  <c r="Q30" i="12"/>
  <c r="Y30" i="12"/>
  <c r="AG30" i="12"/>
  <c r="Y36" i="12"/>
  <c r="AP4" i="12"/>
  <c r="V32" i="12"/>
  <c r="AD32" i="12"/>
  <c r="AL32" i="12"/>
  <c r="N36" i="12"/>
  <c r="V36" i="12"/>
  <c r="AD36" i="12"/>
  <c r="AL36" i="12"/>
  <c r="N40" i="12"/>
  <c r="V40" i="12"/>
  <c r="AD40" i="12"/>
  <c r="AL40" i="12"/>
  <c r="N44" i="12"/>
  <c r="V44" i="12"/>
  <c r="AD44" i="12"/>
  <c r="AL44" i="12"/>
  <c r="O30" i="12"/>
  <c r="W30" i="12"/>
  <c r="AE30" i="12"/>
  <c r="AM30" i="12"/>
  <c r="K31" i="12"/>
  <c r="S31" i="12"/>
  <c r="AA31" i="12"/>
  <c r="AI31" i="12"/>
  <c r="G32" i="12"/>
  <c r="O32" i="12"/>
  <c r="W32" i="12"/>
  <c r="AE32" i="12"/>
  <c r="AM32" i="12"/>
  <c r="G50" i="12"/>
  <c r="X30" i="12"/>
  <c r="AF30" i="12"/>
  <c r="AN30" i="12"/>
  <c r="L31" i="12"/>
  <c r="X32" i="12"/>
  <c r="AF32" i="12"/>
  <c r="AN32" i="12"/>
  <c r="X34" i="12"/>
  <c r="AF34" i="12"/>
  <c r="AN34" i="12"/>
  <c r="P38" i="12"/>
  <c r="X38" i="12"/>
  <c r="AF38" i="12"/>
  <c r="AN38" i="12"/>
  <c r="L39" i="12"/>
  <c r="T39" i="12"/>
  <c r="AB39" i="12"/>
  <c r="AJ39" i="12"/>
  <c r="P40" i="12"/>
  <c r="P46" i="12"/>
  <c r="X46" i="12"/>
  <c r="P48" i="12"/>
  <c r="X48" i="12"/>
  <c r="AF48" i="12"/>
  <c r="AN48" i="12"/>
  <c r="L49" i="12"/>
  <c r="T49" i="12"/>
  <c r="AB49" i="12"/>
  <c r="AJ49" i="12"/>
  <c r="J32" i="12"/>
  <c r="J36" i="12"/>
  <c r="J38" i="12"/>
  <c r="R38" i="12"/>
  <c r="Z38" i="12"/>
  <c r="AH38" i="12"/>
  <c r="J40" i="12"/>
  <c r="R40" i="12"/>
  <c r="Z40" i="12"/>
  <c r="AH40" i="12"/>
  <c r="F43" i="12"/>
  <c r="N43" i="12"/>
  <c r="J44" i="12"/>
  <c r="R44" i="12"/>
  <c r="Z44" i="12"/>
  <c r="AH44" i="12"/>
  <c r="F45" i="12"/>
  <c r="J46" i="12"/>
  <c r="R46" i="12"/>
  <c r="Z46" i="12"/>
  <c r="AH46" i="12"/>
  <c r="K30" i="12"/>
  <c r="S30" i="12"/>
  <c r="AA30" i="12"/>
  <c r="G31" i="12"/>
  <c r="O31" i="12"/>
  <c r="W31" i="12"/>
  <c r="AE31" i="12"/>
  <c r="AM31" i="12"/>
  <c r="G35" i="12"/>
  <c r="O35" i="12"/>
  <c r="W35" i="12"/>
  <c r="AE35" i="12"/>
  <c r="AM35" i="12"/>
  <c r="K36" i="12"/>
  <c r="S36" i="12"/>
  <c r="AA36" i="12"/>
  <c r="AI36" i="12"/>
  <c r="I41" i="12"/>
  <c r="I43" i="12"/>
  <c r="Q43" i="12"/>
  <c r="Y43" i="12"/>
  <c r="AG43" i="12"/>
  <c r="I49" i="12"/>
  <c r="Q49" i="12"/>
  <c r="Y49" i="12"/>
  <c r="AG49" i="12"/>
  <c r="J41" i="12"/>
  <c r="R41" i="12"/>
  <c r="J43" i="12"/>
  <c r="R43" i="12"/>
  <c r="N50" i="12"/>
  <c r="V50" i="12"/>
  <c r="AD50" i="12"/>
  <c r="AL50" i="12"/>
  <c r="K35" i="12"/>
  <c r="S35" i="12"/>
  <c r="AA35" i="12"/>
  <c r="AI35" i="12"/>
  <c r="K39" i="12"/>
  <c r="S39" i="12"/>
  <c r="AA39" i="12"/>
  <c r="AI39" i="12"/>
  <c r="K43" i="12"/>
  <c r="S43" i="12"/>
  <c r="AA43" i="12"/>
  <c r="AI43" i="12"/>
  <c r="K49" i="12"/>
  <c r="T31" i="12"/>
  <c r="AB31" i="12"/>
  <c r="AJ31" i="12"/>
  <c r="L35" i="12"/>
  <c r="G38" i="12"/>
  <c r="O38" i="12"/>
  <c r="W38" i="12"/>
  <c r="AE38" i="12"/>
  <c r="G40" i="12"/>
  <c r="O40" i="12"/>
  <c r="W40" i="12"/>
  <c r="AE40" i="12"/>
  <c r="AM40" i="12"/>
  <c r="G46" i="12"/>
  <c r="O46" i="12"/>
  <c r="W46" i="12"/>
  <c r="AE46" i="12"/>
  <c r="S49" i="12"/>
  <c r="AA49" i="12"/>
  <c r="AI49" i="12"/>
  <c r="O50" i="12"/>
  <c r="W50" i="12"/>
  <c r="AE50" i="12"/>
  <c r="AM50" i="12"/>
  <c r="J30" i="12"/>
  <c r="R30" i="12"/>
  <c r="Z30" i="12"/>
  <c r="AH30" i="12"/>
  <c r="R32" i="12"/>
  <c r="Z32" i="12"/>
  <c r="AH32" i="12"/>
  <c r="F35" i="12"/>
  <c r="N35" i="12"/>
  <c r="V35" i="12"/>
  <c r="AD35" i="12"/>
  <c r="AL35" i="12"/>
  <c r="R36" i="12"/>
  <c r="Z36" i="12"/>
  <c r="AH36" i="12"/>
  <c r="I38" i="12"/>
  <c r="Q38" i="12"/>
  <c r="Y38" i="12"/>
  <c r="AG38" i="12"/>
  <c r="I46" i="12"/>
  <c r="Q46" i="12"/>
  <c r="Y46" i="12"/>
  <c r="AG46" i="12"/>
  <c r="I48" i="12"/>
  <c r="Q48" i="12"/>
  <c r="Y48" i="12"/>
  <c r="AG48" i="12"/>
  <c r="J48" i="12"/>
  <c r="I29" i="12"/>
  <c r="Q29" i="12"/>
  <c r="Y29" i="12"/>
  <c r="AG29" i="12"/>
  <c r="L30" i="12"/>
  <c r="T30" i="12"/>
  <c r="AB30" i="12"/>
  <c r="AJ30" i="12"/>
  <c r="H35" i="12"/>
  <c r="P35" i="12"/>
  <c r="X35" i="12"/>
  <c r="AF35" i="12"/>
  <c r="AN35" i="12"/>
  <c r="L36" i="12"/>
  <c r="T36" i="12"/>
  <c r="AB36" i="12"/>
  <c r="AJ36" i="12"/>
  <c r="K38" i="12"/>
  <c r="S38" i="12"/>
  <c r="G39" i="12"/>
  <c r="O39" i="12"/>
  <c r="W39" i="12"/>
  <c r="G43" i="12"/>
  <c r="O43" i="12"/>
  <c r="W43" i="12"/>
  <c r="AE43" i="12"/>
  <c r="AM43" i="12"/>
  <c r="K44" i="12"/>
  <c r="S44" i="12"/>
  <c r="AA44" i="12"/>
  <c r="AI44" i="12"/>
  <c r="K46" i="12"/>
  <c r="S46" i="12"/>
  <c r="AA46" i="12"/>
  <c r="I35" i="12"/>
  <c r="Q35" i="12"/>
  <c r="Y35" i="12"/>
  <c r="AG35" i="12"/>
  <c r="I37" i="12"/>
  <c r="Q37" i="12"/>
  <c r="Y37" i="12"/>
  <c r="AG37" i="12"/>
  <c r="AP12" i="12"/>
  <c r="L38" i="12"/>
  <c r="T38" i="12"/>
  <c r="AB38" i="12"/>
  <c r="AJ38" i="12"/>
  <c r="H43" i="12"/>
  <c r="P43" i="12"/>
  <c r="X43" i="12"/>
  <c r="AF43" i="12"/>
  <c r="AN43" i="12"/>
  <c r="L44" i="12"/>
  <c r="T44" i="12"/>
  <c r="L46" i="12"/>
  <c r="T46" i="12"/>
  <c r="AB46" i="12"/>
  <c r="AJ46" i="12"/>
  <c r="J35" i="12"/>
  <c r="R35" i="12"/>
  <c r="M48" i="12"/>
  <c r="U48" i="12"/>
  <c r="AC48" i="12"/>
  <c r="AK48" i="12"/>
  <c r="M50" i="12"/>
  <c r="U50" i="12"/>
  <c r="AC50" i="12"/>
  <c r="AK50" i="12"/>
  <c r="L29" i="12"/>
  <c r="T29" i="12"/>
  <c r="AB29" i="12"/>
  <c r="AJ29" i="12"/>
  <c r="J31" i="12"/>
  <c r="R31" i="12"/>
  <c r="Z31" i="12"/>
  <c r="AH31" i="12"/>
  <c r="M32" i="12"/>
  <c r="U32" i="12"/>
  <c r="AC32" i="12"/>
  <c r="AK32" i="12"/>
  <c r="H33" i="12"/>
  <c r="P33" i="12"/>
  <c r="X33" i="12"/>
  <c r="AF33" i="12"/>
  <c r="AN33" i="12"/>
  <c r="K34" i="12"/>
  <c r="S34" i="12"/>
  <c r="AA34" i="12"/>
  <c r="AI34" i="12"/>
  <c r="AG36" i="12"/>
  <c r="AP11" i="12"/>
  <c r="L37" i="12"/>
  <c r="T37" i="12"/>
  <c r="AB37" i="12"/>
  <c r="AJ37" i="12"/>
  <c r="AM38" i="12"/>
  <c r="J39" i="12"/>
  <c r="R39" i="12"/>
  <c r="Z39" i="12"/>
  <c r="AH39" i="12"/>
  <c r="M40" i="12"/>
  <c r="U40" i="12"/>
  <c r="AC40" i="12"/>
  <c r="AK40" i="12"/>
  <c r="H41" i="12"/>
  <c r="P41" i="12"/>
  <c r="X41" i="12"/>
  <c r="AF41" i="12"/>
  <c r="AN41" i="12"/>
  <c r="K42" i="12"/>
  <c r="S42" i="12"/>
  <c r="AA42" i="12"/>
  <c r="AI42" i="12"/>
  <c r="V43" i="12"/>
  <c r="AD43" i="12"/>
  <c r="AL43" i="12"/>
  <c r="I44" i="12"/>
  <c r="Q44" i="12"/>
  <c r="Y44" i="12"/>
  <c r="AG44" i="12"/>
  <c r="AP19" i="12"/>
  <c r="L45" i="12"/>
  <c r="T45" i="12"/>
  <c r="AB45" i="12"/>
  <c r="AJ45" i="12"/>
  <c r="AM46" i="12"/>
  <c r="M29" i="12"/>
  <c r="U29" i="12"/>
  <c r="AC29" i="12"/>
  <c r="AK29" i="12"/>
  <c r="I33" i="12"/>
  <c r="Q33" i="12"/>
  <c r="Y33" i="12"/>
  <c r="AG33" i="12"/>
  <c r="AP8" i="12"/>
  <c r="L34" i="12"/>
  <c r="T34" i="12"/>
  <c r="AB34" i="12"/>
  <c r="AJ34" i="12"/>
  <c r="M37" i="12"/>
  <c r="U37" i="12"/>
  <c r="AC37" i="12"/>
  <c r="AK37" i="12"/>
  <c r="Q41" i="12"/>
  <c r="Y41" i="12"/>
  <c r="AG41" i="12"/>
  <c r="AP16" i="12"/>
  <c r="L42" i="12"/>
  <c r="T42" i="12"/>
  <c r="AB42" i="12"/>
  <c r="AJ42" i="12"/>
  <c r="M45" i="12"/>
  <c r="U45" i="12"/>
  <c r="AC45" i="12"/>
  <c r="AK45" i="12"/>
  <c r="F29" i="12"/>
  <c r="N29" i="12"/>
  <c r="V29" i="12"/>
  <c r="AD29" i="12"/>
  <c r="AL29" i="12"/>
  <c r="AP5" i="12"/>
  <c r="J33" i="12"/>
  <c r="R33" i="12"/>
  <c r="Z33" i="12"/>
  <c r="AH33" i="12"/>
  <c r="M34" i="12"/>
  <c r="U34" i="12"/>
  <c r="AC34" i="12"/>
  <c r="AK34" i="12"/>
  <c r="F37" i="12"/>
  <c r="N37" i="12"/>
  <c r="V37" i="12"/>
  <c r="AD37" i="12"/>
  <c r="AL37" i="12"/>
  <c r="AP13" i="12"/>
  <c r="Z41" i="12"/>
  <c r="AH41" i="12"/>
  <c r="M42" i="12"/>
  <c r="U42" i="12"/>
  <c r="AC42" i="12"/>
  <c r="AK42" i="12"/>
  <c r="N45" i="12"/>
  <c r="V45" i="12"/>
  <c r="AD45" i="12"/>
  <c r="AL45" i="12"/>
  <c r="M47" i="12"/>
  <c r="U47" i="12"/>
  <c r="AC47" i="12"/>
  <c r="AK47" i="12"/>
  <c r="AP23" i="12"/>
  <c r="G29" i="12"/>
  <c r="O29" i="12"/>
  <c r="W29" i="12"/>
  <c r="AE29" i="12"/>
  <c r="AM29" i="12"/>
  <c r="M31" i="12"/>
  <c r="U31" i="12"/>
  <c r="AC31" i="12"/>
  <c r="AK31" i="12"/>
  <c r="K33" i="12"/>
  <c r="S33" i="12"/>
  <c r="AA33" i="12"/>
  <c r="AI33" i="12"/>
  <c r="F34" i="12"/>
  <c r="N34" i="12"/>
  <c r="V34" i="12"/>
  <c r="AD34" i="12"/>
  <c r="AL34" i="12"/>
  <c r="AP10" i="12"/>
  <c r="G37" i="12"/>
  <c r="O37" i="12"/>
  <c r="W37" i="12"/>
  <c r="AE37" i="12"/>
  <c r="AM37" i="12"/>
  <c r="M39" i="12"/>
  <c r="U39" i="12"/>
  <c r="AC39" i="12"/>
  <c r="AK39" i="12"/>
  <c r="X40" i="12"/>
  <c r="AF40" i="12"/>
  <c r="AN40" i="12"/>
  <c r="K41" i="12"/>
  <c r="S41" i="12"/>
  <c r="AA41" i="12"/>
  <c r="AI41" i="12"/>
  <c r="F42" i="12"/>
  <c r="N42" i="12"/>
  <c r="V42" i="12"/>
  <c r="AD42" i="12"/>
  <c r="AL42" i="12"/>
  <c r="AP18" i="12"/>
  <c r="AB44" i="12"/>
  <c r="AJ44" i="12"/>
  <c r="G45" i="12"/>
  <c r="O45" i="12"/>
  <c r="W45" i="12"/>
  <c r="AE45" i="12"/>
  <c r="AM45" i="12"/>
  <c r="F47" i="12"/>
  <c r="N47" i="12"/>
  <c r="V47" i="12"/>
  <c r="AD47" i="12"/>
  <c r="AL47" i="12"/>
  <c r="H29" i="12"/>
  <c r="P29" i="12"/>
  <c r="X29" i="12"/>
  <c r="AF29" i="12"/>
  <c r="AN29" i="12"/>
  <c r="AI30" i="12"/>
  <c r="F31" i="12"/>
  <c r="N31" i="12"/>
  <c r="V31" i="12"/>
  <c r="AD31" i="12"/>
  <c r="AL31" i="12"/>
  <c r="I32" i="12"/>
  <c r="Q32" i="12"/>
  <c r="Y32" i="12"/>
  <c r="AG32" i="12"/>
  <c r="AP7" i="12"/>
  <c r="L33" i="12"/>
  <c r="T33" i="12"/>
  <c r="AB33" i="12"/>
  <c r="AJ33" i="12"/>
  <c r="G34" i="12"/>
  <c r="O34" i="12"/>
  <c r="W34" i="12"/>
  <c r="AE34" i="12"/>
  <c r="AM34" i="12"/>
  <c r="Z35" i="12"/>
  <c r="AH35" i="12"/>
  <c r="M36" i="12"/>
  <c r="U36" i="12"/>
  <c r="AC36" i="12"/>
  <c r="AK36" i="12"/>
  <c r="H37" i="12"/>
  <c r="P37" i="12"/>
  <c r="X37" i="12"/>
  <c r="AF37" i="12"/>
  <c r="AN37" i="12"/>
  <c r="AA38" i="12"/>
  <c r="AI38" i="12"/>
  <c r="F39" i="12"/>
  <c r="N39" i="12"/>
  <c r="V39" i="12"/>
  <c r="AD39" i="12"/>
  <c r="AL39" i="12"/>
  <c r="I40" i="12"/>
  <c r="Q40" i="12"/>
  <c r="Y40" i="12"/>
  <c r="AG40" i="12"/>
  <c r="AP15" i="12"/>
  <c r="L41" i="12"/>
  <c r="T41" i="12"/>
  <c r="AB41" i="12"/>
  <c r="AJ41" i="12"/>
  <c r="G42" i="12"/>
  <c r="O42" i="12"/>
  <c r="W42" i="12"/>
  <c r="AE42" i="12"/>
  <c r="AM42" i="12"/>
  <c r="Z43" i="12"/>
  <c r="AH43" i="12"/>
  <c r="M44" i="12"/>
  <c r="U44" i="12"/>
  <c r="AC44" i="12"/>
  <c r="AK44" i="12"/>
  <c r="H45" i="12"/>
  <c r="P45" i="12"/>
  <c r="X45" i="12"/>
  <c r="AF45" i="12"/>
  <c r="AN45" i="12"/>
  <c r="AI46" i="12"/>
  <c r="G47" i="12"/>
  <c r="O47" i="12"/>
  <c r="W47" i="12"/>
  <c r="M33" i="12"/>
  <c r="U33" i="12"/>
  <c r="AC33" i="12"/>
  <c r="AK33" i="12"/>
  <c r="AE39" i="12"/>
  <c r="AM39" i="12"/>
  <c r="M41" i="12"/>
  <c r="U41" i="12"/>
  <c r="AC41" i="12"/>
  <c r="AK41" i="12"/>
  <c r="H42" i="12"/>
  <c r="P42" i="12"/>
  <c r="X42" i="12"/>
  <c r="AF42" i="12"/>
  <c r="AN42" i="12"/>
  <c r="I45" i="12"/>
  <c r="Q45" i="12"/>
  <c r="Y45" i="12"/>
  <c r="AG45" i="12"/>
  <c r="AP20" i="12"/>
  <c r="J29" i="12"/>
  <c r="R29" i="12"/>
  <c r="Z29" i="12"/>
  <c r="AH29" i="12"/>
  <c r="M30" i="12"/>
  <c r="U30" i="12"/>
  <c r="AC30" i="12"/>
  <c r="AK30" i="12"/>
  <c r="H31" i="12"/>
  <c r="P31" i="12"/>
  <c r="X31" i="12"/>
  <c r="AF31" i="12"/>
  <c r="AN31" i="12"/>
  <c r="K32" i="12"/>
  <c r="S32" i="12"/>
  <c r="AA32" i="12"/>
  <c r="AI32" i="12"/>
  <c r="F33" i="12"/>
  <c r="N33" i="12"/>
  <c r="V33" i="12"/>
  <c r="AD33" i="12"/>
  <c r="AL33" i="12"/>
  <c r="I34" i="12"/>
  <c r="Q34" i="12"/>
  <c r="Y34" i="12"/>
  <c r="AG34" i="12"/>
  <c r="AP9" i="12"/>
  <c r="T35" i="12"/>
  <c r="AB35" i="12"/>
  <c r="AJ35" i="12"/>
  <c r="G36" i="12"/>
  <c r="O36" i="12"/>
  <c r="W36" i="12"/>
  <c r="AE36" i="12"/>
  <c r="AM36" i="12"/>
  <c r="J37" i="12"/>
  <c r="R37" i="12"/>
  <c r="Z37" i="12"/>
  <c r="AH37" i="12"/>
  <c r="M38" i="12"/>
  <c r="U38" i="12"/>
  <c r="AC38" i="12"/>
  <c r="AK38" i="12"/>
  <c r="H39" i="12"/>
  <c r="P39" i="12"/>
  <c r="X39" i="12"/>
  <c r="AF39" i="12"/>
  <c r="AN39" i="12"/>
  <c r="K40" i="12"/>
  <c r="S40" i="12"/>
  <c r="AA40" i="12"/>
  <c r="AI40" i="12"/>
  <c r="F41" i="12"/>
  <c r="N41" i="12"/>
  <c r="V41" i="12"/>
  <c r="AD41" i="12"/>
  <c r="AL41" i="12"/>
  <c r="I42" i="12"/>
  <c r="Q42" i="12"/>
  <c r="Y42" i="12"/>
  <c r="AG42" i="12"/>
  <c r="AP17" i="12"/>
  <c r="L43" i="12"/>
  <c r="T43" i="12"/>
  <c r="AB43" i="12"/>
  <c r="AJ43" i="12"/>
  <c r="G44" i="12"/>
  <c r="O44" i="12"/>
  <c r="W44" i="12"/>
  <c r="AE44" i="12"/>
  <c r="AM44" i="12"/>
  <c r="J45" i="12"/>
  <c r="R45" i="12"/>
  <c r="Z45" i="12"/>
  <c r="AH45" i="12"/>
  <c r="AP21" i="12"/>
  <c r="E46" i="12"/>
  <c r="M46" i="12"/>
  <c r="U46" i="12"/>
  <c r="AC46" i="12"/>
  <c r="AK46" i="12"/>
  <c r="I47" i="12"/>
  <c r="Q47" i="12"/>
  <c r="Y47" i="12"/>
  <c r="AG47" i="12"/>
  <c r="K29" i="12"/>
  <c r="S29" i="12"/>
  <c r="AA29" i="12"/>
  <c r="AI29" i="12"/>
  <c r="F30" i="12"/>
  <c r="N30" i="12"/>
  <c r="V30" i="12"/>
  <c r="AD30" i="12"/>
  <c r="AL30" i="12"/>
  <c r="I31" i="12"/>
  <c r="Q31" i="12"/>
  <c r="Y31" i="12"/>
  <c r="AG31" i="12"/>
  <c r="AP6" i="12"/>
  <c r="L32" i="12"/>
  <c r="T32" i="12"/>
  <c r="AB32" i="12"/>
  <c r="AJ32" i="12"/>
  <c r="G33" i="12"/>
  <c r="O33" i="12"/>
  <c r="W33" i="12"/>
  <c r="AE33" i="12"/>
  <c r="AM33" i="12"/>
  <c r="J34" i="12"/>
  <c r="R34" i="12"/>
  <c r="Z34" i="12"/>
  <c r="AH34" i="12"/>
  <c r="M35" i="12"/>
  <c r="U35" i="12"/>
  <c r="AC35" i="12"/>
  <c r="AK35" i="12"/>
  <c r="H36" i="12"/>
  <c r="P36" i="12"/>
  <c r="X36" i="12"/>
  <c r="AF36" i="12"/>
  <c r="AN36" i="12"/>
  <c r="K37" i="12"/>
  <c r="S37" i="12"/>
  <c r="AA37" i="12"/>
  <c r="AI37" i="12"/>
  <c r="F38" i="12"/>
  <c r="N38" i="12"/>
  <c r="V38" i="12"/>
  <c r="AD38" i="12"/>
  <c r="AL38" i="12"/>
  <c r="I39" i="12"/>
  <c r="Q39" i="12"/>
  <c r="Y39" i="12"/>
  <c r="AG39" i="12"/>
  <c r="AP14" i="12"/>
  <c r="L40" i="12"/>
  <c r="T40" i="12"/>
  <c r="AB40" i="12"/>
  <c r="AJ40" i="12"/>
  <c r="G41" i="12"/>
  <c r="O41" i="12"/>
  <c r="W41" i="12"/>
  <c r="AE41" i="12"/>
  <c r="AM41" i="12"/>
  <c r="J42" i="12"/>
  <c r="R42" i="12"/>
  <c r="Z42" i="12"/>
  <c r="AH42" i="12"/>
  <c r="M43" i="12"/>
  <c r="U43" i="12"/>
  <c r="AC43" i="12"/>
  <c r="AK43" i="12"/>
  <c r="H44" i="12"/>
  <c r="P44" i="12"/>
  <c r="X44" i="12"/>
  <c r="AF44" i="12"/>
  <c r="AN44" i="12"/>
  <c r="K45" i="12"/>
  <c r="S45" i="12"/>
  <c r="AA45" i="12"/>
  <c r="AI45" i="12"/>
  <c r="F46" i="12"/>
  <c r="N46" i="12"/>
  <c r="V46" i="12"/>
  <c r="AD46" i="12"/>
  <c r="AL46" i="12"/>
  <c r="AE47" i="12"/>
  <c r="AM47" i="12"/>
  <c r="R48" i="12"/>
  <c r="Z48" i="12"/>
  <c r="AH48" i="12"/>
  <c r="M49" i="12"/>
  <c r="U49" i="12"/>
  <c r="AC49" i="12"/>
  <c r="AK49" i="12"/>
  <c r="P50" i="12"/>
  <c r="X50" i="12"/>
  <c r="AF50" i="12"/>
  <c r="AN50" i="12"/>
  <c r="H47" i="12"/>
  <c r="P47" i="12"/>
  <c r="X47" i="12"/>
  <c r="AF47" i="12"/>
  <c r="AN47" i="12"/>
  <c r="K48" i="12"/>
  <c r="S48" i="12"/>
  <c r="AA48" i="12"/>
  <c r="AI48" i="12"/>
  <c r="F49" i="12"/>
  <c r="N49" i="12"/>
  <c r="V49" i="12"/>
  <c r="AD49" i="12"/>
  <c r="AL49" i="12"/>
  <c r="I50" i="12"/>
  <c r="Q50" i="12"/>
  <c r="Y50" i="12"/>
  <c r="AG50" i="12"/>
  <c r="AP25" i="12"/>
  <c r="AP22" i="12"/>
  <c r="L48" i="12"/>
  <c r="T48" i="12"/>
  <c r="AB48" i="12"/>
  <c r="AJ48" i="12"/>
  <c r="G49" i="12"/>
  <c r="O49" i="12"/>
  <c r="W49" i="12"/>
  <c r="AE49" i="12"/>
  <c r="AM49" i="12"/>
  <c r="J50" i="12"/>
  <c r="R50" i="12"/>
  <c r="Z50" i="12"/>
  <c r="AH50" i="12"/>
  <c r="J47" i="12"/>
  <c r="R47" i="12"/>
  <c r="Z47" i="12"/>
  <c r="AH47" i="12"/>
  <c r="H49" i="12"/>
  <c r="P49" i="12"/>
  <c r="X49" i="12"/>
  <c r="AF49" i="12"/>
  <c r="AN49" i="12"/>
  <c r="K50" i="12"/>
  <c r="S50" i="12"/>
  <c r="AA50" i="12"/>
  <c r="AI50" i="12"/>
  <c r="AF46" i="12"/>
  <c r="AN46" i="12"/>
  <c r="K47" i="12"/>
  <c r="S47" i="12"/>
  <c r="AA47" i="12"/>
  <c r="AI47" i="12"/>
  <c r="F48" i="12"/>
  <c r="N48" i="12"/>
  <c r="V48" i="12"/>
  <c r="AD48" i="12"/>
  <c r="AL48" i="12"/>
  <c r="AP24" i="12"/>
  <c r="L50" i="12"/>
  <c r="T50" i="12"/>
  <c r="AB50" i="12"/>
  <c r="AJ50" i="12"/>
  <c r="L47" i="12"/>
  <c r="T47" i="12"/>
  <c r="AB47" i="12"/>
  <c r="AJ47" i="12"/>
  <c r="G48" i="12"/>
  <c r="O48" i="12"/>
  <c r="W48" i="12"/>
  <c r="AE48" i="12"/>
  <c r="AM48" i="12"/>
  <c r="J49" i="12"/>
  <c r="R49" i="12"/>
  <c r="Z49" i="12"/>
  <c r="AH49" i="12"/>
  <c r="AP4" i="11"/>
  <c r="AC59" i="10"/>
  <c r="AK59" i="10"/>
  <c r="K35" i="10"/>
  <c r="S35" i="10"/>
  <c r="AA35" i="10"/>
  <c r="AI35" i="10"/>
  <c r="AE36" i="10"/>
  <c r="AM36" i="10"/>
  <c r="K37" i="10"/>
  <c r="S37" i="10"/>
  <c r="AA37" i="10"/>
  <c r="AI37" i="10"/>
  <c r="F40" i="10"/>
  <c r="N40" i="10"/>
  <c r="V40" i="10"/>
  <c r="AD40" i="10"/>
  <c r="AL40" i="10"/>
  <c r="J41" i="10"/>
  <c r="F42" i="10"/>
  <c r="N42" i="10"/>
  <c r="V42" i="10"/>
  <c r="AD42" i="10"/>
  <c r="AL42" i="10"/>
  <c r="I45" i="10"/>
  <c r="Q45" i="10"/>
  <c r="Y45" i="10"/>
  <c r="AG45" i="10"/>
  <c r="L46" i="10"/>
  <c r="T46" i="10"/>
  <c r="AB46" i="10"/>
  <c r="AJ46" i="10"/>
  <c r="L48" i="10"/>
  <c r="T48" i="10"/>
  <c r="AB48" i="10"/>
  <c r="AJ48" i="10"/>
  <c r="L50" i="10"/>
  <c r="T50" i="10"/>
  <c r="AB50" i="10"/>
  <c r="AJ50" i="10"/>
  <c r="H51" i="10"/>
  <c r="P51" i="10"/>
  <c r="X51" i="10"/>
  <c r="L52" i="10"/>
  <c r="T52" i="10"/>
  <c r="O55" i="10"/>
  <c r="K56" i="10"/>
  <c r="S56" i="10"/>
  <c r="AA56" i="10"/>
  <c r="AI56" i="10"/>
  <c r="O57" i="10"/>
  <c r="W57" i="10"/>
  <c r="AE57" i="10"/>
  <c r="AM57" i="10"/>
  <c r="H40" i="10"/>
  <c r="P40" i="10"/>
  <c r="X40" i="10"/>
  <c r="AF40" i="10"/>
  <c r="H42" i="10"/>
  <c r="P42" i="10"/>
  <c r="X42" i="10"/>
  <c r="AF42" i="10"/>
  <c r="F46" i="10"/>
  <c r="N46" i="10"/>
  <c r="V46" i="10"/>
  <c r="AD46" i="10"/>
  <c r="AL46" i="10"/>
  <c r="F48" i="10"/>
  <c r="N48" i="10"/>
  <c r="V48" i="10"/>
  <c r="AD48" i="10"/>
  <c r="AL48" i="10"/>
  <c r="F52" i="10"/>
  <c r="N52" i="10"/>
  <c r="V52" i="10"/>
  <c r="AD52" i="10"/>
  <c r="AL52" i="10"/>
  <c r="W40" i="10"/>
  <c r="F35" i="10"/>
  <c r="N35" i="10"/>
  <c r="V35" i="10"/>
  <c r="AD35" i="10"/>
  <c r="AL35" i="10"/>
  <c r="F37" i="10"/>
  <c r="N37" i="10"/>
  <c r="V37" i="10"/>
  <c r="AD37" i="10"/>
  <c r="AL37" i="10"/>
  <c r="U43" i="10"/>
  <c r="AI47" i="10"/>
  <c r="G48" i="10"/>
  <c r="O48" i="10"/>
  <c r="W48" i="10"/>
  <c r="AE48" i="10"/>
  <c r="AM48" i="10"/>
  <c r="G52" i="10"/>
  <c r="O52" i="10"/>
  <c r="W52" i="10"/>
  <c r="AE52" i="10"/>
  <c r="V54" i="10"/>
  <c r="AD54" i="10"/>
  <c r="AL54" i="10"/>
  <c r="V56" i="10"/>
  <c r="AM40" i="10"/>
  <c r="G35" i="10"/>
  <c r="O35" i="10"/>
  <c r="W35" i="10"/>
  <c r="AE35" i="10"/>
  <c r="AM35" i="10"/>
  <c r="G37" i="10"/>
  <c r="O37" i="10"/>
  <c r="W37" i="10"/>
  <c r="AE37" i="10"/>
  <c r="AM37" i="10"/>
  <c r="J40" i="10"/>
  <c r="R40" i="10"/>
  <c r="Z40" i="10"/>
  <c r="AH40" i="10"/>
  <c r="M45" i="10"/>
  <c r="H46" i="10"/>
  <c r="P46" i="10"/>
  <c r="X46" i="10"/>
  <c r="AF46" i="10"/>
  <c r="AN46" i="10"/>
  <c r="H48" i="10"/>
  <c r="P48" i="10"/>
  <c r="X48" i="10"/>
  <c r="AF48" i="10"/>
  <c r="AN48" i="10"/>
  <c r="H50" i="10"/>
  <c r="P50" i="10"/>
  <c r="X50" i="10"/>
  <c r="AF50" i="10"/>
  <c r="H52" i="10"/>
  <c r="P52" i="10"/>
  <c r="X52" i="10"/>
  <c r="AF52" i="10"/>
  <c r="AN52" i="10"/>
  <c r="AA55" i="10"/>
  <c r="AI55" i="10"/>
  <c r="G56" i="10"/>
  <c r="G58" i="10"/>
  <c r="F60" i="10"/>
  <c r="G40" i="10"/>
  <c r="AE40" i="10"/>
  <c r="H35" i="10"/>
  <c r="P35" i="10"/>
  <c r="X35" i="10"/>
  <c r="AF35" i="10"/>
  <c r="AN35" i="10"/>
  <c r="K40" i="10"/>
  <c r="S40" i="10"/>
  <c r="AA40" i="10"/>
  <c r="AI40" i="10"/>
  <c r="G41" i="10"/>
  <c r="G43" i="10"/>
  <c r="O43" i="10"/>
  <c r="W43" i="10"/>
  <c r="AE43" i="10"/>
  <c r="AM43" i="10"/>
  <c r="Z44" i="10"/>
  <c r="AH44" i="10"/>
  <c r="I46" i="10"/>
  <c r="Q46" i="10"/>
  <c r="Y46" i="10"/>
  <c r="AG46" i="10"/>
  <c r="AK47" i="10"/>
  <c r="AG48" i="10"/>
  <c r="Y50" i="10"/>
  <c r="U51" i="10"/>
  <c r="Q52" i="10"/>
  <c r="M53" i="10"/>
  <c r="H54" i="10"/>
  <c r="P54" i="10"/>
  <c r="X54" i="10"/>
  <c r="AF54" i="10"/>
  <c r="AJ55" i="10"/>
  <c r="H56" i="10"/>
  <c r="P56" i="10"/>
  <c r="X56" i="10"/>
  <c r="AF56" i="10"/>
  <c r="AN56" i="10"/>
  <c r="AB57" i="10"/>
  <c r="AJ57" i="10"/>
  <c r="H58" i="10"/>
  <c r="P58" i="10"/>
  <c r="X58" i="10"/>
  <c r="AF58" i="10"/>
  <c r="AN58" i="10"/>
  <c r="G60" i="10"/>
  <c r="O60" i="10"/>
  <c r="W60" i="10"/>
  <c r="AE60" i="10"/>
  <c r="AM60" i="10"/>
  <c r="O40" i="10"/>
  <c r="I35" i="10"/>
  <c r="Q35" i="10"/>
  <c r="Y35" i="10"/>
  <c r="M38" i="10"/>
  <c r="I39" i="10"/>
  <c r="Q39" i="10"/>
  <c r="Y39" i="10"/>
  <c r="AG39" i="10"/>
  <c r="L40" i="10"/>
  <c r="T40" i="10"/>
  <c r="AB40" i="10"/>
  <c r="AJ40" i="10"/>
  <c r="L42" i="10"/>
  <c r="T42" i="10"/>
  <c r="AB42" i="10"/>
  <c r="AJ42" i="10"/>
  <c r="H43" i="10"/>
  <c r="K44" i="10"/>
  <c r="S44" i="10"/>
  <c r="AA44" i="10"/>
  <c r="AI44" i="10"/>
  <c r="J46" i="10"/>
  <c r="R46" i="10"/>
  <c r="Z46" i="10"/>
  <c r="AH46" i="10"/>
  <c r="J48" i="10"/>
  <c r="R48" i="10"/>
  <c r="Z48" i="10"/>
  <c r="AH48" i="10"/>
  <c r="J52" i="10"/>
  <c r="R52" i="10"/>
  <c r="Z52" i="10"/>
  <c r="AH52" i="10"/>
  <c r="Q54" i="10"/>
  <c r="Y54" i="10"/>
  <c r="AG54" i="10"/>
  <c r="M55" i="10"/>
  <c r="U55" i="10"/>
  <c r="AC55" i="10"/>
  <c r="I56" i="10"/>
  <c r="Q56" i="10"/>
  <c r="Y56" i="10"/>
  <c r="M57" i="10"/>
  <c r="U57" i="10"/>
  <c r="AK57" i="10"/>
  <c r="I58" i="10"/>
  <c r="Q58" i="10"/>
  <c r="Y58" i="10"/>
  <c r="AG58" i="10"/>
  <c r="AP28" i="10"/>
  <c r="L59" i="10"/>
  <c r="T59" i="10"/>
  <c r="AB59" i="10"/>
  <c r="AJ59" i="10"/>
  <c r="H60" i="10"/>
  <c r="P60" i="10"/>
  <c r="X60" i="10"/>
  <c r="AF60" i="10"/>
  <c r="AN60" i="10"/>
  <c r="J34" i="9"/>
  <c r="R34" i="9"/>
  <c r="Z34" i="9"/>
  <c r="AH34" i="9"/>
  <c r="H40" i="9"/>
  <c r="P40" i="9"/>
  <c r="X40" i="9"/>
  <c r="AF40" i="9"/>
  <c r="AN40" i="9"/>
  <c r="L41" i="9"/>
  <c r="T41" i="9"/>
  <c r="AB41" i="9"/>
  <c r="AJ41" i="9"/>
  <c r="H42" i="9"/>
  <c r="P42" i="9"/>
  <c r="X42" i="9"/>
  <c r="AF42" i="9"/>
  <c r="AN42" i="9"/>
  <c r="AH45" i="9"/>
  <c r="F46" i="9"/>
  <c r="N46" i="9"/>
  <c r="V46" i="9"/>
  <c r="AD46" i="9"/>
  <c r="AL46" i="9"/>
  <c r="L52" i="9"/>
  <c r="T52" i="9"/>
  <c r="AF53" i="9"/>
  <c r="AN53" i="9"/>
  <c r="K56" i="9"/>
  <c r="O57" i="9"/>
  <c r="W57" i="9"/>
  <c r="AE57" i="9"/>
  <c r="AM57" i="9"/>
  <c r="K58" i="9"/>
  <c r="AI34" i="9"/>
  <c r="AP25" i="9"/>
  <c r="L34" i="9"/>
  <c r="T34" i="9"/>
  <c r="AB34" i="9"/>
  <c r="AJ34" i="9"/>
  <c r="G35" i="9"/>
  <c r="O35" i="9"/>
  <c r="J38" i="9"/>
  <c r="R38" i="9"/>
  <c r="Z38" i="9"/>
  <c r="AH38" i="9"/>
  <c r="J40" i="9"/>
  <c r="R40" i="9"/>
  <c r="Z40" i="9"/>
  <c r="AH40" i="9"/>
  <c r="F41" i="9"/>
  <c r="N41" i="9"/>
  <c r="V41" i="9"/>
  <c r="J42" i="9"/>
  <c r="R42" i="9"/>
  <c r="Z42" i="9"/>
  <c r="AH42" i="9"/>
  <c r="L45" i="9"/>
  <c r="T45" i="9"/>
  <c r="AB45" i="9"/>
  <c r="AJ45" i="9"/>
  <c r="K49" i="9"/>
  <c r="S49" i="9"/>
  <c r="AA49" i="9"/>
  <c r="AI49" i="9"/>
  <c r="G50" i="9"/>
  <c r="O50" i="9"/>
  <c r="W50" i="9"/>
  <c r="AE50" i="9"/>
  <c r="AM50" i="9"/>
  <c r="R53" i="9"/>
  <c r="Z53" i="9"/>
  <c r="AH53" i="9"/>
  <c r="F54" i="9"/>
  <c r="N54" i="9"/>
  <c r="V54" i="9"/>
  <c r="AD54" i="9"/>
  <c r="AL54" i="9"/>
  <c r="G37" i="9"/>
  <c r="O37" i="9"/>
  <c r="W37" i="9"/>
  <c r="AE37" i="9"/>
  <c r="AM37" i="9"/>
  <c r="S40" i="9"/>
  <c r="AA40" i="9"/>
  <c r="AI40" i="9"/>
  <c r="S42" i="9"/>
  <c r="AA42" i="9"/>
  <c r="AI42" i="9"/>
  <c r="H48" i="9"/>
  <c r="P48" i="9"/>
  <c r="X48" i="9"/>
  <c r="L49" i="9"/>
  <c r="T49" i="9"/>
  <c r="AB49" i="9"/>
  <c r="AJ49" i="9"/>
  <c r="H50" i="9"/>
  <c r="P50" i="9"/>
  <c r="X50" i="9"/>
  <c r="K53" i="9"/>
  <c r="S53" i="9"/>
  <c r="AA53" i="9"/>
  <c r="AI53" i="9"/>
  <c r="N58" i="9"/>
  <c r="V58" i="9"/>
  <c r="AD58" i="9"/>
  <c r="AL58" i="9"/>
  <c r="F34" i="9"/>
  <c r="N34" i="9"/>
  <c r="V34" i="9"/>
  <c r="AD34" i="9"/>
  <c r="AL34" i="9"/>
  <c r="I35" i="9"/>
  <c r="Q35" i="9"/>
  <c r="Y35" i="9"/>
  <c r="AG35" i="9"/>
  <c r="L36" i="9"/>
  <c r="T36" i="9"/>
  <c r="AB36" i="9"/>
  <c r="AJ36" i="9"/>
  <c r="H37" i="9"/>
  <c r="P37" i="9"/>
  <c r="X37" i="9"/>
  <c r="AF37" i="9"/>
  <c r="AN37" i="9"/>
  <c r="L42" i="9"/>
  <c r="T42" i="9"/>
  <c r="AB42" i="9"/>
  <c r="AJ42" i="9"/>
  <c r="J46" i="9"/>
  <c r="R46" i="9"/>
  <c r="Z46" i="9"/>
  <c r="I48" i="9"/>
  <c r="I50" i="9"/>
  <c r="Q50" i="9"/>
  <c r="Y50" i="9"/>
  <c r="AG50" i="9"/>
  <c r="AP20" i="9"/>
  <c r="H52" i="9"/>
  <c r="P52" i="9"/>
  <c r="X52" i="9"/>
  <c r="AF52" i="9"/>
  <c r="W58" i="9"/>
  <c r="AE58" i="9"/>
  <c r="AP4" i="9"/>
  <c r="G34" i="9"/>
  <c r="O34" i="9"/>
  <c r="W34" i="9"/>
  <c r="AE34" i="9"/>
  <c r="AM34" i="9"/>
  <c r="R35" i="9"/>
  <c r="Z35" i="9"/>
  <c r="AH35" i="9"/>
  <c r="I37" i="9"/>
  <c r="AM45" i="9"/>
  <c r="V49" i="9"/>
  <c r="AD49" i="9"/>
  <c r="AL49" i="9"/>
  <c r="R50" i="9"/>
  <c r="Z50" i="9"/>
  <c r="AH50" i="9"/>
  <c r="P56" i="9"/>
  <c r="X56" i="9"/>
  <c r="AF56" i="9"/>
  <c r="T57" i="9"/>
  <c r="AB57" i="9"/>
  <c r="AJ57" i="9"/>
  <c r="I58" i="9"/>
  <c r="Q58" i="9"/>
  <c r="U59" i="9"/>
  <c r="AP4" i="10"/>
  <c r="F38" i="10"/>
  <c r="N38" i="10"/>
  <c r="V38" i="10"/>
  <c r="AD38" i="10"/>
  <c r="AL38" i="10"/>
  <c r="E49" i="10"/>
  <c r="AP19" i="10"/>
  <c r="M49" i="10"/>
  <c r="U49" i="10"/>
  <c r="AC49" i="10"/>
  <c r="AK49" i="10"/>
  <c r="U38" i="10"/>
  <c r="J34" i="10"/>
  <c r="R34" i="10"/>
  <c r="AH34" i="10"/>
  <c r="M35" i="10"/>
  <c r="U35" i="10"/>
  <c r="AC35" i="10"/>
  <c r="AK35" i="10"/>
  <c r="H36" i="10"/>
  <c r="P36" i="10"/>
  <c r="X36" i="10"/>
  <c r="AF36" i="10"/>
  <c r="AN36" i="10"/>
  <c r="AP6" i="10"/>
  <c r="Y41" i="10"/>
  <c r="AG41" i="10"/>
  <c r="AP11" i="10"/>
  <c r="K34" i="10"/>
  <c r="S34" i="10"/>
  <c r="AA34" i="10"/>
  <c r="AI34" i="10"/>
  <c r="M37" i="10"/>
  <c r="U37" i="10"/>
  <c r="AC37" i="10"/>
  <c r="AK37" i="10"/>
  <c r="H38" i="10"/>
  <c r="P38" i="10"/>
  <c r="X38" i="10"/>
  <c r="AF38" i="10"/>
  <c r="AN38" i="10"/>
  <c r="K39" i="10"/>
  <c r="S39" i="10"/>
  <c r="AA39" i="10"/>
  <c r="AI39" i="10"/>
  <c r="L34" i="10"/>
  <c r="T34" i="10"/>
  <c r="AB34" i="10"/>
  <c r="AJ34" i="10"/>
  <c r="I38" i="10"/>
  <c r="Q38" i="10"/>
  <c r="Y38" i="10"/>
  <c r="AG38" i="10"/>
  <c r="AP8" i="10"/>
  <c r="L39" i="10"/>
  <c r="T39" i="10"/>
  <c r="AB39" i="10"/>
  <c r="AJ39" i="10"/>
  <c r="AN50" i="10"/>
  <c r="AP20" i="10"/>
  <c r="U34" i="10"/>
  <c r="R38" i="10"/>
  <c r="Z38" i="10"/>
  <c r="AH38" i="10"/>
  <c r="M39" i="10"/>
  <c r="U39" i="10"/>
  <c r="AC39" i="10"/>
  <c r="AK39" i="10"/>
  <c r="AN40" i="10"/>
  <c r="AP10" i="10"/>
  <c r="AN55" i="10"/>
  <c r="AP25" i="10"/>
  <c r="AC34" i="10"/>
  <c r="F34" i="10"/>
  <c r="N34" i="10"/>
  <c r="V34" i="10"/>
  <c r="AD34" i="10"/>
  <c r="AL34" i="10"/>
  <c r="AG35" i="10"/>
  <c r="AP5" i="10"/>
  <c r="L36" i="10"/>
  <c r="T36" i="10"/>
  <c r="AB36" i="10"/>
  <c r="AJ36" i="10"/>
  <c r="F39" i="10"/>
  <c r="N39" i="10"/>
  <c r="V39" i="10"/>
  <c r="AD39" i="10"/>
  <c r="M41" i="10"/>
  <c r="U41" i="10"/>
  <c r="AC41" i="10"/>
  <c r="AK41" i="10"/>
  <c r="AN42" i="10"/>
  <c r="AP12" i="10"/>
  <c r="AL39" i="10"/>
  <c r="M34" i="10"/>
  <c r="AK34" i="10"/>
  <c r="G34" i="10"/>
  <c r="O34" i="10"/>
  <c r="W34" i="10"/>
  <c r="AE34" i="10"/>
  <c r="AM34" i="10"/>
  <c r="M36" i="10"/>
  <c r="I37" i="10"/>
  <c r="Q37" i="10"/>
  <c r="Y37" i="10"/>
  <c r="AG37" i="10"/>
  <c r="AP7" i="10"/>
  <c r="L38" i="10"/>
  <c r="T38" i="10"/>
  <c r="AB38" i="10"/>
  <c r="AJ38" i="10"/>
  <c r="G39" i="10"/>
  <c r="O39" i="10"/>
  <c r="W39" i="10"/>
  <c r="AE39" i="10"/>
  <c r="AM39" i="10"/>
  <c r="F41" i="10"/>
  <c r="N41" i="10"/>
  <c r="V41" i="10"/>
  <c r="AL41" i="10"/>
  <c r="AD41" i="10"/>
  <c r="AC38" i="10"/>
  <c r="AK38" i="10"/>
  <c r="H39" i="10"/>
  <c r="P39" i="10"/>
  <c r="X39" i="10"/>
  <c r="AF39" i="10"/>
  <c r="AN39" i="10"/>
  <c r="I42" i="10"/>
  <c r="Q42" i="10"/>
  <c r="Y42" i="10"/>
  <c r="AG42" i="10"/>
  <c r="L43" i="10"/>
  <c r="T43" i="10"/>
  <c r="AB43" i="10"/>
  <c r="AJ43" i="10"/>
  <c r="J45" i="10"/>
  <c r="R45" i="10"/>
  <c r="Z45" i="10"/>
  <c r="AH45" i="10"/>
  <c r="M46" i="10"/>
  <c r="U46" i="10"/>
  <c r="AC46" i="10"/>
  <c r="AK46" i="10"/>
  <c r="H47" i="10"/>
  <c r="P47" i="10"/>
  <c r="X47" i="10"/>
  <c r="AF47" i="10"/>
  <c r="AN47" i="10"/>
  <c r="AI48" i="10"/>
  <c r="F49" i="10"/>
  <c r="N49" i="10"/>
  <c r="V49" i="10"/>
  <c r="AD49" i="10"/>
  <c r="AL49" i="10"/>
  <c r="I50" i="10"/>
  <c r="Q50" i="10"/>
  <c r="AG50" i="10"/>
  <c r="L51" i="10"/>
  <c r="T51" i="10"/>
  <c r="AB51" i="10"/>
  <c r="AJ51" i="10"/>
  <c r="AM52" i="10"/>
  <c r="J53" i="10"/>
  <c r="R53" i="10"/>
  <c r="Z53" i="10"/>
  <c r="AH53" i="10"/>
  <c r="M54" i="10"/>
  <c r="U54" i="10"/>
  <c r="AC54" i="10"/>
  <c r="AK54" i="10"/>
  <c r="O41" i="10"/>
  <c r="W41" i="10"/>
  <c r="AE41" i="10"/>
  <c r="AM41" i="10"/>
  <c r="J42" i="10"/>
  <c r="R42" i="10"/>
  <c r="Z42" i="10"/>
  <c r="AH42" i="10"/>
  <c r="M43" i="10"/>
  <c r="AC43" i="10"/>
  <c r="AK43" i="10"/>
  <c r="K45" i="10"/>
  <c r="S45" i="10"/>
  <c r="AA45" i="10"/>
  <c r="AI45" i="10"/>
  <c r="I47" i="10"/>
  <c r="Q47" i="10"/>
  <c r="Y47" i="10"/>
  <c r="AG47" i="10"/>
  <c r="G49" i="10"/>
  <c r="O49" i="10"/>
  <c r="W49" i="10"/>
  <c r="AE49" i="10"/>
  <c r="AM49" i="10"/>
  <c r="J50" i="10"/>
  <c r="R50" i="10"/>
  <c r="Z50" i="10"/>
  <c r="AH50" i="10"/>
  <c r="M51" i="10"/>
  <c r="AC51" i="10"/>
  <c r="AK51" i="10"/>
  <c r="K53" i="10"/>
  <c r="S53" i="10"/>
  <c r="AA53" i="10"/>
  <c r="AI53" i="10"/>
  <c r="Q36" i="10"/>
  <c r="Y36" i="10"/>
  <c r="AG36" i="10"/>
  <c r="L37" i="10"/>
  <c r="T37" i="10"/>
  <c r="AB37" i="10"/>
  <c r="AJ37" i="10"/>
  <c r="G38" i="10"/>
  <c r="O38" i="10"/>
  <c r="W38" i="10"/>
  <c r="AE38" i="10"/>
  <c r="AM38" i="10"/>
  <c r="J39" i="10"/>
  <c r="R39" i="10"/>
  <c r="Z39" i="10"/>
  <c r="AH39" i="10"/>
  <c r="M40" i="10"/>
  <c r="U40" i="10"/>
  <c r="AC40" i="10"/>
  <c r="AK40" i="10"/>
  <c r="H41" i="10"/>
  <c r="P41" i="10"/>
  <c r="X41" i="10"/>
  <c r="AF41" i="10"/>
  <c r="AN41" i="10"/>
  <c r="K42" i="10"/>
  <c r="S42" i="10"/>
  <c r="AA42" i="10"/>
  <c r="AI42" i="10"/>
  <c r="F43" i="10"/>
  <c r="N43" i="10"/>
  <c r="V43" i="10"/>
  <c r="AD43" i="10"/>
  <c r="AL43" i="10"/>
  <c r="I44" i="10"/>
  <c r="Y44" i="10"/>
  <c r="AG44" i="10"/>
  <c r="AP14" i="10"/>
  <c r="L45" i="10"/>
  <c r="T45" i="10"/>
  <c r="AB45" i="10"/>
  <c r="AJ45" i="10"/>
  <c r="G46" i="10"/>
  <c r="O46" i="10"/>
  <c r="W46" i="10"/>
  <c r="AE46" i="10"/>
  <c r="AM46" i="10"/>
  <c r="J47" i="10"/>
  <c r="R47" i="10"/>
  <c r="Z47" i="10"/>
  <c r="AH47" i="10"/>
  <c r="M48" i="10"/>
  <c r="U48" i="10"/>
  <c r="AC48" i="10"/>
  <c r="AK48" i="10"/>
  <c r="H49" i="10"/>
  <c r="P49" i="10"/>
  <c r="X49" i="10"/>
  <c r="AF49" i="10"/>
  <c r="AN49" i="10"/>
  <c r="K50" i="10"/>
  <c r="S50" i="10"/>
  <c r="AA50" i="10"/>
  <c r="AI50" i="10"/>
  <c r="F51" i="10"/>
  <c r="N51" i="10"/>
  <c r="V51" i="10"/>
  <c r="AD51" i="10"/>
  <c r="AL51" i="10"/>
  <c r="I52" i="10"/>
  <c r="Y52" i="10"/>
  <c r="AG52" i="10"/>
  <c r="AP22" i="10"/>
  <c r="L53" i="10"/>
  <c r="T53" i="10"/>
  <c r="AB53" i="10"/>
  <c r="AJ53" i="10"/>
  <c r="G54" i="10"/>
  <c r="U45" i="10"/>
  <c r="AC45" i="10"/>
  <c r="AK45" i="10"/>
  <c r="I49" i="10"/>
  <c r="Q49" i="10"/>
  <c r="Y49" i="10"/>
  <c r="AG49" i="10"/>
  <c r="U53" i="10"/>
  <c r="AC53" i="10"/>
  <c r="AK53" i="10"/>
  <c r="AP24" i="10"/>
  <c r="AN54" i="10"/>
  <c r="R41" i="10"/>
  <c r="Z41" i="10"/>
  <c r="AH41" i="10"/>
  <c r="M42" i="10"/>
  <c r="U42" i="10"/>
  <c r="AC42" i="10"/>
  <c r="AK42" i="10"/>
  <c r="P43" i="10"/>
  <c r="X43" i="10"/>
  <c r="AF43" i="10"/>
  <c r="AN43" i="10"/>
  <c r="F45" i="10"/>
  <c r="N45" i="10"/>
  <c r="V45" i="10"/>
  <c r="AD45" i="10"/>
  <c r="AL45" i="10"/>
  <c r="AP16" i="10"/>
  <c r="L47" i="10"/>
  <c r="T47" i="10"/>
  <c r="AB47" i="10"/>
  <c r="AJ47" i="10"/>
  <c r="J49" i="10"/>
  <c r="R49" i="10"/>
  <c r="Z49" i="10"/>
  <c r="AH49" i="10"/>
  <c r="M50" i="10"/>
  <c r="U50" i="10"/>
  <c r="AC50" i="10"/>
  <c r="AK50" i="10"/>
  <c r="AF51" i="10"/>
  <c r="AN51" i="10"/>
  <c r="F53" i="10"/>
  <c r="N53" i="10"/>
  <c r="V53" i="10"/>
  <c r="AD53" i="10"/>
  <c r="AL53" i="10"/>
  <c r="G45" i="10"/>
  <c r="O45" i="10"/>
  <c r="W45" i="10"/>
  <c r="AE45" i="10"/>
  <c r="AM45" i="10"/>
  <c r="M47" i="10"/>
  <c r="U47" i="10"/>
  <c r="AC47" i="10"/>
  <c r="K49" i="10"/>
  <c r="S49" i="10"/>
  <c r="AA49" i="10"/>
  <c r="AI49" i="10"/>
  <c r="F50" i="10"/>
  <c r="N50" i="10"/>
  <c r="V50" i="10"/>
  <c r="AD50" i="10"/>
  <c r="AL50" i="10"/>
  <c r="I51" i="10"/>
  <c r="Q51" i="10"/>
  <c r="Y51" i="10"/>
  <c r="AG51" i="10"/>
  <c r="AP21" i="10"/>
  <c r="AB52" i="10"/>
  <c r="AJ52" i="10"/>
  <c r="G53" i="10"/>
  <c r="O53" i="10"/>
  <c r="W53" i="10"/>
  <c r="AE53" i="10"/>
  <c r="AM53" i="10"/>
  <c r="J54" i="10"/>
  <c r="U36" i="10"/>
  <c r="AC36" i="10"/>
  <c r="AK36" i="10"/>
  <c r="H37" i="10"/>
  <c r="P37" i="10"/>
  <c r="X37" i="10"/>
  <c r="AF37" i="10"/>
  <c r="AN37" i="10"/>
  <c r="K38" i="10"/>
  <c r="S38" i="10"/>
  <c r="AA38" i="10"/>
  <c r="AI38" i="10"/>
  <c r="I40" i="10"/>
  <c r="Q40" i="10"/>
  <c r="Y40" i="10"/>
  <c r="AG40" i="10"/>
  <c r="L41" i="10"/>
  <c r="T41" i="10"/>
  <c r="AB41" i="10"/>
  <c r="AJ41" i="10"/>
  <c r="G42" i="10"/>
  <c r="O42" i="10"/>
  <c r="W42" i="10"/>
  <c r="AE42" i="10"/>
  <c r="AM42" i="10"/>
  <c r="J43" i="10"/>
  <c r="R43" i="10"/>
  <c r="Z43" i="10"/>
  <c r="AH43" i="10"/>
  <c r="M44" i="10"/>
  <c r="U44" i="10"/>
  <c r="AC44" i="10"/>
  <c r="AK44" i="10"/>
  <c r="H45" i="10"/>
  <c r="P45" i="10"/>
  <c r="X45" i="10"/>
  <c r="AF45" i="10"/>
  <c r="AN45" i="10"/>
  <c r="K46" i="10"/>
  <c r="S46" i="10"/>
  <c r="AA46" i="10"/>
  <c r="AI46" i="10"/>
  <c r="F47" i="10"/>
  <c r="N47" i="10"/>
  <c r="V47" i="10"/>
  <c r="AD47" i="10"/>
  <c r="AL47" i="10"/>
  <c r="I48" i="10"/>
  <c r="Q48" i="10"/>
  <c r="Y48" i="10"/>
  <c r="AP18" i="10"/>
  <c r="L49" i="10"/>
  <c r="T49" i="10"/>
  <c r="AB49" i="10"/>
  <c r="AJ49" i="10"/>
  <c r="G50" i="10"/>
  <c r="O50" i="10"/>
  <c r="W50" i="10"/>
  <c r="AE50" i="10"/>
  <c r="AM50" i="10"/>
  <c r="J51" i="10"/>
  <c r="R51" i="10"/>
  <c r="Z51" i="10"/>
  <c r="AH51" i="10"/>
  <c r="M52" i="10"/>
  <c r="U52" i="10"/>
  <c r="AC52" i="10"/>
  <c r="AK52" i="10"/>
  <c r="H53" i="10"/>
  <c r="P53" i="10"/>
  <c r="X53" i="10"/>
  <c r="AF53" i="10"/>
  <c r="AN53" i="10"/>
  <c r="K54" i="10"/>
  <c r="S54" i="10"/>
  <c r="AA54" i="10"/>
  <c r="AI54" i="10"/>
  <c r="N55" i="10"/>
  <c r="V55" i="10"/>
  <c r="AD55" i="10"/>
  <c r="AL55" i="10"/>
  <c r="AP26" i="10"/>
  <c r="O58" i="10"/>
  <c r="W58" i="10"/>
  <c r="AE58" i="10"/>
  <c r="AM58" i="10"/>
  <c r="J59" i="10"/>
  <c r="R59" i="10"/>
  <c r="Z59" i="10"/>
  <c r="AH59" i="10"/>
  <c r="M60" i="10"/>
  <c r="U60" i="10"/>
  <c r="AC60" i="10"/>
  <c r="AK60" i="10"/>
  <c r="AB54" i="10"/>
  <c r="AJ54" i="10"/>
  <c r="W55" i="10"/>
  <c r="AE55" i="10"/>
  <c r="AM55" i="10"/>
  <c r="R56" i="10"/>
  <c r="Z56" i="10"/>
  <c r="AH56" i="10"/>
  <c r="K59" i="10"/>
  <c r="S59" i="10"/>
  <c r="AA59" i="10"/>
  <c r="AI59" i="10"/>
  <c r="N60" i="10"/>
  <c r="V60" i="10"/>
  <c r="AD60" i="10"/>
  <c r="AL60" i="10"/>
  <c r="O54" i="10"/>
  <c r="W54" i="10"/>
  <c r="AE54" i="10"/>
  <c r="AM54" i="10"/>
  <c r="J55" i="10"/>
  <c r="R55" i="10"/>
  <c r="Z55" i="10"/>
  <c r="AH55" i="10"/>
  <c r="M56" i="10"/>
  <c r="U56" i="10"/>
  <c r="AC56" i="10"/>
  <c r="AK56" i="10"/>
  <c r="H57" i="10"/>
  <c r="P57" i="10"/>
  <c r="X57" i="10"/>
  <c r="AF57" i="10"/>
  <c r="AN57" i="10"/>
  <c r="K58" i="10"/>
  <c r="S58" i="10"/>
  <c r="AA58" i="10"/>
  <c r="AI58" i="10"/>
  <c r="F59" i="10"/>
  <c r="N59" i="10"/>
  <c r="V59" i="10"/>
  <c r="AD59" i="10"/>
  <c r="AL59" i="10"/>
  <c r="AP30" i="10"/>
  <c r="AD56" i="10"/>
  <c r="AL56" i="10"/>
  <c r="Y57" i="10"/>
  <c r="AG57" i="10"/>
  <c r="AP27" i="10"/>
  <c r="L58" i="10"/>
  <c r="T58" i="10"/>
  <c r="AB58" i="10"/>
  <c r="AJ58" i="10"/>
  <c r="G59" i="10"/>
  <c r="O59" i="10"/>
  <c r="W59" i="10"/>
  <c r="AE59" i="10"/>
  <c r="AM59" i="10"/>
  <c r="J60" i="10"/>
  <c r="R60" i="10"/>
  <c r="Z60" i="10"/>
  <c r="AH60" i="10"/>
  <c r="O56" i="10"/>
  <c r="W56" i="10"/>
  <c r="AE56" i="10"/>
  <c r="AM56" i="10"/>
  <c r="J57" i="10"/>
  <c r="R57" i="10"/>
  <c r="Z57" i="10"/>
  <c r="AH57" i="10"/>
  <c r="M58" i="10"/>
  <c r="U58" i="10"/>
  <c r="AC58" i="10"/>
  <c r="AK58" i="10"/>
  <c r="H59" i="10"/>
  <c r="P59" i="10"/>
  <c r="X59" i="10"/>
  <c r="AF59" i="10"/>
  <c r="AN59" i="10"/>
  <c r="K60" i="10"/>
  <c r="S60" i="10"/>
  <c r="AA60" i="10"/>
  <c r="AI60" i="10"/>
  <c r="R54" i="10"/>
  <c r="Z54" i="10"/>
  <c r="AH54" i="10"/>
  <c r="K57" i="10"/>
  <c r="S57" i="10"/>
  <c r="AA57" i="10"/>
  <c r="AI57" i="10"/>
  <c r="F58" i="10"/>
  <c r="N58" i="10"/>
  <c r="V58" i="10"/>
  <c r="AD58" i="10"/>
  <c r="AL58" i="10"/>
  <c r="I59" i="10"/>
  <c r="Q59" i="10"/>
  <c r="Y59" i="10"/>
  <c r="AG59" i="10"/>
  <c r="AP29" i="10"/>
  <c r="L60" i="10"/>
  <c r="T60" i="10"/>
  <c r="AB60" i="10"/>
  <c r="AJ60" i="10"/>
  <c r="M59" i="9"/>
  <c r="M36" i="9"/>
  <c r="U36" i="9"/>
  <c r="AC36" i="9"/>
  <c r="AK36" i="9"/>
  <c r="K38" i="9"/>
  <c r="S38" i="9"/>
  <c r="AA38" i="9"/>
  <c r="AI38" i="9"/>
  <c r="F39" i="9"/>
  <c r="N39" i="9"/>
  <c r="V39" i="9"/>
  <c r="AD39" i="9"/>
  <c r="AL39" i="9"/>
  <c r="AP10" i="9"/>
  <c r="M44" i="9"/>
  <c r="U44" i="9"/>
  <c r="AA35" i="9"/>
  <c r="AI35" i="9"/>
  <c r="F36" i="9"/>
  <c r="N36" i="9"/>
  <c r="V36" i="9"/>
  <c r="AD36" i="9"/>
  <c r="AL36" i="9"/>
  <c r="Q37" i="9"/>
  <c r="Y37" i="9"/>
  <c r="AG37" i="9"/>
  <c r="AP7" i="9"/>
  <c r="L38" i="9"/>
  <c r="T38" i="9"/>
  <c r="AB38" i="9"/>
  <c r="AJ38" i="9"/>
  <c r="G39" i="9"/>
  <c r="O39" i="9"/>
  <c r="W39" i="9"/>
  <c r="AE39" i="9"/>
  <c r="AM39" i="9"/>
  <c r="M41" i="9"/>
  <c r="U41" i="9"/>
  <c r="AC41" i="9"/>
  <c r="AK41" i="9"/>
  <c r="AC39" i="9"/>
  <c r="O36" i="9"/>
  <c r="W36" i="9"/>
  <c r="AE36" i="9"/>
  <c r="AM36" i="9"/>
  <c r="M38" i="9"/>
  <c r="U38" i="9"/>
  <c r="AC38" i="9"/>
  <c r="AK38" i="9"/>
  <c r="H39" i="9"/>
  <c r="P39" i="9"/>
  <c r="X39" i="9"/>
  <c r="AF39" i="9"/>
  <c r="AN39" i="9"/>
  <c r="AD41" i="9"/>
  <c r="AL41" i="9"/>
  <c r="G44" i="9"/>
  <c r="O44" i="9"/>
  <c r="U39" i="9"/>
  <c r="AC59" i="9"/>
  <c r="M35" i="9"/>
  <c r="U35" i="9"/>
  <c r="AC35" i="9"/>
  <c r="AK35" i="9"/>
  <c r="H36" i="9"/>
  <c r="P36" i="9"/>
  <c r="X36" i="9"/>
  <c r="AF36" i="9"/>
  <c r="AN36" i="9"/>
  <c r="K37" i="9"/>
  <c r="S37" i="9"/>
  <c r="AA37" i="9"/>
  <c r="AI37" i="9"/>
  <c r="F38" i="9"/>
  <c r="N38" i="9"/>
  <c r="V38" i="9"/>
  <c r="AD38" i="9"/>
  <c r="AL38" i="9"/>
  <c r="I39" i="9"/>
  <c r="Q39" i="9"/>
  <c r="Y39" i="9"/>
  <c r="AG39" i="9"/>
  <c r="AP9" i="9"/>
  <c r="L40" i="9"/>
  <c r="T40" i="9"/>
  <c r="AB40" i="9"/>
  <c r="AJ40" i="9"/>
  <c r="G41" i="9"/>
  <c r="O41" i="9"/>
  <c r="W41" i="9"/>
  <c r="AE41" i="9"/>
  <c r="AM41" i="9"/>
  <c r="M43" i="9"/>
  <c r="U43" i="9"/>
  <c r="AC43" i="9"/>
  <c r="AK43" i="9"/>
  <c r="H44" i="9"/>
  <c r="P44" i="9"/>
  <c r="X44" i="9"/>
  <c r="AF44" i="9"/>
  <c r="AN44" i="9"/>
  <c r="AP14" i="9"/>
  <c r="AK39" i="9"/>
  <c r="N35" i="9"/>
  <c r="V35" i="9"/>
  <c r="AD35" i="9"/>
  <c r="AL35" i="9"/>
  <c r="I36" i="9"/>
  <c r="Q36" i="9"/>
  <c r="Y36" i="9"/>
  <c r="AG36" i="9"/>
  <c r="AP6" i="9"/>
  <c r="L37" i="9"/>
  <c r="T37" i="9"/>
  <c r="AB37" i="9"/>
  <c r="AJ37" i="9"/>
  <c r="G38" i="9"/>
  <c r="O38" i="9"/>
  <c r="W38" i="9"/>
  <c r="AE38" i="9"/>
  <c r="AM38" i="9"/>
  <c r="J39" i="9"/>
  <c r="R39" i="9"/>
  <c r="Z39" i="9"/>
  <c r="AH39" i="9"/>
  <c r="M40" i="9"/>
  <c r="U40" i="9"/>
  <c r="AC40" i="9"/>
  <c r="AK40" i="9"/>
  <c r="H41" i="9"/>
  <c r="P41" i="9"/>
  <c r="X41" i="9"/>
  <c r="AF41" i="9"/>
  <c r="AN41" i="9"/>
  <c r="V43" i="9"/>
  <c r="AD43" i="9"/>
  <c r="AL43" i="9"/>
  <c r="M39" i="9"/>
  <c r="W35" i="9"/>
  <c r="AE35" i="9"/>
  <c r="AM35" i="9"/>
  <c r="J36" i="9"/>
  <c r="R36" i="9"/>
  <c r="Z36" i="9"/>
  <c r="AH36" i="9"/>
  <c r="M37" i="9"/>
  <c r="U37" i="9"/>
  <c r="AC37" i="9"/>
  <c r="AK37" i="9"/>
  <c r="H38" i="9"/>
  <c r="P38" i="9"/>
  <c r="X38" i="9"/>
  <c r="AF38" i="9"/>
  <c r="AN38" i="9"/>
  <c r="K39" i="9"/>
  <c r="S39" i="9"/>
  <c r="AA39" i="9"/>
  <c r="AI39" i="9"/>
  <c r="F40" i="9"/>
  <c r="N40" i="9"/>
  <c r="V40" i="9"/>
  <c r="AD40" i="9"/>
  <c r="AL40" i="9"/>
  <c r="I41" i="9"/>
  <c r="Q41" i="9"/>
  <c r="Y41" i="9"/>
  <c r="AG41" i="9"/>
  <c r="AP11" i="9"/>
  <c r="AN52" i="9"/>
  <c r="AP22" i="9"/>
  <c r="M34" i="9"/>
  <c r="U34" i="9"/>
  <c r="AC34" i="9"/>
  <c r="AK34" i="9"/>
  <c r="H35" i="9"/>
  <c r="P35" i="9"/>
  <c r="X35" i="9"/>
  <c r="AF35" i="9"/>
  <c r="AN35" i="9"/>
  <c r="K36" i="9"/>
  <c r="S36" i="9"/>
  <c r="AA36" i="9"/>
  <c r="AI36" i="9"/>
  <c r="F37" i="9"/>
  <c r="N37" i="9"/>
  <c r="V37" i="9"/>
  <c r="AD37" i="9"/>
  <c r="AL37" i="9"/>
  <c r="I38" i="9"/>
  <c r="Q38" i="9"/>
  <c r="Y38" i="9"/>
  <c r="AG38" i="9"/>
  <c r="AP8" i="9"/>
  <c r="L39" i="9"/>
  <c r="T39" i="9"/>
  <c r="AB39" i="9"/>
  <c r="AJ39" i="9"/>
  <c r="G40" i="9"/>
  <c r="O40" i="9"/>
  <c r="W40" i="9"/>
  <c r="AE40" i="9"/>
  <c r="AM40" i="9"/>
  <c r="J41" i="9"/>
  <c r="R41" i="9"/>
  <c r="E51" i="9"/>
  <c r="AP21" i="9"/>
  <c r="M51" i="9"/>
  <c r="U51" i="9"/>
  <c r="AC51" i="9"/>
  <c r="AK51" i="9"/>
  <c r="I44" i="9"/>
  <c r="Q44" i="9"/>
  <c r="Y44" i="9"/>
  <c r="AG44" i="9"/>
  <c r="G46" i="9"/>
  <c r="O46" i="9"/>
  <c r="W46" i="9"/>
  <c r="AE46" i="9"/>
  <c r="AM46" i="9"/>
  <c r="J47" i="9"/>
  <c r="R47" i="9"/>
  <c r="Z47" i="9"/>
  <c r="AH47" i="9"/>
  <c r="M48" i="9"/>
  <c r="U48" i="9"/>
  <c r="AC48" i="9"/>
  <c r="AK48" i="9"/>
  <c r="AN49" i="9"/>
  <c r="F51" i="9"/>
  <c r="N51" i="9"/>
  <c r="V51" i="9"/>
  <c r="AD51" i="9"/>
  <c r="AL51" i="9"/>
  <c r="I52" i="9"/>
  <c r="Q52" i="9"/>
  <c r="Y52" i="9"/>
  <c r="AG52" i="9"/>
  <c r="T53" i="9"/>
  <c r="AB53" i="9"/>
  <c r="AJ53" i="9"/>
  <c r="G54" i="9"/>
  <c r="O54" i="9"/>
  <c r="W54" i="9"/>
  <c r="AE54" i="9"/>
  <c r="AM54" i="9"/>
  <c r="J55" i="9"/>
  <c r="R55" i="9"/>
  <c r="Z55" i="9"/>
  <c r="AH55" i="9"/>
  <c r="M56" i="9"/>
  <c r="U56" i="9"/>
  <c r="AC56" i="9"/>
  <c r="AK56" i="9"/>
  <c r="P57" i="9"/>
  <c r="X57" i="9"/>
  <c r="AF57" i="9"/>
  <c r="AN57" i="9"/>
  <c r="S58" i="9"/>
  <c r="AA58" i="9"/>
  <c r="AI58" i="9"/>
  <c r="F59" i="9"/>
  <c r="N59" i="9"/>
  <c r="G43" i="9"/>
  <c r="O43" i="9"/>
  <c r="W43" i="9"/>
  <c r="AE43" i="9"/>
  <c r="AM43" i="9"/>
  <c r="J44" i="9"/>
  <c r="R44" i="9"/>
  <c r="Z44" i="9"/>
  <c r="AH44" i="9"/>
  <c r="M45" i="9"/>
  <c r="U45" i="9"/>
  <c r="AC45" i="9"/>
  <c r="AK45" i="9"/>
  <c r="H46" i="9"/>
  <c r="P46" i="9"/>
  <c r="X46" i="9"/>
  <c r="AF46" i="9"/>
  <c r="AN46" i="9"/>
  <c r="K47" i="9"/>
  <c r="S47" i="9"/>
  <c r="AA47" i="9"/>
  <c r="AI47" i="9"/>
  <c r="F48" i="9"/>
  <c r="N48" i="9"/>
  <c r="V48" i="9"/>
  <c r="AD48" i="9"/>
  <c r="AL48" i="9"/>
  <c r="I49" i="9"/>
  <c r="Q49" i="9"/>
  <c r="Y49" i="9"/>
  <c r="AG49" i="9"/>
  <c r="AP19" i="9"/>
  <c r="G51" i="9"/>
  <c r="O51" i="9"/>
  <c r="W51" i="9"/>
  <c r="AE51" i="9"/>
  <c r="AM51" i="9"/>
  <c r="J52" i="9"/>
  <c r="R52" i="9"/>
  <c r="Z52" i="9"/>
  <c r="AH52" i="9"/>
  <c r="M53" i="9"/>
  <c r="U53" i="9"/>
  <c r="AC53" i="9"/>
  <c r="AK53" i="9"/>
  <c r="H54" i="9"/>
  <c r="P54" i="9"/>
  <c r="X54" i="9"/>
  <c r="AF54" i="9"/>
  <c r="AN54" i="9"/>
  <c r="K55" i="9"/>
  <c r="S55" i="9"/>
  <c r="AA55" i="9"/>
  <c r="AI55" i="9"/>
  <c r="F56" i="9"/>
  <c r="N56" i="9"/>
  <c r="V56" i="9"/>
  <c r="AD56" i="9"/>
  <c r="AL56" i="9"/>
  <c r="I57" i="9"/>
  <c r="Q57" i="9"/>
  <c r="Y57" i="9"/>
  <c r="AG57" i="9"/>
  <c r="AP27" i="9"/>
  <c r="L58" i="9"/>
  <c r="T58" i="9"/>
  <c r="AB58" i="9"/>
  <c r="AJ58" i="9"/>
  <c r="G59" i="9"/>
  <c r="O59" i="9"/>
  <c r="W59" i="9"/>
  <c r="AE59" i="9"/>
  <c r="AM59" i="9"/>
  <c r="S60" i="9"/>
  <c r="AA60" i="9"/>
  <c r="Z41" i="9"/>
  <c r="AH41" i="9"/>
  <c r="M42" i="9"/>
  <c r="U42" i="9"/>
  <c r="AC42" i="9"/>
  <c r="AK42" i="9"/>
  <c r="H43" i="9"/>
  <c r="P43" i="9"/>
  <c r="X43" i="9"/>
  <c r="AF43" i="9"/>
  <c r="AN43" i="9"/>
  <c r="K44" i="9"/>
  <c r="S44" i="9"/>
  <c r="AA44" i="9"/>
  <c r="AI44" i="9"/>
  <c r="F45" i="9"/>
  <c r="N45" i="9"/>
  <c r="V45" i="9"/>
  <c r="AD45" i="9"/>
  <c r="AL45" i="9"/>
  <c r="I46" i="9"/>
  <c r="Q46" i="9"/>
  <c r="Y46" i="9"/>
  <c r="AG46" i="9"/>
  <c r="AP16" i="9"/>
  <c r="L47" i="9"/>
  <c r="T47" i="9"/>
  <c r="AB47" i="9"/>
  <c r="AJ47" i="9"/>
  <c r="G48" i="9"/>
  <c r="O48" i="9"/>
  <c r="W48" i="9"/>
  <c r="AE48" i="9"/>
  <c r="AM48" i="9"/>
  <c r="J49" i="9"/>
  <c r="R49" i="9"/>
  <c r="Z49" i="9"/>
  <c r="AH49" i="9"/>
  <c r="M50" i="9"/>
  <c r="U50" i="9"/>
  <c r="AC50" i="9"/>
  <c r="AK50" i="9"/>
  <c r="H51" i="9"/>
  <c r="P51" i="9"/>
  <c r="X51" i="9"/>
  <c r="AF51" i="9"/>
  <c r="AN51" i="9"/>
  <c r="K52" i="9"/>
  <c r="S52" i="9"/>
  <c r="AA52" i="9"/>
  <c r="AI52" i="9"/>
  <c r="F53" i="9"/>
  <c r="N53" i="9"/>
  <c r="V53" i="9"/>
  <c r="AD53" i="9"/>
  <c r="AL53" i="9"/>
  <c r="I54" i="9"/>
  <c r="Q54" i="9"/>
  <c r="Y54" i="9"/>
  <c r="AG54" i="9"/>
  <c r="AP24" i="9"/>
  <c r="L55" i="9"/>
  <c r="T55" i="9"/>
  <c r="AB55" i="9"/>
  <c r="AJ55" i="9"/>
  <c r="G56" i="9"/>
  <c r="O56" i="9"/>
  <c r="W56" i="9"/>
  <c r="AE56" i="9"/>
  <c r="AM56" i="9"/>
  <c r="J57" i="9"/>
  <c r="R57" i="9"/>
  <c r="Z57" i="9"/>
  <c r="AH57" i="9"/>
  <c r="M58" i="9"/>
  <c r="U58" i="9"/>
  <c r="AC58" i="9"/>
  <c r="AK58" i="9"/>
  <c r="H59" i="9"/>
  <c r="P59" i="9"/>
  <c r="X59" i="9"/>
  <c r="AF59" i="9"/>
  <c r="AN59" i="9"/>
  <c r="T60" i="9"/>
  <c r="AB60" i="9"/>
  <c r="AH46" i="9"/>
  <c r="M47" i="9"/>
  <c r="U47" i="9"/>
  <c r="AC47" i="9"/>
  <c r="AK47" i="9"/>
  <c r="AF48" i="9"/>
  <c r="AN48" i="9"/>
  <c r="I51" i="9"/>
  <c r="Q51" i="9"/>
  <c r="Y51" i="9"/>
  <c r="AG51" i="9"/>
  <c r="AB52" i="9"/>
  <c r="AJ52" i="9"/>
  <c r="Z54" i="9"/>
  <c r="AH54" i="9"/>
  <c r="M55" i="9"/>
  <c r="U55" i="9"/>
  <c r="AC55" i="9"/>
  <c r="AK55" i="9"/>
  <c r="AN56" i="9"/>
  <c r="I59" i="9"/>
  <c r="Q59" i="9"/>
  <c r="AG59" i="9"/>
  <c r="M60" i="9"/>
  <c r="U60" i="9"/>
  <c r="AC60" i="9"/>
  <c r="AK60" i="9"/>
  <c r="AC44" i="9"/>
  <c r="AK44" i="9"/>
  <c r="K46" i="9"/>
  <c r="S46" i="9"/>
  <c r="AA46" i="9"/>
  <c r="AI46" i="9"/>
  <c r="F47" i="9"/>
  <c r="N47" i="9"/>
  <c r="V47" i="9"/>
  <c r="AD47" i="9"/>
  <c r="AL47" i="9"/>
  <c r="Q48" i="9"/>
  <c r="Y48" i="9"/>
  <c r="AG48" i="9"/>
  <c r="AP18" i="9"/>
  <c r="J51" i="9"/>
  <c r="R51" i="9"/>
  <c r="Z51" i="9"/>
  <c r="AH51" i="9"/>
  <c r="M52" i="9"/>
  <c r="U52" i="9"/>
  <c r="AC52" i="9"/>
  <c r="AK52" i="9"/>
  <c r="S54" i="9"/>
  <c r="AA54" i="9"/>
  <c r="AI54" i="9"/>
  <c r="F55" i="9"/>
  <c r="N55" i="9"/>
  <c r="V55" i="9"/>
  <c r="AD55" i="9"/>
  <c r="AL55" i="9"/>
  <c r="Y56" i="9"/>
  <c r="AG56" i="9"/>
  <c r="AP26" i="9"/>
  <c r="AM58" i="9"/>
  <c r="J59" i="9"/>
  <c r="R59" i="9"/>
  <c r="Z59" i="9"/>
  <c r="AH59" i="9"/>
  <c r="F60" i="9"/>
  <c r="N60" i="9"/>
  <c r="AD60" i="9"/>
  <c r="K43" i="9"/>
  <c r="S43" i="9"/>
  <c r="AA43" i="9"/>
  <c r="AI43" i="9"/>
  <c r="F44" i="9"/>
  <c r="N44" i="9"/>
  <c r="V44" i="9"/>
  <c r="AD44" i="9"/>
  <c r="AL44" i="9"/>
  <c r="I45" i="9"/>
  <c r="Q45" i="9"/>
  <c r="Y45" i="9"/>
  <c r="AG45" i="9"/>
  <c r="AP15" i="9"/>
  <c r="L46" i="9"/>
  <c r="T46" i="9"/>
  <c r="AB46" i="9"/>
  <c r="AJ46" i="9"/>
  <c r="G47" i="9"/>
  <c r="O47" i="9"/>
  <c r="W47" i="9"/>
  <c r="AE47" i="9"/>
  <c r="AM47" i="9"/>
  <c r="J48" i="9"/>
  <c r="R48" i="9"/>
  <c r="Z48" i="9"/>
  <c r="AH48" i="9"/>
  <c r="M49" i="9"/>
  <c r="U49" i="9"/>
  <c r="AC49" i="9"/>
  <c r="AK49" i="9"/>
  <c r="AF50" i="9"/>
  <c r="AN50" i="9"/>
  <c r="K51" i="9"/>
  <c r="S51" i="9"/>
  <c r="AA51" i="9"/>
  <c r="AI51" i="9"/>
  <c r="F52" i="9"/>
  <c r="N52" i="9"/>
  <c r="V52" i="9"/>
  <c r="AD52" i="9"/>
  <c r="AL52" i="9"/>
  <c r="I53" i="9"/>
  <c r="Q53" i="9"/>
  <c r="Y53" i="9"/>
  <c r="AG53" i="9"/>
  <c r="AP23" i="9"/>
  <c r="L54" i="9"/>
  <c r="T54" i="9"/>
  <c r="AB54" i="9"/>
  <c r="AJ54" i="9"/>
  <c r="G55" i="9"/>
  <c r="O55" i="9"/>
  <c r="W55" i="9"/>
  <c r="AE55" i="9"/>
  <c r="AM55" i="9"/>
  <c r="J56" i="9"/>
  <c r="R56" i="9"/>
  <c r="Z56" i="9"/>
  <c r="AH56" i="9"/>
  <c r="M57" i="9"/>
  <c r="U57" i="9"/>
  <c r="AC57" i="9"/>
  <c r="AK57" i="9"/>
  <c r="H58" i="9"/>
  <c r="P58" i="9"/>
  <c r="X58" i="9"/>
  <c r="AF58" i="9"/>
  <c r="AN58" i="9"/>
  <c r="K59" i="9"/>
  <c r="S59" i="9"/>
  <c r="AA59" i="9"/>
  <c r="G60" i="9"/>
  <c r="O60" i="9"/>
  <c r="W60" i="9"/>
  <c r="W44" i="9"/>
  <c r="AE44" i="9"/>
  <c r="AM44" i="9"/>
  <c r="M46" i="9"/>
  <c r="U46" i="9"/>
  <c r="AC46" i="9"/>
  <c r="AK46" i="9"/>
  <c r="H47" i="9"/>
  <c r="P47" i="9"/>
  <c r="X47" i="9"/>
  <c r="AF47" i="9"/>
  <c r="AN47" i="9"/>
  <c r="S48" i="9"/>
  <c r="AA48" i="9"/>
  <c r="AI48" i="9"/>
  <c r="L51" i="9"/>
  <c r="T51" i="9"/>
  <c r="AB51" i="9"/>
  <c r="AJ51" i="9"/>
  <c r="G52" i="9"/>
  <c r="O52" i="9"/>
  <c r="W52" i="9"/>
  <c r="AE52" i="9"/>
  <c r="AM52" i="9"/>
  <c r="M54" i="9"/>
  <c r="U54" i="9"/>
  <c r="AC54" i="9"/>
  <c r="AK54" i="9"/>
  <c r="H55" i="9"/>
  <c r="P55" i="9"/>
  <c r="X55" i="9"/>
  <c r="AF55" i="9"/>
  <c r="AN55" i="9"/>
  <c r="S56" i="9"/>
  <c r="AA56" i="9"/>
  <c r="AI56" i="9"/>
  <c r="AD57" i="9"/>
  <c r="AL57" i="9"/>
  <c r="Y58" i="9"/>
  <c r="AG58" i="9"/>
  <c r="AP28" i="9"/>
  <c r="L59" i="9"/>
  <c r="T59" i="9"/>
  <c r="AB59" i="9"/>
  <c r="AJ59" i="9"/>
  <c r="H60" i="9"/>
  <c r="P60" i="9"/>
  <c r="X60" i="9"/>
  <c r="Y59" i="9"/>
  <c r="AP29" i="9"/>
  <c r="L60" i="9"/>
  <c r="AJ60" i="9"/>
  <c r="AI59" i="9"/>
  <c r="V60" i="9"/>
  <c r="AL60" i="9"/>
  <c r="AE60" i="9"/>
  <c r="AM60" i="9"/>
  <c r="AK59" i="9"/>
  <c r="AF60" i="9"/>
  <c r="AN60" i="9"/>
  <c r="V59" i="9"/>
  <c r="AD59" i="9"/>
  <c r="AL59" i="9"/>
  <c r="I60" i="9"/>
  <c r="Q60" i="9"/>
  <c r="Y60" i="9"/>
  <c r="AG60" i="9"/>
  <c r="AP30" i="9"/>
  <c r="J60" i="9"/>
  <c r="R60" i="9"/>
  <c r="Z60" i="9"/>
  <c r="AH60" i="9"/>
  <c r="K60" i="9"/>
  <c r="AI60" i="9"/>
  <c r="AP7" i="7"/>
  <c r="AP9" i="7"/>
  <c r="AP11" i="7"/>
  <c r="AP15" i="7"/>
  <c r="AP17" i="7"/>
  <c r="AP19" i="7"/>
  <c r="AP23" i="7"/>
  <c r="AP25" i="7"/>
  <c r="AP27" i="7"/>
  <c r="AP4" i="7"/>
  <c r="AP12" i="7"/>
  <c r="AP28" i="7"/>
  <c r="AP29" i="7"/>
  <c r="AP10" i="7"/>
  <c r="AP6" i="7"/>
  <c r="AP5" i="7"/>
  <c r="AP14" i="7"/>
  <c r="AP18" i="7"/>
  <c r="AP13" i="7"/>
  <c r="AP22" i="7"/>
  <c r="AP24" i="7"/>
  <c r="AP26" i="7"/>
  <c r="AP21" i="7"/>
  <c r="AP30" i="7"/>
  <c r="O77" i="5"/>
  <c r="AC83" i="5"/>
  <c r="AM89" i="5"/>
  <c r="AG91" i="5"/>
  <c r="E72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70" i="5"/>
  <c r="F42" i="5"/>
  <c r="G42" i="5"/>
  <c r="H42" i="5"/>
  <c r="I42" i="5"/>
  <c r="J42" i="5"/>
  <c r="K42" i="5"/>
  <c r="L42" i="5"/>
  <c r="M42" i="5"/>
  <c r="N42" i="5"/>
  <c r="O42" i="5"/>
  <c r="P42" i="5"/>
  <c r="Q42" i="5"/>
  <c r="R42" i="5"/>
  <c r="S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AJ42" i="5"/>
  <c r="AK42" i="5"/>
  <c r="AL42" i="5"/>
  <c r="AM42" i="5"/>
  <c r="AN42" i="5"/>
  <c r="F43" i="5"/>
  <c r="G43" i="5"/>
  <c r="H43" i="5"/>
  <c r="I43" i="5"/>
  <c r="J43" i="5"/>
  <c r="K43" i="5"/>
  <c r="L43" i="5"/>
  <c r="M43" i="5"/>
  <c r="N43" i="5"/>
  <c r="O43" i="5"/>
  <c r="P43" i="5"/>
  <c r="Q43" i="5"/>
  <c r="R43" i="5"/>
  <c r="S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AJ43" i="5"/>
  <c r="AK43" i="5"/>
  <c r="AL43" i="5"/>
  <c r="AM43" i="5"/>
  <c r="AN43" i="5"/>
  <c r="F44" i="5"/>
  <c r="G44" i="5"/>
  <c r="H44" i="5"/>
  <c r="I44" i="5"/>
  <c r="J44" i="5"/>
  <c r="K44" i="5"/>
  <c r="L44" i="5"/>
  <c r="M44" i="5"/>
  <c r="N44" i="5"/>
  <c r="O44" i="5"/>
  <c r="P44" i="5"/>
  <c r="Q44" i="5"/>
  <c r="R44" i="5"/>
  <c r="S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AJ44" i="5"/>
  <c r="AK44" i="5"/>
  <c r="AL44" i="5"/>
  <c r="AM44" i="5"/>
  <c r="AN44" i="5"/>
  <c r="F45" i="5"/>
  <c r="G45" i="5"/>
  <c r="H45" i="5"/>
  <c r="I45" i="5"/>
  <c r="J45" i="5"/>
  <c r="K45" i="5"/>
  <c r="L45" i="5"/>
  <c r="M45" i="5"/>
  <c r="N45" i="5"/>
  <c r="O45" i="5"/>
  <c r="P45" i="5"/>
  <c r="Q45" i="5"/>
  <c r="R45" i="5"/>
  <c r="S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AG45" i="5"/>
  <c r="AH45" i="5"/>
  <c r="AI45" i="5"/>
  <c r="AJ45" i="5"/>
  <c r="AK45" i="5"/>
  <c r="AL45" i="5"/>
  <c r="AM45" i="5"/>
  <c r="AN45" i="5"/>
  <c r="F46" i="5"/>
  <c r="G46" i="5"/>
  <c r="H46" i="5"/>
  <c r="I46" i="5"/>
  <c r="J46" i="5"/>
  <c r="K46" i="5"/>
  <c r="L46" i="5"/>
  <c r="M46" i="5"/>
  <c r="N46" i="5"/>
  <c r="O46" i="5"/>
  <c r="P46" i="5"/>
  <c r="Q46" i="5"/>
  <c r="R46" i="5"/>
  <c r="S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AG46" i="5"/>
  <c r="AH46" i="5"/>
  <c r="AI46" i="5"/>
  <c r="AJ46" i="5"/>
  <c r="AK46" i="5"/>
  <c r="AL46" i="5"/>
  <c r="AM46" i="5"/>
  <c r="AN46" i="5"/>
  <c r="F47" i="5"/>
  <c r="G47" i="5"/>
  <c r="H47" i="5"/>
  <c r="I47" i="5"/>
  <c r="J47" i="5"/>
  <c r="K47" i="5"/>
  <c r="L47" i="5"/>
  <c r="M47" i="5"/>
  <c r="N47" i="5"/>
  <c r="O47" i="5"/>
  <c r="P47" i="5"/>
  <c r="Q47" i="5"/>
  <c r="R47" i="5"/>
  <c r="S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AG47" i="5"/>
  <c r="AH47" i="5"/>
  <c r="AI47" i="5"/>
  <c r="AJ47" i="5"/>
  <c r="AK47" i="5"/>
  <c r="AL47" i="5"/>
  <c r="AM47" i="5"/>
  <c r="AN47" i="5"/>
  <c r="F48" i="5"/>
  <c r="G48" i="5"/>
  <c r="H48" i="5"/>
  <c r="I48" i="5"/>
  <c r="J48" i="5"/>
  <c r="K48" i="5"/>
  <c r="L48" i="5"/>
  <c r="M48" i="5"/>
  <c r="N48" i="5"/>
  <c r="O48" i="5"/>
  <c r="P48" i="5"/>
  <c r="Q48" i="5"/>
  <c r="R48" i="5"/>
  <c r="S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AG48" i="5"/>
  <c r="AH48" i="5"/>
  <c r="AI48" i="5"/>
  <c r="AJ48" i="5"/>
  <c r="AK48" i="5"/>
  <c r="AL48" i="5"/>
  <c r="AM48" i="5"/>
  <c r="AN48" i="5"/>
  <c r="F49" i="5"/>
  <c r="G49" i="5"/>
  <c r="H49" i="5"/>
  <c r="I49" i="5"/>
  <c r="J49" i="5"/>
  <c r="K49" i="5"/>
  <c r="L49" i="5"/>
  <c r="M49" i="5"/>
  <c r="N49" i="5"/>
  <c r="O49" i="5"/>
  <c r="P49" i="5"/>
  <c r="Q49" i="5"/>
  <c r="R49" i="5"/>
  <c r="S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AG49" i="5"/>
  <c r="AH49" i="5"/>
  <c r="AI49" i="5"/>
  <c r="AJ49" i="5"/>
  <c r="AK49" i="5"/>
  <c r="AL49" i="5"/>
  <c r="AM49" i="5"/>
  <c r="AN49" i="5"/>
  <c r="F50" i="5"/>
  <c r="G50" i="5"/>
  <c r="H50" i="5"/>
  <c r="I50" i="5"/>
  <c r="J50" i="5"/>
  <c r="K50" i="5"/>
  <c r="L50" i="5"/>
  <c r="M50" i="5"/>
  <c r="N50" i="5"/>
  <c r="O50" i="5"/>
  <c r="P50" i="5"/>
  <c r="Q50" i="5"/>
  <c r="R50" i="5"/>
  <c r="S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AG50" i="5"/>
  <c r="AH50" i="5"/>
  <c r="AI50" i="5"/>
  <c r="AJ50" i="5"/>
  <c r="AK50" i="5"/>
  <c r="AL50" i="5"/>
  <c r="AM50" i="5"/>
  <c r="AN50" i="5"/>
  <c r="F51" i="5"/>
  <c r="G51" i="5"/>
  <c r="H51" i="5"/>
  <c r="I51" i="5"/>
  <c r="J51" i="5"/>
  <c r="K51" i="5"/>
  <c r="L51" i="5"/>
  <c r="M51" i="5"/>
  <c r="N51" i="5"/>
  <c r="O51" i="5"/>
  <c r="P51" i="5"/>
  <c r="Q51" i="5"/>
  <c r="R51" i="5"/>
  <c r="S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AG51" i="5"/>
  <c r="AH51" i="5"/>
  <c r="AI51" i="5"/>
  <c r="AJ51" i="5"/>
  <c r="AK51" i="5"/>
  <c r="AL51" i="5"/>
  <c r="AM51" i="5"/>
  <c r="AN51" i="5"/>
  <c r="F52" i="5"/>
  <c r="G52" i="5"/>
  <c r="H52" i="5"/>
  <c r="I52" i="5"/>
  <c r="J52" i="5"/>
  <c r="K52" i="5"/>
  <c r="L52" i="5"/>
  <c r="M52" i="5"/>
  <c r="N52" i="5"/>
  <c r="O52" i="5"/>
  <c r="P52" i="5"/>
  <c r="Q52" i="5"/>
  <c r="R52" i="5"/>
  <c r="S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AG52" i="5"/>
  <c r="AH52" i="5"/>
  <c r="AI52" i="5"/>
  <c r="AJ52" i="5"/>
  <c r="AK52" i="5"/>
  <c r="AL52" i="5"/>
  <c r="AM52" i="5"/>
  <c r="AN52" i="5"/>
  <c r="F53" i="5"/>
  <c r="G53" i="5"/>
  <c r="H53" i="5"/>
  <c r="I53" i="5"/>
  <c r="J53" i="5"/>
  <c r="K53" i="5"/>
  <c r="L53" i="5"/>
  <c r="M53" i="5"/>
  <c r="N53" i="5"/>
  <c r="O53" i="5"/>
  <c r="P53" i="5"/>
  <c r="Q53" i="5"/>
  <c r="R53" i="5"/>
  <c r="S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AG53" i="5"/>
  <c r="AH53" i="5"/>
  <c r="AI53" i="5"/>
  <c r="AJ53" i="5"/>
  <c r="AK53" i="5"/>
  <c r="AL53" i="5"/>
  <c r="AM53" i="5"/>
  <c r="AN53" i="5"/>
  <c r="F54" i="5"/>
  <c r="G54" i="5"/>
  <c r="H54" i="5"/>
  <c r="I54" i="5"/>
  <c r="J54" i="5"/>
  <c r="K54" i="5"/>
  <c r="L54" i="5"/>
  <c r="M54" i="5"/>
  <c r="N54" i="5"/>
  <c r="O54" i="5"/>
  <c r="P54" i="5"/>
  <c r="Q54" i="5"/>
  <c r="R54" i="5"/>
  <c r="S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AG54" i="5"/>
  <c r="AH54" i="5"/>
  <c r="AI54" i="5"/>
  <c r="AJ54" i="5"/>
  <c r="AK54" i="5"/>
  <c r="AL54" i="5"/>
  <c r="AM54" i="5"/>
  <c r="AN54" i="5"/>
  <c r="F55" i="5"/>
  <c r="G55" i="5"/>
  <c r="H55" i="5"/>
  <c r="I55" i="5"/>
  <c r="J55" i="5"/>
  <c r="K55" i="5"/>
  <c r="L55" i="5"/>
  <c r="M55" i="5"/>
  <c r="N55" i="5"/>
  <c r="O55" i="5"/>
  <c r="P55" i="5"/>
  <c r="Q55" i="5"/>
  <c r="R55" i="5"/>
  <c r="S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AG55" i="5"/>
  <c r="AH55" i="5"/>
  <c r="AI55" i="5"/>
  <c r="AJ55" i="5"/>
  <c r="AK55" i="5"/>
  <c r="AL55" i="5"/>
  <c r="AM55" i="5"/>
  <c r="AN55" i="5"/>
  <c r="F56" i="5"/>
  <c r="G56" i="5"/>
  <c r="H56" i="5"/>
  <c r="I56" i="5"/>
  <c r="J56" i="5"/>
  <c r="K56" i="5"/>
  <c r="L56" i="5"/>
  <c r="M56" i="5"/>
  <c r="N56" i="5"/>
  <c r="O56" i="5"/>
  <c r="P56" i="5"/>
  <c r="Q56" i="5"/>
  <c r="R56" i="5"/>
  <c r="S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AG56" i="5"/>
  <c r="AH56" i="5"/>
  <c r="AI56" i="5"/>
  <c r="AJ56" i="5"/>
  <c r="AK56" i="5"/>
  <c r="AL56" i="5"/>
  <c r="AM56" i="5"/>
  <c r="AN56" i="5"/>
  <c r="F57" i="5"/>
  <c r="G57" i="5"/>
  <c r="H57" i="5"/>
  <c r="I57" i="5"/>
  <c r="J57" i="5"/>
  <c r="K57" i="5"/>
  <c r="L57" i="5"/>
  <c r="M57" i="5"/>
  <c r="N57" i="5"/>
  <c r="O57" i="5"/>
  <c r="P57" i="5"/>
  <c r="Q57" i="5"/>
  <c r="R57" i="5"/>
  <c r="S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AG57" i="5"/>
  <c r="AH57" i="5"/>
  <c r="AI57" i="5"/>
  <c r="AJ57" i="5"/>
  <c r="AK57" i="5"/>
  <c r="AL57" i="5"/>
  <c r="AM57" i="5"/>
  <c r="AN57" i="5"/>
  <c r="F58" i="5"/>
  <c r="G58" i="5"/>
  <c r="H58" i="5"/>
  <c r="I58" i="5"/>
  <c r="J58" i="5"/>
  <c r="K58" i="5"/>
  <c r="L58" i="5"/>
  <c r="M58" i="5"/>
  <c r="N58" i="5"/>
  <c r="O58" i="5"/>
  <c r="P58" i="5"/>
  <c r="Q58" i="5"/>
  <c r="R58" i="5"/>
  <c r="S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AG58" i="5"/>
  <c r="AH58" i="5"/>
  <c r="AI58" i="5"/>
  <c r="AJ58" i="5"/>
  <c r="AK58" i="5"/>
  <c r="AL58" i="5"/>
  <c r="AM58" i="5"/>
  <c r="AN58" i="5"/>
  <c r="F59" i="5"/>
  <c r="G59" i="5"/>
  <c r="H59" i="5"/>
  <c r="I59" i="5"/>
  <c r="J59" i="5"/>
  <c r="K59" i="5"/>
  <c r="L59" i="5"/>
  <c r="M59" i="5"/>
  <c r="N59" i="5"/>
  <c r="O59" i="5"/>
  <c r="P59" i="5"/>
  <c r="Q59" i="5"/>
  <c r="R59" i="5"/>
  <c r="S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AG59" i="5"/>
  <c r="AH59" i="5"/>
  <c r="AI59" i="5"/>
  <c r="AJ59" i="5"/>
  <c r="AK59" i="5"/>
  <c r="AL59" i="5"/>
  <c r="AM59" i="5"/>
  <c r="AN59" i="5"/>
  <c r="F60" i="5"/>
  <c r="G60" i="5"/>
  <c r="H60" i="5"/>
  <c r="I60" i="5"/>
  <c r="J60" i="5"/>
  <c r="K60" i="5"/>
  <c r="L60" i="5"/>
  <c r="M60" i="5"/>
  <c r="N60" i="5"/>
  <c r="O60" i="5"/>
  <c r="P60" i="5"/>
  <c r="Q60" i="5"/>
  <c r="R60" i="5"/>
  <c r="S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AG60" i="5"/>
  <c r="AH60" i="5"/>
  <c r="AI60" i="5"/>
  <c r="AJ60" i="5"/>
  <c r="AK60" i="5"/>
  <c r="AL60" i="5"/>
  <c r="AM60" i="5"/>
  <c r="AN60" i="5"/>
  <c r="F61" i="5"/>
  <c r="G61" i="5"/>
  <c r="H61" i="5"/>
  <c r="I61" i="5"/>
  <c r="J61" i="5"/>
  <c r="K61" i="5"/>
  <c r="L61" i="5"/>
  <c r="M61" i="5"/>
  <c r="N61" i="5"/>
  <c r="O61" i="5"/>
  <c r="P61" i="5"/>
  <c r="Q61" i="5"/>
  <c r="R61" i="5"/>
  <c r="S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AG61" i="5"/>
  <c r="AH61" i="5"/>
  <c r="AI61" i="5"/>
  <c r="AJ61" i="5"/>
  <c r="AK61" i="5"/>
  <c r="AL61" i="5"/>
  <c r="AM61" i="5"/>
  <c r="AN61" i="5"/>
  <c r="F62" i="5"/>
  <c r="G62" i="5"/>
  <c r="H62" i="5"/>
  <c r="I62" i="5"/>
  <c r="J62" i="5"/>
  <c r="K62" i="5"/>
  <c r="L62" i="5"/>
  <c r="M62" i="5"/>
  <c r="N62" i="5"/>
  <c r="O62" i="5"/>
  <c r="P62" i="5"/>
  <c r="Q62" i="5"/>
  <c r="R62" i="5"/>
  <c r="S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AG62" i="5"/>
  <c r="AH62" i="5"/>
  <c r="AI62" i="5"/>
  <c r="AJ62" i="5"/>
  <c r="AK62" i="5"/>
  <c r="AL62" i="5"/>
  <c r="AM62" i="5"/>
  <c r="AN62" i="5"/>
  <c r="F63" i="5"/>
  <c r="G63" i="5"/>
  <c r="H63" i="5"/>
  <c r="I63" i="5"/>
  <c r="J63" i="5"/>
  <c r="K63" i="5"/>
  <c r="L63" i="5"/>
  <c r="M63" i="5"/>
  <c r="N63" i="5"/>
  <c r="O63" i="5"/>
  <c r="P63" i="5"/>
  <c r="Q63" i="5"/>
  <c r="R63" i="5"/>
  <c r="S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AG63" i="5"/>
  <c r="AH63" i="5"/>
  <c r="AI63" i="5"/>
  <c r="AJ63" i="5"/>
  <c r="AK63" i="5"/>
  <c r="AL63" i="5"/>
  <c r="AM63" i="5"/>
  <c r="AN63" i="5"/>
  <c r="F64" i="5"/>
  <c r="G64" i="5"/>
  <c r="H64" i="5"/>
  <c r="I64" i="5"/>
  <c r="J64" i="5"/>
  <c r="K64" i="5"/>
  <c r="L64" i="5"/>
  <c r="M64" i="5"/>
  <c r="N64" i="5"/>
  <c r="O64" i="5"/>
  <c r="P64" i="5"/>
  <c r="Q64" i="5"/>
  <c r="R64" i="5"/>
  <c r="S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AG64" i="5"/>
  <c r="AH64" i="5"/>
  <c r="AI64" i="5"/>
  <c r="AJ64" i="5"/>
  <c r="AK64" i="5"/>
  <c r="AL64" i="5"/>
  <c r="AM64" i="5"/>
  <c r="AN64" i="5"/>
  <c r="F65" i="5"/>
  <c r="G65" i="5"/>
  <c r="H65" i="5"/>
  <c r="I65" i="5"/>
  <c r="J65" i="5"/>
  <c r="K65" i="5"/>
  <c r="L65" i="5"/>
  <c r="M65" i="5"/>
  <c r="N65" i="5"/>
  <c r="O65" i="5"/>
  <c r="P65" i="5"/>
  <c r="Q65" i="5"/>
  <c r="R65" i="5"/>
  <c r="S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AG65" i="5"/>
  <c r="AH65" i="5"/>
  <c r="AI65" i="5"/>
  <c r="AJ65" i="5"/>
  <c r="AK65" i="5"/>
  <c r="AL65" i="5"/>
  <c r="AM65" i="5"/>
  <c r="AN65" i="5"/>
  <c r="F66" i="5"/>
  <c r="G66" i="5"/>
  <c r="H66" i="5"/>
  <c r="I66" i="5"/>
  <c r="J66" i="5"/>
  <c r="K66" i="5"/>
  <c r="L66" i="5"/>
  <c r="M66" i="5"/>
  <c r="N66" i="5"/>
  <c r="O66" i="5"/>
  <c r="P66" i="5"/>
  <c r="Q66" i="5"/>
  <c r="R66" i="5"/>
  <c r="S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AG66" i="5"/>
  <c r="AH66" i="5"/>
  <c r="AI66" i="5"/>
  <c r="AJ66" i="5"/>
  <c r="AK66" i="5"/>
  <c r="AL66" i="5"/>
  <c r="AM66" i="5"/>
  <c r="AN66" i="5"/>
  <c r="F67" i="5"/>
  <c r="G67" i="5"/>
  <c r="H67" i="5"/>
  <c r="I67" i="5"/>
  <c r="J67" i="5"/>
  <c r="K67" i="5"/>
  <c r="L67" i="5"/>
  <c r="M67" i="5"/>
  <c r="N67" i="5"/>
  <c r="O67" i="5"/>
  <c r="P67" i="5"/>
  <c r="Q67" i="5"/>
  <c r="R67" i="5"/>
  <c r="S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AG67" i="5"/>
  <c r="AH67" i="5"/>
  <c r="AI67" i="5"/>
  <c r="AJ67" i="5"/>
  <c r="AK67" i="5"/>
  <c r="AL67" i="5"/>
  <c r="AM67" i="5"/>
  <c r="AN67" i="5"/>
  <c r="F68" i="5"/>
  <c r="G68" i="5"/>
  <c r="H68" i="5"/>
  <c r="I68" i="5"/>
  <c r="J68" i="5"/>
  <c r="K68" i="5"/>
  <c r="L68" i="5"/>
  <c r="M68" i="5"/>
  <c r="N68" i="5"/>
  <c r="O68" i="5"/>
  <c r="P68" i="5"/>
  <c r="Q68" i="5"/>
  <c r="R68" i="5"/>
  <c r="S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AG68" i="5"/>
  <c r="AH68" i="5"/>
  <c r="AI68" i="5"/>
  <c r="AJ68" i="5"/>
  <c r="AK68" i="5"/>
  <c r="AL68" i="5"/>
  <c r="AM68" i="5"/>
  <c r="AN68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42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AJ6" i="5"/>
  <c r="AK6" i="5"/>
  <c r="AL6" i="5"/>
  <c r="AM6" i="5"/>
  <c r="AN6" i="5"/>
  <c r="AP6" i="5" s="1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AJ7" i="5"/>
  <c r="AK7" i="5"/>
  <c r="AL7" i="5"/>
  <c r="AM7" i="5"/>
  <c r="AN7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AL8" i="5"/>
  <c r="AM8" i="5"/>
  <c r="AN8" i="5"/>
  <c r="AP8" i="5" s="1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AJ9" i="5"/>
  <c r="AK9" i="5"/>
  <c r="AL9" i="5"/>
  <c r="AM9" i="5"/>
  <c r="AN9" i="5"/>
  <c r="E12" i="5"/>
  <c r="E70" i="5" s="1"/>
  <c r="F12" i="5"/>
  <c r="F70" i="5" s="1"/>
  <c r="G12" i="5"/>
  <c r="H12" i="5"/>
  <c r="H70" i="5" s="1"/>
  <c r="I12" i="5"/>
  <c r="I70" i="5" s="1"/>
  <c r="J12" i="5"/>
  <c r="K12" i="5"/>
  <c r="K70" i="5" s="1"/>
  <c r="L12" i="5"/>
  <c r="L70" i="5" s="1"/>
  <c r="M12" i="5"/>
  <c r="M70" i="5" s="1"/>
  <c r="N12" i="5"/>
  <c r="N70" i="5" s="1"/>
  <c r="O12" i="5"/>
  <c r="P12" i="5"/>
  <c r="P70" i="5" s="1"/>
  <c r="Q12" i="5"/>
  <c r="Q70" i="5" s="1"/>
  <c r="R12" i="5"/>
  <c r="S12" i="5"/>
  <c r="S70" i="5" s="1"/>
  <c r="T12" i="5"/>
  <c r="T70" i="5" s="1"/>
  <c r="U12" i="5"/>
  <c r="U70" i="5" s="1"/>
  <c r="V12" i="5"/>
  <c r="V70" i="5" s="1"/>
  <c r="W12" i="5"/>
  <c r="X12" i="5"/>
  <c r="X70" i="5" s="1"/>
  <c r="Y12" i="5"/>
  <c r="Y70" i="5" s="1"/>
  <c r="Z12" i="5"/>
  <c r="AA12" i="5"/>
  <c r="AA70" i="5" s="1"/>
  <c r="AB12" i="5"/>
  <c r="AB70" i="5" s="1"/>
  <c r="AC12" i="5"/>
  <c r="AC70" i="5" s="1"/>
  <c r="AD12" i="5"/>
  <c r="AD70" i="5" s="1"/>
  <c r="AE12" i="5"/>
  <c r="AF12" i="5"/>
  <c r="AF70" i="5" s="1"/>
  <c r="AG12" i="5"/>
  <c r="AG70" i="5" s="1"/>
  <c r="AH12" i="5"/>
  <c r="AI12" i="5"/>
  <c r="AI70" i="5" s="1"/>
  <c r="AJ12" i="5"/>
  <c r="AJ70" i="5" s="1"/>
  <c r="AK12" i="5"/>
  <c r="AK70" i="5" s="1"/>
  <c r="AL12" i="5"/>
  <c r="AL70" i="5" s="1"/>
  <c r="AM12" i="5"/>
  <c r="AN12" i="5"/>
  <c r="E13" i="5"/>
  <c r="F13" i="5"/>
  <c r="F71" i="5" s="1"/>
  <c r="G13" i="5"/>
  <c r="H13" i="5"/>
  <c r="H71" i="5" s="1"/>
  <c r="I13" i="5"/>
  <c r="I71" i="5" s="1"/>
  <c r="J13" i="5"/>
  <c r="J71" i="5" s="1"/>
  <c r="K13" i="5"/>
  <c r="K71" i="5" s="1"/>
  <c r="L13" i="5"/>
  <c r="M13" i="5"/>
  <c r="M71" i="5" s="1"/>
  <c r="N13" i="5"/>
  <c r="N71" i="5" s="1"/>
  <c r="O13" i="5"/>
  <c r="P13" i="5"/>
  <c r="P71" i="5" s="1"/>
  <c r="Q13" i="5"/>
  <c r="Q71" i="5" s="1"/>
  <c r="R13" i="5"/>
  <c r="R71" i="5" s="1"/>
  <c r="S13" i="5"/>
  <c r="S71" i="5" s="1"/>
  <c r="T13" i="5"/>
  <c r="U13" i="5"/>
  <c r="U71" i="5" s="1"/>
  <c r="V13" i="5"/>
  <c r="V71" i="5" s="1"/>
  <c r="W13" i="5"/>
  <c r="X13" i="5"/>
  <c r="X71" i="5" s="1"/>
  <c r="Y13" i="5"/>
  <c r="Y71" i="5" s="1"/>
  <c r="Z13" i="5"/>
  <c r="Z71" i="5" s="1"/>
  <c r="AA13" i="5"/>
  <c r="AA71" i="5" s="1"/>
  <c r="AB13" i="5"/>
  <c r="AC13" i="5"/>
  <c r="AC71" i="5" s="1"/>
  <c r="AD13" i="5"/>
  <c r="AD71" i="5" s="1"/>
  <c r="AE13" i="5"/>
  <c r="AF13" i="5"/>
  <c r="AF71" i="5" s="1"/>
  <c r="AG13" i="5"/>
  <c r="AG71" i="5" s="1"/>
  <c r="AH13" i="5"/>
  <c r="AH71" i="5" s="1"/>
  <c r="AI13" i="5"/>
  <c r="AI71" i="5" s="1"/>
  <c r="AJ13" i="5"/>
  <c r="AK13" i="5"/>
  <c r="AK71" i="5" s="1"/>
  <c r="AL13" i="5"/>
  <c r="AL71" i="5" s="1"/>
  <c r="AM13" i="5"/>
  <c r="AN13" i="5"/>
  <c r="E14" i="5"/>
  <c r="F14" i="5"/>
  <c r="F72" i="5" s="1"/>
  <c r="G14" i="5"/>
  <c r="G72" i="5" s="1"/>
  <c r="H14" i="5"/>
  <c r="H72" i="5" s="1"/>
  <c r="I14" i="5"/>
  <c r="J14" i="5"/>
  <c r="J72" i="5" s="1"/>
  <c r="K14" i="5"/>
  <c r="K72" i="5" s="1"/>
  <c r="L14" i="5"/>
  <c r="M14" i="5"/>
  <c r="M72" i="5" s="1"/>
  <c r="N14" i="5"/>
  <c r="N72" i="5" s="1"/>
  <c r="O14" i="5"/>
  <c r="O72" i="5" s="1"/>
  <c r="P14" i="5"/>
  <c r="P72" i="5" s="1"/>
  <c r="Q14" i="5"/>
  <c r="R14" i="5"/>
  <c r="R72" i="5" s="1"/>
  <c r="S14" i="5"/>
  <c r="S72" i="5" s="1"/>
  <c r="T14" i="5"/>
  <c r="U14" i="5"/>
  <c r="U72" i="5" s="1"/>
  <c r="V14" i="5"/>
  <c r="V72" i="5" s="1"/>
  <c r="W14" i="5"/>
  <c r="W72" i="5" s="1"/>
  <c r="X14" i="5"/>
  <c r="X72" i="5" s="1"/>
  <c r="Y14" i="5"/>
  <c r="Z14" i="5"/>
  <c r="Z72" i="5" s="1"/>
  <c r="AA14" i="5"/>
  <c r="AA72" i="5" s="1"/>
  <c r="AB14" i="5"/>
  <c r="AC14" i="5"/>
  <c r="AC72" i="5" s="1"/>
  <c r="AD14" i="5"/>
  <c r="AD72" i="5" s="1"/>
  <c r="AE14" i="5"/>
  <c r="AE72" i="5" s="1"/>
  <c r="AF14" i="5"/>
  <c r="AF72" i="5" s="1"/>
  <c r="AG14" i="5"/>
  <c r="AH14" i="5"/>
  <c r="AH72" i="5" s="1"/>
  <c r="AI14" i="5"/>
  <c r="AI72" i="5" s="1"/>
  <c r="AJ14" i="5"/>
  <c r="AK14" i="5"/>
  <c r="AK72" i="5" s="1"/>
  <c r="AL14" i="5"/>
  <c r="AL72" i="5" s="1"/>
  <c r="AM14" i="5"/>
  <c r="AM72" i="5" s="1"/>
  <c r="AN14" i="5"/>
  <c r="E15" i="5"/>
  <c r="E73" i="5" s="1"/>
  <c r="F15" i="5"/>
  <c r="F73" i="5" s="1"/>
  <c r="G15" i="5"/>
  <c r="G73" i="5" s="1"/>
  <c r="H15" i="5"/>
  <c r="H73" i="5" s="1"/>
  <c r="I15" i="5"/>
  <c r="J15" i="5"/>
  <c r="J73" i="5" s="1"/>
  <c r="K15" i="5"/>
  <c r="K73" i="5" s="1"/>
  <c r="L15" i="5"/>
  <c r="L73" i="5" s="1"/>
  <c r="M15" i="5"/>
  <c r="M73" i="5" s="1"/>
  <c r="N15" i="5"/>
  <c r="N73" i="5" s="1"/>
  <c r="O15" i="5"/>
  <c r="O73" i="5" s="1"/>
  <c r="P15" i="5"/>
  <c r="P73" i="5" s="1"/>
  <c r="Q15" i="5"/>
  <c r="R15" i="5"/>
  <c r="R73" i="5" s="1"/>
  <c r="S15" i="5"/>
  <c r="S73" i="5" s="1"/>
  <c r="T15" i="5"/>
  <c r="T73" i="5" s="1"/>
  <c r="U15" i="5"/>
  <c r="U73" i="5" s="1"/>
  <c r="V15" i="5"/>
  <c r="V73" i="5" s="1"/>
  <c r="W15" i="5"/>
  <c r="W73" i="5" s="1"/>
  <c r="X15" i="5"/>
  <c r="X73" i="5" s="1"/>
  <c r="Y15" i="5"/>
  <c r="Z15" i="5"/>
  <c r="Z73" i="5" s="1"/>
  <c r="AA15" i="5"/>
  <c r="AA73" i="5" s="1"/>
  <c r="AB15" i="5"/>
  <c r="AB73" i="5" s="1"/>
  <c r="AC15" i="5"/>
  <c r="AC73" i="5" s="1"/>
  <c r="AD15" i="5"/>
  <c r="AD73" i="5" s="1"/>
  <c r="AE15" i="5"/>
  <c r="AE73" i="5" s="1"/>
  <c r="AF15" i="5"/>
  <c r="AF73" i="5" s="1"/>
  <c r="AG15" i="5"/>
  <c r="AH15" i="5"/>
  <c r="AH73" i="5" s="1"/>
  <c r="AI15" i="5"/>
  <c r="AI73" i="5" s="1"/>
  <c r="AJ15" i="5"/>
  <c r="AJ73" i="5" s="1"/>
  <c r="AK15" i="5"/>
  <c r="AK73" i="5" s="1"/>
  <c r="AL15" i="5"/>
  <c r="AL73" i="5" s="1"/>
  <c r="AM15" i="5"/>
  <c r="AM73" i="5" s="1"/>
  <c r="AN15" i="5"/>
  <c r="E16" i="5"/>
  <c r="F16" i="5"/>
  <c r="G16" i="5"/>
  <c r="G74" i="5" s="1"/>
  <c r="H16" i="5"/>
  <c r="H74" i="5" s="1"/>
  <c r="I16" i="5"/>
  <c r="I74" i="5" s="1"/>
  <c r="J16" i="5"/>
  <c r="J74" i="5" s="1"/>
  <c r="K16" i="5"/>
  <c r="L16" i="5"/>
  <c r="L74" i="5" s="1"/>
  <c r="M16" i="5"/>
  <c r="M74" i="5" s="1"/>
  <c r="N16" i="5"/>
  <c r="O16" i="5"/>
  <c r="O74" i="5" s="1"/>
  <c r="P16" i="5"/>
  <c r="P74" i="5" s="1"/>
  <c r="Q16" i="5"/>
  <c r="Q74" i="5" s="1"/>
  <c r="R16" i="5"/>
  <c r="R74" i="5" s="1"/>
  <c r="S16" i="5"/>
  <c r="T16" i="5"/>
  <c r="T74" i="5" s="1"/>
  <c r="U16" i="5"/>
  <c r="U74" i="5" s="1"/>
  <c r="V16" i="5"/>
  <c r="W16" i="5"/>
  <c r="W74" i="5" s="1"/>
  <c r="X16" i="5"/>
  <c r="X74" i="5" s="1"/>
  <c r="Y16" i="5"/>
  <c r="Y74" i="5" s="1"/>
  <c r="Z16" i="5"/>
  <c r="Z74" i="5" s="1"/>
  <c r="AA16" i="5"/>
  <c r="AB16" i="5"/>
  <c r="AB74" i="5" s="1"/>
  <c r="AC16" i="5"/>
  <c r="AC74" i="5" s="1"/>
  <c r="AD16" i="5"/>
  <c r="AE16" i="5"/>
  <c r="AE74" i="5" s="1"/>
  <c r="AF16" i="5"/>
  <c r="AF74" i="5" s="1"/>
  <c r="AG16" i="5"/>
  <c r="AG74" i="5" s="1"/>
  <c r="AH16" i="5"/>
  <c r="AH74" i="5" s="1"/>
  <c r="AI16" i="5"/>
  <c r="AJ16" i="5"/>
  <c r="AJ74" i="5" s="1"/>
  <c r="AK16" i="5"/>
  <c r="AK74" i="5" s="1"/>
  <c r="AL16" i="5"/>
  <c r="AM16" i="5"/>
  <c r="AM74" i="5" s="1"/>
  <c r="AN16" i="5"/>
  <c r="E17" i="5"/>
  <c r="E75" i="5" s="1"/>
  <c r="F17" i="5"/>
  <c r="F75" i="5" s="1"/>
  <c r="G17" i="5"/>
  <c r="G75" i="5" s="1"/>
  <c r="H17" i="5"/>
  <c r="I17" i="5"/>
  <c r="I75" i="5" s="1"/>
  <c r="J17" i="5"/>
  <c r="J75" i="5" s="1"/>
  <c r="K17" i="5"/>
  <c r="L17" i="5"/>
  <c r="L75" i="5" s="1"/>
  <c r="M17" i="5"/>
  <c r="M75" i="5" s="1"/>
  <c r="N17" i="5"/>
  <c r="N75" i="5" s="1"/>
  <c r="O17" i="5"/>
  <c r="O75" i="5" s="1"/>
  <c r="P17" i="5"/>
  <c r="Q17" i="5"/>
  <c r="Q75" i="5" s="1"/>
  <c r="R17" i="5"/>
  <c r="R75" i="5" s="1"/>
  <c r="S17" i="5"/>
  <c r="T17" i="5"/>
  <c r="T75" i="5" s="1"/>
  <c r="U17" i="5"/>
  <c r="U75" i="5" s="1"/>
  <c r="V17" i="5"/>
  <c r="V75" i="5" s="1"/>
  <c r="W17" i="5"/>
  <c r="W75" i="5" s="1"/>
  <c r="X17" i="5"/>
  <c r="Y17" i="5"/>
  <c r="Y75" i="5" s="1"/>
  <c r="Z17" i="5"/>
  <c r="Z75" i="5" s="1"/>
  <c r="AA17" i="5"/>
  <c r="AB17" i="5"/>
  <c r="AB75" i="5" s="1"/>
  <c r="AC17" i="5"/>
  <c r="AC75" i="5" s="1"/>
  <c r="AD17" i="5"/>
  <c r="AD75" i="5" s="1"/>
  <c r="AE17" i="5"/>
  <c r="AE75" i="5" s="1"/>
  <c r="AF17" i="5"/>
  <c r="AG17" i="5"/>
  <c r="AG75" i="5" s="1"/>
  <c r="AH17" i="5"/>
  <c r="AH75" i="5" s="1"/>
  <c r="AI17" i="5"/>
  <c r="AJ17" i="5"/>
  <c r="AJ75" i="5" s="1"/>
  <c r="AK17" i="5"/>
  <c r="AK75" i="5" s="1"/>
  <c r="AL17" i="5"/>
  <c r="AL75" i="5" s="1"/>
  <c r="AM17" i="5"/>
  <c r="AM75" i="5" s="1"/>
  <c r="AN17" i="5"/>
  <c r="E18" i="5"/>
  <c r="E76" i="5" s="1"/>
  <c r="F18" i="5"/>
  <c r="F76" i="5" s="1"/>
  <c r="G18" i="5"/>
  <c r="G76" i="5" s="1"/>
  <c r="H18" i="5"/>
  <c r="I18" i="5"/>
  <c r="I76" i="5" s="1"/>
  <c r="J18" i="5"/>
  <c r="J76" i="5" s="1"/>
  <c r="K18" i="5"/>
  <c r="K76" i="5" s="1"/>
  <c r="L18" i="5"/>
  <c r="L76" i="5" s="1"/>
  <c r="M18" i="5"/>
  <c r="N18" i="5"/>
  <c r="N76" i="5" s="1"/>
  <c r="O18" i="5"/>
  <c r="O76" i="5" s="1"/>
  <c r="P18" i="5"/>
  <c r="Q18" i="5"/>
  <c r="Q76" i="5" s="1"/>
  <c r="R18" i="5"/>
  <c r="R76" i="5" s="1"/>
  <c r="S18" i="5"/>
  <c r="S76" i="5" s="1"/>
  <c r="T18" i="5"/>
  <c r="T76" i="5" s="1"/>
  <c r="U18" i="5"/>
  <c r="V18" i="5"/>
  <c r="V76" i="5" s="1"/>
  <c r="W18" i="5"/>
  <c r="W76" i="5" s="1"/>
  <c r="X18" i="5"/>
  <c r="Y18" i="5"/>
  <c r="Y76" i="5" s="1"/>
  <c r="Z18" i="5"/>
  <c r="Z76" i="5" s="1"/>
  <c r="AA18" i="5"/>
  <c r="AA76" i="5" s="1"/>
  <c r="AB18" i="5"/>
  <c r="AB76" i="5" s="1"/>
  <c r="AC18" i="5"/>
  <c r="AD18" i="5"/>
  <c r="AD76" i="5" s="1"/>
  <c r="AE18" i="5"/>
  <c r="AE76" i="5" s="1"/>
  <c r="AF18" i="5"/>
  <c r="AG18" i="5"/>
  <c r="AG76" i="5" s="1"/>
  <c r="AH18" i="5"/>
  <c r="AH76" i="5" s="1"/>
  <c r="AI18" i="5"/>
  <c r="AI76" i="5" s="1"/>
  <c r="AJ18" i="5"/>
  <c r="AJ76" i="5" s="1"/>
  <c r="AK18" i="5"/>
  <c r="AL18" i="5"/>
  <c r="AL76" i="5" s="1"/>
  <c r="AM18" i="5"/>
  <c r="AM76" i="5" s="1"/>
  <c r="AN18" i="5"/>
  <c r="E19" i="5"/>
  <c r="E77" i="5" s="1"/>
  <c r="F19" i="5"/>
  <c r="F77" i="5" s="1"/>
  <c r="G19" i="5"/>
  <c r="G77" i="5" s="1"/>
  <c r="H19" i="5"/>
  <c r="H77" i="5" s="1"/>
  <c r="I19" i="5"/>
  <c r="I77" i="5" s="1"/>
  <c r="J19" i="5"/>
  <c r="K19" i="5"/>
  <c r="K77" i="5" s="1"/>
  <c r="L19" i="5"/>
  <c r="L77" i="5" s="1"/>
  <c r="M19" i="5"/>
  <c r="N19" i="5"/>
  <c r="N77" i="5" s="1"/>
  <c r="O19" i="5"/>
  <c r="P19" i="5"/>
  <c r="P77" i="5" s="1"/>
  <c r="Q19" i="5"/>
  <c r="Q77" i="5" s="1"/>
  <c r="R19" i="5"/>
  <c r="S19" i="5"/>
  <c r="S77" i="5" s="1"/>
  <c r="T19" i="5"/>
  <c r="T77" i="5" s="1"/>
  <c r="U19" i="5"/>
  <c r="V19" i="5"/>
  <c r="V77" i="5" s="1"/>
  <c r="W19" i="5"/>
  <c r="W77" i="5" s="1"/>
  <c r="X19" i="5"/>
  <c r="X77" i="5" s="1"/>
  <c r="Y19" i="5"/>
  <c r="Y77" i="5" s="1"/>
  <c r="Z19" i="5"/>
  <c r="AA19" i="5"/>
  <c r="AA77" i="5" s="1"/>
  <c r="AB19" i="5"/>
  <c r="AB77" i="5" s="1"/>
  <c r="AC19" i="5"/>
  <c r="AD19" i="5"/>
  <c r="AD77" i="5" s="1"/>
  <c r="AE19" i="5"/>
  <c r="AE77" i="5" s="1"/>
  <c r="AF19" i="5"/>
  <c r="AF77" i="5" s="1"/>
  <c r="AG19" i="5"/>
  <c r="AG77" i="5" s="1"/>
  <c r="AH19" i="5"/>
  <c r="AI19" i="5"/>
  <c r="AI77" i="5" s="1"/>
  <c r="AJ19" i="5"/>
  <c r="AJ77" i="5" s="1"/>
  <c r="AK19" i="5"/>
  <c r="AL19" i="5"/>
  <c r="AL77" i="5" s="1"/>
  <c r="AM19" i="5"/>
  <c r="AM77" i="5" s="1"/>
  <c r="AN19" i="5"/>
  <c r="E20" i="5"/>
  <c r="E78" i="5" s="1"/>
  <c r="F20" i="5"/>
  <c r="F78" i="5" s="1"/>
  <c r="G20" i="5"/>
  <c r="H20" i="5"/>
  <c r="H78" i="5" s="1"/>
  <c r="I20" i="5"/>
  <c r="I78" i="5" s="1"/>
  <c r="J20" i="5"/>
  <c r="K20" i="5"/>
  <c r="K78" i="5" s="1"/>
  <c r="L20" i="5"/>
  <c r="L78" i="5" s="1"/>
  <c r="M20" i="5"/>
  <c r="M78" i="5" s="1"/>
  <c r="N20" i="5"/>
  <c r="N78" i="5" s="1"/>
  <c r="O20" i="5"/>
  <c r="P20" i="5"/>
  <c r="P78" i="5" s="1"/>
  <c r="Q20" i="5"/>
  <c r="Q78" i="5" s="1"/>
  <c r="R20" i="5"/>
  <c r="S20" i="5"/>
  <c r="S78" i="5" s="1"/>
  <c r="T20" i="5"/>
  <c r="T78" i="5" s="1"/>
  <c r="U20" i="5"/>
  <c r="U78" i="5" s="1"/>
  <c r="V20" i="5"/>
  <c r="V78" i="5" s="1"/>
  <c r="W20" i="5"/>
  <c r="X20" i="5"/>
  <c r="X78" i="5" s="1"/>
  <c r="Y20" i="5"/>
  <c r="Y78" i="5" s="1"/>
  <c r="Z20" i="5"/>
  <c r="AA20" i="5"/>
  <c r="AA78" i="5" s="1"/>
  <c r="AB20" i="5"/>
  <c r="AB78" i="5" s="1"/>
  <c r="AC20" i="5"/>
  <c r="AC78" i="5" s="1"/>
  <c r="AD20" i="5"/>
  <c r="AD78" i="5" s="1"/>
  <c r="AE20" i="5"/>
  <c r="AF20" i="5"/>
  <c r="AF78" i="5" s="1"/>
  <c r="AG20" i="5"/>
  <c r="AG78" i="5" s="1"/>
  <c r="AH20" i="5"/>
  <c r="AI20" i="5"/>
  <c r="AI78" i="5" s="1"/>
  <c r="AJ20" i="5"/>
  <c r="AJ78" i="5" s="1"/>
  <c r="AK20" i="5"/>
  <c r="AK78" i="5" s="1"/>
  <c r="AL20" i="5"/>
  <c r="AL78" i="5" s="1"/>
  <c r="AM20" i="5"/>
  <c r="AN20" i="5"/>
  <c r="E21" i="5"/>
  <c r="F21" i="5"/>
  <c r="F79" i="5" s="1"/>
  <c r="G21" i="5"/>
  <c r="H21" i="5"/>
  <c r="H79" i="5" s="1"/>
  <c r="I21" i="5"/>
  <c r="I79" i="5" s="1"/>
  <c r="J21" i="5"/>
  <c r="J79" i="5" s="1"/>
  <c r="K21" i="5"/>
  <c r="K79" i="5" s="1"/>
  <c r="L21" i="5"/>
  <c r="M21" i="5"/>
  <c r="M79" i="5" s="1"/>
  <c r="N21" i="5"/>
  <c r="N79" i="5" s="1"/>
  <c r="O21" i="5"/>
  <c r="P21" i="5"/>
  <c r="P79" i="5" s="1"/>
  <c r="Q21" i="5"/>
  <c r="Q79" i="5" s="1"/>
  <c r="R21" i="5"/>
  <c r="R79" i="5" s="1"/>
  <c r="S21" i="5"/>
  <c r="S79" i="5" s="1"/>
  <c r="T21" i="5"/>
  <c r="U21" i="5"/>
  <c r="U79" i="5" s="1"/>
  <c r="V21" i="5"/>
  <c r="V79" i="5" s="1"/>
  <c r="W21" i="5"/>
  <c r="X21" i="5"/>
  <c r="X79" i="5" s="1"/>
  <c r="Y21" i="5"/>
  <c r="Y79" i="5" s="1"/>
  <c r="Z21" i="5"/>
  <c r="Z79" i="5" s="1"/>
  <c r="AA21" i="5"/>
  <c r="AA79" i="5" s="1"/>
  <c r="AB21" i="5"/>
  <c r="AC21" i="5"/>
  <c r="AC79" i="5" s="1"/>
  <c r="AD21" i="5"/>
  <c r="AD79" i="5" s="1"/>
  <c r="AE21" i="5"/>
  <c r="AF21" i="5"/>
  <c r="AF79" i="5" s="1"/>
  <c r="AG21" i="5"/>
  <c r="AG79" i="5" s="1"/>
  <c r="AH21" i="5"/>
  <c r="AH79" i="5" s="1"/>
  <c r="AI21" i="5"/>
  <c r="AI79" i="5" s="1"/>
  <c r="AJ21" i="5"/>
  <c r="AK21" i="5"/>
  <c r="AK79" i="5" s="1"/>
  <c r="AL21" i="5"/>
  <c r="AL79" i="5" s="1"/>
  <c r="AM21" i="5"/>
  <c r="AN21" i="5"/>
  <c r="E22" i="5"/>
  <c r="E80" i="5" s="1"/>
  <c r="F22" i="5"/>
  <c r="F80" i="5" s="1"/>
  <c r="G22" i="5"/>
  <c r="G80" i="5" s="1"/>
  <c r="H22" i="5"/>
  <c r="H80" i="5" s="1"/>
  <c r="I22" i="5"/>
  <c r="J22" i="5"/>
  <c r="J80" i="5" s="1"/>
  <c r="K22" i="5"/>
  <c r="K80" i="5" s="1"/>
  <c r="L22" i="5"/>
  <c r="M22" i="5"/>
  <c r="M80" i="5" s="1"/>
  <c r="N22" i="5"/>
  <c r="N80" i="5" s="1"/>
  <c r="O22" i="5"/>
  <c r="O80" i="5" s="1"/>
  <c r="P22" i="5"/>
  <c r="P80" i="5" s="1"/>
  <c r="Q22" i="5"/>
  <c r="R22" i="5"/>
  <c r="R80" i="5" s="1"/>
  <c r="S22" i="5"/>
  <c r="S80" i="5" s="1"/>
  <c r="T22" i="5"/>
  <c r="U22" i="5"/>
  <c r="U80" i="5" s="1"/>
  <c r="V22" i="5"/>
  <c r="V80" i="5" s="1"/>
  <c r="W22" i="5"/>
  <c r="W80" i="5" s="1"/>
  <c r="X22" i="5"/>
  <c r="X80" i="5" s="1"/>
  <c r="Y22" i="5"/>
  <c r="Z22" i="5"/>
  <c r="Z80" i="5" s="1"/>
  <c r="AA22" i="5"/>
  <c r="AA80" i="5" s="1"/>
  <c r="AB22" i="5"/>
  <c r="AC22" i="5"/>
  <c r="AC80" i="5" s="1"/>
  <c r="AD22" i="5"/>
  <c r="AD80" i="5" s="1"/>
  <c r="AE22" i="5"/>
  <c r="AE80" i="5" s="1"/>
  <c r="AF22" i="5"/>
  <c r="AF80" i="5" s="1"/>
  <c r="AG22" i="5"/>
  <c r="AH22" i="5"/>
  <c r="AH80" i="5" s="1"/>
  <c r="AI22" i="5"/>
  <c r="AI80" i="5" s="1"/>
  <c r="AJ22" i="5"/>
  <c r="AK22" i="5"/>
  <c r="AK80" i="5" s="1"/>
  <c r="AL22" i="5"/>
  <c r="AL80" i="5" s="1"/>
  <c r="AM22" i="5"/>
  <c r="AM80" i="5" s="1"/>
  <c r="AN22" i="5"/>
  <c r="E23" i="5"/>
  <c r="E81" i="5" s="1"/>
  <c r="F23" i="5"/>
  <c r="F81" i="5" s="1"/>
  <c r="G23" i="5"/>
  <c r="G81" i="5" s="1"/>
  <c r="H23" i="5"/>
  <c r="H81" i="5" s="1"/>
  <c r="I23" i="5"/>
  <c r="J23" i="5"/>
  <c r="J81" i="5" s="1"/>
  <c r="K23" i="5"/>
  <c r="K81" i="5" s="1"/>
  <c r="L23" i="5"/>
  <c r="L81" i="5" s="1"/>
  <c r="M23" i="5"/>
  <c r="M81" i="5" s="1"/>
  <c r="N23" i="5"/>
  <c r="N81" i="5" s="1"/>
  <c r="O23" i="5"/>
  <c r="O81" i="5" s="1"/>
  <c r="P23" i="5"/>
  <c r="P81" i="5" s="1"/>
  <c r="Q23" i="5"/>
  <c r="R23" i="5"/>
  <c r="R81" i="5" s="1"/>
  <c r="S23" i="5"/>
  <c r="S81" i="5" s="1"/>
  <c r="T23" i="5"/>
  <c r="T81" i="5" s="1"/>
  <c r="U23" i="5"/>
  <c r="U81" i="5" s="1"/>
  <c r="V23" i="5"/>
  <c r="V81" i="5" s="1"/>
  <c r="W23" i="5"/>
  <c r="W81" i="5" s="1"/>
  <c r="X23" i="5"/>
  <c r="X81" i="5" s="1"/>
  <c r="Y23" i="5"/>
  <c r="Z23" i="5"/>
  <c r="Z81" i="5" s="1"/>
  <c r="AA23" i="5"/>
  <c r="AA81" i="5" s="1"/>
  <c r="AB23" i="5"/>
  <c r="AB81" i="5" s="1"/>
  <c r="AC23" i="5"/>
  <c r="AC81" i="5" s="1"/>
  <c r="AD23" i="5"/>
  <c r="AD81" i="5" s="1"/>
  <c r="AE23" i="5"/>
  <c r="AE81" i="5" s="1"/>
  <c r="AF23" i="5"/>
  <c r="AF81" i="5" s="1"/>
  <c r="AG23" i="5"/>
  <c r="AH23" i="5"/>
  <c r="AH81" i="5" s="1"/>
  <c r="AI23" i="5"/>
  <c r="AI81" i="5" s="1"/>
  <c r="AJ23" i="5"/>
  <c r="AJ81" i="5" s="1"/>
  <c r="AK23" i="5"/>
  <c r="AK81" i="5" s="1"/>
  <c r="AL23" i="5"/>
  <c r="AL81" i="5" s="1"/>
  <c r="AM23" i="5"/>
  <c r="AM81" i="5" s="1"/>
  <c r="AN23" i="5"/>
  <c r="E24" i="5"/>
  <c r="F24" i="5"/>
  <c r="G24" i="5"/>
  <c r="G82" i="5" s="1"/>
  <c r="H24" i="5"/>
  <c r="H82" i="5" s="1"/>
  <c r="I24" i="5"/>
  <c r="I82" i="5" s="1"/>
  <c r="J24" i="5"/>
  <c r="J82" i="5" s="1"/>
  <c r="K24" i="5"/>
  <c r="L24" i="5"/>
  <c r="L82" i="5" s="1"/>
  <c r="M24" i="5"/>
  <c r="M82" i="5" s="1"/>
  <c r="N24" i="5"/>
  <c r="O24" i="5"/>
  <c r="O82" i="5" s="1"/>
  <c r="P24" i="5"/>
  <c r="P82" i="5" s="1"/>
  <c r="Q24" i="5"/>
  <c r="Q82" i="5" s="1"/>
  <c r="R24" i="5"/>
  <c r="R82" i="5" s="1"/>
  <c r="S24" i="5"/>
  <c r="T24" i="5"/>
  <c r="T82" i="5" s="1"/>
  <c r="U24" i="5"/>
  <c r="U82" i="5" s="1"/>
  <c r="V24" i="5"/>
  <c r="W24" i="5"/>
  <c r="W82" i="5" s="1"/>
  <c r="X24" i="5"/>
  <c r="X82" i="5" s="1"/>
  <c r="Y24" i="5"/>
  <c r="Y82" i="5" s="1"/>
  <c r="Z24" i="5"/>
  <c r="Z82" i="5" s="1"/>
  <c r="AA24" i="5"/>
  <c r="AB24" i="5"/>
  <c r="AB82" i="5" s="1"/>
  <c r="AC24" i="5"/>
  <c r="AC82" i="5" s="1"/>
  <c r="AD24" i="5"/>
  <c r="AE24" i="5"/>
  <c r="AE82" i="5" s="1"/>
  <c r="AF24" i="5"/>
  <c r="AF82" i="5" s="1"/>
  <c r="AG24" i="5"/>
  <c r="AG82" i="5" s="1"/>
  <c r="AH24" i="5"/>
  <c r="AH82" i="5" s="1"/>
  <c r="AI24" i="5"/>
  <c r="AJ24" i="5"/>
  <c r="AJ82" i="5" s="1"/>
  <c r="AK24" i="5"/>
  <c r="AK82" i="5" s="1"/>
  <c r="AL24" i="5"/>
  <c r="AM24" i="5"/>
  <c r="AM82" i="5" s="1"/>
  <c r="AN24" i="5"/>
  <c r="E25" i="5"/>
  <c r="E83" i="5" s="1"/>
  <c r="F25" i="5"/>
  <c r="F83" i="5" s="1"/>
  <c r="G25" i="5"/>
  <c r="G83" i="5" s="1"/>
  <c r="H25" i="5"/>
  <c r="I25" i="5"/>
  <c r="I83" i="5" s="1"/>
  <c r="J25" i="5"/>
  <c r="J83" i="5" s="1"/>
  <c r="K25" i="5"/>
  <c r="L25" i="5"/>
  <c r="L83" i="5" s="1"/>
  <c r="M25" i="5"/>
  <c r="M83" i="5" s="1"/>
  <c r="N25" i="5"/>
  <c r="N83" i="5" s="1"/>
  <c r="O25" i="5"/>
  <c r="O83" i="5" s="1"/>
  <c r="P25" i="5"/>
  <c r="Q25" i="5"/>
  <c r="Q83" i="5" s="1"/>
  <c r="R25" i="5"/>
  <c r="R83" i="5" s="1"/>
  <c r="S25" i="5"/>
  <c r="T25" i="5"/>
  <c r="T83" i="5" s="1"/>
  <c r="U25" i="5"/>
  <c r="U83" i="5" s="1"/>
  <c r="V25" i="5"/>
  <c r="V83" i="5" s="1"/>
  <c r="W25" i="5"/>
  <c r="W83" i="5" s="1"/>
  <c r="X25" i="5"/>
  <c r="Y25" i="5"/>
  <c r="Y83" i="5" s="1"/>
  <c r="Z25" i="5"/>
  <c r="Z83" i="5" s="1"/>
  <c r="AA25" i="5"/>
  <c r="AB25" i="5"/>
  <c r="AB83" i="5" s="1"/>
  <c r="AC25" i="5"/>
  <c r="AD25" i="5"/>
  <c r="AD83" i="5" s="1"/>
  <c r="AE25" i="5"/>
  <c r="AE83" i="5" s="1"/>
  <c r="AF25" i="5"/>
  <c r="AG25" i="5"/>
  <c r="AG83" i="5" s="1"/>
  <c r="AH25" i="5"/>
  <c r="AH83" i="5" s="1"/>
  <c r="AI25" i="5"/>
  <c r="AJ25" i="5"/>
  <c r="AJ83" i="5" s="1"/>
  <c r="AK25" i="5"/>
  <c r="AK83" i="5" s="1"/>
  <c r="AL25" i="5"/>
  <c r="AL83" i="5" s="1"/>
  <c r="AM25" i="5"/>
  <c r="AM83" i="5" s="1"/>
  <c r="AN25" i="5"/>
  <c r="E26" i="5"/>
  <c r="E84" i="5" s="1"/>
  <c r="F26" i="5"/>
  <c r="F84" i="5" s="1"/>
  <c r="G26" i="5"/>
  <c r="G84" i="5" s="1"/>
  <c r="H26" i="5"/>
  <c r="I26" i="5"/>
  <c r="I84" i="5" s="1"/>
  <c r="J26" i="5"/>
  <c r="J84" i="5" s="1"/>
  <c r="K26" i="5"/>
  <c r="K84" i="5" s="1"/>
  <c r="L26" i="5"/>
  <c r="L84" i="5" s="1"/>
  <c r="M26" i="5"/>
  <c r="N26" i="5"/>
  <c r="N84" i="5" s="1"/>
  <c r="O26" i="5"/>
  <c r="O84" i="5" s="1"/>
  <c r="P26" i="5"/>
  <c r="Q26" i="5"/>
  <c r="Q84" i="5" s="1"/>
  <c r="R26" i="5"/>
  <c r="R84" i="5" s="1"/>
  <c r="S26" i="5"/>
  <c r="S84" i="5" s="1"/>
  <c r="T26" i="5"/>
  <c r="T84" i="5" s="1"/>
  <c r="U26" i="5"/>
  <c r="V26" i="5"/>
  <c r="V84" i="5" s="1"/>
  <c r="W26" i="5"/>
  <c r="W84" i="5" s="1"/>
  <c r="X26" i="5"/>
  <c r="Y26" i="5"/>
  <c r="Y84" i="5" s="1"/>
  <c r="Z26" i="5"/>
  <c r="Z84" i="5" s="1"/>
  <c r="AA26" i="5"/>
  <c r="AA84" i="5" s="1"/>
  <c r="AB26" i="5"/>
  <c r="AB84" i="5" s="1"/>
  <c r="AC26" i="5"/>
  <c r="AD26" i="5"/>
  <c r="AD84" i="5" s="1"/>
  <c r="AE26" i="5"/>
  <c r="AE84" i="5" s="1"/>
  <c r="AF26" i="5"/>
  <c r="AG26" i="5"/>
  <c r="AG84" i="5" s="1"/>
  <c r="AH26" i="5"/>
  <c r="AH84" i="5" s="1"/>
  <c r="AI26" i="5"/>
  <c r="AI84" i="5" s="1"/>
  <c r="AJ26" i="5"/>
  <c r="AJ84" i="5" s="1"/>
  <c r="AK26" i="5"/>
  <c r="AL26" i="5"/>
  <c r="AL84" i="5" s="1"/>
  <c r="AM26" i="5"/>
  <c r="AM84" i="5" s="1"/>
  <c r="AN26" i="5"/>
  <c r="E27" i="5"/>
  <c r="E85" i="5" s="1"/>
  <c r="F27" i="5"/>
  <c r="F85" i="5" s="1"/>
  <c r="G27" i="5"/>
  <c r="G85" i="5" s="1"/>
  <c r="H27" i="5"/>
  <c r="H85" i="5" s="1"/>
  <c r="I27" i="5"/>
  <c r="I85" i="5" s="1"/>
  <c r="J27" i="5"/>
  <c r="K27" i="5"/>
  <c r="K85" i="5" s="1"/>
  <c r="L27" i="5"/>
  <c r="L85" i="5" s="1"/>
  <c r="M27" i="5"/>
  <c r="N27" i="5"/>
  <c r="N85" i="5" s="1"/>
  <c r="O27" i="5"/>
  <c r="O85" i="5" s="1"/>
  <c r="P27" i="5"/>
  <c r="P85" i="5" s="1"/>
  <c r="Q27" i="5"/>
  <c r="Q85" i="5" s="1"/>
  <c r="R27" i="5"/>
  <c r="S27" i="5"/>
  <c r="S85" i="5" s="1"/>
  <c r="T27" i="5"/>
  <c r="T85" i="5" s="1"/>
  <c r="U27" i="5"/>
  <c r="V27" i="5"/>
  <c r="V85" i="5" s="1"/>
  <c r="W27" i="5"/>
  <c r="W85" i="5" s="1"/>
  <c r="X27" i="5"/>
  <c r="X85" i="5" s="1"/>
  <c r="Y27" i="5"/>
  <c r="Y85" i="5" s="1"/>
  <c r="Z27" i="5"/>
  <c r="AA27" i="5"/>
  <c r="AA85" i="5" s="1"/>
  <c r="AB27" i="5"/>
  <c r="AB85" i="5" s="1"/>
  <c r="AC27" i="5"/>
  <c r="AD27" i="5"/>
  <c r="AD85" i="5" s="1"/>
  <c r="AE27" i="5"/>
  <c r="AE85" i="5" s="1"/>
  <c r="AF27" i="5"/>
  <c r="AF85" i="5" s="1"/>
  <c r="AG27" i="5"/>
  <c r="AG85" i="5" s="1"/>
  <c r="AH27" i="5"/>
  <c r="AI27" i="5"/>
  <c r="AI85" i="5" s="1"/>
  <c r="AJ27" i="5"/>
  <c r="AJ85" i="5" s="1"/>
  <c r="AK27" i="5"/>
  <c r="AL27" i="5"/>
  <c r="AL85" i="5" s="1"/>
  <c r="AM27" i="5"/>
  <c r="AM85" i="5" s="1"/>
  <c r="AN27" i="5"/>
  <c r="E28" i="5"/>
  <c r="E86" i="5" s="1"/>
  <c r="F28" i="5"/>
  <c r="F86" i="5" s="1"/>
  <c r="G28" i="5"/>
  <c r="H28" i="5"/>
  <c r="H86" i="5" s="1"/>
  <c r="I28" i="5"/>
  <c r="I86" i="5" s="1"/>
  <c r="J28" i="5"/>
  <c r="K28" i="5"/>
  <c r="K86" i="5" s="1"/>
  <c r="L28" i="5"/>
  <c r="L86" i="5" s="1"/>
  <c r="M28" i="5"/>
  <c r="M86" i="5" s="1"/>
  <c r="N28" i="5"/>
  <c r="N86" i="5" s="1"/>
  <c r="O28" i="5"/>
  <c r="P28" i="5"/>
  <c r="P86" i="5" s="1"/>
  <c r="Q28" i="5"/>
  <c r="Q86" i="5" s="1"/>
  <c r="R28" i="5"/>
  <c r="S28" i="5"/>
  <c r="S86" i="5" s="1"/>
  <c r="T28" i="5"/>
  <c r="T86" i="5" s="1"/>
  <c r="U28" i="5"/>
  <c r="U86" i="5" s="1"/>
  <c r="V28" i="5"/>
  <c r="V86" i="5" s="1"/>
  <c r="W28" i="5"/>
  <c r="X28" i="5"/>
  <c r="X86" i="5" s="1"/>
  <c r="Y28" i="5"/>
  <c r="Y86" i="5" s="1"/>
  <c r="Z28" i="5"/>
  <c r="AA28" i="5"/>
  <c r="AA86" i="5" s="1"/>
  <c r="AB28" i="5"/>
  <c r="AB86" i="5" s="1"/>
  <c r="AC28" i="5"/>
  <c r="AC86" i="5" s="1"/>
  <c r="AD28" i="5"/>
  <c r="AD86" i="5" s="1"/>
  <c r="AE28" i="5"/>
  <c r="AF28" i="5"/>
  <c r="AF86" i="5" s="1"/>
  <c r="AG28" i="5"/>
  <c r="AG86" i="5" s="1"/>
  <c r="AH28" i="5"/>
  <c r="AI28" i="5"/>
  <c r="AI86" i="5" s="1"/>
  <c r="AJ28" i="5"/>
  <c r="AJ86" i="5" s="1"/>
  <c r="AK28" i="5"/>
  <c r="AK86" i="5" s="1"/>
  <c r="AL28" i="5"/>
  <c r="AL86" i="5" s="1"/>
  <c r="AM28" i="5"/>
  <c r="AN28" i="5"/>
  <c r="E29" i="5"/>
  <c r="F29" i="5"/>
  <c r="F87" i="5" s="1"/>
  <c r="G29" i="5"/>
  <c r="H29" i="5"/>
  <c r="H87" i="5" s="1"/>
  <c r="I29" i="5"/>
  <c r="I87" i="5" s="1"/>
  <c r="J29" i="5"/>
  <c r="J87" i="5" s="1"/>
  <c r="K29" i="5"/>
  <c r="K87" i="5" s="1"/>
  <c r="L29" i="5"/>
  <c r="M29" i="5"/>
  <c r="M87" i="5" s="1"/>
  <c r="N29" i="5"/>
  <c r="N87" i="5" s="1"/>
  <c r="O29" i="5"/>
  <c r="P29" i="5"/>
  <c r="P87" i="5" s="1"/>
  <c r="Q29" i="5"/>
  <c r="Q87" i="5" s="1"/>
  <c r="R29" i="5"/>
  <c r="R87" i="5" s="1"/>
  <c r="S29" i="5"/>
  <c r="S87" i="5" s="1"/>
  <c r="T29" i="5"/>
  <c r="U29" i="5"/>
  <c r="U87" i="5" s="1"/>
  <c r="V29" i="5"/>
  <c r="V87" i="5" s="1"/>
  <c r="W29" i="5"/>
  <c r="X29" i="5"/>
  <c r="X87" i="5" s="1"/>
  <c r="Y29" i="5"/>
  <c r="Y87" i="5" s="1"/>
  <c r="Z29" i="5"/>
  <c r="Z87" i="5" s="1"/>
  <c r="AA29" i="5"/>
  <c r="AA87" i="5" s="1"/>
  <c r="AB29" i="5"/>
  <c r="AC29" i="5"/>
  <c r="AC87" i="5" s="1"/>
  <c r="AD29" i="5"/>
  <c r="AD87" i="5" s="1"/>
  <c r="AE29" i="5"/>
  <c r="AF29" i="5"/>
  <c r="AF87" i="5" s="1"/>
  <c r="AG29" i="5"/>
  <c r="AG87" i="5" s="1"/>
  <c r="AH29" i="5"/>
  <c r="AH87" i="5" s="1"/>
  <c r="AI29" i="5"/>
  <c r="AI87" i="5" s="1"/>
  <c r="AJ29" i="5"/>
  <c r="AK29" i="5"/>
  <c r="AK87" i="5" s="1"/>
  <c r="AL29" i="5"/>
  <c r="AL87" i="5" s="1"/>
  <c r="AM29" i="5"/>
  <c r="AN29" i="5"/>
  <c r="E30" i="5"/>
  <c r="E88" i="5" s="1"/>
  <c r="F30" i="5"/>
  <c r="F88" i="5" s="1"/>
  <c r="G30" i="5"/>
  <c r="G88" i="5" s="1"/>
  <c r="H30" i="5"/>
  <c r="H88" i="5" s="1"/>
  <c r="I30" i="5"/>
  <c r="J30" i="5"/>
  <c r="J88" i="5" s="1"/>
  <c r="K30" i="5"/>
  <c r="K88" i="5" s="1"/>
  <c r="L30" i="5"/>
  <c r="L88" i="5" s="1"/>
  <c r="M30" i="5"/>
  <c r="M88" i="5" s="1"/>
  <c r="N30" i="5"/>
  <c r="N88" i="5" s="1"/>
  <c r="O30" i="5"/>
  <c r="O88" i="5" s="1"/>
  <c r="P30" i="5"/>
  <c r="P88" i="5" s="1"/>
  <c r="Q30" i="5"/>
  <c r="R30" i="5"/>
  <c r="R88" i="5" s="1"/>
  <c r="S30" i="5"/>
  <c r="S88" i="5" s="1"/>
  <c r="T30" i="5"/>
  <c r="T88" i="5" s="1"/>
  <c r="U30" i="5"/>
  <c r="U88" i="5" s="1"/>
  <c r="V30" i="5"/>
  <c r="V88" i="5" s="1"/>
  <c r="W30" i="5"/>
  <c r="W88" i="5" s="1"/>
  <c r="X30" i="5"/>
  <c r="X88" i="5" s="1"/>
  <c r="Y30" i="5"/>
  <c r="Z30" i="5"/>
  <c r="Z88" i="5" s="1"/>
  <c r="AA30" i="5"/>
  <c r="AA88" i="5" s="1"/>
  <c r="AB30" i="5"/>
  <c r="AB88" i="5" s="1"/>
  <c r="AC30" i="5"/>
  <c r="AC88" i="5" s="1"/>
  <c r="AD30" i="5"/>
  <c r="AD88" i="5" s="1"/>
  <c r="AE30" i="5"/>
  <c r="AE88" i="5" s="1"/>
  <c r="AF30" i="5"/>
  <c r="AF88" i="5" s="1"/>
  <c r="AG30" i="5"/>
  <c r="AH30" i="5"/>
  <c r="AH88" i="5" s="1"/>
  <c r="AI30" i="5"/>
  <c r="AI88" i="5" s="1"/>
  <c r="AJ30" i="5"/>
  <c r="AJ88" i="5" s="1"/>
  <c r="AK30" i="5"/>
  <c r="AK88" i="5" s="1"/>
  <c r="AL30" i="5"/>
  <c r="AL88" i="5" s="1"/>
  <c r="AM30" i="5"/>
  <c r="AM88" i="5" s="1"/>
  <c r="AN30" i="5"/>
  <c r="E31" i="5"/>
  <c r="E89" i="5" s="1"/>
  <c r="F31" i="5"/>
  <c r="F89" i="5" s="1"/>
  <c r="G31" i="5"/>
  <c r="G89" i="5" s="1"/>
  <c r="H31" i="5"/>
  <c r="H89" i="5" s="1"/>
  <c r="I31" i="5"/>
  <c r="J31" i="5"/>
  <c r="J89" i="5" s="1"/>
  <c r="K31" i="5"/>
  <c r="K89" i="5" s="1"/>
  <c r="L31" i="5"/>
  <c r="L89" i="5" s="1"/>
  <c r="M31" i="5"/>
  <c r="M89" i="5" s="1"/>
  <c r="N31" i="5"/>
  <c r="N89" i="5" s="1"/>
  <c r="O31" i="5"/>
  <c r="O89" i="5" s="1"/>
  <c r="P31" i="5"/>
  <c r="P89" i="5" s="1"/>
  <c r="Q31" i="5"/>
  <c r="R31" i="5"/>
  <c r="R89" i="5" s="1"/>
  <c r="S31" i="5"/>
  <c r="S89" i="5" s="1"/>
  <c r="T31" i="5"/>
  <c r="T89" i="5" s="1"/>
  <c r="U31" i="5"/>
  <c r="U89" i="5" s="1"/>
  <c r="V31" i="5"/>
  <c r="V89" i="5" s="1"/>
  <c r="W31" i="5"/>
  <c r="W89" i="5" s="1"/>
  <c r="X31" i="5"/>
  <c r="X89" i="5" s="1"/>
  <c r="Y31" i="5"/>
  <c r="Z31" i="5"/>
  <c r="Z89" i="5" s="1"/>
  <c r="AA31" i="5"/>
  <c r="AA89" i="5" s="1"/>
  <c r="AB31" i="5"/>
  <c r="AB89" i="5" s="1"/>
  <c r="AC31" i="5"/>
  <c r="AC89" i="5" s="1"/>
  <c r="AD31" i="5"/>
  <c r="AD89" i="5" s="1"/>
  <c r="AE31" i="5"/>
  <c r="AE89" i="5" s="1"/>
  <c r="AF31" i="5"/>
  <c r="AF89" i="5" s="1"/>
  <c r="AG31" i="5"/>
  <c r="AH31" i="5"/>
  <c r="AH89" i="5" s="1"/>
  <c r="AI31" i="5"/>
  <c r="AI89" i="5" s="1"/>
  <c r="AJ31" i="5"/>
  <c r="AJ89" i="5" s="1"/>
  <c r="AK31" i="5"/>
  <c r="AK89" i="5" s="1"/>
  <c r="AL31" i="5"/>
  <c r="AL89" i="5" s="1"/>
  <c r="AM31" i="5"/>
  <c r="AN31" i="5"/>
  <c r="E32" i="5"/>
  <c r="F32" i="5"/>
  <c r="G32" i="5"/>
  <c r="G90" i="5" s="1"/>
  <c r="H32" i="5"/>
  <c r="H90" i="5" s="1"/>
  <c r="I32" i="5"/>
  <c r="I90" i="5" s="1"/>
  <c r="J32" i="5"/>
  <c r="J90" i="5" s="1"/>
  <c r="K32" i="5"/>
  <c r="L32" i="5"/>
  <c r="L90" i="5" s="1"/>
  <c r="M32" i="5"/>
  <c r="M90" i="5" s="1"/>
  <c r="N32" i="5"/>
  <c r="O32" i="5"/>
  <c r="O90" i="5" s="1"/>
  <c r="P32" i="5"/>
  <c r="P90" i="5" s="1"/>
  <c r="Q32" i="5"/>
  <c r="Q90" i="5" s="1"/>
  <c r="R32" i="5"/>
  <c r="R90" i="5" s="1"/>
  <c r="S32" i="5"/>
  <c r="T32" i="5"/>
  <c r="T90" i="5" s="1"/>
  <c r="U32" i="5"/>
  <c r="U90" i="5" s="1"/>
  <c r="V32" i="5"/>
  <c r="W32" i="5"/>
  <c r="W90" i="5" s="1"/>
  <c r="X32" i="5"/>
  <c r="X90" i="5" s="1"/>
  <c r="Y32" i="5"/>
  <c r="Y90" i="5" s="1"/>
  <c r="Z32" i="5"/>
  <c r="Z90" i="5" s="1"/>
  <c r="AA32" i="5"/>
  <c r="AB32" i="5"/>
  <c r="AB90" i="5" s="1"/>
  <c r="AC32" i="5"/>
  <c r="AC90" i="5" s="1"/>
  <c r="AD32" i="5"/>
  <c r="AE32" i="5"/>
  <c r="AE90" i="5" s="1"/>
  <c r="AF32" i="5"/>
  <c r="AF90" i="5" s="1"/>
  <c r="AG32" i="5"/>
  <c r="AG90" i="5" s="1"/>
  <c r="AH32" i="5"/>
  <c r="AH90" i="5" s="1"/>
  <c r="AI32" i="5"/>
  <c r="AJ32" i="5"/>
  <c r="AJ90" i="5" s="1"/>
  <c r="AK32" i="5"/>
  <c r="AK90" i="5" s="1"/>
  <c r="AL32" i="5"/>
  <c r="AM32" i="5"/>
  <c r="AM90" i="5" s="1"/>
  <c r="AN32" i="5"/>
  <c r="E33" i="5"/>
  <c r="E91" i="5" s="1"/>
  <c r="F33" i="5"/>
  <c r="F91" i="5" s="1"/>
  <c r="G33" i="5"/>
  <c r="G91" i="5" s="1"/>
  <c r="H33" i="5"/>
  <c r="I33" i="5"/>
  <c r="I91" i="5" s="1"/>
  <c r="J33" i="5"/>
  <c r="J91" i="5" s="1"/>
  <c r="K33" i="5"/>
  <c r="L33" i="5"/>
  <c r="L91" i="5" s="1"/>
  <c r="M33" i="5"/>
  <c r="M91" i="5" s="1"/>
  <c r="N33" i="5"/>
  <c r="N91" i="5" s="1"/>
  <c r="O33" i="5"/>
  <c r="O91" i="5" s="1"/>
  <c r="P33" i="5"/>
  <c r="Q33" i="5"/>
  <c r="Q91" i="5" s="1"/>
  <c r="R33" i="5"/>
  <c r="R91" i="5" s="1"/>
  <c r="S33" i="5"/>
  <c r="T33" i="5"/>
  <c r="T91" i="5" s="1"/>
  <c r="U33" i="5"/>
  <c r="U91" i="5" s="1"/>
  <c r="V33" i="5"/>
  <c r="V91" i="5" s="1"/>
  <c r="W33" i="5"/>
  <c r="W91" i="5" s="1"/>
  <c r="X33" i="5"/>
  <c r="Y33" i="5"/>
  <c r="Y91" i="5" s="1"/>
  <c r="Z33" i="5"/>
  <c r="Z91" i="5" s="1"/>
  <c r="AA33" i="5"/>
  <c r="AB33" i="5"/>
  <c r="AB91" i="5" s="1"/>
  <c r="AC33" i="5"/>
  <c r="AC91" i="5" s="1"/>
  <c r="AD33" i="5"/>
  <c r="AD91" i="5" s="1"/>
  <c r="AE33" i="5"/>
  <c r="AE91" i="5" s="1"/>
  <c r="AF33" i="5"/>
  <c r="AG33" i="5"/>
  <c r="AH33" i="5"/>
  <c r="AH91" i="5" s="1"/>
  <c r="AI33" i="5"/>
  <c r="AJ33" i="5"/>
  <c r="AJ91" i="5" s="1"/>
  <c r="AK33" i="5"/>
  <c r="AK91" i="5" s="1"/>
  <c r="AL33" i="5"/>
  <c r="AL91" i="5" s="1"/>
  <c r="AM33" i="5"/>
  <c r="AM91" i="5" s="1"/>
  <c r="AN33" i="5"/>
  <c r="E34" i="5"/>
  <c r="E92" i="5" s="1"/>
  <c r="F34" i="5"/>
  <c r="F92" i="5" s="1"/>
  <c r="G34" i="5"/>
  <c r="G92" i="5" s="1"/>
  <c r="H34" i="5"/>
  <c r="I34" i="5"/>
  <c r="I92" i="5" s="1"/>
  <c r="J34" i="5"/>
  <c r="J92" i="5" s="1"/>
  <c r="K34" i="5"/>
  <c r="K92" i="5" s="1"/>
  <c r="L34" i="5"/>
  <c r="L92" i="5" s="1"/>
  <c r="M34" i="5"/>
  <c r="N34" i="5"/>
  <c r="N92" i="5" s="1"/>
  <c r="O34" i="5"/>
  <c r="O92" i="5" s="1"/>
  <c r="P34" i="5"/>
  <c r="Q34" i="5"/>
  <c r="Q92" i="5" s="1"/>
  <c r="R34" i="5"/>
  <c r="R92" i="5" s="1"/>
  <c r="S34" i="5"/>
  <c r="S92" i="5" s="1"/>
  <c r="T34" i="5"/>
  <c r="T92" i="5" s="1"/>
  <c r="U34" i="5"/>
  <c r="V34" i="5"/>
  <c r="V92" i="5" s="1"/>
  <c r="W34" i="5"/>
  <c r="W92" i="5" s="1"/>
  <c r="X34" i="5"/>
  <c r="Y34" i="5"/>
  <c r="Y92" i="5" s="1"/>
  <c r="Z34" i="5"/>
  <c r="Z92" i="5" s="1"/>
  <c r="AA34" i="5"/>
  <c r="AA92" i="5" s="1"/>
  <c r="AB34" i="5"/>
  <c r="AB92" i="5" s="1"/>
  <c r="AC34" i="5"/>
  <c r="AD34" i="5"/>
  <c r="AD92" i="5" s="1"/>
  <c r="AE34" i="5"/>
  <c r="AE92" i="5" s="1"/>
  <c r="AF34" i="5"/>
  <c r="AG34" i="5"/>
  <c r="AG92" i="5" s="1"/>
  <c r="AH34" i="5"/>
  <c r="AH92" i="5" s="1"/>
  <c r="AI34" i="5"/>
  <c r="AI92" i="5" s="1"/>
  <c r="AJ34" i="5"/>
  <c r="AJ92" i="5" s="1"/>
  <c r="AK34" i="5"/>
  <c r="AL34" i="5"/>
  <c r="AL92" i="5" s="1"/>
  <c r="AM34" i="5"/>
  <c r="AM92" i="5" s="1"/>
  <c r="AN34" i="5"/>
  <c r="E35" i="5"/>
  <c r="E93" i="5" s="1"/>
  <c r="F35" i="5"/>
  <c r="F93" i="5" s="1"/>
  <c r="G35" i="5"/>
  <c r="G93" i="5" s="1"/>
  <c r="H35" i="5"/>
  <c r="H93" i="5" s="1"/>
  <c r="I35" i="5"/>
  <c r="I93" i="5" s="1"/>
  <c r="J35" i="5"/>
  <c r="K35" i="5"/>
  <c r="K93" i="5" s="1"/>
  <c r="L35" i="5"/>
  <c r="L93" i="5" s="1"/>
  <c r="M35" i="5"/>
  <c r="N35" i="5"/>
  <c r="N93" i="5" s="1"/>
  <c r="O35" i="5"/>
  <c r="O93" i="5" s="1"/>
  <c r="P35" i="5"/>
  <c r="P93" i="5" s="1"/>
  <c r="Q35" i="5"/>
  <c r="Q93" i="5" s="1"/>
  <c r="R35" i="5"/>
  <c r="S35" i="5"/>
  <c r="S93" i="5" s="1"/>
  <c r="T35" i="5"/>
  <c r="T93" i="5" s="1"/>
  <c r="U35" i="5"/>
  <c r="V35" i="5"/>
  <c r="V93" i="5" s="1"/>
  <c r="W35" i="5"/>
  <c r="W93" i="5" s="1"/>
  <c r="X35" i="5"/>
  <c r="X93" i="5" s="1"/>
  <c r="Y35" i="5"/>
  <c r="Y93" i="5" s="1"/>
  <c r="Z35" i="5"/>
  <c r="AA35" i="5"/>
  <c r="AA93" i="5" s="1"/>
  <c r="AB35" i="5"/>
  <c r="AB93" i="5" s="1"/>
  <c r="AC35" i="5"/>
  <c r="AD35" i="5"/>
  <c r="AD93" i="5" s="1"/>
  <c r="AE35" i="5"/>
  <c r="AE93" i="5" s="1"/>
  <c r="AF35" i="5"/>
  <c r="AF93" i="5" s="1"/>
  <c r="AG35" i="5"/>
  <c r="AG93" i="5" s="1"/>
  <c r="AH35" i="5"/>
  <c r="AI35" i="5"/>
  <c r="AI93" i="5" s="1"/>
  <c r="AJ35" i="5"/>
  <c r="AJ93" i="5" s="1"/>
  <c r="AK35" i="5"/>
  <c r="AL35" i="5"/>
  <c r="AL93" i="5" s="1"/>
  <c r="AM35" i="5"/>
  <c r="AM93" i="5" s="1"/>
  <c r="AN35" i="5"/>
  <c r="AN93" i="5" s="1"/>
  <c r="AP93" i="5" s="1"/>
  <c r="E36" i="5"/>
  <c r="E94" i="5" s="1"/>
  <c r="F36" i="5"/>
  <c r="F94" i="5" s="1"/>
  <c r="G36" i="5"/>
  <c r="H36" i="5"/>
  <c r="H94" i="5" s="1"/>
  <c r="I36" i="5"/>
  <c r="I94" i="5" s="1"/>
  <c r="J36" i="5"/>
  <c r="K36" i="5"/>
  <c r="K94" i="5" s="1"/>
  <c r="L36" i="5"/>
  <c r="L94" i="5" s="1"/>
  <c r="M36" i="5"/>
  <c r="M94" i="5" s="1"/>
  <c r="N36" i="5"/>
  <c r="N94" i="5" s="1"/>
  <c r="O36" i="5"/>
  <c r="P36" i="5"/>
  <c r="P94" i="5" s="1"/>
  <c r="Q36" i="5"/>
  <c r="Q94" i="5" s="1"/>
  <c r="R36" i="5"/>
  <c r="S36" i="5"/>
  <c r="S94" i="5" s="1"/>
  <c r="T36" i="5"/>
  <c r="T94" i="5" s="1"/>
  <c r="U36" i="5"/>
  <c r="U94" i="5" s="1"/>
  <c r="V36" i="5"/>
  <c r="V94" i="5" s="1"/>
  <c r="W36" i="5"/>
  <c r="X36" i="5"/>
  <c r="X94" i="5" s="1"/>
  <c r="Y36" i="5"/>
  <c r="Y94" i="5" s="1"/>
  <c r="Z36" i="5"/>
  <c r="AA36" i="5"/>
  <c r="AA94" i="5" s="1"/>
  <c r="AB36" i="5"/>
  <c r="AB94" i="5" s="1"/>
  <c r="AC36" i="5"/>
  <c r="AC94" i="5" s="1"/>
  <c r="AD36" i="5"/>
  <c r="AD94" i="5" s="1"/>
  <c r="AE36" i="5"/>
  <c r="AF36" i="5"/>
  <c r="AF94" i="5" s="1"/>
  <c r="AG36" i="5"/>
  <c r="AG94" i="5" s="1"/>
  <c r="AH36" i="5"/>
  <c r="AI36" i="5"/>
  <c r="AI94" i="5" s="1"/>
  <c r="AJ36" i="5"/>
  <c r="AJ94" i="5" s="1"/>
  <c r="AK36" i="5"/>
  <c r="AK94" i="5" s="1"/>
  <c r="AL36" i="5"/>
  <c r="AL94" i="5" s="1"/>
  <c r="AM36" i="5"/>
  <c r="AN36" i="5"/>
  <c r="AP36" i="5" s="1"/>
  <c r="E37" i="5"/>
  <c r="F37" i="5"/>
  <c r="F95" i="5" s="1"/>
  <c r="G37" i="5"/>
  <c r="H37" i="5"/>
  <c r="H95" i="5" s="1"/>
  <c r="I37" i="5"/>
  <c r="I95" i="5" s="1"/>
  <c r="J37" i="5"/>
  <c r="J95" i="5" s="1"/>
  <c r="K37" i="5"/>
  <c r="K95" i="5" s="1"/>
  <c r="L37" i="5"/>
  <c r="M37" i="5"/>
  <c r="M95" i="5" s="1"/>
  <c r="N37" i="5"/>
  <c r="N95" i="5" s="1"/>
  <c r="O37" i="5"/>
  <c r="P37" i="5"/>
  <c r="P95" i="5" s="1"/>
  <c r="Q37" i="5"/>
  <c r="Q95" i="5" s="1"/>
  <c r="R37" i="5"/>
  <c r="R95" i="5" s="1"/>
  <c r="S37" i="5"/>
  <c r="S95" i="5" s="1"/>
  <c r="T37" i="5"/>
  <c r="U37" i="5"/>
  <c r="U95" i="5" s="1"/>
  <c r="V37" i="5"/>
  <c r="V95" i="5" s="1"/>
  <c r="W37" i="5"/>
  <c r="X37" i="5"/>
  <c r="X95" i="5" s="1"/>
  <c r="Y37" i="5"/>
  <c r="Y95" i="5" s="1"/>
  <c r="Z37" i="5"/>
  <c r="Z95" i="5" s="1"/>
  <c r="AA37" i="5"/>
  <c r="AA95" i="5" s="1"/>
  <c r="AB37" i="5"/>
  <c r="AC37" i="5"/>
  <c r="AC95" i="5" s="1"/>
  <c r="AD37" i="5"/>
  <c r="AD95" i="5" s="1"/>
  <c r="AE37" i="5"/>
  <c r="AF37" i="5"/>
  <c r="AF95" i="5" s="1"/>
  <c r="AG37" i="5"/>
  <c r="AG95" i="5" s="1"/>
  <c r="AH37" i="5"/>
  <c r="AH95" i="5" s="1"/>
  <c r="AI37" i="5"/>
  <c r="AI95" i="5" s="1"/>
  <c r="AJ37" i="5"/>
  <c r="AK37" i="5"/>
  <c r="AK95" i="5" s="1"/>
  <c r="AL37" i="5"/>
  <c r="AL95" i="5" s="1"/>
  <c r="AM37" i="5"/>
  <c r="AN37" i="5"/>
  <c r="E38" i="5"/>
  <c r="E96" i="5" s="1"/>
  <c r="F38" i="5"/>
  <c r="F96" i="5" s="1"/>
  <c r="G38" i="5"/>
  <c r="G96" i="5" s="1"/>
  <c r="H38" i="5"/>
  <c r="H96" i="5" s="1"/>
  <c r="I38" i="5"/>
  <c r="J38" i="5"/>
  <c r="J96" i="5" s="1"/>
  <c r="K38" i="5"/>
  <c r="K96" i="5" s="1"/>
  <c r="L38" i="5"/>
  <c r="L96" i="5" s="1"/>
  <c r="M38" i="5"/>
  <c r="M96" i="5" s="1"/>
  <c r="N38" i="5"/>
  <c r="N96" i="5" s="1"/>
  <c r="O38" i="5"/>
  <c r="O96" i="5" s="1"/>
  <c r="P38" i="5"/>
  <c r="P96" i="5" s="1"/>
  <c r="Q38" i="5"/>
  <c r="R38" i="5"/>
  <c r="R96" i="5" s="1"/>
  <c r="S38" i="5"/>
  <c r="S96" i="5" s="1"/>
  <c r="T38" i="5"/>
  <c r="T96" i="5" s="1"/>
  <c r="U38" i="5"/>
  <c r="U96" i="5" s="1"/>
  <c r="V38" i="5"/>
  <c r="V96" i="5" s="1"/>
  <c r="W38" i="5"/>
  <c r="W96" i="5" s="1"/>
  <c r="X38" i="5"/>
  <c r="X96" i="5" s="1"/>
  <c r="Y38" i="5"/>
  <c r="Z38" i="5"/>
  <c r="Z96" i="5" s="1"/>
  <c r="AA38" i="5"/>
  <c r="AA96" i="5" s="1"/>
  <c r="AB38" i="5"/>
  <c r="AB96" i="5" s="1"/>
  <c r="AC38" i="5"/>
  <c r="AC96" i="5" s="1"/>
  <c r="AD38" i="5"/>
  <c r="AD96" i="5" s="1"/>
  <c r="AE38" i="5"/>
  <c r="AE96" i="5" s="1"/>
  <c r="AF38" i="5"/>
  <c r="AF96" i="5" s="1"/>
  <c r="AG38" i="5"/>
  <c r="AH38" i="5"/>
  <c r="AH96" i="5" s="1"/>
  <c r="AI38" i="5"/>
  <c r="AI96" i="5" s="1"/>
  <c r="AJ38" i="5"/>
  <c r="AJ96" i="5" s="1"/>
  <c r="AK38" i="5"/>
  <c r="AK96" i="5" s="1"/>
  <c r="AL38" i="5"/>
  <c r="AL96" i="5" s="1"/>
  <c r="AM38" i="5"/>
  <c r="AM96" i="5" s="1"/>
  <c r="AN38" i="5"/>
  <c r="F4" i="5"/>
  <c r="F5" i="5" s="1"/>
  <c r="G4" i="5"/>
  <c r="G5" i="5" s="1"/>
  <c r="H4" i="5"/>
  <c r="H5" i="5" s="1"/>
  <c r="I4" i="5"/>
  <c r="I5" i="5" s="1"/>
  <c r="J4" i="5"/>
  <c r="K4" i="5"/>
  <c r="L4" i="5"/>
  <c r="M4" i="5"/>
  <c r="N4" i="5"/>
  <c r="N5" i="5" s="1"/>
  <c r="O4" i="5"/>
  <c r="O5" i="5" s="1"/>
  <c r="P4" i="5"/>
  <c r="P5" i="5" s="1"/>
  <c r="Q4" i="5"/>
  <c r="Q5" i="5" s="1"/>
  <c r="R4" i="5"/>
  <c r="S4" i="5"/>
  <c r="T4" i="5"/>
  <c r="U4" i="5"/>
  <c r="V4" i="5"/>
  <c r="V5" i="5" s="1"/>
  <c r="W4" i="5"/>
  <c r="W5" i="5" s="1"/>
  <c r="X4" i="5"/>
  <c r="X5" i="5" s="1"/>
  <c r="Y4" i="5"/>
  <c r="Y5" i="5" s="1"/>
  <c r="Z4" i="5"/>
  <c r="AA4" i="5"/>
  <c r="AB4" i="5"/>
  <c r="AC4" i="5"/>
  <c r="AD4" i="5"/>
  <c r="AD5" i="5" s="1"/>
  <c r="AE4" i="5"/>
  <c r="AE5" i="5" s="1"/>
  <c r="AF4" i="5"/>
  <c r="AF5" i="5" s="1"/>
  <c r="AG4" i="5"/>
  <c r="AG5" i="5" s="1"/>
  <c r="AH4" i="5"/>
  <c r="AI4" i="5"/>
  <c r="AJ4" i="5"/>
  <c r="AK4" i="5"/>
  <c r="AL4" i="5"/>
  <c r="AL5" i="5" s="1"/>
  <c r="AM4" i="5"/>
  <c r="AM5" i="5" s="1"/>
  <c r="AN4" i="5"/>
  <c r="AN5" i="5" s="1"/>
  <c r="E4" i="5"/>
  <c r="E5" i="5" s="1"/>
  <c r="M134" i="4"/>
  <c r="V134" i="4" s="1"/>
  <c r="K126" i="4"/>
  <c r="T126" i="4" s="1"/>
  <c r="K127" i="4"/>
  <c r="T127" i="4" s="1"/>
  <c r="K128" i="4"/>
  <c r="N128" i="4" s="1"/>
  <c r="W128" i="4" s="1"/>
  <c r="K129" i="4"/>
  <c r="O129" i="4" s="1"/>
  <c r="X129" i="4" s="1"/>
  <c r="K130" i="4"/>
  <c r="T130" i="4" s="1"/>
  <c r="K131" i="4"/>
  <c r="M131" i="4" s="1"/>
  <c r="V131" i="4" s="1"/>
  <c r="K132" i="4"/>
  <c r="P132" i="4" s="1"/>
  <c r="Y132" i="4" s="1"/>
  <c r="K133" i="4"/>
  <c r="L133" i="4" s="1"/>
  <c r="U133" i="4" s="1"/>
  <c r="K134" i="4"/>
  <c r="N134" i="4" s="1"/>
  <c r="W134" i="4" s="1"/>
  <c r="K135" i="4"/>
  <c r="L135" i="4" s="1"/>
  <c r="U135" i="4" s="1"/>
  <c r="K125" i="4"/>
  <c r="T125" i="4" s="1"/>
  <c r="K6" i="4"/>
  <c r="T6" i="4" s="1"/>
  <c r="K7" i="4"/>
  <c r="T7" i="4" s="1"/>
  <c r="K8" i="4"/>
  <c r="T8" i="4" s="1"/>
  <c r="K9" i="4"/>
  <c r="K10" i="4"/>
  <c r="K11" i="4"/>
  <c r="T11" i="4" s="1"/>
  <c r="K12" i="4"/>
  <c r="T12" i="4" s="1"/>
  <c r="K13" i="4"/>
  <c r="T13" i="4" s="1"/>
  <c r="K14" i="4"/>
  <c r="N14" i="4" s="1"/>
  <c r="W14" i="4" s="1"/>
  <c r="K15" i="4"/>
  <c r="T15" i="4" s="1"/>
  <c r="K16" i="4"/>
  <c r="L16" i="4" s="1"/>
  <c r="U16" i="4" s="1"/>
  <c r="K17" i="4"/>
  <c r="O17" i="4" s="1"/>
  <c r="X17" i="4" s="1"/>
  <c r="K18" i="4"/>
  <c r="T18" i="4" s="1"/>
  <c r="K19" i="4"/>
  <c r="T19" i="4" s="1"/>
  <c r="K20" i="4"/>
  <c r="T20" i="4" s="1"/>
  <c r="K21" i="4"/>
  <c r="T21" i="4" s="1"/>
  <c r="K22" i="4"/>
  <c r="T22" i="4" s="1"/>
  <c r="K23" i="4"/>
  <c r="T23" i="4" s="1"/>
  <c r="K24" i="4"/>
  <c r="T24" i="4" s="1"/>
  <c r="K25" i="4"/>
  <c r="K26" i="4"/>
  <c r="K27" i="4"/>
  <c r="T27" i="4" s="1"/>
  <c r="K28" i="4"/>
  <c r="T28" i="4" s="1"/>
  <c r="K29" i="4"/>
  <c r="T29" i="4" s="1"/>
  <c r="K30" i="4"/>
  <c r="T30" i="4" s="1"/>
  <c r="K31" i="4"/>
  <c r="T31" i="4" s="1"/>
  <c r="K32" i="4"/>
  <c r="T32" i="4" s="1"/>
  <c r="K33" i="4"/>
  <c r="K34" i="4"/>
  <c r="K35" i="4"/>
  <c r="M35" i="4" s="1"/>
  <c r="V35" i="4" s="1"/>
  <c r="K36" i="4"/>
  <c r="P36" i="4" s="1"/>
  <c r="Y36" i="4" s="1"/>
  <c r="K37" i="4"/>
  <c r="T37" i="4" s="1"/>
  <c r="K38" i="4"/>
  <c r="N38" i="4" s="1"/>
  <c r="W38" i="4" s="1"/>
  <c r="K39" i="4"/>
  <c r="T39" i="4" s="1"/>
  <c r="K40" i="4"/>
  <c r="T40" i="4" s="1"/>
  <c r="K41" i="4"/>
  <c r="K42" i="4"/>
  <c r="T42" i="4" s="1"/>
  <c r="K43" i="4"/>
  <c r="T43" i="4" s="1"/>
  <c r="K44" i="4"/>
  <c r="T44" i="4" s="1"/>
  <c r="K45" i="4"/>
  <c r="T45" i="4" s="1"/>
  <c r="K46" i="4"/>
  <c r="T46" i="4" s="1"/>
  <c r="K47" i="4"/>
  <c r="T47" i="4" s="1"/>
  <c r="K48" i="4"/>
  <c r="T48" i="4" s="1"/>
  <c r="K49" i="4"/>
  <c r="K50" i="4"/>
  <c r="K51" i="4"/>
  <c r="T51" i="4" s="1"/>
  <c r="K52" i="4"/>
  <c r="T52" i="4" s="1"/>
  <c r="K53" i="4"/>
  <c r="T53" i="4" s="1"/>
  <c r="K54" i="4"/>
  <c r="T54" i="4" s="1"/>
  <c r="K55" i="4"/>
  <c r="T55" i="4" s="1"/>
  <c r="K56" i="4"/>
  <c r="L56" i="4" s="1"/>
  <c r="U56" i="4" s="1"/>
  <c r="K57" i="4"/>
  <c r="K58" i="4"/>
  <c r="T58" i="4" s="1"/>
  <c r="K59" i="4"/>
  <c r="M59" i="4" s="1"/>
  <c r="V59" i="4" s="1"/>
  <c r="K60" i="4"/>
  <c r="P60" i="4" s="1"/>
  <c r="Y60" i="4" s="1"/>
  <c r="K61" i="4"/>
  <c r="T61" i="4" s="1"/>
  <c r="K62" i="4"/>
  <c r="T62" i="4" s="1"/>
  <c r="K63" i="4"/>
  <c r="T63" i="4" s="1"/>
  <c r="K64" i="4"/>
  <c r="T64" i="4" s="1"/>
  <c r="K65" i="4"/>
  <c r="K66" i="4"/>
  <c r="K67" i="4"/>
  <c r="T67" i="4" s="1"/>
  <c r="K68" i="4"/>
  <c r="T68" i="4" s="1"/>
  <c r="K69" i="4"/>
  <c r="T69" i="4" s="1"/>
  <c r="K70" i="4"/>
  <c r="T70" i="4" s="1"/>
  <c r="K71" i="4"/>
  <c r="T71" i="4" s="1"/>
  <c r="K72" i="4"/>
  <c r="T72" i="4" s="1"/>
  <c r="K73" i="4"/>
  <c r="K74" i="4"/>
  <c r="K75" i="4"/>
  <c r="T75" i="4" s="1"/>
  <c r="K76" i="4"/>
  <c r="T76" i="4" s="1"/>
  <c r="K77" i="4"/>
  <c r="T77" i="4" s="1"/>
  <c r="K78" i="4"/>
  <c r="N78" i="4" s="1"/>
  <c r="W78" i="4" s="1"/>
  <c r="K79" i="4"/>
  <c r="T79" i="4" s="1"/>
  <c r="K80" i="4"/>
  <c r="L80" i="4" s="1"/>
  <c r="U80" i="4" s="1"/>
  <c r="K81" i="4"/>
  <c r="O81" i="4" s="1"/>
  <c r="X81" i="4" s="1"/>
  <c r="K82" i="4"/>
  <c r="K83" i="4"/>
  <c r="T83" i="4" s="1"/>
  <c r="K84" i="4"/>
  <c r="T84" i="4" s="1"/>
  <c r="K85" i="4"/>
  <c r="T85" i="4" s="1"/>
  <c r="K86" i="4"/>
  <c r="T86" i="4" s="1"/>
  <c r="K87" i="4"/>
  <c r="T87" i="4" s="1"/>
  <c r="K88" i="4"/>
  <c r="T88" i="4" s="1"/>
  <c r="K89" i="4"/>
  <c r="K90" i="4"/>
  <c r="T90" i="4" s="1"/>
  <c r="K91" i="4"/>
  <c r="T91" i="4" s="1"/>
  <c r="K92" i="4"/>
  <c r="T92" i="4" s="1"/>
  <c r="K93" i="4"/>
  <c r="T93" i="4" s="1"/>
  <c r="K94" i="4"/>
  <c r="T94" i="4" s="1"/>
  <c r="K95" i="4"/>
  <c r="T95" i="4" s="1"/>
  <c r="K96" i="4"/>
  <c r="T96" i="4" s="1"/>
  <c r="K97" i="4"/>
  <c r="K98" i="4"/>
  <c r="K99" i="4"/>
  <c r="M99" i="4" s="1"/>
  <c r="V99" i="4" s="1"/>
  <c r="K100" i="4"/>
  <c r="P100" i="4" s="1"/>
  <c r="Y100" i="4" s="1"/>
  <c r="K101" i="4"/>
  <c r="T101" i="4" s="1"/>
  <c r="K102" i="4"/>
  <c r="N102" i="4" s="1"/>
  <c r="W102" i="4" s="1"/>
  <c r="K103" i="4"/>
  <c r="T103" i="4" s="1"/>
  <c r="K104" i="4"/>
  <c r="T104" i="4" s="1"/>
  <c r="K105" i="4"/>
  <c r="K106" i="4"/>
  <c r="K107" i="4"/>
  <c r="T107" i="4" s="1"/>
  <c r="K108" i="4"/>
  <c r="T108" i="4" s="1"/>
  <c r="K109" i="4"/>
  <c r="T109" i="4" s="1"/>
  <c r="K110" i="4"/>
  <c r="T110" i="4" s="1"/>
  <c r="K111" i="4"/>
  <c r="T111" i="4" s="1"/>
  <c r="K112" i="4"/>
  <c r="T112" i="4" s="1"/>
  <c r="K113" i="4"/>
  <c r="K114" i="4"/>
  <c r="T114" i="4" s="1"/>
  <c r="K115" i="4"/>
  <c r="T115" i="4" s="1"/>
  <c r="K116" i="4"/>
  <c r="T116" i="4" s="1"/>
  <c r="K117" i="4"/>
  <c r="T117" i="4" s="1"/>
  <c r="K118" i="4"/>
  <c r="T118" i="4" s="1"/>
  <c r="K119" i="4"/>
  <c r="T119" i="4" s="1"/>
  <c r="K120" i="4"/>
  <c r="L120" i="4" s="1"/>
  <c r="U120" i="4" s="1"/>
  <c r="K121" i="4"/>
  <c r="K122" i="4"/>
  <c r="K123" i="4"/>
  <c r="T123" i="4" s="1"/>
  <c r="K124" i="4"/>
  <c r="T124" i="4" s="1"/>
  <c r="K5" i="4"/>
  <c r="M5" i="4" s="1"/>
  <c r="AG96" i="5" l="1"/>
  <c r="Y96" i="5"/>
  <c r="Q96" i="5"/>
  <c r="I96" i="5"/>
  <c r="E95" i="5"/>
  <c r="AG88" i="5"/>
  <c r="Y88" i="5"/>
  <c r="Q88" i="5"/>
  <c r="I88" i="5"/>
  <c r="E87" i="5"/>
  <c r="AG80" i="5"/>
  <c r="Y80" i="5"/>
  <c r="Q80" i="5"/>
  <c r="I80" i="5"/>
  <c r="E79" i="5"/>
  <c r="AG72" i="5"/>
  <c r="Y72" i="5"/>
  <c r="Q72" i="5"/>
  <c r="I72" i="5"/>
  <c r="E71" i="5"/>
  <c r="AJ95" i="5"/>
  <c r="AB95" i="5"/>
  <c r="T95" i="5"/>
  <c r="L95" i="5"/>
  <c r="AJ87" i="5"/>
  <c r="AB87" i="5"/>
  <c r="T87" i="5"/>
  <c r="L87" i="5"/>
  <c r="AJ79" i="5"/>
  <c r="AB79" i="5"/>
  <c r="T79" i="5"/>
  <c r="L79" i="5"/>
  <c r="AJ71" i="5"/>
  <c r="AB71" i="5"/>
  <c r="T71" i="5"/>
  <c r="L71" i="5"/>
  <c r="AM94" i="5"/>
  <c r="AE94" i="5"/>
  <c r="W94" i="5"/>
  <c r="O94" i="5"/>
  <c r="G94" i="5"/>
  <c r="AM86" i="5"/>
  <c r="AE86" i="5"/>
  <c r="W86" i="5"/>
  <c r="O86" i="5"/>
  <c r="G86" i="5"/>
  <c r="AM78" i="5"/>
  <c r="AE78" i="5"/>
  <c r="W78" i="5"/>
  <c r="O78" i="5"/>
  <c r="G78" i="5"/>
  <c r="AM70" i="5"/>
  <c r="AE70" i="5"/>
  <c r="W70" i="5"/>
  <c r="O70" i="5"/>
  <c r="G70" i="5"/>
  <c r="AH93" i="5"/>
  <c r="Z93" i="5"/>
  <c r="R93" i="5"/>
  <c r="J93" i="5"/>
  <c r="AH85" i="5"/>
  <c r="Z85" i="5"/>
  <c r="R85" i="5"/>
  <c r="J85" i="5"/>
  <c r="AH77" i="5"/>
  <c r="Z77" i="5"/>
  <c r="R77" i="5"/>
  <c r="J77" i="5"/>
  <c r="AH5" i="5"/>
  <c r="Z5" i="5"/>
  <c r="R5" i="5"/>
  <c r="J5" i="5"/>
  <c r="AK92" i="5"/>
  <c r="AC92" i="5"/>
  <c r="U92" i="5"/>
  <c r="M92" i="5"/>
  <c r="AK84" i="5"/>
  <c r="AC84" i="5"/>
  <c r="U84" i="5"/>
  <c r="M84" i="5"/>
  <c r="AK76" i="5"/>
  <c r="AC76" i="5"/>
  <c r="U76" i="5"/>
  <c r="M76" i="5"/>
  <c r="AN91" i="5"/>
  <c r="AP91" i="5" s="1"/>
  <c r="AF91" i="5"/>
  <c r="X91" i="5"/>
  <c r="P91" i="5"/>
  <c r="H91" i="5"/>
  <c r="AF83" i="5"/>
  <c r="X83" i="5"/>
  <c r="P83" i="5"/>
  <c r="H83" i="5"/>
  <c r="AF75" i="5"/>
  <c r="X75" i="5"/>
  <c r="P75" i="5"/>
  <c r="H75" i="5"/>
  <c r="AI90" i="5"/>
  <c r="AA90" i="5"/>
  <c r="S90" i="5"/>
  <c r="K90" i="5"/>
  <c r="AI82" i="5"/>
  <c r="AA82" i="5"/>
  <c r="S82" i="5"/>
  <c r="K82" i="5"/>
  <c r="AI74" i="5"/>
  <c r="AA74" i="5"/>
  <c r="S74" i="5"/>
  <c r="K74" i="5"/>
  <c r="AP37" i="5"/>
  <c r="AN95" i="5"/>
  <c r="AP95" i="5" s="1"/>
  <c r="AP5" i="5"/>
  <c r="AM95" i="5"/>
  <c r="AE95" i="5"/>
  <c r="W95" i="5"/>
  <c r="O95" i="5"/>
  <c r="G95" i="5"/>
  <c r="AM87" i="5"/>
  <c r="AE87" i="5"/>
  <c r="AH94" i="5"/>
  <c r="Z94" i="5"/>
  <c r="R94" i="5"/>
  <c r="J94" i="5"/>
  <c r="AK93" i="5"/>
  <c r="AC93" i="5"/>
  <c r="U93" i="5"/>
  <c r="M93" i="5"/>
  <c r="AP38" i="5"/>
  <c r="AN96" i="5"/>
  <c r="AP96" i="5" s="1"/>
  <c r="AP34" i="5"/>
  <c r="AN92" i="5"/>
  <c r="AP92" i="5" s="1"/>
  <c r="AF92" i="5"/>
  <c r="X92" i="5"/>
  <c r="P92" i="5"/>
  <c r="H92" i="5"/>
  <c r="AP32" i="5"/>
  <c r="AN90" i="5"/>
  <c r="AP30" i="5"/>
  <c r="AN88" i="5"/>
  <c r="AP88" i="5" s="1"/>
  <c r="AP28" i="5"/>
  <c r="AN86" i="5"/>
  <c r="AP86" i="5" s="1"/>
  <c r="AP26" i="5"/>
  <c r="AN84" i="5"/>
  <c r="AP84" i="5" s="1"/>
  <c r="AF84" i="5"/>
  <c r="X84" i="5"/>
  <c r="P84" i="5"/>
  <c r="H84" i="5"/>
  <c r="AP24" i="5"/>
  <c r="AN82" i="5"/>
  <c r="AP82" i="5" s="1"/>
  <c r="AP22" i="5"/>
  <c r="AN80" i="5"/>
  <c r="AP80" i="5" s="1"/>
  <c r="AP20" i="5"/>
  <c r="AN78" i="5"/>
  <c r="AP78" i="5" s="1"/>
  <c r="AP18" i="5"/>
  <c r="AN76" i="5"/>
  <c r="AP76" i="5" s="1"/>
  <c r="AF76" i="5"/>
  <c r="X76" i="5"/>
  <c r="P76" i="5"/>
  <c r="H76" i="5"/>
  <c r="AP16" i="5"/>
  <c r="AN74" i="5"/>
  <c r="AP14" i="5"/>
  <c r="AN72" i="5"/>
  <c r="AP72" i="5" s="1"/>
  <c r="AP12" i="5"/>
  <c r="AN70" i="5"/>
  <c r="AP70" i="5" s="1"/>
  <c r="AJ97" i="5"/>
  <c r="AB97" i="5"/>
  <c r="T97" i="5"/>
  <c r="L97" i="5"/>
  <c r="AN94" i="5"/>
  <c r="AP94" i="5" s="1"/>
  <c r="AI91" i="5"/>
  <c r="AA91" i="5"/>
  <c r="S91" i="5"/>
  <c r="K91" i="5"/>
  <c r="AL90" i="5"/>
  <c r="AD90" i="5"/>
  <c r="V90" i="5"/>
  <c r="N90" i="5"/>
  <c r="F90" i="5"/>
  <c r="E90" i="5"/>
  <c r="AG89" i="5"/>
  <c r="Y89" i="5"/>
  <c r="Q89" i="5"/>
  <c r="I89" i="5"/>
  <c r="E82" i="5"/>
  <c r="E74" i="5"/>
  <c r="AI83" i="5"/>
  <c r="AA83" i="5"/>
  <c r="S83" i="5"/>
  <c r="K83" i="5"/>
  <c r="AI75" i="5"/>
  <c r="AA75" i="5"/>
  <c r="S75" i="5"/>
  <c r="K75" i="5"/>
  <c r="AI97" i="5"/>
  <c r="AA97" i="5"/>
  <c r="S97" i="5"/>
  <c r="K97" i="5"/>
  <c r="AL82" i="5"/>
  <c r="AD82" i="5"/>
  <c r="V82" i="5"/>
  <c r="N82" i="5"/>
  <c r="F82" i="5"/>
  <c r="AL74" i="5"/>
  <c r="AD74" i="5"/>
  <c r="V74" i="5"/>
  <c r="N74" i="5"/>
  <c r="F74" i="5"/>
  <c r="AH97" i="5"/>
  <c r="Z97" i="5"/>
  <c r="R97" i="5"/>
  <c r="J97" i="5"/>
  <c r="AG81" i="5"/>
  <c r="Y81" i="5"/>
  <c r="Q81" i="5"/>
  <c r="I81" i="5"/>
  <c r="AG73" i="5"/>
  <c r="Y73" i="5"/>
  <c r="Q73" i="5"/>
  <c r="I73" i="5"/>
  <c r="AG97" i="5"/>
  <c r="Y97" i="5"/>
  <c r="Q97" i="5"/>
  <c r="I97" i="5"/>
  <c r="AP35" i="5"/>
  <c r="AP33" i="5"/>
  <c r="AP31" i="5"/>
  <c r="AP29" i="5"/>
  <c r="AP27" i="5"/>
  <c r="AN85" i="5"/>
  <c r="AP85" i="5" s="1"/>
  <c r="AP25" i="5"/>
  <c r="AN83" i="5"/>
  <c r="AP83" i="5" s="1"/>
  <c r="AP23" i="5"/>
  <c r="AN81" i="5"/>
  <c r="AP81" i="5" s="1"/>
  <c r="AJ80" i="5"/>
  <c r="AB80" i="5"/>
  <c r="T80" i="5"/>
  <c r="L80" i="5"/>
  <c r="AP21" i="5"/>
  <c r="AN79" i="5"/>
  <c r="AP79" i="5" s="1"/>
  <c r="AP19" i="5"/>
  <c r="AN77" i="5"/>
  <c r="AP77" i="5" s="1"/>
  <c r="AP17" i="5"/>
  <c r="AN75" i="5"/>
  <c r="AP75" i="5" s="1"/>
  <c r="AP15" i="5"/>
  <c r="AN73" i="5"/>
  <c r="AP73" i="5" s="1"/>
  <c r="AJ72" i="5"/>
  <c r="AB72" i="5"/>
  <c r="T72" i="5"/>
  <c r="L72" i="5"/>
  <c r="AP13" i="5"/>
  <c r="AN71" i="5"/>
  <c r="AP71" i="5" s="1"/>
  <c r="AP9" i="5"/>
  <c r="AP7" i="5"/>
  <c r="AN97" i="5"/>
  <c r="AF97" i="5"/>
  <c r="X97" i="5"/>
  <c r="P97" i="5"/>
  <c r="H97" i="5"/>
  <c r="W87" i="5"/>
  <c r="O87" i="5"/>
  <c r="G87" i="5"/>
  <c r="AM79" i="5"/>
  <c r="AE79" i="5"/>
  <c r="W79" i="5"/>
  <c r="O79" i="5"/>
  <c r="G79" i="5"/>
  <c r="AM71" i="5"/>
  <c r="AE71" i="5"/>
  <c r="W71" i="5"/>
  <c r="O71" i="5"/>
  <c r="G71" i="5"/>
  <c r="AM97" i="5"/>
  <c r="AE97" i="5"/>
  <c r="W97" i="5"/>
  <c r="O97" i="5"/>
  <c r="G97" i="5"/>
  <c r="AN87" i="5"/>
  <c r="AP87" i="5" s="1"/>
  <c r="AH86" i="5"/>
  <c r="Z86" i="5"/>
  <c r="R86" i="5"/>
  <c r="J86" i="5"/>
  <c r="AH78" i="5"/>
  <c r="Z78" i="5"/>
  <c r="R78" i="5"/>
  <c r="J78" i="5"/>
  <c r="AH70" i="5"/>
  <c r="Z70" i="5"/>
  <c r="R70" i="5"/>
  <c r="J70" i="5"/>
  <c r="AL97" i="5"/>
  <c r="AD97" i="5"/>
  <c r="V97" i="5"/>
  <c r="N97" i="5"/>
  <c r="F97" i="5"/>
  <c r="AK85" i="5"/>
  <c r="AC85" i="5"/>
  <c r="U85" i="5"/>
  <c r="M85" i="5"/>
  <c r="AK77" i="5"/>
  <c r="AC77" i="5"/>
  <c r="U77" i="5"/>
  <c r="M77" i="5"/>
  <c r="AK97" i="5"/>
  <c r="AC97" i="5"/>
  <c r="U97" i="5"/>
  <c r="M97" i="5"/>
  <c r="E97" i="5"/>
  <c r="AN89" i="5"/>
  <c r="AP89" i="5" s="1"/>
  <c r="AH10" i="5"/>
  <c r="Z10" i="5"/>
  <c r="R10" i="5"/>
  <c r="J10" i="5"/>
  <c r="AP64" i="5"/>
  <c r="I10" i="5"/>
  <c r="H10" i="5"/>
  <c r="AP66" i="5"/>
  <c r="G10" i="5"/>
  <c r="AC10" i="5"/>
  <c r="U10" i="5"/>
  <c r="M10" i="5"/>
  <c r="AG10" i="5"/>
  <c r="Y10" i="5"/>
  <c r="Q10" i="5"/>
  <c r="AK5" i="5"/>
  <c r="AC5" i="5"/>
  <c r="U5" i="5"/>
  <c r="M5" i="5"/>
  <c r="AN10" i="5"/>
  <c r="AF10" i="5"/>
  <c r="X10" i="5"/>
  <c r="P10" i="5"/>
  <c r="AJ5" i="5"/>
  <c r="AB5" i="5"/>
  <c r="T5" i="5"/>
  <c r="L5" i="5"/>
  <c r="AM10" i="5"/>
  <c r="AE10" i="5"/>
  <c r="W10" i="5"/>
  <c r="O10" i="5"/>
  <c r="AI5" i="5"/>
  <c r="AA5" i="5"/>
  <c r="S5" i="5"/>
  <c r="K5" i="5"/>
  <c r="AL10" i="5"/>
  <c r="AD10" i="5"/>
  <c r="V10" i="5"/>
  <c r="N10" i="5"/>
  <c r="F10" i="5"/>
  <c r="AK10" i="5"/>
  <c r="E10" i="5"/>
  <c r="AJ10" i="5"/>
  <c r="AB10" i="5"/>
  <c r="T10" i="5"/>
  <c r="L10" i="5"/>
  <c r="AP4" i="5"/>
  <c r="AI10" i="5"/>
  <c r="AA10" i="5"/>
  <c r="S10" i="5"/>
  <c r="K10" i="5"/>
  <c r="AP67" i="5"/>
  <c r="AP61" i="5"/>
  <c r="AP58" i="5"/>
  <c r="AP50" i="5"/>
  <c r="AP63" i="5"/>
  <c r="AP68" i="5"/>
  <c r="AP65" i="5"/>
  <c r="AP62" i="5"/>
  <c r="AP59" i="5"/>
  <c r="AP55" i="5"/>
  <c r="AP47" i="5"/>
  <c r="AP60" i="5"/>
  <c r="AP52" i="5"/>
  <c r="AP44" i="5"/>
  <c r="AP57" i="5"/>
  <c r="AP49" i="5"/>
  <c r="AP54" i="5"/>
  <c r="AP46" i="5"/>
  <c r="AP51" i="5"/>
  <c r="AP56" i="5"/>
  <c r="AP48" i="5"/>
  <c r="AP43" i="5"/>
  <c r="AP53" i="5"/>
  <c r="AP45" i="5"/>
  <c r="AP42" i="5"/>
  <c r="T5" i="4"/>
  <c r="M107" i="4"/>
  <c r="V107" i="4" s="1"/>
  <c r="T128" i="4"/>
  <c r="P135" i="4"/>
  <c r="Y135" i="4" s="1"/>
  <c r="N94" i="4"/>
  <c r="W94" i="4" s="1"/>
  <c r="T120" i="4"/>
  <c r="T56" i="4"/>
  <c r="O132" i="4"/>
  <c r="X132" i="4" s="1"/>
  <c r="P68" i="4"/>
  <c r="Y68" i="4" s="1"/>
  <c r="L131" i="4"/>
  <c r="U131" i="4" s="1"/>
  <c r="N129" i="4"/>
  <c r="W129" i="4" s="1"/>
  <c r="M43" i="4"/>
  <c r="V43" i="4" s="1"/>
  <c r="N126" i="4"/>
  <c r="W126" i="4" s="1"/>
  <c r="N30" i="4"/>
  <c r="W30" i="4" s="1"/>
  <c r="T80" i="4"/>
  <c r="T16" i="4"/>
  <c r="V5" i="4"/>
  <c r="P121" i="4"/>
  <c r="Y121" i="4" s="1"/>
  <c r="M121" i="4"/>
  <c r="V121" i="4" s="1"/>
  <c r="N121" i="4"/>
  <c r="W121" i="4" s="1"/>
  <c r="P113" i="4"/>
  <c r="Y113" i="4" s="1"/>
  <c r="L113" i="4"/>
  <c r="U113" i="4" s="1"/>
  <c r="M113" i="4"/>
  <c r="V113" i="4" s="1"/>
  <c r="N113" i="4"/>
  <c r="W113" i="4" s="1"/>
  <c r="P105" i="4"/>
  <c r="Y105" i="4" s="1"/>
  <c r="L105" i="4"/>
  <c r="U105" i="4" s="1"/>
  <c r="M105" i="4"/>
  <c r="V105" i="4" s="1"/>
  <c r="N105" i="4"/>
  <c r="W105" i="4" s="1"/>
  <c r="P97" i="4"/>
  <c r="Y97" i="4" s="1"/>
  <c r="L97" i="4"/>
  <c r="U97" i="4" s="1"/>
  <c r="M97" i="4"/>
  <c r="V97" i="4" s="1"/>
  <c r="N97" i="4"/>
  <c r="W97" i="4" s="1"/>
  <c r="P89" i="4"/>
  <c r="Y89" i="4" s="1"/>
  <c r="L89" i="4"/>
  <c r="U89" i="4" s="1"/>
  <c r="M89" i="4"/>
  <c r="V89" i="4" s="1"/>
  <c r="N89" i="4"/>
  <c r="W89" i="4" s="1"/>
  <c r="P81" i="4"/>
  <c r="Y81" i="4" s="1"/>
  <c r="L81" i="4"/>
  <c r="U81" i="4" s="1"/>
  <c r="M81" i="4"/>
  <c r="V81" i="4" s="1"/>
  <c r="N81" i="4"/>
  <c r="W81" i="4" s="1"/>
  <c r="P73" i="4"/>
  <c r="Y73" i="4" s="1"/>
  <c r="L73" i="4"/>
  <c r="U73" i="4" s="1"/>
  <c r="M73" i="4"/>
  <c r="V73" i="4" s="1"/>
  <c r="N73" i="4"/>
  <c r="W73" i="4" s="1"/>
  <c r="P65" i="4"/>
  <c r="Y65" i="4" s="1"/>
  <c r="L65" i="4"/>
  <c r="U65" i="4" s="1"/>
  <c r="M65" i="4"/>
  <c r="V65" i="4" s="1"/>
  <c r="N65" i="4"/>
  <c r="W65" i="4" s="1"/>
  <c r="P57" i="4"/>
  <c r="Y57" i="4" s="1"/>
  <c r="L57" i="4"/>
  <c r="U57" i="4" s="1"/>
  <c r="M57" i="4"/>
  <c r="V57" i="4" s="1"/>
  <c r="N57" i="4"/>
  <c r="W57" i="4" s="1"/>
  <c r="P49" i="4"/>
  <c r="Y49" i="4" s="1"/>
  <c r="L49" i="4"/>
  <c r="U49" i="4" s="1"/>
  <c r="M49" i="4"/>
  <c r="V49" i="4" s="1"/>
  <c r="N49" i="4"/>
  <c r="W49" i="4" s="1"/>
  <c r="P41" i="4"/>
  <c r="Y41" i="4" s="1"/>
  <c r="L41" i="4"/>
  <c r="U41" i="4" s="1"/>
  <c r="M41" i="4"/>
  <c r="V41" i="4" s="1"/>
  <c r="N41" i="4"/>
  <c r="W41" i="4" s="1"/>
  <c r="P33" i="4"/>
  <c r="Y33" i="4" s="1"/>
  <c r="L33" i="4"/>
  <c r="U33" i="4" s="1"/>
  <c r="M33" i="4"/>
  <c r="V33" i="4" s="1"/>
  <c r="N33" i="4"/>
  <c r="W33" i="4" s="1"/>
  <c r="P25" i="4"/>
  <c r="Y25" i="4" s="1"/>
  <c r="L25" i="4"/>
  <c r="U25" i="4" s="1"/>
  <c r="M25" i="4"/>
  <c r="V25" i="4" s="1"/>
  <c r="N25" i="4"/>
  <c r="W25" i="4" s="1"/>
  <c r="P17" i="4"/>
  <c r="Y17" i="4" s="1"/>
  <c r="L17" i="4"/>
  <c r="U17" i="4" s="1"/>
  <c r="M17" i="4"/>
  <c r="V17" i="4" s="1"/>
  <c r="N17" i="4"/>
  <c r="W17" i="4" s="1"/>
  <c r="P9" i="4"/>
  <c r="Y9" i="4" s="1"/>
  <c r="L9" i="4"/>
  <c r="U9" i="4" s="1"/>
  <c r="M9" i="4"/>
  <c r="V9" i="4" s="1"/>
  <c r="N9" i="4"/>
  <c r="W9" i="4" s="1"/>
  <c r="T135" i="4"/>
  <c r="O135" i="4"/>
  <c r="X135" i="4" s="1"/>
  <c r="L134" i="4"/>
  <c r="U134" i="4" s="1"/>
  <c r="N132" i="4"/>
  <c r="W132" i="4" s="1"/>
  <c r="P130" i="4"/>
  <c r="Y130" i="4" s="1"/>
  <c r="M129" i="4"/>
  <c r="V129" i="4" s="1"/>
  <c r="P125" i="4"/>
  <c r="Y125" i="4" s="1"/>
  <c r="N118" i="4"/>
  <c r="W118" i="4" s="1"/>
  <c r="O105" i="4"/>
  <c r="X105" i="4" s="1"/>
  <c r="P92" i="4"/>
  <c r="Y92" i="4" s="1"/>
  <c r="M67" i="4"/>
  <c r="V67" i="4" s="1"/>
  <c r="N54" i="4"/>
  <c r="W54" i="4" s="1"/>
  <c r="O41" i="4"/>
  <c r="X41" i="4" s="1"/>
  <c r="P28" i="4"/>
  <c r="Y28" i="4" s="1"/>
  <c r="L82" i="4"/>
  <c r="U82" i="4" s="1"/>
  <c r="M82" i="4"/>
  <c r="V82" i="4" s="1"/>
  <c r="N82" i="4"/>
  <c r="W82" i="4" s="1"/>
  <c r="O82" i="4"/>
  <c r="X82" i="4" s="1"/>
  <c r="P82" i="4"/>
  <c r="Y82" i="4" s="1"/>
  <c r="M120" i="4"/>
  <c r="V120" i="4" s="1"/>
  <c r="N120" i="4"/>
  <c r="W120" i="4" s="1"/>
  <c r="O120" i="4"/>
  <c r="X120" i="4" s="1"/>
  <c r="P120" i="4"/>
  <c r="Y120" i="4" s="1"/>
  <c r="M112" i="4"/>
  <c r="V112" i="4" s="1"/>
  <c r="N112" i="4"/>
  <c r="W112" i="4" s="1"/>
  <c r="O112" i="4"/>
  <c r="X112" i="4" s="1"/>
  <c r="P112" i="4"/>
  <c r="Y112" i="4" s="1"/>
  <c r="M104" i="4"/>
  <c r="V104" i="4" s="1"/>
  <c r="N104" i="4"/>
  <c r="W104" i="4" s="1"/>
  <c r="O104" i="4"/>
  <c r="X104" i="4" s="1"/>
  <c r="P104" i="4"/>
  <c r="Y104" i="4" s="1"/>
  <c r="M96" i="4"/>
  <c r="V96" i="4" s="1"/>
  <c r="N96" i="4"/>
  <c r="W96" i="4" s="1"/>
  <c r="O96" i="4"/>
  <c r="X96" i="4" s="1"/>
  <c r="P96" i="4"/>
  <c r="Y96" i="4" s="1"/>
  <c r="M88" i="4"/>
  <c r="V88" i="4" s="1"/>
  <c r="N88" i="4"/>
  <c r="W88" i="4" s="1"/>
  <c r="O88" i="4"/>
  <c r="X88" i="4" s="1"/>
  <c r="P88" i="4"/>
  <c r="Y88" i="4" s="1"/>
  <c r="M80" i="4"/>
  <c r="V80" i="4" s="1"/>
  <c r="N80" i="4"/>
  <c r="W80" i="4" s="1"/>
  <c r="O80" i="4"/>
  <c r="X80" i="4" s="1"/>
  <c r="P80" i="4"/>
  <c r="Y80" i="4" s="1"/>
  <c r="M72" i="4"/>
  <c r="V72" i="4" s="1"/>
  <c r="N72" i="4"/>
  <c r="W72" i="4" s="1"/>
  <c r="O72" i="4"/>
  <c r="X72" i="4" s="1"/>
  <c r="P72" i="4"/>
  <c r="Y72" i="4" s="1"/>
  <c r="M64" i="4"/>
  <c r="V64" i="4" s="1"/>
  <c r="N64" i="4"/>
  <c r="W64" i="4" s="1"/>
  <c r="O64" i="4"/>
  <c r="X64" i="4" s="1"/>
  <c r="P64" i="4"/>
  <c r="Y64" i="4" s="1"/>
  <c r="M56" i="4"/>
  <c r="V56" i="4" s="1"/>
  <c r="N56" i="4"/>
  <c r="W56" i="4" s="1"/>
  <c r="O56" i="4"/>
  <c r="X56" i="4" s="1"/>
  <c r="P56" i="4"/>
  <c r="Y56" i="4" s="1"/>
  <c r="M48" i="4"/>
  <c r="V48" i="4" s="1"/>
  <c r="N48" i="4"/>
  <c r="W48" i="4" s="1"/>
  <c r="O48" i="4"/>
  <c r="X48" i="4" s="1"/>
  <c r="P48" i="4"/>
  <c r="Y48" i="4" s="1"/>
  <c r="M40" i="4"/>
  <c r="V40" i="4" s="1"/>
  <c r="N40" i="4"/>
  <c r="W40" i="4" s="1"/>
  <c r="O40" i="4"/>
  <c r="X40" i="4" s="1"/>
  <c r="P40" i="4"/>
  <c r="Y40" i="4" s="1"/>
  <c r="M32" i="4"/>
  <c r="V32" i="4" s="1"/>
  <c r="N32" i="4"/>
  <c r="W32" i="4" s="1"/>
  <c r="O32" i="4"/>
  <c r="X32" i="4" s="1"/>
  <c r="P32" i="4"/>
  <c r="Y32" i="4" s="1"/>
  <c r="M24" i="4"/>
  <c r="V24" i="4" s="1"/>
  <c r="N24" i="4"/>
  <c r="W24" i="4" s="1"/>
  <c r="O24" i="4"/>
  <c r="X24" i="4" s="1"/>
  <c r="P24" i="4"/>
  <c r="Y24" i="4" s="1"/>
  <c r="M16" i="4"/>
  <c r="V16" i="4" s="1"/>
  <c r="N16" i="4"/>
  <c r="W16" i="4" s="1"/>
  <c r="O16" i="4"/>
  <c r="X16" i="4" s="1"/>
  <c r="P16" i="4"/>
  <c r="Y16" i="4" s="1"/>
  <c r="N8" i="4"/>
  <c r="W8" i="4" s="1"/>
  <c r="O8" i="4"/>
  <c r="X8" i="4" s="1"/>
  <c r="P8" i="4"/>
  <c r="Y8" i="4" s="1"/>
  <c r="L8" i="4"/>
  <c r="U8" i="4" s="1"/>
  <c r="M8" i="4"/>
  <c r="V8" i="4" s="1"/>
  <c r="T134" i="4"/>
  <c r="T102" i="4"/>
  <c r="T78" i="4"/>
  <c r="T38" i="4"/>
  <c r="T14" i="4"/>
  <c r="N135" i="4"/>
  <c r="W135" i="4" s="1"/>
  <c r="P133" i="4"/>
  <c r="Y133" i="4" s="1"/>
  <c r="M132" i="4"/>
  <c r="V132" i="4" s="1"/>
  <c r="O130" i="4"/>
  <c r="X130" i="4" s="1"/>
  <c r="L129" i="4"/>
  <c r="U129" i="4" s="1"/>
  <c r="P124" i="4"/>
  <c r="Y124" i="4" s="1"/>
  <c r="P116" i="4"/>
  <c r="Y116" i="4" s="1"/>
  <c r="L104" i="4"/>
  <c r="U104" i="4" s="1"/>
  <c r="M91" i="4"/>
  <c r="V91" i="4" s="1"/>
  <c r="O65" i="4"/>
  <c r="X65" i="4" s="1"/>
  <c r="P52" i="4"/>
  <c r="Y52" i="4" s="1"/>
  <c r="L40" i="4"/>
  <c r="U40" i="4" s="1"/>
  <c r="M27" i="4"/>
  <c r="V27" i="4" s="1"/>
  <c r="L119" i="4"/>
  <c r="U119" i="4" s="1"/>
  <c r="M119" i="4"/>
  <c r="V119" i="4" s="1"/>
  <c r="N119" i="4"/>
  <c r="W119" i="4" s="1"/>
  <c r="O119" i="4"/>
  <c r="X119" i="4" s="1"/>
  <c r="P119" i="4"/>
  <c r="Y119" i="4" s="1"/>
  <c r="L111" i="4"/>
  <c r="U111" i="4" s="1"/>
  <c r="M111" i="4"/>
  <c r="V111" i="4" s="1"/>
  <c r="N111" i="4"/>
  <c r="W111" i="4" s="1"/>
  <c r="O111" i="4"/>
  <c r="X111" i="4" s="1"/>
  <c r="P111" i="4"/>
  <c r="Y111" i="4" s="1"/>
  <c r="L103" i="4"/>
  <c r="U103" i="4" s="1"/>
  <c r="M103" i="4"/>
  <c r="V103" i="4" s="1"/>
  <c r="N103" i="4"/>
  <c r="W103" i="4" s="1"/>
  <c r="O103" i="4"/>
  <c r="X103" i="4" s="1"/>
  <c r="P103" i="4"/>
  <c r="Y103" i="4" s="1"/>
  <c r="L95" i="4"/>
  <c r="U95" i="4" s="1"/>
  <c r="M95" i="4"/>
  <c r="V95" i="4" s="1"/>
  <c r="N95" i="4"/>
  <c r="W95" i="4" s="1"/>
  <c r="O95" i="4"/>
  <c r="X95" i="4" s="1"/>
  <c r="P95" i="4"/>
  <c r="Y95" i="4" s="1"/>
  <c r="L87" i="4"/>
  <c r="U87" i="4" s="1"/>
  <c r="M87" i="4"/>
  <c r="V87" i="4" s="1"/>
  <c r="N87" i="4"/>
  <c r="W87" i="4" s="1"/>
  <c r="O87" i="4"/>
  <c r="X87" i="4" s="1"/>
  <c r="P87" i="4"/>
  <c r="Y87" i="4" s="1"/>
  <c r="L79" i="4"/>
  <c r="U79" i="4" s="1"/>
  <c r="M79" i="4"/>
  <c r="V79" i="4" s="1"/>
  <c r="N79" i="4"/>
  <c r="W79" i="4" s="1"/>
  <c r="O79" i="4"/>
  <c r="X79" i="4" s="1"/>
  <c r="P79" i="4"/>
  <c r="Y79" i="4" s="1"/>
  <c r="L71" i="4"/>
  <c r="U71" i="4" s="1"/>
  <c r="M71" i="4"/>
  <c r="V71" i="4" s="1"/>
  <c r="N71" i="4"/>
  <c r="W71" i="4" s="1"/>
  <c r="O71" i="4"/>
  <c r="X71" i="4" s="1"/>
  <c r="P71" i="4"/>
  <c r="Y71" i="4" s="1"/>
  <c r="L63" i="4"/>
  <c r="U63" i="4" s="1"/>
  <c r="M63" i="4"/>
  <c r="V63" i="4" s="1"/>
  <c r="N63" i="4"/>
  <c r="W63" i="4" s="1"/>
  <c r="O63" i="4"/>
  <c r="X63" i="4" s="1"/>
  <c r="P63" i="4"/>
  <c r="Y63" i="4" s="1"/>
  <c r="L55" i="4"/>
  <c r="U55" i="4" s="1"/>
  <c r="M55" i="4"/>
  <c r="V55" i="4" s="1"/>
  <c r="N55" i="4"/>
  <c r="W55" i="4" s="1"/>
  <c r="O55" i="4"/>
  <c r="X55" i="4" s="1"/>
  <c r="P55" i="4"/>
  <c r="Y55" i="4" s="1"/>
  <c r="L47" i="4"/>
  <c r="U47" i="4" s="1"/>
  <c r="M47" i="4"/>
  <c r="V47" i="4" s="1"/>
  <c r="N47" i="4"/>
  <c r="W47" i="4" s="1"/>
  <c r="O47" i="4"/>
  <c r="X47" i="4" s="1"/>
  <c r="P47" i="4"/>
  <c r="Y47" i="4" s="1"/>
  <c r="L39" i="4"/>
  <c r="U39" i="4" s="1"/>
  <c r="M39" i="4"/>
  <c r="V39" i="4" s="1"/>
  <c r="N39" i="4"/>
  <c r="W39" i="4" s="1"/>
  <c r="O39" i="4"/>
  <c r="X39" i="4" s="1"/>
  <c r="P39" i="4"/>
  <c r="Y39" i="4" s="1"/>
  <c r="L31" i="4"/>
  <c r="U31" i="4" s="1"/>
  <c r="M31" i="4"/>
  <c r="V31" i="4" s="1"/>
  <c r="N31" i="4"/>
  <c r="W31" i="4" s="1"/>
  <c r="O31" i="4"/>
  <c r="X31" i="4" s="1"/>
  <c r="P31" i="4"/>
  <c r="Y31" i="4" s="1"/>
  <c r="L23" i="4"/>
  <c r="U23" i="4" s="1"/>
  <c r="M23" i="4"/>
  <c r="V23" i="4" s="1"/>
  <c r="N23" i="4"/>
  <c r="W23" i="4" s="1"/>
  <c r="O23" i="4"/>
  <c r="X23" i="4" s="1"/>
  <c r="P23" i="4"/>
  <c r="Y23" i="4" s="1"/>
  <c r="L15" i="4"/>
  <c r="U15" i="4" s="1"/>
  <c r="M15" i="4"/>
  <c r="V15" i="4" s="1"/>
  <c r="N15" i="4"/>
  <c r="W15" i="4" s="1"/>
  <c r="O15" i="4"/>
  <c r="X15" i="4" s="1"/>
  <c r="P15" i="4"/>
  <c r="Y15" i="4" s="1"/>
  <c r="L7" i="4"/>
  <c r="U7" i="4" s="1"/>
  <c r="M7" i="4"/>
  <c r="V7" i="4" s="1"/>
  <c r="N7" i="4"/>
  <c r="W7" i="4" s="1"/>
  <c r="O7" i="4"/>
  <c r="X7" i="4" s="1"/>
  <c r="P7" i="4"/>
  <c r="Y7" i="4" s="1"/>
  <c r="T133" i="4"/>
  <c r="L5" i="4"/>
  <c r="M135" i="4"/>
  <c r="V135" i="4" s="1"/>
  <c r="O133" i="4"/>
  <c r="X133" i="4" s="1"/>
  <c r="L132" i="4"/>
  <c r="U132" i="4" s="1"/>
  <c r="N130" i="4"/>
  <c r="W130" i="4" s="1"/>
  <c r="P128" i="4"/>
  <c r="Y128" i="4" s="1"/>
  <c r="M124" i="4"/>
  <c r="V124" i="4" s="1"/>
  <c r="M115" i="4"/>
  <c r="V115" i="4" s="1"/>
  <c r="O89" i="4"/>
  <c r="X89" i="4" s="1"/>
  <c r="P76" i="4"/>
  <c r="Y76" i="4" s="1"/>
  <c r="L64" i="4"/>
  <c r="U64" i="4" s="1"/>
  <c r="M51" i="4"/>
  <c r="V51" i="4" s="1"/>
  <c r="O25" i="4"/>
  <c r="X25" i="4" s="1"/>
  <c r="P12" i="4"/>
  <c r="Y12" i="4" s="1"/>
  <c r="O118" i="4"/>
  <c r="X118" i="4" s="1"/>
  <c r="P118" i="4"/>
  <c r="Y118" i="4" s="1"/>
  <c r="L118" i="4"/>
  <c r="U118" i="4" s="1"/>
  <c r="M118" i="4"/>
  <c r="V118" i="4" s="1"/>
  <c r="O110" i="4"/>
  <c r="X110" i="4" s="1"/>
  <c r="P110" i="4"/>
  <c r="Y110" i="4" s="1"/>
  <c r="L110" i="4"/>
  <c r="U110" i="4" s="1"/>
  <c r="M110" i="4"/>
  <c r="V110" i="4" s="1"/>
  <c r="O102" i="4"/>
  <c r="X102" i="4" s="1"/>
  <c r="P102" i="4"/>
  <c r="Y102" i="4" s="1"/>
  <c r="L102" i="4"/>
  <c r="U102" i="4" s="1"/>
  <c r="M102" i="4"/>
  <c r="V102" i="4" s="1"/>
  <c r="O94" i="4"/>
  <c r="X94" i="4" s="1"/>
  <c r="P94" i="4"/>
  <c r="Y94" i="4" s="1"/>
  <c r="L94" i="4"/>
  <c r="U94" i="4" s="1"/>
  <c r="M94" i="4"/>
  <c r="V94" i="4" s="1"/>
  <c r="O86" i="4"/>
  <c r="X86" i="4" s="1"/>
  <c r="P86" i="4"/>
  <c r="Y86" i="4" s="1"/>
  <c r="L86" i="4"/>
  <c r="U86" i="4" s="1"/>
  <c r="M86" i="4"/>
  <c r="V86" i="4" s="1"/>
  <c r="O78" i="4"/>
  <c r="X78" i="4" s="1"/>
  <c r="P78" i="4"/>
  <c r="Y78" i="4" s="1"/>
  <c r="L78" i="4"/>
  <c r="U78" i="4" s="1"/>
  <c r="M78" i="4"/>
  <c r="V78" i="4" s="1"/>
  <c r="O70" i="4"/>
  <c r="X70" i="4" s="1"/>
  <c r="P70" i="4"/>
  <c r="Y70" i="4" s="1"/>
  <c r="L70" i="4"/>
  <c r="U70" i="4" s="1"/>
  <c r="M70" i="4"/>
  <c r="V70" i="4" s="1"/>
  <c r="O62" i="4"/>
  <c r="X62" i="4" s="1"/>
  <c r="P62" i="4"/>
  <c r="Y62" i="4" s="1"/>
  <c r="L62" i="4"/>
  <c r="U62" i="4" s="1"/>
  <c r="M62" i="4"/>
  <c r="V62" i="4" s="1"/>
  <c r="O54" i="4"/>
  <c r="X54" i="4" s="1"/>
  <c r="P54" i="4"/>
  <c r="Y54" i="4" s="1"/>
  <c r="L54" i="4"/>
  <c r="U54" i="4" s="1"/>
  <c r="M54" i="4"/>
  <c r="V54" i="4" s="1"/>
  <c r="O46" i="4"/>
  <c r="X46" i="4" s="1"/>
  <c r="P46" i="4"/>
  <c r="Y46" i="4" s="1"/>
  <c r="L46" i="4"/>
  <c r="U46" i="4" s="1"/>
  <c r="M46" i="4"/>
  <c r="V46" i="4" s="1"/>
  <c r="O38" i="4"/>
  <c r="X38" i="4" s="1"/>
  <c r="P38" i="4"/>
  <c r="Y38" i="4" s="1"/>
  <c r="L38" i="4"/>
  <c r="U38" i="4" s="1"/>
  <c r="M38" i="4"/>
  <c r="V38" i="4" s="1"/>
  <c r="O30" i="4"/>
  <c r="X30" i="4" s="1"/>
  <c r="P30" i="4"/>
  <c r="Y30" i="4" s="1"/>
  <c r="L30" i="4"/>
  <c r="U30" i="4" s="1"/>
  <c r="M30" i="4"/>
  <c r="V30" i="4" s="1"/>
  <c r="O22" i="4"/>
  <c r="X22" i="4" s="1"/>
  <c r="P22" i="4"/>
  <c r="Y22" i="4" s="1"/>
  <c r="L22" i="4"/>
  <c r="U22" i="4" s="1"/>
  <c r="M22" i="4"/>
  <c r="V22" i="4" s="1"/>
  <c r="O14" i="4"/>
  <c r="X14" i="4" s="1"/>
  <c r="P14" i="4"/>
  <c r="Y14" i="4" s="1"/>
  <c r="L14" i="4"/>
  <c r="U14" i="4" s="1"/>
  <c r="M14" i="4"/>
  <c r="V14" i="4" s="1"/>
  <c r="P6" i="4"/>
  <c r="Y6" i="4" s="1"/>
  <c r="L6" i="4"/>
  <c r="U6" i="4" s="1"/>
  <c r="M6" i="4"/>
  <c r="V6" i="4" s="1"/>
  <c r="N6" i="4"/>
  <c r="W6" i="4" s="1"/>
  <c r="O6" i="4"/>
  <c r="X6" i="4" s="1"/>
  <c r="T132" i="4"/>
  <c r="T100" i="4"/>
  <c r="T60" i="4"/>
  <c r="T36" i="4"/>
  <c r="P5" i="4"/>
  <c r="N133" i="4"/>
  <c r="W133" i="4" s="1"/>
  <c r="P131" i="4"/>
  <c r="Y131" i="4" s="1"/>
  <c r="M130" i="4"/>
  <c r="V130" i="4" s="1"/>
  <c r="O128" i="4"/>
  <c r="X128" i="4" s="1"/>
  <c r="M123" i="4"/>
  <c r="V123" i="4" s="1"/>
  <c r="O113" i="4"/>
  <c r="X113" i="4" s="1"/>
  <c r="L88" i="4"/>
  <c r="U88" i="4" s="1"/>
  <c r="M75" i="4"/>
  <c r="V75" i="4" s="1"/>
  <c r="N62" i="4"/>
  <c r="W62" i="4" s="1"/>
  <c r="O49" i="4"/>
  <c r="X49" i="4" s="1"/>
  <c r="L24" i="4"/>
  <c r="U24" i="4" s="1"/>
  <c r="M11" i="4"/>
  <c r="V11" i="4" s="1"/>
  <c r="L122" i="4"/>
  <c r="U122" i="4" s="1"/>
  <c r="M122" i="4"/>
  <c r="V122" i="4" s="1"/>
  <c r="N122" i="4"/>
  <c r="W122" i="4" s="1"/>
  <c r="P122" i="4"/>
  <c r="Y122" i="4" s="1"/>
  <c r="L98" i="4"/>
  <c r="U98" i="4" s="1"/>
  <c r="M98" i="4"/>
  <c r="V98" i="4" s="1"/>
  <c r="N98" i="4"/>
  <c r="W98" i="4" s="1"/>
  <c r="O98" i="4"/>
  <c r="X98" i="4" s="1"/>
  <c r="P98" i="4"/>
  <c r="Y98" i="4" s="1"/>
  <c r="L66" i="4"/>
  <c r="U66" i="4" s="1"/>
  <c r="M66" i="4"/>
  <c r="V66" i="4" s="1"/>
  <c r="N66" i="4"/>
  <c r="W66" i="4" s="1"/>
  <c r="O66" i="4"/>
  <c r="X66" i="4" s="1"/>
  <c r="P66" i="4"/>
  <c r="Y66" i="4" s="1"/>
  <c r="L26" i="4"/>
  <c r="U26" i="4" s="1"/>
  <c r="M26" i="4"/>
  <c r="V26" i="4" s="1"/>
  <c r="N26" i="4"/>
  <c r="W26" i="4" s="1"/>
  <c r="O26" i="4"/>
  <c r="X26" i="4" s="1"/>
  <c r="P26" i="4"/>
  <c r="Y26" i="4" s="1"/>
  <c r="T131" i="4"/>
  <c r="T99" i="4"/>
  <c r="T59" i="4"/>
  <c r="T35" i="4"/>
  <c r="O5" i="4"/>
  <c r="P134" i="4"/>
  <c r="Y134" i="4" s="1"/>
  <c r="M133" i="4"/>
  <c r="V133" i="4" s="1"/>
  <c r="O131" i="4"/>
  <c r="X131" i="4" s="1"/>
  <c r="L130" i="4"/>
  <c r="U130" i="4" s="1"/>
  <c r="M128" i="4"/>
  <c r="V128" i="4" s="1"/>
  <c r="O122" i="4"/>
  <c r="X122" i="4" s="1"/>
  <c r="L112" i="4"/>
  <c r="U112" i="4" s="1"/>
  <c r="N86" i="4"/>
  <c r="W86" i="4" s="1"/>
  <c r="O73" i="4"/>
  <c r="X73" i="4" s="1"/>
  <c r="L48" i="4"/>
  <c r="U48" i="4" s="1"/>
  <c r="N22" i="4"/>
  <c r="W22" i="4" s="1"/>
  <c r="O9" i="4"/>
  <c r="X9" i="4" s="1"/>
  <c r="L106" i="4"/>
  <c r="U106" i="4" s="1"/>
  <c r="M106" i="4"/>
  <c r="V106" i="4" s="1"/>
  <c r="N106" i="4"/>
  <c r="W106" i="4" s="1"/>
  <c r="O106" i="4"/>
  <c r="X106" i="4" s="1"/>
  <c r="P106" i="4"/>
  <c r="Y106" i="4" s="1"/>
  <c r="L74" i="4"/>
  <c r="U74" i="4" s="1"/>
  <c r="M74" i="4"/>
  <c r="V74" i="4" s="1"/>
  <c r="N74" i="4"/>
  <c r="W74" i="4" s="1"/>
  <c r="O74" i="4"/>
  <c r="X74" i="4" s="1"/>
  <c r="P74" i="4"/>
  <c r="Y74" i="4" s="1"/>
  <c r="L50" i="4"/>
  <c r="U50" i="4" s="1"/>
  <c r="M50" i="4"/>
  <c r="V50" i="4" s="1"/>
  <c r="N50" i="4"/>
  <c r="W50" i="4" s="1"/>
  <c r="O50" i="4"/>
  <c r="X50" i="4" s="1"/>
  <c r="P50" i="4"/>
  <c r="Y50" i="4" s="1"/>
  <c r="L34" i="4"/>
  <c r="U34" i="4" s="1"/>
  <c r="M34" i="4"/>
  <c r="V34" i="4" s="1"/>
  <c r="N34" i="4"/>
  <c r="W34" i="4" s="1"/>
  <c r="O34" i="4"/>
  <c r="X34" i="4" s="1"/>
  <c r="P34" i="4"/>
  <c r="Y34" i="4" s="1"/>
  <c r="L10" i="4"/>
  <c r="U10" i="4" s="1"/>
  <c r="M10" i="4"/>
  <c r="V10" i="4" s="1"/>
  <c r="N10" i="4"/>
  <c r="W10" i="4" s="1"/>
  <c r="O10" i="4"/>
  <c r="X10" i="4" s="1"/>
  <c r="P10" i="4"/>
  <c r="Y10" i="4" s="1"/>
  <c r="L109" i="4"/>
  <c r="U109" i="4" s="1"/>
  <c r="M109" i="4"/>
  <c r="V109" i="4" s="1"/>
  <c r="N109" i="4"/>
  <c r="W109" i="4" s="1"/>
  <c r="O109" i="4"/>
  <c r="X109" i="4" s="1"/>
  <c r="P109" i="4"/>
  <c r="Y109" i="4" s="1"/>
  <c r="L101" i="4"/>
  <c r="U101" i="4" s="1"/>
  <c r="M101" i="4"/>
  <c r="V101" i="4" s="1"/>
  <c r="N101" i="4"/>
  <c r="W101" i="4" s="1"/>
  <c r="O101" i="4"/>
  <c r="X101" i="4" s="1"/>
  <c r="P101" i="4"/>
  <c r="Y101" i="4" s="1"/>
  <c r="L85" i="4"/>
  <c r="U85" i="4" s="1"/>
  <c r="M85" i="4"/>
  <c r="V85" i="4" s="1"/>
  <c r="N85" i="4"/>
  <c r="W85" i="4" s="1"/>
  <c r="O85" i="4"/>
  <c r="X85" i="4" s="1"/>
  <c r="P85" i="4"/>
  <c r="Y85" i="4" s="1"/>
  <c r="L61" i="4"/>
  <c r="U61" i="4" s="1"/>
  <c r="M61" i="4"/>
  <c r="V61" i="4" s="1"/>
  <c r="N61" i="4"/>
  <c r="W61" i="4" s="1"/>
  <c r="O61" i="4"/>
  <c r="X61" i="4" s="1"/>
  <c r="P61" i="4"/>
  <c r="Y61" i="4" s="1"/>
  <c r="L45" i="4"/>
  <c r="U45" i="4" s="1"/>
  <c r="M45" i="4"/>
  <c r="V45" i="4" s="1"/>
  <c r="N45" i="4"/>
  <c r="W45" i="4" s="1"/>
  <c r="O45" i="4"/>
  <c r="X45" i="4" s="1"/>
  <c r="P45" i="4"/>
  <c r="Y45" i="4" s="1"/>
  <c r="L29" i="4"/>
  <c r="U29" i="4" s="1"/>
  <c r="M29" i="4"/>
  <c r="V29" i="4" s="1"/>
  <c r="N29" i="4"/>
  <c r="W29" i="4" s="1"/>
  <c r="O29" i="4"/>
  <c r="X29" i="4" s="1"/>
  <c r="P29" i="4"/>
  <c r="Y29" i="4" s="1"/>
  <c r="L125" i="4"/>
  <c r="U125" i="4" s="1"/>
  <c r="M125" i="4"/>
  <c r="V125" i="4" s="1"/>
  <c r="N125" i="4"/>
  <c r="W125" i="4" s="1"/>
  <c r="O125" i="4"/>
  <c r="X125" i="4" s="1"/>
  <c r="L124" i="4"/>
  <c r="U124" i="4" s="1"/>
  <c r="N124" i="4"/>
  <c r="W124" i="4" s="1"/>
  <c r="O124" i="4"/>
  <c r="X124" i="4" s="1"/>
  <c r="L116" i="4"/>
  <c r="U116" i="4" s="1"/>
  <c r="M116" i="4"/>
  <c r="V116" i="4" s="1"/>
  <c r="N116" i="4"/>
  <c r="W116" i="4" s="1"/>
  <c r="O116" i="4"/>
  <c r="X116" i="4" s="1"/>
  <c r="L108" i="4"/>
  <c r="U108" i="4" s="1"/>
  <c r="M108" i="4"/>
  <c r="V108" i="4" s="1"/>
  <c r="N108" i="4"/>
  <c r="W108" i="4" s="1"/>
  <c r="O108" i="4"/>
  <c r="X108" i="4" s="1"/>
  <c r="L100" i="4"/>
  <c r="U100" i="4" s="1"/>
  <c r="M100" i="4"/>
  <c r="V100" i="4" s="1"/>
  <c r="N100" i="4"/>
  <c r="W100" i="4" s="1"/>
  <c r="O100" i="4"/>
  <c r="X100" i="4" s="1"/>
  <c r="L92" i="4"/>
  <c r="U92" i="4" s="1"/>
  <c r="M92" i="4"/>
  <c r="V92" i="4" s="1"/>
  <c r="N92" i="4"/>
  <c r="W92" i="4" s="1"/>
  <c r="O92" i="4"/>
  <c r="X92" i="4" s="1"/>
  <c r="L84" i="4"/>
  <c r="U84" i="4" s="1"/>
  <c r="M84" i="4"/>
  <c r="V84" i="4" s="1"/>
  <c r="N84" i="4"/>
  <c r="W84" i="4" s="1"/>
  <c r="O84" i="4"/>
  <c r="X84" i="4" s="1"/>
  <c r="L76" i="4"/>
  <c r="U76" i="4" s="1"/>
  <c r="M76" i="4"/>
  <c r="V76" i="4" s="1"/>
  <c r="N76" i="4"/>
  <c r="W76" i="4" s="1"/>
  <c r="O76" i="4"/>
  <c r="X76" i="4" s="1"/>
  <c r="L68" i="4"/>
  <c r="U68" i="4" s="1"/>
  <c r="M68" i="4"/>
  <c r="V68" i="4" s="1"/>
  <c r="N68" i="4"/>
  <c r="W68" i="4" s="1"/>
  <c r="O68" i="4"/>
  <c r="X68" i="4" s="1"/>
  <c r="L60" i="4"/>
  <c r="U60" i="4" s="1"/>
  <c r="M60" i="4"/>
  <c r="V60" i="4" s="1"/>
  <c r="N60" i="4"/>
  <c r="W60" i="4" s="1"/>
  <c r="O60" i="4"/>
  <c r="X60" i="4" s="1"/>
  <c r="L52" i="4"/>
  <c r="U52" i="4" s="1"/>
  <c r="M52" i="4"/>
  <c r="V52" i="4" s="1"/>
  <c r="N52" i="4"/>
  <c r="W52" i="4" s="1"/>
  <c r="O52" i="4"/>
  <c r="X52" i="4" s="1"/>
  <c r="L44" i="4"/>
  <c r="U44" i="4" s="1"/>
  <c r="M44" i="4"/>
  <c r="V44" i="4" s="1"/>
  <c r="N44" i="4"/>
  <c r="W44" i="4" s="1"/>
  <c r="O44" i="4"/>
  <c r="X44" i="4" s="1"/>
  <c r="L36" i="4"/>
  <c r="U36" i="4" s="1"/>
  <c r="M36" i="4"/>
  <c r="V36" i="4" s="1"/>
  <c r="N36" i="4"/>
  <c r="W36" i="4" s="1"/>
  <c r="O36" i="4"/>
  <c r="X36" i="4" s="1"/>
  <c r="L28" i="4"/>
  <c r="U28" i="4" s="1"/>
  <c r="M28" i="4"/>
  <c r="V28" i="4" s="1"/>
  <c r="N28" i="4"/>
  <c r="W28" i="4" s="1"/>
  <c r="O28" i="4"/>
  <c r="X28" i="4" s="1"/>
  <c r="L20" i="4"/>
  <c r="U20" i="4" s="1"/>
  <c r="M20" i="4"/>
  <c r="V20" i="4" s="1"/>
  <c r="N20" i="4"/>
  <c r="W20" i="4" s="1"/>
  <c r="O20" i="4"/>
  <c r="X20" i="4" s="1"/>
  <c r="L12" i="4"/>
  <c r="U12" i="4" s="1"/>
  <c r="M12" i="4"/>
  <c r="V12" i="4" s="1"/>
  <c r="N12" i="4"/>
  <c r="W12" i="4" s="1"/>
  <c r="O12" i="4"/>
  <c r="X12" i="4" s="1"/>
  <c r="L127" i="4"/>
  <c r="U127" i="4" s="1"/>
  <c r="M127" i="4"/>
  <c r="V127" i="4" s="1"/>
  <c r="O127" i="4"/>
  <c r="X127" i="4" s="1"/>
  <c r="P127" i="4"/>
  <c r="Y127" i="4" s="1"/>
  <c r="T122" i="4"/>
  <c r="T106" i="4"/>
  <c r="T98" i="4"/>
  <c r="T82" i="4"/>
  <c r="T74" i="4"/>
  <c r="T66" i="4"/>
  <c r="T50" i="4"/>
  <c r="T34" i="4"/>
  <c r="T26" i="4"/>
  <c r="T10" i="4"/>
  <c r="N5" i="4"/>
  <c r="O134" i="4"/>
  <c r="X134" i="4" s="1"/>
  <c r="N131" i="4"/>
  <c r="W131" i="4" s="1"/>
  <c r="P129" i="4"/>
  <c r="Y129" i="4" s="1"/>
  <c r="L128" i="4"/>
  <c r="U128" i="4" s="1"/>
  <c r="O121" i="4"/>
  <c r="X121" i="4" s="1"/>
  <c r="N110" i="4"/>
  <c r="W110" i="4" s="1"/>
  <c r="O97" i="4"/>
  <c r="X97" i="4" s="1"/>
  <c r="P84" i="4"/>
  <c r="Y84" i="4" s="1"/>
  <c r="L72" i="4"/>
  <c r="U72" i="4" s="1"/>
  <c r="N46" i="4"/>
  <c r="W46" i="4" s="1"/>
  <c r="O33" i="4"/>
  <c r="X33" i="4" s="1"/>
  <c r="P20" i="4"/>
  <c r="Y20" i="4" s="1"/>
  <c r="L114" i="4"/>
  <c r="U114" i="4" s="1"/>
  <c r="M114" i="4"/>
  <c r="V114" i="4" s="1"/>
  <c r="N114" i="4"/>
  <c r="W114" i="4" s="1"/>
  <c r="O114" i="4"/>
  <c r="X114" i="4" s="1"/>
  <c r="P114" i="4"/>
  <c r="Y114" i="4" s="1"/>
  <c r="L90" i="4"/>
  <c r="U90" i="4" s="1"/>
  <c r="M90" i="4"/>
  <c r="V90" i="4" s="1"/>
  <c r="N90" i="4"/>
  <c r="W90" i="4" s="1"/>
  <c r="O90" i="4"/>
  <c r="X90" i="4" s="1"/>
  <c r="P90" i="4"/>
  <c r="Y90" i="4" s="1"/>
  <c r="L58" i="4"/>
  <c r="U58" i="4" s="1"/>
  <c r="M58" i="4"/>
  <c r="V58" i="4" s="1"/>
  <c r="N58" i="4"/>
  <c r="W58" i="4" s="1"/>
  <c r="O58" i="4"/>
  <c r="X58" i="4" s="1"/>
  <c r="P58" i="4"/>
  <c r="Y58" i="4" s="1"/>
  <c r="L42" i="4"/>
  <c r="U42" i="4" s="1"/>
  <c r="M42" i="4"/>
  <c r="V42" i="4" s="1"/>
  <c r="N42" i="4"/>
  <c r="W42" i="4" s="1"/>
  <c r="O42" i="4"/>
  <c r="X42" i="4" s="1"/>
  <c r="P42" i="4"/>
  <c r="Y42" i="4" s="1"/>
  <c r="L18" i="4"/>
  <c r="U18" i="4" s="1"/>
  <c r="M18" i="4"/>
  <c r="V18" i="4" s="1"/>
  <c r="N18" i="4"/>
  <c r="W18" i="4" s="1"/>
  <c r="O18" i="4"/>
  <c r="X18" i="4" s="1"/>
  <c r="P18" i="4"/>
  <c r="Y18" i="4" s="1"/>
  <c r="L117" i="4"/>
  <c r="U117" i="4" s="1"/>
  <c r="M117" i="4"/>
  <c r="V117" i="4" s="1"/>
  <c r="N117" i="4"/>
  <c r="W117" i="4" s="1"/>
  <c r="O117" i="4"/>
  <c r="X117" i="4" s="1"/>
  <c r="P117" i="4"/>
  <c r="Y117" i="4" s="1"/>
  <c r="L93" i="4"/>
  <c r="U93" i="4" s="1"/>
  <c r="M93" i="4"/>
  <c r="V93" i="4" s="1"/>
  <c r="N93" i="4"/>
  <c r="W93" i="4" s="1"/>
  <c r="O93" i="4"/>
  <c r="X93" i="4" s="1"/>
  <c r="P93" i="4"/>
  <c r="Y93" i="4" s="1"/>
  <c r="L77" i="4"/>
  <c r="U77" i="4" s="1"/>
  <c r="M77" i="4"/>
  <c r="V77" i="4" s="1"/>
  <c r="N77" i="4"/>
  <c r="W77" i="4" s="1"/>
  <c r="O77" i="4"/>
  <c r="X77" i="4" s="1"/>
  <c r="P77" i="4"/>
  <c r="Y77" i="4" s="1"/>
  <c r="L69" i="4"/>
  <c r="U69" i="4" s="1"/>
  <c r="M69" i="4"/>
  <c r="V69" i="4" s="1"/>
  <c r="N69" i="4"/>
  <c r="W69" i="4" s="1"/>
  <c r="O69" i="4"/>
  <c r="X69" i="4" s="1"/>
  <c r="P69" i="4"/>
  <c r="Y69" i="4" s="1"/>
  <c r="L53" i="4"/>
  <c r="U53" i="4" s="1"/>
  <c r="M53" i="4"/>
  <c r="V53" i="4" s="1"/>
  <c r="N53" i="4"/>
  <c r="W53" i="4" s="1"/>
  <c r="O53" i="4"/>
  <c r="X53" i="4" s="1"/>
  <c r="P53" i="4"/>
  <c r="Y53" i="4" s="1"/>
  <c r="L37" i="4"/>
  <c r="U37" i="4" s="1"/>
  <c r="M37" i="4"/>
  <c r="V37" i="4" s="1"/>
  <c r="N37" i="4"/>
  <c r="W37" i="4" s="1"/>
  <c r="O37" i="4"/>
  <c r="X37" i="4" s="1"/>
  <c r="P37" i="4"/>
  <c r="Y37" i="4" s="1"/>
  <c r="L21" i="4"/>
  <c r="U21" i="4" s="1"/>
  <c r="M21" i="4"/>
  <c r="V21" i="4" s="1"/>
  <c r="N21" i="4"/>
  <c r="W21" i="4" s="1"/>
  <c r="O21" i="4"/>
  <c r="X21" i="4" s="1"/>
  <c r="P21" i="4"/>
  <c r="Y21" i="4" s="1"/>
  <c r="L13" i="4"/>
  <c r="U13" i="4" s="1"/>
  <c r="M13" i="4"/>
  <c r="V13" i="4" s="1"/>
  <c r="N13" i="4"/>
  <c r="W13" i="4" s="1"/>
  <c r="O13" i="4"/>
  <c r="X13" i="4" s="1"/>
  <c r="P13" i="4"/>
  <c r="Y13" i="4" s="1"/>
  <c r="N123" i="4"/>
  <c r="W123" i="4" s="1"/>
  <c r="O123" i="4"/>
  <c r="X123" i="4" s="1"/>
  <c r="P123" i="4"/>
  <c r="Y123" i="4" s="1"/>
  <c r="L123" i="4"/>
  <c r="U123" i="4" s="1"/>
  <c r="N115" i="4"/>
  <c r="W115" i="4" s="1"/>
  <c r="O115" i="4"/>
  <c r="X115" i="4" s="1"/>
  <c r="P115" i="4"/>
  <c r="Y115" i="4" s="1"/>
  <c r="L115" i="4"/>
  <c r="U115" i="4" s="1"/>
  <c r="N107" i="4"/>
  <c r="W107" i="4" s="1"/>
  <c r="O107" i="4"/>
  <c r="X107" i="4" s="1"/>
  <c r="P107" i="4"/>
  <c r="Y107" i="4" s="1"/>
  <c r="L107" i="4"/>
  <c r="U107" i="4" s="1"/>
  <c r="N99" i="4"/>
  <c r="W99" i="4" s="1"/>
  <c r="O99" i="4"/>
  <c r="X99" i="4" s="1"/>
  <c r="P99" i="4"/>
  <c r="Y99" i="4" s="1"/>
  <c r="L99" i="4"/>
  <c r="U99" i="4" s="1"/>
  <c r="N91" i="4"/>
  <c r="W91" i="4" s="1"/>
  <c r="O91" i="4"/>
  <c r="X91" i="4" s="1"/>
  <c r="P91" i="4"/>
  <c r="Y91" i="4" s="1"/>
  <c r="L91" i="4"/>
  <c r="U91" i="4" s="1"/>
  <c r="N83" i="4"/>
  <c r="W83" i="4" s="1"/>
  <c r="O83" i="4"/>
  <c r="X83" i="4" s="1"/>
  <c r="P83" i="4"/>
  <c r="Y83" i="4" s="1"/>
  <c r="L83" i="4"/>
  <c r="U83" i="4" s="1"/>
  <c r="N75" i="4"/>
  <c r="W75" i="4" s="1"/>
  <c r="O75" i="4"/>
  <c r="X75" i="4" s="1"/>
  <c r="P75" i="4"/>
  <c r="Y75" i="4" s="1"/>
  <c r="L75" i="4"/>
  <c r="U75" i="4" s="1"/>
  <c r="N67" i="4"/>
  <c r="W67" i="4" s="1"/>
  <c r="O67" i="4"/>
  <c r="X67" i="4" s="1"/>
  <c r="P67" i="4"/>
  <c r="Y67" i="4" s="1"/>
  <c r="L67" i="4"/>
  <c r="U67" i="4" s="1"/>
  <c r="N59" i="4"/>
  <c r="W59" i="4" s="1"/>
  <c r="O59" i="4"/>
  <c r="X59" i="4" s="1"/>
  <c r="P59" i="4"/>
  <c r="Y59" i="4" s="1"/>
  <c r="L59" i="4"/>
  <c r="U59" i="4" s="1"/>
  <c r="N51" i="4"/>
  <c r="W51" i="4" s="1"/>
  <c r="O51" i="4"/>
  <c r="X51" i="4" s="1"/>
  <c r="P51" i="4"/>
  <c r="Y51" i="4" s="1"/>
  <c r="L51" i="4"/>
  <c r="U51" i="4" s="1"/>
  <c r="N43" i="4"/>
  <c r="W43" i="4" s="1"/>
  <c r="O43" i="4"/>
  <c r="X43" i="4" s="1"/>
  <c r="P43" i="4"/>
  <c r="Y43" i="4" s="1"/>
  <c r="L43" i="4"/>
  <c r="U43" i="4" s="1"/>
  <c r="N35" i="4"/>
  <c r="W35" i="4" s="1"/>
  <c r="O35" i="4"/>
  <c r="X35" i="4" s="1"/>
  <c r="P35" i="4"/>
  <c r="Y35" i="4" s="1"/>
  <c r="L35" i="4"/>
  <c r="U35" i="4" s="1"/>
  <c r="N27" i="4"/>
  <c r="W27" i="4" s="1"/>
  <c r="O27" i="4"/>
  <c r="X27" i="4" s="1"/>
  <c r="P27" i="4"/>
  <c r="Y27" i="4" s="1"/>
  <c r="L27" i="4"/>
  <c r="U27" i="4" s="1"/>
  <c r="N19" i="4"/>
  <c r="W19" i="4" s="1"/>
  <c r="O19" i="4"/>
  <c r="X19" i="4" s="1"/>
  <c r="P19" i="4"/>
  <c r="Y19" i="4" s="1"/>
  <c r="L19" i="4"/>
  <c r="U19" i="4" s="1"/>
  <c r="N11" i="4"/>
  <c r="W11" i="4" s="1"/>
  <c r="O11" i="4"/>
  <c r="X11" i="4" s="1"/>
  <c r="P11" i="4"/>
  <c r="Y11" i="4" s="1"/>
  <c r="L11" i="4"/>
  <c r="U11" i="4" s="1"/>
  <c r="O126" i="4"/>
  <c r="X126" i="4" s="1"/>
  <c r="P126" i="4"/>
  <c r="Y126" i="4" s="1"/>
  <c r="L126" i="4"/>
  <c r="U126" i="4" s="1"/>
  <c r="M126" i="4"/>
  <c r="V126" i="4" s="1"/>
  <c r="T129" i="4"/>
  <c r="T121" i="4"/>
  <c r="T113" i="4"/>
  <c r="T105" i="4"/>
  <c r="T97" i="4"/>
  <c r="T89" i="4"/>
  <c r="T81" i="4"/>
  <c r="T73" i="4"/>
  <c r="T65" i="4"/>
  <c r="T57" i="4"/>
  <c r="T49" i="4"/>
  <c r="T41" i="4"/>
  <c r="T33" i="4"/>
  <c r="T25" i="4"/>
  <c r="T17" i="4"/>
  <c r="T9" i="4"/>
  <c r="N127" i="4"/>
  <c r="W127" i="4" s="1"/>
  <c r="L121" i="4"/>
  <c r="U121" i="4" s="1"/>
  <c r="P108" i="4"/>
  <c r="Y108" i="4" s="1"/>
  <c r="L96" i="4"/>
  <c r="U96" i="4" s="1"/>
  <c r="M83" i="4"/>
  <c r="V83" i="4" s="1"/>
  <c r="N70" i="4"/>
  <c r="W70" i="4" s="1"/>
  <c r="O57" i="4"/>
  <c r="X57" i="4" s="1"/>
  <c r="P44" i="4"/>
  <c r="Y44" i="4" s="1"/>
  <c r="L32" i="4"/>
  <c r="U32" i="4" s="1"/>
  <c r="M19" i="4"/>
  <c r="V19" i="4" s="1"/>
  <c r="V136" i="4" l="1"/>
  <c r="AP74" i="5"/>
  <c r="AP90" i="5"/>
  <c r="AP97" i="5"/>
  <c r="AP10" i="5"/>
  <c r="Y5" i="4"/>
  <c r="Y136" i="4" s="1"/>
  <c r="P136" i="4"/>
  <c r="W5" i="4"/>
  <c r="W136" i="4" s="1"/>
  <c r="N136" i="4"/>
  <c r="X5" i="4"/>
  <c r="X136" i="4" s="1"/>
  <c r="O136" i="4"/>
  <c r="U5" i="4"/>
  <c r="U136" i="4" s="1"/>
  <c r="L136" i="4"/>
  <c r="M136" i="4"/>
</calcChain>
</file>

<file path=xl/sharedStrings.xml><?xml version="1.0" encoding="utf-8"?>
<sst xmlns="http://schemas.openxmlformats.org/spreadsheetml/2006/main" count="951" uniqueCount="267">
  <si>
    <t>_date_</t>
  </si>
  <si>
    <t>y_sagr_0</t>
  </si>
  <si>
    <t>y_smet_0</t>
  </si>
  <si>
    <t>y_schem_0</t>
  </si>
  <si>
    <t>y_spla_0</t>
  </si>
  <si>
    <t>y_sgla_0</t>
  </si>
  <si>
    <t>y_spap_0</t>
  </si>
  <si>
    <t>y_sfoo_0</t>
  </si>
  <si>
    <t>y_sres_0</t>
  </si>
  <si>
    <t>y_sroa_0</t>
  </si>
  <si>
    <t>y_swat_0</t>
  </si>
  <si>
    <t>y_sair_0</t>
  </si>
  <si>
    <t>y_scoa_0</t>
  </si>
  <si>
    <t>y_soil_0</t>
  </si>
  <si>
    <t>y_spen_0</t>
  </si>
  <si>
    <t>y_spch_0</t>
  </si>
  <si>
    <t>y_sgas_0</t>
  </si>
  <si>
    <t>y_sgasb_0</t>
  </si>
  <si>
    <t>y_sbiom_0</t>
  </si>
  <si>
    <t>y_sbiof_0</t>
  </si>
  <si>
    <t>y_sesf_0</t>
  </si>
  <si>
    <t>y_sega_0</t>
  </si>
  <si>
    <t>y_sehy_0</t>
  </si>
  <si>
    <t>y_sewi_0</t>
  </si>
  <si>
    <t>y_seso_0</t>
  </si>
  <si>
    <t>y_sebi_0</t>
  </si>
  <si>
    <t>y_senu_0</t>
  </si>
  <si>
    <t>y_shea_0</t>
  </si>
  <si>
    <t>va_sagr_0</t>
  </si>
  <si>
    <t>va_smet_0</t>
  </si>
  <si>
    <t>va_schem_0</t>
  </si>
  <si>
    <t>va_spla_0</t>
  </si>
  <si>
    <t>va_sgla_0</t>
  </si>
  <si>
    <t>va_spap_0</t>
  </si>
  <si>
    <t>va_sfoo_0</t>
  </si>
  <si>
    <t>va_sres_0</t>
  </si>
  <si>
    <t>va_sroa_0</t>
  </si>
  <si>
    <t>va_swat_0</t>
  </si>
  <si>
    <t>va_sair_0</t>
  </si>
  <si>
    <t>va_scoa_0</t>
  </si>
  <si>
    <t>va_soil_0</t>
  </si>
  <si>
    <t>va_spen_0</t>
  </si>
  <si>
    <t>va_spch_0</t>
  </si>
  <si>
    <t>va_sgas_0</t>
  </si>
  <si>
    <t>va_sgasb_0</t>
  </si>
  <si>
    <t>va_sbiom_0</t>
  </si>
  <si>
    <t>va_sbiof_0</t>
  </si>
  <si>
    <t>va_sesf_0</t>
  </si>
  <si>
    <t>va_sega_0</t>
  </si>
  <si>
    <t>va_sehy_0</t>
  </si>
  <si>
    <t>va_sewi_0</t>
  </si>
  <si>
    <t>va_seso_0</t>
  </si>
  <si>
    <t>va_sebi_0</t>
  </si>
  <si>
    <t>va_senu_0</t>
  </si>
  <si>
    <t>va_shea_0</t>
  </si>
  <si>
    <t>f_l_sagr_0</t>
  </si>
  <si>
    <t>f_l_smet_0</t>
  </si>
  <si>
    <t>f_l_schem_0</t>
  </si>
  <si>
    <t>f_l_spla_0</t>
  </si>
  <si>
    <t>f_l_sgla_0</t>
  </si>
  <si>
    <t>f_l_spap_0</t>
  </si>
  <si>
    <t>f_l_sfoo_0</t>
  </si>
  <si>
    <t>f_l_sres_0</t>
  </si>
  <si>
    <t>f_l_sroa_0</t>
  </si>
  <si>
    <t>f_l_swat_0</t>
  </si>
  <si>
    <t>f_l_sair_0</t>
  </si>
  <si>
    <t>f_l_scoa_0</t>
  </si>
  <si>
    <t>f_l_soil_0</t>
  </si>
  <si>
    <t>f_l_spen_0</t>
  </si>
  <si>
    <t>f_l_spch_0</t>
  </si>
  <si>
    <t>f_l_sgas_0</t>
  </si>
  <si>
    <t>f_l_sgasb_0</t>
  </si>
  <si>
    <t>f_l_sbiom_0</t>
  </si>
  <si>
    <t>f_l_sbiof_0</t>
  </si>
  <si>
    <t>f_l_sesf_0</t>
  </si>
  <si>
    <t>f_l_sega_0</t>
  </si>
  <si>
    <t>f_l_sehy_0</t>
  </si>
  <si>
    <t>f_l_sewi_0</t>
  </si>
  <si>
    <t>f_l_seso_0</t>
  </si>
  <si>
    <t>f_l_sebi_0</t>
  </si>
  <si>
    <t>f_l_senu_0</t>
  </si>
  <si>
    <t>f_l_shea_0</t>
  </si>
  <si>
    <t>pyqs_cagr_0</t>
  </si>
  <si>
    <t>pyqs_cmet_0</t>
  </si>
  <si>
    <t>pyqs_cchem_0</t>
  </si>
  <si>
    <t>pyqs_cpla_0</t>
  </si>
  <si>
    <t>pyqs_cgla_0</t>
  </si>
  <si>
    <t>pyqs_cpap_0</t>
  </si>
  <si>
    <t>pyqs_cfoo_0</t>
  </si>
  <si>
    <t>pyqs_cres_0</t>
  </si>
  <si>
    <t>pyqs_croa_0</t>
  </si>
  <si>
    <t>pyqs_cwat_0</t>
  </si>
  <si>
    <t>pyqs_cair_0</t>
  </si>
  <si>
    <t>pyqs_ccoa_0</t>
  </si>
  <si>
    <t>pyqs_coil_0</t>
  </si>
  <si>
    <t>pyqs_cfue_0</t>
  </si>
  <si>
    <t>pyqs_cpch_0</t>
  </si>
  <si>
    <t>pyqs_cele_0</t>
  </si>
  <si>
    <t>pyqs_cgas_0</t>
  </si>
  <si>
    <t>pyqs_cmga_0</t>
  </si>
  <si>
    <t>pyqs_cbiog_0</t>
  </si>
  <si>
    <t>pyqs_cbiom_0</t>
  </si>
  <si>
    <t>pyqs_cbiof_0</t>
  </si>
  <si>
    <t>pyqs_chea_0</t>
  </si>
  <si>
    <t>ems_ci_co2_sagr_0</t>
  </si>
  <si>
    <t>ems_ci_co2_smet_0</t>
  </si>
  <si>
    <t>ems_ci_co2_schem_0</t>
  </si>
  <si>
    <t>ems_ci_co2_spla_0</t>
  </si>
  <si>
    <t>ems_ci_co2_sgla_0</t>
  </si>
  <si>
    <t>ems_ci_co2_spap_0</t>
  </si>
  <si>
    <t>ems_ci_co2_sfoo_0</t>
  </si>
  <si>
    <t>ems_ci_co2_sres_0</t>
  </si>
  <si>
    <t>ems_ci_co2_sroa_0</t>
  </si>
  <si>
    <t>ems_ci_co2_swat_0</t>
  </si>
  <si>
    <t>ems_ci_co2_sair_0</t>
  </si>
  <si>
    <t>ems_ci_co2_scoa_0</t>
  </si>
  <si>
    <t>ems_ci_co2_soil_0</t>
  </si>
  <si>
    <t>ems_ci_co2_spen_0</t>
  </si>
  <si>
    <t>ems_ci_co2_spch_0</t>
  </si>
  <si>
    <t>ems_ci_co2_sgas_0</t>
  </si>
  <si>
    <t>ems_ci_co2_sgasb_0</t>
  </si>
  <si>
    <t>ems_ci_co2_sbiom_0</t>
  </si>
  <si>
    <t>ems_ci_co2_sbiof_0</t>
  </si>
  <si>
    <t>ems_ci_co2_sesf_0</t>
  </si>
  <si>
    <t>ems_ci_co2_sega_0</t>
  </si>
  <si>
    <t>ems_ci_co2_sehy_0</t>
  </si>
  <si>
    <t>ems_ci_co2_sewi_0</t>
  </si>
  <si>
    <t>ems_ci_co2_seso_0</t>
  </si>
  <si>
    <t>ems_ci_co2_sebi_0</t>
  </si>
  <si>
    <t>ems_ci_co2_senu_0</t>
  </si>
  <si>
    <t>ems_ci_co2_shea_0</t>
  </si>
  <si>
    <t>ems_0</t>
  </si>
  <si>
    <t>ems_y_co2_0</t>
  </si>
  <si>
    <t>ems_ci_co2_0</t>
  </si>
  <si>
    <t>ems_mat_co2_0</t>
  </si>
  <si>
    <t>ems_ch_co2_0</t>
  </si>
  <si>
    <t>ccoa</t>
  </si>
  <si>
    <t>coil</t>
  </si>
  <si>
    <t>cfue</t>
  </si>
  <si>
    <t>cpch</t>
  </si>
  <si>
    <t>cele</t>
  </si>
  <si>
    <t>cgas</t>
  </si>
  <si>
    <t>cmga</t>
  </si>
  <si>
    <t>cbiog</t>
  </si>
  <si>
    <t>cbiom</t>
  </si>
  <si>
    <t>cbiof</t>
  </si>
  <si>
    <t>chea</t>
  </si>
  <si>
    <t>sagr</t>
  </si>
  <si>
    <t>smet</t>
  </si>
  <si>
    <t>schem</t>
  </si>
  <si>
    <t>spla</t>
  </si>
  <si>
    <t>sgla</t>
  </si>
  <si>
    <t>spap</t>
  </si>
  <si>
    <t>sfoo</t>
  </si>
  <si>
    <t>sroa</t>
  </si>
  <si>
    <t>swat</t>
  </si>
  <si>
    <t>sair</t>
  </si>
  <si>
    <t>sres</t>
  </si>
  <si>
    <t>HH</t>
  </si>
  <si>
    <t>Target values</t>
  </si>
  <si>
    <t>Fitted values</t>
  </si>
  <si>
    <t>Deviation from the target</t>
  </si>
  <si>
    <t>CO2 emissions from final consumption</t>
  </si>
  <si>
    <t>CO2 emissions from intermediate consumption</t>
  </si>
  <si>
    <t>CO2 emissions in materials</t>
  </si>
  <si>
    <t>All non-CO2 emissions</t>
  </si>
  <si>
    <t>Total CO2 emissions</t>
  </si>
  <si>
    <t>Total greenhouse gas emissions</t>
  </si>
  <si>
    <t>RATIO</t>
  </si>
  <si>
    <t>Emission intensity per euro output</t>
  </si>
  <si>
    <t>Should be sum of absolute values</t>
  </si>
  <si>
    <t>Mton CO2 eq</t>
  </si>
  <si>
    <t>mln euro</t>
  </si>
  <si>
    <t>kton/mln euro</t>
  </si>
  <si>
    <t>Total industrial CO2 emissions / Total output</t>
  </si>
  <si>
    <t>CO2 emissions connected to total output</t>
  </si>
  <si>
    <t>Landbouw</t>
  </si>
  <si>
    <t>Huishoudens</t>
  </si>
  <si>
    <t>HDO</t>
  </si>
  <si>
    <t>Bunkers</t>
  </si>
  <si>
    <t>Elektriciteitsopwekking</t>
  </si>
  <si>
    <t>Warmteopwekking (centraal)</t>
  </si>
  <si>
    <t>Basic metal non-ferro</t>
  </si>
  <si>
    <t>Basismetaal ferro</t>
  </si>
  <si>
    <t>Chemie</t>
  </si>
  <si>
    <t>Food and Beverage Industry</t>
  </si>
  <si>
    <t>Gasvoorziening</t>
  </si>
  <si>
    <t>H2 voorziening</t>
  </si>
  <si>
    <t>Industrie</t>
  </si>
  <si>
    <t>Kunstmestindustrie</t>
  </si>
  <si>
    <t>Raffinaderijen</t>
  </si>
  <si>
    <t>Waste</t>
  </si>
  <si>
    <t>Verkeer</t>
  </si>
  <si>
    <t>MWT</t>
  </si>
  <si>
    <t>LULUCF</t>
  </si>
  <si>
    <t>OPERA</t>
  </si>
  <si>
    <t>Overige landbouw</t>
  </si>
  <si>
    <t>THREEME (orig classification)</t>
  </si>
  <si>
    <t>Households</t>
  </si>
  <si>
    <t>Rest of economy</t>
  </si>
  <si>
    <t>Products of agriculture, Hunting, Forestry, and Fishing</t>
  </si>
  <si>
    <t>Land transport</t>
  </si>
  <si>
    <t>Water transport (navigation)</t>
  </si>
  <si>
    <t>Air transport (aviation)</t>
  </si>
  <si>
    <t>Production of natural gas</t>
  </si>
  <si>
    <t>Production of bio gas</t>
  </si>
  <si>
    <t>Production of biomass</t>
  </si>
  <si>
    <t>Production of biofuels</t>
  </si>
  <si>
    <t>Electricity production by solid fossil fuels</t>
  </si>
  <si>
    <t>Electricity production by gas</t>
  </si>
  <si>
    <t>Electricity production by petroleum</t>
  </si>
  <si>
    <t>Electricity production by hydro</t>
  </si>
  <si>
    <t>Electricity production by wind</t>
  </si>
  <si>
    <t>Electricity production by solar photovoltaic and solar thermal</t>
  </si>
  <si>
    <t>Electricity production by biomass and biofuels</t>
  </si>
  <si>
    <t>Electricity production by nuclear</t>
  </si>
  <si>
    <t>Heat</t>
  </si>
  <si>
    <t>Crude oil</t>
  </si>
  <si>
    <t>Mining and production of coal products</t>
  </si>
  <si>
    <t>Production and refining of petroleum products for energy use</t>
  </si>
  <si>
    <t>Production and refining of petroleum products for chemical use</t>
  </si>
  <si>
    <t>Food products and beverages</t>
  </si>
  <si>
    <t>Basic metals (Steel, Aluminum, Zinc)</t>
  </si>
  <si>
    <t>Chemical products (Nitric Acid, Urea, Chlorine,  other)</t>
  </si>
  <si>
    <t>Paper and paperboard</t>
  </si>
  <si>
    <t>non-metallic mineral products (Glass, Ceramic)</t>
  </si>
  <si>
    <t>Rubber and Plastic (Ethylene, Propylene,  other HVC)</t>
  </si>
  <si>
    <t>Co2 emission from energy use</t>
  </si>
  <si>
    <t>Total output</t>
  </si>
  <si>
    <t>index</t>
  </si>
  <si>
    <t xml:space="preserve">Is this realistic? </t>
  </si>
  <si>
    <t>Total value added</t>
  </si>
  <si>
    <t>Index value added</t>
  </si>
  <si>
    <t>Total employment</t>
  </si>
  <si>
    <t>Index employment</t>
  </si>
  <si>
    <t>1000 fte??</t>
  </si>
  <si>
    <t>1001 fte??</t>
  </si>
  <si>
    <t>1002 fte??</t>
  </si>
  <si>
    <t>1003 fte??</t>
  </si>
  <si>
    <t>1004 fte??</t>
  </si>
  <si>
    <t>1005 fte??</t>
  </si>
  <si>
    <t>1006 fte??</t>
  </si>
  <si>
    <t>1007 fte??</t>
  </si>
  <si>
    <t>1008 fte??</t>
  </si>
  <si>
    <t>1009 fte??</t>
  </si>
  <si>
    <t>1010 fte??</t>
  </si>
  <si>
    <t>1011 fte??</t>
  </si>
  <si>
    <t>1012 fte??</t>
  </si>
  <si>
    <t>1013 fte??</t>
  </si>
  <si>
    <t>1014 fte??</t>
  </si>
  <si>
    <t>1015 fte??</t>
  </si>
  <si>
    <t>1016 fte??</t>
  </si>
  <si>
    <t>1017 fte??</t>
  </si>
  <si>
    <t>1018 fte??</t>
  </si>
  <si>
    <t>1019 fte??</t>
  </si>
  <si>
    <t>1020 fte??</t>
  </si>
  <si>
    <t>1021 fte??</t>
  </si>
  <si>
    <t>1022 fte??</t>
  </si>
  <si>
    <t>1023 fte??</t>
  </si>
  <si>
    <t>1024 fte??</t>
  </si>
  <si>
    <t>1025 fte??</t>
  </si>
  <si>
    <t>1026 fte??</t>
  </si>
  <si>
    <t>Index output</t>
  </si>
  <si>
    <t>CPI</t>
  </si>
  <si>
    <t>PCH_0</t>
  </si>
  <si>
    <t>Market prices</t>
  </si>
  <si>
    <t>ems_c02_0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</si>
</sst>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5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i/>
      <sz val="11"/>
      <color theme="0" tint="-0.14999847407452621"/>
      <name val="Calibri"/>
      <family val="2"/>
      <scheme val="minor"/>
    </font>
    <font>
      <sz val="15"/>
      <color theme="0"/>
      <name val="Calibri"/>
      <family val="2"/>
      <scheme val="minor"/>
    </font>
    <font>
      <sz val="8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14" fontId="0" fillId="0" borderId="0" xfId="0" applyNumberFormat="1"/>
    <xf numFmtId="0" fontId="2" fillId="0" borderId="0" xfId="0" applyFont="1"/>
    <xf numFmtId="4" fontId="0" fillId="0" borderId="0" xfId="0" applyNumberFormat="1"/>
    <xf numFmtId="3" fontId="1" fillId="3" borderId="0" xfId="0" applyNumberFormat="1" applyFont="1" applyFill="1"/>
    <xf numFmtId="0" fontId="1" fillId="0" borderId="0" xfId="0" applyFont="1"/>
    <xf numFmtId="4" fontId="1" fillId="3" borderId="0" xfId="0" applyNumberFormat="1" applyFont="1" applyFill="1"/>
    <xf numFmtId="164" fontId="3" fillId="2" borderId="0" xfId="0" applyNumberFormat="1" applyFont="1" applyFill="1"/>
    <xf numFmtId="164" fontId="0" fillId="4" borderId="0" xfId="0" applyNumberFormat="1" applyFill="1"/>
    <xf numFmtId="164" fontId="0" fillId="0" borderId="0" xfId="0" applyNumberFormat="1"/>
    <xf numFmtId="0" fontId="0" fillId="5" borderId="0" xfId="0" applyFill="1"/>
    <xf numFmtId="0" fontId="4" fillId="5" borderId="0" xfId="0" applyFont="1" applyFill="1"/>
    <xf numFmtId="0" fontId="5" fillId="5" borderId="0" xfId="0" applyFont="1" applyFill="1"/>
    <xf numFmtId="3" fontId="0" fillId="0" borderId="0" xfId="0" applyNumberFormat="1"/>
    <xf numFmtId="0" fontId="6" fillId="0" borderId="0" xfId="0" applyFont="1"/>
    <xf numFmtId="0" fontId="0" fillId="0" borderId="0" xfId="0" applyFont="1"/>
    <xf numFmtId="0" fontId="7" fillId="5" borderId="0" xfId="0" applyFont="1" applyFill="1"/>
    <xf numFmtId="4" fontId="1" fillId="0" borderId="0" xfId="0" applyNumberFormat="1" applyFont="1"/>
    <xf numFmtId="0" fontId="0" fillId="6" borderId="1" xfId="0" applyFill="1" applyBorder="1" applyAlignment="1">
      <alignment horizontal="center"/>
    </xf>
    <xf numFmtId="2" fontId="0" fillId="0" borderId="0" xfId="0" applyNumberFormat="1"/>
    <xf numFmtId="0" fontId="1" fillId="7" borderId="2" xfId="0" applyFont="1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4" xfId="0" applyFill="1" applyBorder="1" applyAlignment="1">
      <alignment horizontal="left" vertical="center" wrapText="1"/>
    </xf>
    <xf numFmtId="0" fontId="0" fillId="7" borderId="2" xfId="0" applyFill="1" applyBorder="1"/>
    <xf numFmtId="0" fontId="0" fillId="7" borderId="3" xfId="0" applyFill="1" applyBorder="1"/>
    <xf numFmtId="0" fontId="0" fillId="7" borderId="5" xfId="0" applyFill="1" applyBorder="1"/>
    <xf numFmtId="0" fontId="0" fillId="7" borderId="4" xfId="0" applyFill="1" applyBorder="1"/>
    <xf numFmtId="0" fontId="1" fillId="7" borderId="6" xfId="0" applyFont="1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4" borderId="9" xfId="0" applyFill="1" applyBorder="1"/>
    <xf numFmtId="0" fontId="0" fillId="7" borderId="6" xfId="0" applyFill="1" applyBorder="1"/>
    <xf numFmtId="0" fontId="0" fillId="7" borderId="7" xfId="0" applyFill="1" applyBorder="1"/>
    <xf numFmtId="0" fontId="0" fillId="7" borderId="9" xfId="0" applyFill="1" applyBorder="1"/>
    <xf numFmtId="0" fontId="0" fillId="7" borderId="8" xfId="0" applyFill="1" applyBorder="1"/>
    <xf numFmtId="0" fontId="3" fillId="7" borderId="7" xfId="0" applyFont="1" applyFill="1" applyBorder="1" applyAlignment="1">
      <alignment wrapText="1"/>
    </xf>
    <xf numFmtId="0" fontId="3" fillId="7" borderId="8" xfId="0" applyFont="1" applyFill="1" applyBorder="1" applyAlignment="1">
      <alignment wrapText="1"/>
    </xf>
    <xf numFmtId="2" fontId="0" fillId="4" borderId="0" xfId="0" applyNumberFormat="1" applyFill="1"/>
    <xf numFmtId="4" fontId="0" fillId="4" borderId="0" xfId="0" applyNumberFormat="1" applyFill="1"/>
    <xf numFmtId="2" fontId="0" fillId="8" borderId="0" xfId="0" applyNumberFormat="1" applyFill="1"/>
    <xf numFmtId="4" fontId="0" fillId="8" borderId="0" xfId="0" applyNumberFormat="1" applyFill="1"/>
    <xf numFmtId="2" fontId="0" fillId="9" borderId="0" xfId="0" applyNumberFormat="1" applyFill="1"/>
    <xf numFmtId="4" fontId="0" fillId="9" borderId="0" xfId="0" applyNumberFormat="1" applyFill="1"/>
    <xf numFmtId="2" fontId="0" fillId="10" borderId="0" xfId="0" applyNumberFormat="1" applyFill="1"/>
    <xf numFmtId="4" fontId="0" fillId="10" borderId="0" xfId="0" applyNumberFormat="1" applyFill="1"/>
    <xf numFmtId="2" fontId="0" fillId="11" borderId="0" xfId="0" applyNumberFormat="1" applyFill="1"/>
    <xf numFmtId="4" fontId="0" fillId="11" borderId="0" xfId="0" applyNumberFormat="1" applyFill="1"/>
    <xf numFmtId="2" fontId="0" fillId="12" borderId="0" xfId="0" applyNumberFormat="1" applyFill="1"/>
    <xf numFmtId="4" fontId="0" fillId="12" borderId="0" xfId="0" applyNumberFormat="1" applyFill="1"/>
    <xf numFmtId="2" fontId="0" fillId="13" borderId="0" xfId="0" applyNumberFormat="1" applyFill="1"/>
    <xf numFmtId="4" fontId="0" fillId="13" borderId="0" xfId="0" applyNumberFormat="1" applyFill="1"/>
    <xf numFmtId="2" fontId="0" fillId="14" borderId="0" xfId="0" applyNumberFormat="1" applyFill="1"/>
    <xf numFmtId="4" fontId="0" fillId="14" borderId="0" xfId="0" applyNumberFormat="1" applyFill="1"/>
    <xf numFmtId="0" fontId="2" fillId="15" borderId="0" xfId="0" applyFont="1" applyFill="1"/>
    <xf numFmtId="164" fontId="3" fillId="15" borderId="0" xfId="0" applyNumberFormat="1" applyFont="1" applyFill="1"/>
    <xf numFmtId="164" fontId="0" fillId="15" borderId="0" xfId="0" applyNumberFormat="1" applyFill="1"/>
    <xf numFmtId="0" fontId="0" fillId="15" borderId="0" xfId="0" applyFill="1"/>
    <xf numFmtId="0" fontId="0" fillId="0" borderId="0" xfId="0" applyFill="1"/>
    <xf numFmtId="4" fontId="1" fillId="0" borderId="0" xfId="0" applyNumberFormat="1" applyFont="1" applyFill="1"/>
    <xf numFmtId="164" fontId="0" fillId="0" borderId="0" xfId="0" applyNumberFormat="1" applyFill="1"/>
    <xf numFmtId="0" fontId="1" fillId="0" borderId="0" xfId="0" applyFont="1" applyFill="1"/>
    <xf numFmtId="0" fontId="0" fillId="4" borderId="3" xfId="0" applyFill="1" applyBorder="1" applyAlignment="1">
      <alignment horizontal="left"/>
    </xf>
    <xf numFmtId="0" fontId="0" fillId="4" borderId="4" xfId="0" applyFill="1" applyBorder="1" applyAlignment="1">
      <alignment horizontal="left"/>
    </xf>
    <xf numFmtId="0" fontId="0" fillId="4" borderId="3" xfId="0" applyFill="1" applyBorder="1" applyAlignment="1">
      <alignment horizontal="left" vertical="center" wrapText="1"/>
    </xf>
    <xf numFmtId="0" fontId="0" fillId="4" borderId="5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va!$B$34</c:f>
              <c:strCache>
                <c:ptCount val="1"/>
                <c:pt idx="0">
                  <c:v>va_sagr_0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va!$E$33:$AN$33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xVal>
          <c:yVal>
            <c:numRef>
              <c:f>va!$E$34:$AN$34</c:f>
              <c:numCache>
                <c:formatCode>#,##0.00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4C0-4384-90C8-BC45686CE563}"/>
            </c:ext>
          </c:extLst>
        </c:ser>
        <c:ser>
          <c:idx val="1"/>
          <c:order val="1"/>
          <c:tx>
            <c:strRef>
              <c:f>va!$B$35</c:f>
              <c:strCache>
                <c:ptCount val="1"/>
                <c:pt idx="0">
                  <c:v>va_smet_0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va!$E$33:$AN$33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xVal>
          <c:yVal>
            <c:numRef>
              <c:f>va!$E$35:$AN$35</c:f>
              <c:numCache>
                <c:formatCode>#,##0.00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4C0-4384-90C8-BC45686CE563}"/>
            </c:ext>
          </c:extLst>
        </c:ser>
        <c:ser>
          <c:idx val="2"/>
          <c:order val="2"/>
          <c:tx>
            <c:strRef>
              <c:f>va!$B$36</c:f>
              <c:strCache>
                <c:ptCount val="1"/>
                <c:pt idx="0">
                  <c:v>va_schem_0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va!$E$33:$AN$33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xVal>
          <c:yVal>
            <c:numRef>
              <c:f>va!$E$36:$AN$36</c:f>
              <c:numCache>
                <c:formatCode>#,##0.00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4C0-4384-90C8-BC45686CE563}"/>
            </c:ext>
          </c:extLst>
        </c:ser>
        <c:ser>
          <c:idx val="3"/>
          <c:order val="3"/>
          <c:tx>
            <c:strRef>
              <c:f>va!$B$37</c:f>
              <c:strCache>
                <c:ptCount val="1"/>
                <c:pt idx="0">
                  <c:v>va_spla_0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va!$E$33:$AN$33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xVal>
          <c:yVal>
            <c:numRef>
              <c:f>va!$E$37:$AN$37</c:f>
              <c:numCache>
                <c:formatCode>#,##0.00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4C0-4384-90C8-BC45686CE563}"/>
            </c:ext>
          </c:extLst>
        </c:ser>
        <c:ser>
          <c:idx val="4"/>
          <c:order val="4"/>
          <c:tx>
            <c:strRef>
              <c:f>va!$B$38</c:f>
              <c:strCache>
                <c:ptCount val="1"/>
                <c:pt idx="0">
                  <c:v>va_sgla_0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va!$E$33:$AN$33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xVal>
          <c:yVal>
            <c:numRef>
              <c:f>va!$E$38:$AN$38</c:f>
              <c:numCache>
                <c:formatCode>#,##0.00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4C0-4384-90C8-BC45686CE563}"/>
            </c:ext>
          </c:extLst>
        </c:ser>
        <c:ser>
          <c:idx val="5"/>
          <c:order val="5"/>
          <c:tx>
            <c:strRef>
              <c:f>va!$B$39</c:f>
              <c:strCache>
                <c:ptCount val="1"/>
                <c:pt idx="0">
                  <c:v>va_spap_0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va!$E$33:$AN$33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xVal>
          <c:yVal>
            <c:numRef>
              <c:f>va!$E$39:$AN$39</c:f>
              <c:numCache>
                <c:formatCode>#,##0.00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4C0-4384-90C8-BC45686CE563}"/>
            </c:ext>
          </c:extLst>
        </c:ser>
        <c:ser>
          <c:idx val="6"/>
          <c:order val="6"/>
          <c:tx>
            <c:strRef>
              <c:f>va!$B$40</c:f>
              <c:strCache>
                <c:ptCount val="1"/>
                <c:pt idx="0">
                  <c:v>va_sfoo_0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va!$E$33:$AN$33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xVal>
          <c:yVal>
            <c:numRef>
              <c:f>va!$E$40:$AN$40</c:f>
              <c:numCache>
                <c:formatCode>#,##0.00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4C0-4384-90C8-BC45686CE563}"/>
            </c:ext>
          </c:extLst>
        </c:ser>
        <c:ser>
          <c:idx val="7"/>
          <c:order val="7"/>
          <c:tx>
            <c:strRef>
              <c:f>va!$B$41</c:f>
              <c:strCache>
                <c:ptCount val="1"/>
                <c:pt idx="0">
                  <c:v>va_sres_0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va!$E$33:$AN$33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xVal>
          <c:yVal>
            <c:numRef>
              <c:f>va!$E$41:$AN$41</c:f>
              <c:numCache>
                <c:formatCode>#,##0.00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4C0-4384-90C8-BC45686CE563}"/>
            </c:ext>
          </c:extLst>
        </c:ser>
        <c:ser>
          <c:idx val="8"/>
          <c:order val="8"/>
          <c:tx>
            <c:strRef>
              <c:f>va!$B$42</c:f>
              <c:strCache>
                <c:ptCount val="1"/>
                <c:pt idx="0">
                  <c:v>va_sroa_0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va!$E$33:$AN$33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xVal>
          <c:yVal>
            <c:numRef>
              <c:f>va!$E$42:$AN$42</c:f>
              <c:numCache>
                <c:formatCode>#,##0.00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4C0-4384-90C8-BC45686CE563}"/>
            </c:ext>
          </c:extLst>
        </c:ser>
        <c:ser>
          <c:idx val="9"/>
          <c:order val="9"/>
          <c:tx>
            <c:strRef>
              <c:f>va!$B$43</c:f>
              <c:strCache>
                <c:ptCount val="1"/>
                <c:pt idx="0">
                  <c:v>va_swat_0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va!$E$33:$AN$33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xVal>
          <c:yVal>
            <c:numRef>
              <c:f>va!$E$43:$AN$43</c:f>
              <c:numCache>
                <c:formatCode>#,##0.00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94C0-4384-90C8-BC45686CE563}"/>
            </c:ext>
          </c:extLst>
        </c:ser>
        <c:ser>
          <c:idx val="10"/>
          <c:order val="10"/>
          <c:tx>
            <c:strRef>
              <c:f>va!$B$44</c:f>
              <c:strCache>
                <c:ptCount val="1"/>
                <c:pt idx="0">
                  <c:v>va_sair_0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va!$E$33:$AN$33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xVal>
          <c:yVal>
            <c:numRef>
              <c:f>va!$E$44:$AN$44</c:f>
              <c:numCache>
                <c:formatCode>#,##0.00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94C0-4384-90C8-BC45686CE5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1419071"/>
        <c:axId val="1951417407"/>
      </c:scatterChart>
      <c:valAx>
        <c:axId val="1951419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951417407"/>
        <c:crosses val="autoZero"/>
        <c:crossBetween val="midCat"/>
      </c:valAx>
      <c:valAx>
        <c:axId val="195141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9514190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va!$B$45</c:f>
              <c:strCache>
                <c:ptCount val="1"/>
                <c:pt idx="0">
                  <c:v>va_scoa_0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va!$F$33:$AO$33</c:f>
              <c:numCache>
                <c:formatCode>General</c:formatCode>
                <c:ptCount val="3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va!$F$45:$AO$45</c:f>
              <c:numCache>
                <c:formatCode>#,##0.00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6FB-457C-B2C5-C29032A28AC1}"/>
            </c:ext>
          </c:extLst>
        </c:ser>
        <c:ser>
          <c:idx val="1"/>
          <c:order val="1"/>
          <c:tx>
            <c:strRef>
              <c:f>va!$B$46</c:f>
              <c:strCache>
                <c:ptCount val="1"/>
                <c:pt idx="0">
                  <c:v>va_soil_0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va!$F$33:$AO$33</c:f>
              <c:numCache>
                <c:formatCode>General</c:formatCode>
                <c:ptCount val="3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va!$F$46:$AO$46</c:f>
              <c:numCache>
                <c:formatCode>#,##0.00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6FB-457C-B2C5-C29032A28AC1}"/>
            </c:ext>
          </c:extLst>
        </c:ser>
        <c:ser>
          <c:idx val="2"/>
          <c:order val="2"/>
          <c:tx>
            <c:strRef>
              <c:f>va!$B$47</c:f>
              <c:strCache>
                <c:ptCount val="1"/>
                <c:pt idx="0">
                  <c:v>va_spen_0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va!$F$33:$AO$33</c:f>
              <c:numCache>
                <c:formatCode>General</c:formatCode>
                <c:ptCount val="3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va!$F$47:$AO$47</c:f>
              <c:numCache>
                <c:formatCode>#,##0.00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6FB-457C-B2C5-C29032A28AC1}"/>
            </c:ext>
          </c:extLst>
        </c:ser>
        <c:ser>
          <c:idx val="3"/>
          <c:order val="3"/>
          <c:tx>
            <c:strRef>
              <c:f>va!$B$48</c:f>
              <c:strCache>
                <c:ptCount val="1"/>
                <c:pt idx="0">
                  <c:v>va_spch_0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va!$F$33:$AO$33</c:f>
              <c:numCache>
                <c:formatCode>General</c:formatCode>
                <c:ptCount val="3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va!$F$48:$AO$48</c:f>
              <c:numCache>
                <c:formatCode>#,##0.00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6FB-457C-B2C5-C29032A28AC1}"/>
            </c:ext>
          </c:extLst>
        </c:ser>
        <c:ser>
          <c:idx val="4"/>
          <c:order val="4"/>
          <c:tx>
            <c:strRef>
              <c:f>va!$B$49</c:f>
              <c:strCache>
                <c:ptCount val="1"/>
                <c:pt idx="0">
                  <c:v>va_sgas_0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va!$F$33:$AO$33</c:f>
              <c:numCache>
                <c:formatCode>General</c:formatCode>
                <c:ptCount val="3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va!$F$49:$AO$49</c:f>
              <c:numCache>
                <c:formatCode>#,##0.00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6FB-457C-B2C5-C29032A28AC1}"/>
            </c:ext>
          </c:extLst>
        </c:ser>
        <c:ser>
          <c:idx val="5"/>
          <c:order val="5"/>
          <c:tx>
            <c:strRef>
              <c:f>va!$B$50</c:f>
              <c:strCache>
                <c:ptCount val="1"/>
                <c:pt idx="0">
                  <c:v>va_sgasb_0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va!$F$33:$AO$33</c:f>
              <c:numCache>
                <c:formatCode>General</c:formatCode>
                <c:ptCount val="3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va!$F$50:$AO$50</c:f>
              <c:numCache>
                <c:formatCode>#,##0.00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6FB-457C-B2C5-C29032A28AC1}"/>
            </c:ext>
          </c:extLst>
        </c:ser>
        <c:ser>
          <c:idx val="6"/>
          <c:order val="6"/>
          <c:tx>
            <c:strRef>
              <c:f>va!$B$51</c:f>
              <c:strCache>
                <c:ptCount val="1"/>
                <c:pt idx="0">
                  <c:v>va_sbiom_0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va!$F$33:$AO$33</c:f>
              <c:numCache>
                <c:formatCode>General</c:formatCode>
                <c:ptCount val="3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va!$F$51:$AO$51</c:f>
              <c:numCache>
                <c:formatCode>#,##0.00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6FB-457C-B2C5-C29032A28AC1}"/>
            </c:ext>
          </c:extLst>
        </c:ser>
        <c:ser>
          <c:idx val="7"/>
          <c:order val="7"/>
          <c:tx>
            <c:strRef>
              <c:f>va!$B$52</c:f>
              <c:strCache>
                <c:ptCount val="1"/>
                <c:pt idx="0">
                  <c:v>va_sbiof_0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va!$F$33:$AO$33</c:f>
              <c:numCache>
                <c:formatCode>General</c:formatCode>
                <c:ptCount val="3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va!$F$52:$AO$52</c:f>
              <c:numCache>
                <c:formatCode>#,##0.00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6FB-457C-B2C5-C29032A28A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1419071"/>
        <c:axId val="1951417407"/>
      </c:scatterChart>
      <c:valAx>
        <c:axId val="1951419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951417407"/>
        <c:crosses val="autoZero"/>
        <c:crossBetween val="midCat"/>
      </c:valAx>
      <c:valAx>
        <c:axId val="195141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9514190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va!$B$53</c:f>
              <c:strCache>
                <c:ptCount val="1"/>
                <c:pt idx="0">
                  <c:v>va_sesf_0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va!$F$33:$AO$33</c:f>
              <c:numCache>
                <c:formatCode>General</c:formatCode>
                <c:ptCount val="3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va!$F$53:$AO$53</c:f>
              <c:numCache>
                <c:formatCode>#,##0.00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06E-42F3-BFEC-0876AB04BACA}"/>
            </c:ext>
          </c:extLst>
        </c:ser>
        <c:ser>
          <c:idx val="1"/>
          <c:order val="1"/>
          <c:tx>
            <c:strRef>
              <c:f>va!$B$54</c:f>
              <c:strCache>
                <c:ptCount val="1"/>
                <c:pt idx="0">
                  <c:v>va_sega_0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va!$F$33:$AO$33</c:f>
              <c:numCache>
                <c:formatCode>General</c:formatCode>
                <c:ptCount val="3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va!$F$54:$AO$54</c:f>
              <c:numCache>
                <c:formatCode>#,##0.00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06E-42F3-BFEC-0876AB04BACA}"/>
            </c:ext>
          </c:extLst>
        </c:ser>
        <c:ser>
          <c:idx val="2"/>
          <c:order val="2"/>
          <c:tx>
            <c:strRef>
              <c:f>va!$B$55</c:f>
              <c:strCache>
                <c:ptCount val="1"/>
                <c:pt idx="0">
                  <c:v>va_sehy_0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va!$F$33:$AO$33</c:f>
              <c:numCache>
                <c:formatCode>General</c:formatCode>
                <c:ptCount val="3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va!$F$55:$AO$55</c:f>
              <c:numCache>
                <c:formatCode>#,##0.00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06E-42F3-BFEC-0876AB04BACA}"/>
            </c:ext>
          </c:extLst>
        </c:ser>
        <c:ser>
          <c:idx val="3"/>
          <c:order val="3"/>
          <c:tx>
            <c:strRef>
              <c:f>va!$B$56</c:f>
              <c:strCache>
                <c:ptCount val="1"/>
                <c:pt idx="0">
                  <c:v>va_sewi_0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va!$F$33:$AO$33</c:f>
              <c:numCache>
                <c:formatCode>General</c:formatCode>
                <c:ptCount val="3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va!$F$56:$AO$56</c:f>
              <c:numCache>
                <c:formatCode>#,##0.00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06E-42F3-BFEC-0876AB04BACA}"/>
            </c:ext>
          </c:extLst>
        </c:ser>
        <c:ser>
          <c:idx val="4"/>
          <c:order val="4"/>
          <c:tx>
            <c:strRef>
              <c:f>va!$B$57</c:f>
              <c:strCache>
                <c:ptCount val="1"/>
                <c:pt idx="0">
                  <c:v>va_seso_0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va!$F$33:$AO$33</c:f>
              <c:numCache>
                <c:formatCode>General</c:formatCode>
                <c:ptCount val="3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va!$F$57:$AO$57</c:f>
              <c:numCache>
                <c:formatCode>#,##0.00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06E-42F3-BFEC-0876AB04BACA}"/>
            </c:ext>
          </c:extLst>
        </c:ser>
        <c:ser>
          <c:idx val="5"/>
          <c:order val="5"/>
          <c:tx>
            <c:strRef>
              <c:f>va!$B$58</c:f>
              <c:strCache>
                <c:ptCount val="1"/>
                <c:pt idx="0">
                  <c:v>va_sebi_0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va!$F$33:$AO$33</c:f>
              <c:numCache>
                <c:formatCode>General</c:formatCode>
                <c:ptCount val="3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va!$F$58:$AO$58</c:f>
              <c:numCache>
                <c:formatCode>#,##0.00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06E-42F3-BFEC-0876AB04BACA}"/>
            </c:ext>
          </c:extLst>
        </c:ser>
        <c:ser>
          <c:idx val="6"/>
          <c:order val="6"/>
          <c:tx>
            <c:strRef>
              <c:f>va!$B$59</c:f>
              <c:strCache>
                <c:ptCount val="1"/>
                <c:pt idx="0">
                  <c:v>va_senu_0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va!$F$33:$AO$33</c:f>
              <c:numCache>
                <c:formatCode>General</c:formatCode>
                <c:ptCount val="3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va!$F$59:$AO$59</c:f>
              <c:numCache>
                <c:formatCode>#,##0.00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06E-42F3-BFEC-0876AB04BACA}"/>
            </c:ext>
          </c:extLst>
        </c:ser>
        <c:ser>
          <c:idx val="7"/>
          <c:order val="7"/>
          <c:tx>
            <c:strRef>
              <c:f>va!$B$60</c:f>
              <c:strCache>
                <c:ptCount val="1"/>
                <c:pt idx="0">
                  <c:v>va_shea_0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va!$F$33:$AO$33</c:f>
              <c:numCache>
                <c:formatCode>General</c:formatCode>
                <c:ptCount val="3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xVal>
          <c:yVal>
            <c:numRef>
              <c:f>va!$F$60:$AO$60</c:f>
              <c:numCache>
                <c:formatCode>#,##0.00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F06E-42F3-BFEC-0876AB04BA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1419071"/>
        <c:axId val="1951417407"/>
      </c:scatterChart>
      <c:valAx>
        <c:axId val="1951419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951417407"/>
        <c:crosses val="autoZero"/>
        <c:crossBetween val="midCat"/>
      </c:valAx>
      <c:valAx>
        <c:axId val="195141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9514190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Employment!$B$34:$D$34</c:f>
              <c:strCache>
                <c:ptCount val="3"/>
                <c:pt idx="0">
                  <c:v>f_l_sagr_0</c:v>
                </c:pt>
                <c:pt idx="2">
                  <c:v>index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Employment!$E$33:$AN$33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xVal>
          <c:yVal>
            <c:numRef>
              <c:f>Employment!$E$34:$AN$34</c:f>
              <c:numCache>
                <c:formatCode>#,##0.00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490-464F-A9C0-9503732EB214}"/>
            </c:ext>
          </c:extLst>
        </c:ser>
        <c:ser>
          <c:idx val="1"/>
          <c:order val="1"/>
          <c:tx>
            <c:strRef>
              <c:f>Employment!$B$35:$D$35</c:f>
              <c:strCache>
                <c:ptCount val="3"/>
                <c:pt idx="0">
                  <c:v>f_l_smet_0</c:v>
                </c:pt>
                <c:pt idx="2">
                  <c:v>index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Employment!$E$33:$AN$33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xVal>
          <c:yVal>
            <c:numRef>
              <c:f>Employment!$E$35:$AN$35</c:f>
              <c:numCache>
                <c:formatCode>#,##0.00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490-464F-A9C0-9503732EB214}"/>
            </c:ext>
          </c:extLst>
        </c:ser>
        <c:ser>
          <c:idx val="2"/>
          <c:order val="2"/>
          <c:tx>
            <c:strRef>
              <c:f>Employment!$B$36:$D$36</c:f>
              <c:strCache>
                <c:ptCount val="3"/>
                <c:pt idx="0">
                  <c:v>f_l_schem_0</c:v>
                </c:pt>
                <c:pt idx="2">
                  <c:v>index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Employment!$E$33:$AN$33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xVal>
          <c:yVal>
            <c:numRef>
              <c:f>Employment!$E$36:$AN$36</c:f>
              <c:numCache>
                <c:formatCode>#,##0.00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490-464F-A9C0-9503732EB214}"/>
            </c:ext>
          </c:extLst>
        </c:ser>
        <c:ser>
          <c:idx val="3"/>
          <c:order val="3"/>
          <c:tx>
            <c:strRef>
              <c:f>Employment!$B$37:$D$37</c:f>
              <c:strCache>
                <c:ptCount val="3"/>
                <c:pt idx="0">
                  <c:v>f_l_spla_0</c:v>
                </c:pt>
                <c:pt idx="2">
                  <c:v>index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Employment!$E$33:$AN$33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xVal>
          <c:yVal>
            <c:numRef>
              <c:f>Employment!$E$37:$AN$37</c:f>
              <c:numCache>
                <c:formatCode>#,##0.00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490-464F-A9C0-9503732EB214}"/>
            </c:ext>
          </c:extLst>
        </c:ser>
        <c:ser>
          <c:idx val="4"/>
          <c:order val="4"/>
          <c:tx>
            <c:strRef>
              <c:f>Employment!$B$38:$D$38</c:f>
              <c:strCache>
                <c:ptCount val="3"/>
                <c:pt idx="0">
                  <c:v>f_l_sgla_0</c:v>
                </c:pt>
                <c:pt idx="2">
                  <c:v>index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Employment!$E$33:$AN$33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xVal>
          <c:yVal>
            <c:numRef>
              <c:f>Employment!$E$38:$AN$38</c:f>
              <c:numCache>
                <c:formatCode>#,##0.00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490-464F-A9C0-9503732EB214}"/>
            </c:ext>
          </c:extLst>
        </c:ser>
        <c:ser>
          <c:idx val="5"/>
          <c:order val="5"/>
          <c:tx>
            <c:strRef>
              <c:f>Employment!$B$39:$D$39</c:f>
              <c:strCache>
                <c:ptCount val="3"/>
                <c:pt idx="0">
                  <c:v>f_l_spap_0</c:v>
                </c:pt>
                <c:pt idx="2">
                  <c:v>index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Employment!$E$33:$AN$33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xVal>
          <c:yVal>
            <c:numRef>
              <c:f>Employment!$E$39:$AN$39</c:f>
              <c:numCache>
                <c:formatCode>#,##0.00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490-464F-A9C0-9503732EB214}"/>
            </c:ext>
          </c:extLst>
        </c:ser>
        <c:ser>
          <c:idx val="6"/>
          <c:order val="6"/>
          <c:tx>
            <c:strRef>
              <c:f>Employment!$B$40:$D$40</c:f>
              <c:strCache>
                <c:ptCount val="3"/>
                <c:pt idx="0">
                  <c:v>f_l_sfoo_0</c:v>
                </c:pt>
                <c:pt idx="2">
                  <c:v>index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Employment!$E$33:$AN$33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xVal>
          <c:yVal>
            <c:numRef>
              <c:f>Employment!$E$40:$AN$40</c:f>
              <c:numCache>
                <c:formatCode>#,##0.00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490-464F-A9C0-9503732EB214}"/>
            </c:ext>
          </c:extLst>
        </c:ser>
        <c:ser>
          <c:idx val="7"/>
          <c:order val="7"/>
          <c:tx>
            <c:strRef>
              <c:f>Employment!$B$41:$D$41</c:f>
              <c:strCache>
                <c:ptCount val="3"/>
                <c:pt idx="0">
                  <c:v>f_l_sres_0</c:v>
                </c:pt>
                <c:pt idx="2">
                  <c:v>index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Employment!$E$33:$AN$33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xVal>
          <c:yVal>
            <c:numRef>
              <c:f>Employment!$E$41:$AN$41</c:f>
              <c:numCache>
                <c:formatCode>#,##0.00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490-464F-A9C0-9503732EB214}"/>
            </c:ext>
          </c:extLst>
        </c:ser>
        <c:ser>
          <c:idx val="8"/>
          <c:order val="8"/>
          <c:tx>
            <c:strRef>
              <c:f>Employment!$B$42:$D$42</c:f>
              <c:strCache>
                <c:ptCount val="3"/>
                <c:pt idx="0">
                  <c:v>f_l_sroa_0</c:v>
                </c:pt>
                <c:pt idx="2">
                  <c:v>index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Employment!$E$33:$AN$33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xVal>
          <c:yVal>
            <c:numRef>
              <c:f>Employment!$E$42:$AN$42</c:f>
              <c:numCache>
                <c:formatCode>#,##0.00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490-464F-A9C0-9503732EB214}"/>
            </c:ext>
          </c:extLst>
        </c:ser>
        <c:ser>
          <c:idx val="9"/>
          <c:order val="9"/>
          <c:tx>
            <c:strRef>
              <c:f>Employment!$B$43:$D$43</c:f>
              <c:strCache>
                <c:ptCount val="3"/>
                <c:pt idx="0">
                  <c:v>f_l_swat_0</c:v>
                </c:pt>
                <c:pt idx="2">
                  <c:v>index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Employment!$E$33:$AN$33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xVal>
          <c:yVal>
            <c:numRef>
              <c:f>Employment!$E$43:$AN$43</c:f>
              <c:numCache>
                <c:formatCode>#,##0.00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9490-464F-A9C0-9503732EB214}"/>
            </c:ext>
          </c:extLst>
        </c:ser>
        <c:ser>
          <c:idx val="10"/>
          <c:order val="10"/>
          <c:tx>
            <c:strRef>
              <c:f>Employment!$B$44:$D$44</c:f>
              <c:strCache>
                <c:ptCount val="3"/>
                <c:pt idx="0">
                  <c:v>f_l_sair_0</c:v>
                </c:pt>
                <c:pt idx="2">
                  <c:v>index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Employment!$E$33:$AN$33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xVal>
          <c:yVal>
            <c:numRef>
              <c:f>Employment!$E$44:$AN$44</c:f>
              <c:numCache>
                <c:formatCode>#,##0.00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9490-464F-A9C0-9503732EB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3669104"/>
        <c:axId val="623665360"/>
      </c:scatterChart>
      <c:valAx>
        <c:axId val="623669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623665360"/>
        <c:crosses val="autoZero"/>
        <c:crossBetween val="midCat"/>
      </c:valAx>
      <c:valAx>
        <c:axId val="62366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6236691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Output!$B$34</c:f>
              <c:strCache>
                <c:ptCount val="1"/>
                <c:pt idx="0">
                  <c:v>y_sagr_0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Output!$E$33:$AN$33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xVal>
          <c:yVal>
            <c:numRef>
              <c:f>Output!$E$34:$AN$34</c:f>
              <c:numCache>
                <c:formatCode>#,##0.00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FDC-4212-82B3-D377622BB35C}"/>
            </c:ext>
          </c:extLst>
        </c:ser>
        <c:ser>
          <c:idx val="1"/>
          <c:order val="1"/>
          <c:tx>
            <c:strRef>
              <c:f>Output!$B$35</c:f>
              <c:strCache>
                <c:ptCount val="1"/>
                <c:pt idx="0">
                  <c:v>y_smet_0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Output!$E$33:$AN$33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xVal>
          <c:yVal>
            <c:numRef>
              <c:f>Output!$E$35:$AN$35</c:f>
              <c:numCache>
                <c:formatCode>#,##0.00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FDC-4212-82B3-D377622BB35C}"/>
            </c:ext>
          </c:extLst>
        </c:ser>
        <c:ser>
          <c:idx val="2"/>
          <c:order val="2"/>
          <c:tx>
            <c:strRef>
              <c:f>Output!$B$36</c:f>
              <c:strCache>
                <c:ptCount val="1"/>
                <c:pt idx="0">
                  <c:v>y_schem_0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Output!$E$33:$AN$33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xVal>
          <c:yVal>
            <c:numRef>
              <c:f>Output!$E$36:$AN$36</c:f>
              <c:numCache>
                <c:formatCode>#,##0.00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FDC-4212-82B3-D377622BB35C}"/>
            </c:ext>
          </c:extLst>
        </c:ser>
        <c:ser>
          <c:idx val="3"/>
          <c:order val="3"/>
          <c:tx>
            <c:strRef>
              <c:f>Output!$B$37</c:f>
              <c:strCache>
                <c:ptCount val="1"/>
                <c:pt idx="0">
                  <c:v>y_spla_0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Output!$E$33:$AN$33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xVal>
          <c:yVal>
            <c:numRef>
              <c:f>Output!$E$37:$AN$37</c:f>
              <c:numCache>
                <c:formatCode>#,##0.00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FDC-4212-82B3-D377622BB35C}"/>
            </c:ext>
          </c:extLst>
        </c:ser>
        <c:ser>
          <c:idx val="4"/>
          <c:order val="4"/>
          <c:tx>
            <c:strRef>
              <c:f>Output!$B$38</c:f>
              <c:strCache>
                <c:ptCount val="1"/>
                <c:pt idx="0">
                  <c:v>y_sgla_0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Output!$E$33:$AN$33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xVal>
          <c:yVal>
            <c:numRef>
              <c:f>Output!$E$38:$AN$38</c:f>
              <c:numCache>
                <c:formatCode>#,##0.00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FDC-4212-82B3-D377622BB35C}"/>
            </c:ext>
          </c:extLst>
        </c:ser>
        <c:ser>
          <c:idx val="5"/>
          <c:order val="5"/>
          <c:tx>
            <c:strRef>
              <c:f>Output!$B$39</c:f>
              <c:strCache>
                <c:ptCount val="1"/>
                <c:pt idx="0">
                  <c:v>y_spap_0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Output!$E$33:$AN$33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xVal>
          <c:yVal>
            <c:numRef>
              <c:f>Output!$E$39:$AN$39</c:f>
              <c:numCache>
                <c:formatCode>#,##0.00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FDC-4212-82B3-D377622BB35C}"/>
            </c:ext>
          </c:extLst>
        </c:ser>
        <c:ser>
          <c:idx val="6"/>
          <c:order val="6"/>
          <c:tx>
            <c:strRef>
              <c:f>Output!$B$40</c:f>
              <c:strCache>
                <c:ptCount val="1"/>
                <c:pt idx="0">
                  <c:v>y_sfoo_0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Output!$E$33:$AN$33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xVal>
          <c:yVal>
            <c:numRef>
              <c:f>Output!$E$40:$AN$40</c:f>
              <c:numCache>
                <c:formatCode>#,##0.00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FDC-4212-82B3-D377622BB35C}"/>
            </c:ext>
          </c:extLst>
        </c:ser>
        <c:ser>
          <c:idx val="7"/>
          <c:order val="7"/>
          <c:tx>
            <c:strRef>
              <c:f>Output!$B$41</c:f>
              <c:strCache>
                <c:ptCount val="1"/>
                <c:pt idx="0">
                  <c:v>y_sres_0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Output!$E$33:$AN$33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xVal>
          <c:yVal>
            <c:numRef>
              <c:f>Output!$E$41:$AN$41</c:f>
              <c:numCache>
                <c:formatCode>#,##0.00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FDC-4212-82B3-D377622BB35C}"/>
            </c:ext>
          </c:extLst>
        </c:ser>
        <c:ser>
          <c:idx val="8"/>
          <c:order val="8"/>
          <c:tx>
            <c:strRef>
              <c:f>Output!$B$42</c:f>
              <c:strCache>
                <c:ptCount val="1"/>
                <c:pt idx="0">
                  <c:v>y_sroa_0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Output!$E$33:$AN$33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xVal>
          <c:yVal>
            <c:numRef>
              <c:f>Output!$E$42:$AN$42</c:f>
              <c:numCache>
                <c:formatCode>#,##0.00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BFDC-4212-82B3-D377622BB35C}"/>
            </c:ext>
          </c:extLst>
        </c:ser>
        <c:ser>
          <c:idx val="9"/>
          <c:order val="9"/>
          <c:tx>
            <c:strRef>
              <c:f>Output!$B$43</c:f>
              <c:strCache>
                <c:ptCount val="1"/>
                <c:pt idx="0">
                  <c:v>y_swat_0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Output!$E$33:$AN$33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xVal>
          <c:yVal>
            <c:numRef>
              <c:f>Output!$E$43:$AN$43</c:f>
              <c:numCache>
                <c:formatCode>#,##0.00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BFDC-4212-82B3-D377622BB35C}"/>
            </c:ext>
          </c:extLst>
        </c:ser>
        <c:ser>
          <c:idx val="10"/>
          <c:order val="10"/>
          <c:tx>
            <c:strRef>
              <c:f>Output!$B$44</c:f>
              <c:strCache>
                <c:ptCount val="1"/>
                <c:pt idx="0">
                  <c:v>y_sair_0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Output!$E$33:$AN$33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xVal>
          <c:yVal>
            <c:numRef>
              <c:f>Output!$E$44:$AN$44</c:f>
              <c:numCache>
                <c:formatCode>#,##0.00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BFDC-4212-82B3-D377622BB3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1419071"/>
        <c:axId val="1951417407"/>
      </c:scatterChart>
      <c:valAx>
        <c:axId val="1951419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951417407"/>
        <c:crosses val="autoZero"/>
        <c:crossBetween val="midCat"/>
      </c:valAx>
      <c:valAx>
        <c:axId val="195141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9514190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Sectoral</a:t>
            </a:r>
            <a:r>
              <a:rPr lang="nl-NL" baseline="0"/>
              <a:t> output growth for all sectors minus seso, sewi and sehy</a:t>
            </a:r>
            <a:endParaRPr lang="nl-N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Output!$B$34</c:f>
              <c:strCache>
                <c:ptCount val="1"/>
                <c:pt idx="0">
                  <c:v>y_sagr_0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Output!$E$33:$AN$33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xVal>
          <c:yVal>
            <c:numRef>
              <c:f>Output!$E$34:$AN$34</c:f>
              <c:numCache>
                <c:formatCode>#,##0.00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88A-4526-8D56-8719BB167EE4}"/>
            </c:ext>
          </c:extLst>
        </c:ser>
        <c:ser>
          <c:idx val="1"/>
          <c:order val="1"/>
          <c:tx>
            <c:strRef>
              <c:f>Output!$B$35</c:f>
              <c:strCache>
                <c:ptCount val="1"/>
                <c:pt idx="0">
                  <c:v>y_smet_0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Output!$E$33:$AN$33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xVal>
          <c:yVal>
            <c:numRef>
              <c:f>Output!$E$35:$AN$35</c:f>
              <c:numCache>
                <c:formatCode>#,##0.00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88A-4526-8D56-8719BB167EE4}"/>
            </c:ext>
          </c:extLst>
        </c:ser>
        <c:ser>
          <c:idx val="2"/>
          <c:order val="2"/>
          <c:tx>
            <c:strRef>
              <c:f>Output!$B$36</c:f>
              <c:strCache>
                <c:ptCount val="1"/>
                <c:pt idx="0">
                  <c:v>y_schem_0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Output!$E$33:$AN$33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xVal>
          <c:yVal>
            <c:numRef>
              <c:f>Output!$E$36:$AN$36</c:f>
              <c:numCache>
                <c:formatCode>#,##0.00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88A-4526-8D56-8719BB167EE4}"/>
            </c:ext>
          </c:extLst>
        </c:ser>
        <c:ser>
          <c:idx val="3"/>
          <c:order val="3"/>
          <c:tx>
            <c:strRef>
              <c:f>Output!$B$37</c:f>
              <c:strCache>
                <c:ptCount val="1"/>
                <c:pt idx="0">
                  <c:v>y_spla_0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Output!$E$33:$AN$33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xVal>
          <c:yVal>
            <c:numRef>
              <c:f>Output!$E$37:$AN$37</c:f>
              <c:numCache>
                <c:formatCode>#,##0.00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88A-4526-8D56-8719BB167EE4}"/>
            </c:ext>
          </c:extLst>
        </c:ser>
        <c:ser>
          <c:idx val="4"/>
          <c:order val="4"/>
          <c:tx>
            <c:strRef>
              <c:f>Output!$B$38</c:f>
              <c:strCache>
                <c:ptCount val="1"/>
                <c:pt idx="0">
                  <c:v>y_sgla_0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Output!$E$33:$AN$33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xVal>
          <c:yVal>
            <c:numRef>
              <c:f>Output!$E$38:$AN$38</c:f>
              <c:numCache>
                <c:formatCode>#,##0.00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88A-4526-8D56-8719BB167EE4}"/>
            </c:ext>
          </c:extLst>
        </c:ser>
        <c:ser>
          <c:idx val="5"/>
          <c:order val="5"/>
          <c:tx>
            <c:strRef>
              <c:f>Output!$B$39</c:f>
              <c:strCache>
                <c:ptCount val="1"/>
                <c:pt idx="0">
                  <c:v>y_spap_0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Output!$E$33:$AN$33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xVal>
          <c:yVal>
            <c:numRef>
              <c:f>Output!$E$39:$AN$39</c:f>
              <c:numCache>
                <c:formatCode>#,##0.00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88A-4526-8D56-8719BB167EE4}"/>
            </c:ext>
          </c:extLst>
        </c:ser>
        <c:ser>
          <c:idx val="6"/>
          <c:order val="6"/>
          <c:tx>
            <c:strRef>
              <c:f>Output!$B$40</c:f>
              <c:strCache>
                <c:ptCount val="1"/>
                <c:pt idx="0">
                  <c:v>y_sfoo_0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Output!$E$33:$AN$33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xVal>
          <c:yVal>
            <c:numRef>
              <c:f>Output!$E$40:$AN$40</c:f>
              <c:numCache>
                <c:formatCode>#,##0.00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88A-4526-8D56-8719BB167EE4}"/>
            </c:ext>
          </c:extLst>
        </c:ser>
        <c:ser>
          <c:idx val="7"/>
          <c:order val="7"/>
          <c:tx>
            <c:strRef>
              <c:f>Output!$B$41</c:f>
              <c:strCache>
                <c:ptCount val="1"/>
                <c:pt idx="0">
                  <c:v>y_sres_0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Output!$E$33:$AN$33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xVal>
          <c:yVal>
            <c:numRef>
              <c:f>Output!$E$41:$AN$41</c:f>
              <c:numCache>
                <c:formatCode>#,##0.00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88A-4526-8D56-8719BB167EE4}"/>
            </c:ext>
          </c:extLst>
        </c:ser>
        <c:ser>
          <c:idx val="8"/>
          <c:order val="8"/>
          <c:tx>
            <c:strRef>
              <c:f>Output!$B$42</c:f>
              <c:strCache>
                <c:ptCount val="1"/>
                <c:pt idx="0">
                  <c:v>y_sroa_0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Output!$E$33:$AN$33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xVal>
          <c:yVal>
            <c:numRef>
              <c:f>Output!$E$42:$AN$42</c:f>
              <c:numCache>
                <c:formatCode>#,##0.00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688A-4526-8D56-8719BB167EE4}"/>
            </c:ext>
          </c:extLst>
        </c:ser>
        <c:ser>
          <c:idx val="9"/>
          <c:order val="9"/>
          <c:tx>
            <c:strRef>
              <c:f>Output!$B$43</c:f>
              <c:strCache>
                <c:ptCount val="1"/>
                <c:pt idx="0">
                  <c:v>y_swat_0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Output!$E$33:$AN$33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xVal>
          <c:yVal>
            <c:numRef>
              <c:f>Output!$E$43:$AN$43</c:f>
              <c:numCache>
                <c:formatCode>#,##0.00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688A-4526-8D56-8719BB167EE4}"/>
            </c:ext>
          </c:extLst>
        </c:ser>
        <c:ser>
          <c:idx val="10"/>
          <c:order val="10"/>
          <c:tx>
            <c:strRef>
              <c:f>Output!$B$44</c:f>
              <c:strCache>
                <c:ptCount val="1"/>
                <c:pt idx="0">
                  <c:v>y_sair_0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Output!$E$33:$AN$33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xVal>
          <c:yVal>
            <c:numRef>
              <c:f>Output!$E$44:$AN$44</c:f>
              <c:numCache>
                <c:formatCode>#,##0.00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688A-4526-8D56-8719BB167EE4}"/>
            </c:ext>
          </c:extLst>
        </c:ser>
        <c:ser>
          <c:idx val="11"/>
          <c:order val="11"/>
          <c:tx>
            <c:strRef>
              <c:f>Output!$B$45</c:f>
              <c:strCache>
                <c:ptCount val="1"/>
                <c:pt idx="0">
                  <c:v>y_scoa_0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Output!$E$33:$AN$33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xVal>
          <c:yVal>
            <c:numRef>
              <c:f>Output!$E$45:$AN$45</c:f>
              <c:numCache>
                <c:formatCode>#,##0.00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688A-4526-8D56-8719BB167EE4}"/>
            </c:ext>
          </c:extLst>
        </c:ser>
        <c:ser>
          <c:idx val="12"/>
          <c:order val="12"/>
          <c:tx>
            <c:strRef>
              <c:f>Output!$B$46</c:f>
              <c:strCache>
                <c:ptCount val="1"/>
                <c:pt idx="0">
                  <c:v>y_soil_0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Output!$E$33:$AN$33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xVal>
          <c:yVal>
            <c:numRef>
              <c:f>Output!$E$46:$AN$46</c:f>
              <c:numCache>
                <c:formatCode>#,##0.00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688A-4526-8D56-8719BB167EE4}"/>
            </c:ext>
          </c:extLst>
        </c:ser>
        <c:ser>
          <c:idx val="13"/>
          <c:order val="13"/>
          <c:tx>
            <c:strRef>
              <c:f>Output!$B$47</c:f>
              <c:strCache>
                <c:ptCount val="1"/>
                <c:pt idx="0">
                  <c:v>y_spen_0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Output!$E$33:$AN$33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xVal>
          <c:yVal>
            <c:numRef>
              <c:f>Output!$E$47:$AN$47</c:f>
              <c:numCache>
                <c:formatCode>#,##0.00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688A-4526-8D56-8719BB167EE4}"/>
            </c:ext>
          </c:extLst>
        </c:ser>
        <c:ser>
          <c:idx val="14"/>
          <c:order val="14"/>
          <c:tx>
            <c:strRef>
              <c:f>Output!$B$48</c:f>
              <c:strCache>
                <c:ptCount val="1"/>
                <c:pt idx="0">
                  <c:v>y_spch_0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Output!$E$33:$AN$33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xVal>
          <c:yVal>
            <c:numRef>
              <c:f>Output!$E$48:$AN$48</c:f>
              <c:numCache>
                <c:formatCode>#,##0.00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688A-4526-8D56-8719BB167EE4}"/>
            </c:ext>
          </c:extLst>
        </c:ser>
        <c:ser>
          <c:idx val="15"/>
          <c:order val="15"/>
          <c:tx>
            <c:strRef>
              <c:f>Output!$B$49</c:f>
              <c:strCache>
                <c:ptCount val="1"/>
                <c:pt idx="0">
                  <c:v>y_sgas_0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Output!$E$33:$AN$33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xVal>
          <c:yVal>
            <c:numRef>
              <c:f>Output!$E$49:$AN$49</c:f>
              <c:numCache>
                <c:formatCode>#,##0.00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688A-4526-8D56-8719BB167EE4}"/>
            </c:ext>
          </c:extLst>
        </c:ser>
        <c:ser>
          <c:idx val="16"/>
          <c:order val="16"/>
          <c:tx>
            <c:strRef>
              <c:f>Output!$B$50</c:f>
              <c:strCache>
                <c:ptCount val="1"/>
                <c:pt idx="0">
                  <c:v>y_sgasb_0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Output!$E$33:$AN$33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xVal>
          <c:yVal>
            <c:numRef>
              <c:f>Output!$E$50:$AN$50</c:f>
              <c:numCache>
                <c:formatCode>#,##0.00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688A-4526-8D56-8719BB167EE4}"/>
            </c:ext>
          </c:extLst>
        </c:ser>
        <c:ser>
          <c:idx val="17"/>
          <c:order val="17"/>
          <c:tx>
            <c:strRef>
              <c:f>Output!$B$51</c:f>
              <c:strCache>
                <c:ptCount val="1"/>
                <c:pt idx="0">
                  <c:v>y_sbiom_0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Output!$E$33:$AN$33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xVal>
          <c:yVal>
            <c:numRef>
              <c:f>Output!$E$51:$AN$51</c:f>
              <c:numCache>
                <c:formatCode>#,##0.00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688A-4526-8D56-8719BB167EE4}"/>
            </c:ext>
          </c:extLst>
        </c:ser>
        <c:ser>
          <c:idx val="18"/>
          <c:order val="18"/>
          <c:tx>
            <c:strRef>
              <c:f>Output!$B$52</c:f>
              <c:strCache>
                <c:ptCount val="1"/>
                <c:pt idx="0">
                  <c:v>y_sbiof_0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Output!$E$33:$AN$33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xVal>
          <c:yVal>
            <c:numRef>
              <c:f>Output!$E$52:$AN$52</c:f>
              <c:numCache>
                <c:formatCode>#,##0.00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688A-4526-8D56-8719BB167EE4}"/>
            </c:ext>
          </c:extLst>
        </c:ser>
        <c:ser>
          <c:idx val="19"/>
          <c:order val="19"/>
          <c:tx>
            <c:strRef>
              <c:f>Output!$B$53</c:f>
              <c:strCache>
                <c:ptCount val="1"/>
                <c:pt idx="0">
                  <c:v>y_sesf_0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Output!$E$33:$AN$33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xVal>
          <c:yVal>
            <c:numRef>
              <c:f>Output!$E$53:$AN$53</c:f>
              <c:numCache>
                <c:formatCode>#,##0.00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688A-4526-8D56-8719BB167EE4}"/>
            </c:ext>
          </c:extLst>
        </c:ser>
        <c:ser>
          <c:idx val="20"/>
          <c:order val="20"/>
          <c:tx>
            <c:strRef>
              <c:f>Output!$B$54</c:f>
              <c:strCache>
                <c:ptCount val="1"/>
                <c:pt idx="0">
                  <c:v>y_sega_0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Output!$E$33:$AN$33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xVal>
          <c:yVal>
            <c:numRef>
              <c:f>Output!$E$54:$AN$54</c:f>
              <c:numCache>
                <c:formatCode>#,##0.00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688A-4526-8D56-8719BB167EE4}"/>
            </c:ext>
          </c:extLst>
        </c:ser>
        <c:ser>
          <c:idx val="24"/>
          <c:order val="21"/>
          <c:tx>
            <c:strRef>
              <c:f>Output!$B$58</c:f>
              <c:strCache>
                <c:ptCount val="1"/>
                <c:pt idx="0">
                  <c:v>y_sebi_0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Output!$E$33:$AN$33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xVal>
          <c:yVal>
            <c:numRef>
              <c:f>Output!$E$58:$AN$58</c:f>
              <c:numCache>
                <c:formatCode>#,##0.00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688A-4526-8D56-8719BB167EE4}"/>
            </c:ext>
          </c:extLst>
        </c:ser>
        <c:ser>
          <c:idx val="25"/>
          <c:order val="22"/>
          <c:tx>
            <c:strRef>
              <c:f>Output!$B$59</c:f>
              <c:strCache>
                <c:ptCount val="1"/>
                <c:pt idx="0">
                  <c:v>y_senu_0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Output!$E$33:$AN$33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xVal>
          <c:yVal>
            <c:numRef>
              <c:f>Output!$E$59:$AN$59</c:f>
              <c:numCache>
                <c:formatCode>#,##0.00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688A-4526-8D56-8719BB167EE4}"/>
            </c:ext>
          </c:extLst>
        </c:ser>
        <c:ser>
          <c:idx val="26"/>
          <c:order val="23"/>
          <c:tx>
            <c:strRef>
              <c:f>Output!$B$60</c:f>
              <c:strCache>
                <c:ptCount val="1"/>
                <c:pt idx="0">
                  <c:v>y_shea_0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Output!$E$33:$AN$33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xVal>
          <c:yVal>
            <c:numRef>
              <c:f>Output!$E$60:$AN$60</c:f>
              <c:numCache>
                <c:formatCode>#,##0.00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9-688A-4526-8D56-8719BB167E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1419071"/>
        <c:axId val="1951417407"/>
      </c:scatterChart>
      <c:valAx>
        <c:axId val="1951419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951417407"/>
        <c:crosses val="autoZero"/>
        <c:crossBetween val="midCat"/>
      </c:valAx>
      <c:valAx>
        <c:axId val="195141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9514190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Output!$B$53</c:f>
              <c:strCache>
                <c:ptCount val="1"/>
                <c:pt idx="0">
                  <c:v>y_sesf_0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Output!$E$33:$AN$33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xVal>
          <c:yVal>
            <c:numRef>
              <c:f>Output!$E$53:$AN$53</c:f>
              <c:numCache>
                <c:formatCode>#,##0.00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DBF-463F-A3F6-816CE5E90850}"/>
            </c:ext>
          </c:extLst>
        </c:ser>
        <c:ser>
          <c:idx val="1"/>
          <c:order val="1"/>
          <c:tx>
            <c:strRef>
              <c:f>Output!$B$54</c:f>
              <c:strCache>
                <c:ptCount val="1"/>
                <c:pt idx="0">
                  <c:v>y_sega_0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Output!$E$33:$AN$33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xVal>
          <c:yVal>
            <c:numRef>
              <c:f>Output!$E$54:$AN$54</c:f>
              <c:numCache>
                <c:formatCode>#,##0.00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BF-463F-A3F6-816CE5E90850}"/>
            </c:ext>
          </c:extLst>
        </c:ser>
        <c:ser>
          <c:idx val="5"/>
          <c:order val="2"/>
          <c:tx>
            <c:strRef>
              <c:f>Output!$B$58</c:f>
              <c:strCache>
                <c:ptCount val="1"/>
                <c:pt idx="0">
                  <c:v>y_sebi_0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Output!$E$33:$AN$33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xVal>
          <c:yVal>
            <c:numRef>
              <c:f>Output!$E$58:$AN$58</c:f>
              <c:numCache>
                <c:formatCode>#,##0.00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DBF-463F-A3F6-816CE5E90850}"/>
            </c:ext>
          </c:extLst>
        </c:ser>
        <c:ser>
          <c:idx val="6"/>
          <c:order val="3"/>
          <c:tx>
            <c:strRef>
              <c:f>Output!$B$59</c:f>
              <c:strCache>
                <c:ptCount val="1"/>
                <c:pt idx="0">
                  <c:v>y_senu_0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Output!$E$33:$AN$33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xVal>
          <c:yVal>
            <c:numRef>
              <c:f>Output!$E$59:$AN$59</c:f>
              <c:numCache>
                <c:formatCode>#,##0.00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DBF-463F-A3F6-816CE5E908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7117823"/>
        <c:axId val="1877118655"/>
      </c:scatterChart>
      <c:valAx>
        <c:axId val="1877117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877118655"/>
        <c:crosses val="autoZero"/>
        <c:crossBetween val="midCat"/>
      </c:valAx>
      <c:valAx>
        <c:axId val="1877118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8771178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'Market prices'!$B$29</c:f>
              <c:strCache>
                <c:ptCount val="1"/>
                <c:pt idx="0">
                  <c:v>pyqs_cagr_0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'Market prices'!$E$28:$AN$28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xVal>
          <c:yVal>
            <c:numRef>
              <c:f>'Market prices'!$E$29:$AN$29</c:f>
              <c:numCache>
                <c:formatCode>#,##0.00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BE4-49FF-9780-239598E3B6DD}"/>
            </c:ext>
          </c:extLst>
        </c:ser>
        <c:ser>
          <c:idx val="1"/>
          <c:order val="1"/>
          <c:tx>
            <c:strRef>
              <c:f>'Market prices'!$B$30</c:f>
              <c:strCache>
                <c:ptCount val="1"/>
                <c:pt idx="0">
                  <c:v>pyqs_cmet_0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'Market prices'!$E$28:$AN$28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xVal>
          <c:yVal>
            <c:numRef>
              <c:f>'Market prices'!$E$30:$AN$30</c:f>
              <c:numCache>
                <c:formatCode>#,##0.00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BE4-49FF-9780-239598E3B6DD}"/>
            </c:ext>
          </c:extLst>
        </c:ser>
        <c:ser>
          <c:idx val="2"/>
          <c:order val="2"/>
          <c:tx>
            <c:strRef>
              <c:f>'Market prices'!$B$31</c:f>
              <c:strCache>
                <c:ptCount val="1"/>
                <c:pt idx="0">
                  <c:v>pyqs_cchem_0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'Market prices'!$E$28:$AN$28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xVal>
          <c:yVal>
            <c:numRef>
              <c:f>'Market prices'!$E$31:$AN$31</c:f>
              <c:numCache>
                <c:formatCode>#,##0.00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BE4-49FF-9780-239598E3B6DD}"/>
            </c:ext>
          </c:extLst>
        </c:ser>
        <c:ser>
          <c:idx val="3"/>
          <c:order val="3"/>
          <c:tx>
            <c:strRef>
              <c:f>'Market prices'!$B$32</c:f>
              <c:strCache>
                <c:ptCount val="1"/>
                <c:pt idx="0">
                  <c:v>pyqs_cpla_0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'Market prices'!$E$28:$AN$28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xVal>
          <c:yVal>
            <c:numRef>
              <c:f>'Market prices'!$E$32:$AN$32</c:f>
              <c:numCache>
                <c:formatCode>#,##0.00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BE4-49FF-9780-239598E3B6DD}"/>
            </c:ext>
          </c:extLst>
        </c:ser>
        <c:ser>
          <c:idx val="4"/>
          <c:order val="4"/>
          <c:tx>
            <c:strRef>
              <c:f>'Market prices'!$B$33</c:f>
              <c:strCache>
                <c:ptCount val="1"/>
                <c:pt idx="0">
                  <c:v>pyqs_cgla_0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'Market prices'!$E$28:$AN$28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xVal>
          <c:yVal>
            <c:numRef>
              <c:f>'Market prices'!$E$33:$AN$33</c:f>
              <c:numCache>
                <c:formatCode>#,##0.00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BE4-49FF-9780-239598E3B6DD}"/>
            </c:ext>
          </c:extLst>
        </c:ser>
        <c:ser>
          <c:idx val="5"/>
          <c:order val="5"/>
          <c:tx>
            <c:strRef>
              <c:f>'Market prices'!$B$34</c:f>
              <c:strCache>
                <c:ptCount val="1"/>
                <c:pt idx="0">
                  <c:v>pyqs_cpap_0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'Market prices'!$E$28:$AN$28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xVal>
          <c:yVal>
            <c:numRef>
              <c:f>'Market prices'!$E$34:$AN$34</c:f>
              <c:numCache>
                <c:formatCode>#,##0.00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BE4-49FF-9780-239598E3B6DD}"/>
            </c:ext>
          </c:extLst>
        </c:ser>
        <c:ser>
          <c:idx val="6"/>
          <c:order val="6"/>
          <c:tx>
            <c:strRef>
              <c:f>'Market prices'!$B$35</c:f>
              <c:strCache>
                <c:ptCount val="1"/>
                <c:pt idx="0">
                  <c:v>pyqs_cfoo_0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'Market prices'!$E$28:$AN$28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xVal>
          <c:yVal>
            <c:numRef>
              <c:f>'Market prices'!$E$35:$AN$35</c:f>
              <c:numCache>
                <c:formatCode>#,##0.00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CBE4-49FF-9780-239598E3B6DD}"/>
            </c:ext>
          </c:extLst>
        </c:ser>
        <c:ser>
          <c:idx val="7"/>
          <c:order val="7"/>
          <c:tx>
            <c:strRef>
              <c:f>'Market prices'!$B$36</c:f>
              <c:strCache>
                <c:ptCount val="1"/>
                <c:pt idx="0">
                  <c:v>pyqs_cres_0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'Market prices'!$E$28:$AN$28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xVal>
          <c:yVal>
            <c:numRef>
              <c:f>'Market prices'!$E$36:$AN$36</c:f>
              <c:numCache>
                <c:formatCode>#,##0.00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CBE4-49FF-9780-239598E3B6DD}"/>
            </c:ext>
          </c:extLst>
        </c:ser>
        <c:ser>
          <c:idx val="8"/>
          <c:order val="8"/>
          <c:tx>
            <c:strRef>
              <c:f>'Market prices'!$B$37</c:f>
              <c:strCache>
                <c:ptCount val="1"/>
                <c:pt idx="0">
                  <c:v>pyqs_croa_0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'Market prices'!$E$28:$AN$28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xVal>
          <c:yVal>
            <c:numRef>
              <c:f>'Market prices'!$E$37:$AN$37</c:f>
              <c:numCache>
                <c:formatCode>#,##0.00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CBE4-49FF-9780-239598E3B6DD}"/>
            </c:ext>
          </c:extLst>
        </c:ser>
        <c:ser>
          <c:idx val="9"/>
          <c:order val="9"/>
          <c:tx>
            <c:strRef>
              <c:f>'Market prices'!$B$38</c:f>
              <c:strCache>
                <c:ptCount val="1"/>
                <c:pt idx="0">
                  <c:v>pyqs_cwat_0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'Market prices'!$E$28:$AN$28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xVal>
          <c:yVal>
            <c:numRef>
              <c:f>'Market prices'!$E$38:$AN$38</c:f>
              <c:numCache>
                <c:formatCode>#,##0.00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CBE4-49FF-9780-239598E3B6DD}"/>
            </c:ext>
          </c:extLst>
        </c:ser>
        <c:ser>
          <c:idx val="10"/>
          <c:order val="10"/>
          <c:tx>
            <c:strRef>
              <c:f>'Market prices'!$B$39</c:f>
              <c:strCache>
                <c:ptCount val="1"/>
                <c:pt idx="0">
                  <c:v>pyqs_cair_0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'Market prices'!$E$28:$AN$28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xVal>
          <c:yVal>
            <c:numRef>
              <c:f>'Market prices'!$E$39:$AN$39</c:f>
              <c:numCache>
                <c:formatCode>#,##0.00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CBE4-49FF-9780-239598E3B6DD}"/>
            </c:ext>
          </c:extLst>
        </c:ser>
        <c:ser>
          <c:idx val="11"/>
          <c:order val="11"/>
          <c:tx>
            <c:strRef>
              <c:f>'Market prices'!$B$40</c:f>
              <c:strCache>
                <c:ptCount val="1"/>
                <c:pt idx="0">
                  <c:v>pyqs_ccoa_0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'Market prices'!$E$28:$AN$28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xVal>
          <c:yVal>
            <c:numRef>
              <c:f>'Market prices'!$E$40:$AN$40</c:f>
              <c:numCache>
                <c:formatCode>#,##0.00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CBE4-49FF-9780-239598E3B6DD}"/>
            </c:ext>
          </c:extLst>
        </c:ser>
        <c:ser>
          <c:idx val="12"/>
          <c:order val="12"/>
          <c:tx>
            <c:strRef>
              <c:f>'Market prices'!$B$41</c:f>
              <c:strCache>
                <c:ptCount val="1"/>
                <c:pt idx="0">
                  <c:v>pyqs_coil_0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'Market prices'!$E$28:$AN$28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xVal>
          <c:yVal>
            <c:numRef>
              <c:f>'Market prices'!$E$41:$AN$41</c:f>
              <c:numCache>
                <c:formatCode>#,##0.00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CBE4-49FF-9780-239598E3B6DD}"/>
            </c:ext>
          </c:extLst>
        </c:ser>
        <c:ser>
          <c:idx val="13"/>
          <c:order val="13"/>
          <c:tx>
            <c:strRef>
              <c:f>'Market prices'!$B$42</c:f>
              <c:strCache>
                <c:ptCount val="1"/>
                <c:pt idx="0">
                  <c:v>pyqs_cfue_0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'Market prices'!$E$28:$AN$28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xVal>
          <c:yVal>
            <c:numRef>
              <c:f>'Market prices'!$E$42:$AN$42</c:f>
              <c:numCache>
                <c:formatCode>#,##0.00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CBE4-49FF-9780-239598E3B6DD}"/>
            </c:ext>
          </c:extLst>
        </c:ser>
        <c:ser>
          <c:idx val="14"/>
          <c:order val="14"/>
          <c:tx>
            <c:strRef>
              <c:f>'Market prices'!$B$43</c:f>
              <c:strCache>
                <c:ptCount val="1"/>
                <c:pt idx="0">
                  <c:v>pyqs_cpch_0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'Market prices'!$E$28:$AN$28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xVal>
          <c:yVal>
            <c:numRef>
              <c:f>'Market prices'!$E$43:$AN$43</c:f>
              <c:numCache>
                <c:formatCode>#,##0.00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CBE4-49FF-9780-239598E3B6DD}"/>
            </c:ext>
          </c:extLst>
        </c:ser>
        <c:ser>
          <c:idx val="15"/>
          <c:order val="15"/>
          <c:tx>
            <c:strRef>
              <c:f>'Market prices'!$B$44</c:f>
              <c:strCache>
                <c:ptCount val="1"/>
                <c:pt idx="0">
                  <c:v>pyqs_cele_0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'Market prices'!$E$28:$AN$28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xVal>
          <c:yVal>
            <c:numRef>
              <c:f>'Market prices'!$E$44:$AN$44</c:f>
              <c:numCache>
                <c:formatCode>#,##0.00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CBE4-49FF-9780-239598E3B6DD}"/>
            </c:ext>
          </c:extLst>
        </c:ser>
        <c:ser>
          <c:idx val="16"/>
          <c:order val="16"/>
          <c:tx>
            <c:strRef>
              <c:f>'Market prices'!$B$45</c:f>
              <c:strCache>
                <c:ptCount val="1"/>
                <c:pt idx="0">
                  <c:v>pyqs_cgas_0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'Market prices'!$E$28:$AN$28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xVal>
          <c:yVal>
            <c:numRef>
              <c:f>'Market prices'!$E$45:$AN$45</c:f>
              <c:numCache>
                <c:formatCode>#,##0.00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CBE4-49FF-9780-239598E3B6DD}"/>
            </c:ext>
          </c:extLst>
        </c:ser>
        <c:ser>
          <c:idx val="17"/>
          <c:order val="17"/>
          <c:tx>
            <c:strRef>
              <c:f>'Market prices'!$B$46</c:f>
              <c:strCache>
                <c:ptCount val="1"/>
                <c:pt idx="0">
                  <c:v>pyqs_cmga_0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'Market prices'!$E$28:$AN$28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xVal>
          <c:yVal>
            <c:numRef>
              <c:f>'Market prices'!$E$46:$AN$46</c:f>
              <c:numCache>
                <c:formatCode>#,##0.00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CBE4-49FF-9780-239598E3B6DD}"/>
            </c:ext>
          </c:extLst>
        </c:ser>
        <c:ser>
          <c:idx val="18"/>
          <c:order val="18"/>
          <c:tx>
            <c:strRef>
              <c:f>'Market prices'!$B$47</c:f>
              <c:strCache>
                <c:ptCount val="1"/>
                <c:pt idx="0">
                  <c:v>pyqs_cbiog_0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'Market prices'!$E$28:$AN$28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xVal>
          <c:yVal>
            <c:numRef>
              <c:f>'Market prices'!$E$47:$AN$47</c:f>
              <c:numCache>
                <c:formatCode>#,##0.00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CBE4-49FF-9780-239598E3B6DD}"/>
            </c:ext>
          </c:extLst>
        </c:ser>
        <c:ser>
          <c:idx val="19"/>
          <c:order val="19"/>
          <c:tx>
            <c:strRef>
              <c:f>'Market prices'!$B$48</c:f>
              <c:strCache>
                <c:ptCount val="1"/>
                <c:pt idx="0">
                  <c:v>pyqs_cbiom_0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'Market prices'!$E$28:$AN$28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xVal>
          <c:yVal>
            <c:numRef>
              <c:f>'Market prices'!$E$48:$AN$48</c:f>
              <c:numCache>
                <c:formatCode>#,##0.00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CBE4-49FF-9780-239598E3B6DD}"/>
            </c:ext>
          </c:extLst>
        </c:ser>
        <c:ser>
          <c:idx val="20"/>
          <c:order val="20"/>
          <c:tx>
            <c:strRef>
              <c:f>'Market prices'!$B$49</c:f>
              <c:strCache>
                <c:ptCount val="1"/>
                <c:pt idx="0">
                  <c:v>pyqs_cbiof_0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'Market prices'!$E$28:$AN$28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xVal>
          <c:yVal>
            <c:numRef>
              <c:f>'Market prices'!$E$49:$AN$49</c:f>
              <c:numCache>
                <c:formatCode>#,##0.00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CBE4-49FF-9780-239598E3B6DD}"/>
            </c:ext>
          </c:extLst>
        </c:ser>
        <c:ser>
          <c:idx val="21"/>
          <c:order val="21"/>
          <c:tx>
            <c:strRef>
              <c:f>'Market prices'!$B$50</c:f>
              <c:strCache>
                <c:ptCount val="1"/>
                <c:pt idx="0">
                  <c:v>pyqs_chea_0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'Market prices'!$E$28:$AN$28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xVal>
          <c:yVal>
            <c:numRef>
              <c:f>'Market prices'!$E$50:$AN$50</c:f>
              <c:numCache>
                <c:formatCode>#,##0.00</c:formatCode>
                <c:ptCount val="3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CBE4-49FF-9780-239598E3B6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1419071"/>
        <c:axId val="1951417407"/>
        <c:extLst>
          <c:ext xmlns:c15="http://schemas.microsoft.com/office/drawing/2012/chart" uri="{02D57815-91ED-43cb-92C2-25804820EDAC}">
            <c15:filteredScatterSeries>
              <c15:ser>
                <c:idx val="22"/>
                <c:order val="22"/>
                <c:tx>
                  <c:strRef>
                    <c:extLst>
                      <c:ext uri="{02D57815-91ED-43cb-92C2-25804820EDAC}">
                        <c15:formulaRef>
                          <c15:sqref>'Market prices'!#REF!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80000"/>
                      </a:schemeClr>
                    </a:solidFill>
                    <a:ln w="9525">
                      <a:solidFill>
                        <a:schemeClr val="accent5">
                          <a:lumMod val="8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'Market prices'!$E$28:$AN$28</c15:sqref>
                        </c15:formulaRef>
                      </c:ext>
                    </c:extLst>
                    <c:numCache>
                      <c:formatCode>General</c:formatCode>
                      <c:ptCount val="36"/>
                      <c:pt idx="0">
                        <c:v>2015</c:v>
                      </c:pt>
                      <c:pt idx="1">
                        <c:v>2016</c:v>
                      </c:pt>
                      <c:pt idx="2">
                        <c:v>2017</c:v>
                      </c:pt>
                      <c:pt idx="3">
                        <c:v>2018</c:v>
                      </c:pt>
                      <c:pt idx="4">
                        <c:v>2019</c:v>
                      </c:pt>
                      <c:pt idx="5">
                        <c:v>2020</c:v>
                      </c:pt>
                      <c:pt idx="6">
                        <c:v>2021</c:v>
                      </c:pt>
                      <c:pt idx="7">
                        <c:v>2022</c:v>
                      </c:pt>
                      <c:pt idx="8">
                        <c:v>2023</c:v>
                      </c:pt>
                      <c:pt idx="9">
                        <c:v>2024</c:v>
                      </c:pt>
                      <c:pt idx="10">
                        <c:v>2025</c:v>
                      </c:pt>
                      <c:pt idx="11">
                        <c:v>2026</c:v>
                      </c:pt>
                      <c:pt idx="12">
                        <c:v>2027</c:v>
                      </c:pt>
                      <c:pt idx="13">
                        <c:v>2028</c:v>
                      </c:pt>
                      <c:pt idx="14">
                        <c:v>2029</c:v>
                      </c:pt>
                      <c:pt idx="15">
                        <c:v>2030</c:v>
                      </c:pt>
                      <c:pt idx="16">
                        <c:v>2031</c:v>
                      </c:pt>
                      <c:pt idx="17">
                        <c:v>2032</c:v>
                      </c:pt>
                      <c:pt idx="18">
                        <c:v>2033</c:v>
                      </c:pt>
                      <c:pt idx="19">
                        <c:v>2034</c:v>
                      </c:pt>
                      <c:pt idx="20">
                        <c:v>2035</c:v>
                      </c:pt>
                      <c:pt idx="21">
                        <c:v>2036</c:v>
                      </c:pt>
                      <c:pt idx="22">
                        <c:v>2037</c:v>
                      </c:pt>
                      <c:pt idx="23">
                        <c:v>2038</c:v>
                      </c:pt>
                      <c:pt idx="24">
                        <c:v>2039</c:v>
                      </c:pt>
                      <c:pt idx="25">
                        <c:v>2040</c:v>
                      </c:pt>
                      <c:pt idx="26">
                        <c:v>2041</c:v>
                      </c:pt>
                      <c:pt idx="27">
                        <c:v>2042</c:v>
                      </c:pt>
                      <c:pt idx="28">
                        <c:v>2043</c:v>
                      </c:pt>
                      <c:pt idx="29">
                        <c:v>2044</c:v>
                      </c:pt>
                      <c:pt idx="30">
                        <c:v>2045</c:v>
                      </c:pt>
                      <c:pt idx="31">
                        <c:v>2046</c:v>
                      </c:pt>
                      <c:pt idx="32">
                        <c:v>2047</c:v>
                      </c:pt>
                      <c:pt idx="33">
                        <c:v>2048</c:v>
                      </c:pt>
                      <c:pt idx="34">
                        <c:v>2049</c:v>
                      </c:pt>
                      <c:pt idx="35">
                        <c:v>2050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'Market prices'!#REF!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16-CBE4-49FF-9780-239598E3B6DD}"/>
                  </c:ext>
                </c:extLst>
              </c15:ser>
            </c15:filteredScatterSeries>
            <c15:filteredScatterSeries>
              <c15:ser>
                <c:idx val="23"/>
                <c:order val="2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'Market prices'!#REF!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80000"/>
                      </a:schemeClr>
                    </a:solidFill>
                    <a:ln w="9525">
                      <a:solidFill>
                        <a:schemeClr val="accent6">
                          <a:lumMod val="8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'Market prices'!$E$28:$AN$28</c15:sqref>
                        </c15:formulaRef>
                      </c:ext>
                    </c:extLst>
                    <c:numCache>
                      <c:formatCode>General</c:formatCode>
                      <c:ptCount val="36"/>
                      <c:pt idx="0">
                        <c:v>2015</c:v>
                      </c:pt>
                      <c:pt idx="1">
                        <c:v>2016</c:v>
                      </c:pt>
                      <c:pt idx="2">
                        <c:v>2017</c:v>
                      </c:pt>
                      <c:pt idx="3">
                        <c:v>2018</c:v>
                      </c:pt>
                      <c:pt idx="4">
                        <c:v>2019</c:v>
                      </c:pt>
                      <c:pt idx="5">
                        <c:v>2020</c:v>
                      </c:pt>
                      <c:pt idx="6">
                        <c:v>2021</c:v>
                      </c:pt>
                      <c:pt idx="7">
                        <c:v>2022</c:v>
                      </c:pt>
                      <c:pt idx="8">
                        <c:v>2023</c:v>
                      </c:pt>
                      <c:pt idx="9">
                        <c:v>2024</c:v>
                      </c:pt>
                      <c:pt idx="10">
                        <c:v>2025</c:v>
                      </c:pt>
                      <c:pt idx="11">
                        <c:v>2026</c:v>
                      </c:pt>
                      <c:pt idx="12">
                        <c:v>2027</c:v>
                      </c:pt>
                      <c:pt idx="13">
                        <c:v>2028</c:v>
                      </c:pt>
                      <c:pt idx="14">
                        <c:v>2029</c:v>
                      </c:pt>
                      <c:pt idx="15">
                        <c:v>2030</c:v>
                      </c:pt>
                      <c:pt idx="16">
                        <c:v>2031</c:v>
                      </c:pt>
                      <c:pt idx="17">
                        <c:v>2032</c:v>
                      </c:pt>
                      <c:pt idx="18">
                        <c:v>2033</c:v>
                      </c:pt>
                      <c:pt idx="19">
                        <c:v>2034</c:v>
                      </c:pt>
                      <c:pt idx="20">
                        <c:v>2035</c:v>
                      </c:pt>
                      <c:pt idx="21">
                        <c:v>2036</c:v>
                      </c:pt>
                      <c:pt idx="22">
                        <c:v>2037</c:v>
                      </c:pt>
                      <c:pt idx="23">
                        <c:v>2038</c:v>
                      </c:pt>
                      <c:pt idx="24">
                        <c:v>2039</c:v>
                      </c:pt>
                      <c:pt idx="25">
                        <c:v>2040</c:v>
                      </c:pt>
                      <c:pt idx="26">
                        <c:v>2041</c:v>
                      </c:pt>
                      <c:pt idx="27">
                        <c:v>2042</c:v>
                      </c:pt>
                      <c:pt idx="28">
                        <c:v>2043</c:v>
                      </c:pt>
                      <c:pt idx="29">
                        <c:v>2044</c:v>
                      </c:pt>
                      <c:pt idx="30">
                        <c:v>2045</c:v>
                      </c:pt>
                      <c:pt idx="31">
                        <c:v>2046</c:v>
                      </c:pt>
                      <c:pt idx="32">
                        <c:v>2047</c:v>
                      </c:pt>
                      <c:pt idx="33">
                        <c:v>2048</c:v>
                      </c:pt>
                      <c:pt idx="34">
                        <c:v>2049</c:v>
                      </c:pt>
                      <c:pt idx="35">
                        <c:v>2050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'Market prices'!#REF!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CBE4-49FF-9780-239598E3B6DD}"/>
                  </c:ext>
                </c:extLst>
              </c15:ser>
            </c15:filteredScatterSeries>
            <c15:filteredScatterSeries>
              <c15:ser>
                <c:idx val="24"/>
                <c:order val="2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'Market prices'!#REF!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'Market prices'!$E$28:$AN$28</c15:sqref>
                        </c15:formulaRef>
                      </c:ext>
                    </c:extLst>
                    <c:numCache>
                      <c:formatCode>General</c:formatCode>
                      <c:ptCount val="36"/>
                      <c:pt idx="0">
                        <c:v>2015</c:v>
                      </c:pt>
                      <c:pt idx="1">
                        <c:v>2016</c:v>
                      </c:pt>
                      <c:pt idx="2">
                        <c:v>2017</c:v>
                      </c:pt>
                      <c:pt idx="3">
                        <c:v>2018</c:v>
                      </c:pt>
                      <c:pt idx="4">
                        <c:v>2019</c:v>
                      </c:pt>
                      <c:pt idx="5">
                        <c:v>2020</c:v>
                      </c:pt>
                      <c:pt idx="6">
                        <c:v>2021</c:v>
                      </c:pt>
                      <c:pt idx="7">
                        <c:v>2022</c:v>
                      </c:pt>
                      <c:pt idx="8">
                        <c:v>2023</c:v>
                      </c:pt>
                      <c:pt idx="9">
                        <c:v>2024</c:v>
                      </c:pt>
                      <c:pt idx="10">
                        <c:v>2025</c:v>
                      </c:pt>
                      <c:pt idx="11">
                        <c:v>2026</c:v>
                      </c:pt>
                      <c:pt idx="12">
                        <c:v>2027</c:v>
                      </c:pt>
                      <c:pt idx="13">
                        <c:v>2028</c:v>
                      </c:pt>
                      <c:pt idx="14">
                        <c:v>2029</c:v>
                      </c:pt>
                      <c:pt idx="15">
                        <c:v>2030</c:v>
                      </c:pt>
                      <c:pt idx="16">
                        <c:v>2031</c:v>
                      </c:pt>
                      <c:pt idx="17">
                        <c:v>2032</c:v>
                      </c:pt>
                      <c:pt idx="18">
                        <c:v>2033</c:v>
                      </c:pt>
                      <c:pt idx="19">
                        <c:v>2034</c:v>
                      </c:pt>
                      <c:pt idx="20">
                        <c:v>2035</c:v>
                      </c:pt>
                      <c:pt idx="21">
                        <c:v>2036</c:v>
                      </c:pt>
                      <c:pt idx="22">
                        <c:v>2037</c:v>
                      </c:pt>
                      <c:pt idx="23">
                        <c:v>2038</c:v>
                      </c:pt>
                      <c:pt idx="24">
                        <c:v>2039</c:v>
                      </c:pt>
                      <c:pt idx="25">
                        <c:v>2040</c:v>
                      </c:pt>
                      <c:pt idx="26">
                        <c:v>2041</c:v>
                      </c:pt>
                      <c:pt idx="27">
                        <c:v>2042</c:v>
                      </c:pt>
                      <c:pt idx="28">
                        <c:v>2043</c:v>
                      </c:pt>
                      <c:pt idx="29">
                        <c:v>2044</c:v>
                      </c:pt>
                      <c:pt idx="30">
                        <c:v>2045</c:v>
                      </c:pt>
                      <c:pt idx="31">
                        <c:v>2046</c:v>
                      </c:pt>
                      <c:pt idx="32">
                        <c:v>2047</c:v>
                      </c:pt>
                      <c:pt idx="33">
                        <c:v>2048</c:v>
                      </c:pt>
                      <c:pt idx="34">
                        <c:v>2049</c:v>
                      </c:pt>
                      <c:pt idx="35">
                        <c:v>2050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'Market prices'!#REF!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CBE4-49FF-9780-239598E3B6DD}"/>
                  </c:ext>
                </c:extLst>
              </c15:ser>
            </c15:filteredScatterSeries>
            <c15:filteredScatterSeries>
              <c15:ser>
                <c:idx val="25"/>
                <c:order val="2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'Market prices'!#REF!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'Market prices'!$E$28:$AN$28</c15:sqref>
                        </c15:formulaRef>
                      </c:ext>
                    </c:extLst>
                    <c:numCache>
                      <c:formatCode>General</c:formatCode>
                      <c:ptCount val="36"/>
                      <c:pt idx="0">
                        <c:v>2015</c:v>
                      </c:pt>
                      <c:pt idx="1">
                        <c:v>2016</c:v>
                      </c:pt>
                      <c:pt idx="2">
                        <c:v>2017</c:v>
                      </c:pt>
                      <c:pt idx="3">
                        <c:v>2018</c:v>
                      </c:pt>
                      <c:pt idx="4">
                        <c:v>2019</c:v>
                      </c:pt>
                      <c:pt idx="5">
                        <c:v>2020</c:v>
                      </c:pt>
                      <c:pt idx="6">
                        <c:v>2021</c:v>
                      </c:pt>
                      <c:pt idx="7">
                        <c:v>2022</c:v>
                      </c:pt>
                      <c:pt idx="8">
                        <c:v>2023</c:v>
                      </c:pt>
                      <c:pt idx="9">
                        <c:v>2024</c:v>
                      </c:pt>
                      <c:pt idx="10">
                        <c:v>2025</c:v>
                      </c:pt>
                      <c:pt idx="11">
                        <c:v>2026</c:v>
                      </c:pt>
                      <c:pt idx="12">
                        <c:v>2027</c:v>
                      </c:pt>
                      <c:pt idx="13">
                        <c:v>2028</c:v>
                      </c:pt>
                      <c:pt idx="14">
                        <c:v>2029</c:v>
                      </c:pt>
                      <c:pt idx="15">
                        <c:v>2030</c:v>
                      </c:pt>
                      <c:pt idx="16">
                        <c:v>2031</c:v>
                      </c:pt>
                      <c:pt idx="17">
                        <c:v>2032</c:v>
                      </c:pt>
                      <c:pt idx="18">
                        <c:v>2033</c:v>
                      </c:pt>
                      <c:pt idx="19">
                        <c:v>2034</c:v>
                      </c:pt>
                      <c:pt idx="20">
                        <c:v>2035</c:v>
                      </c:pt>
                      <c:pt idx="21">
                        <c:v>2036</c:v>
                      </c:pt>
                      <c:pt idx="22">
                        <c:v>2037</c:v>
                      </c:pt>
                      <c:pt idx="23">
                        <c:v>2038</c:v>
                      </c:pt>
                      <c:pt idx="24">
                        <c:v>2039</c:v>
                      </c:pt>
                      <c:pt idx="25">
                        <c:v>2040</c:v>
                      </c:pt>
                      <c:pt idx="26">
                        <c:v>2041</c:v>
                      </c:pt>
                      <c:pt idx="27">
                        <c:v>2042</c:v>
                      </c:pt>
                      <c:pt idx="28">
                        <c:v>2043</c:v>
                      </c:pt>
                      <c:pt idx="29">
                        <c:v>2044</c:v>
                      </c:pt>
                      <c:pt idx="30">
                        <c:v>2045</c:v>
                      </c:pt>
                      <c:pt idx="31">
                        <c:v>2046</c:v>
                      </c:pt>
                      <c:pt idx="32">
                        <c:v>2047</c:v>
                      </c:pt>
                      <c:pt idx="33">
                        <c:v>2048</c:v>
                      </c:pt>
                      <c:pt idx="34">
                        <c:v>2049</c:v>
                      </c:pt>
                      <c:pt idx="35">
                        <c:v>2050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'Market prices'!#REF!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CBE4-49FF-9780-239598E3B6DD}"/>
                  </c:ext>
                </c:extLst>
              </c15:ser>
            </c15:filteredScatterSeries>
            <c15:filteredScatterSeries>
              <c15:ser>
                <c:idx val="26"/>
                <c:order val="2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'Market prices'!#REF!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'Market prices'!$E$28:$AN$28</c15:sqref>
                        </c15:formulaRef>
                      </c:ext>
                    </c:extLst>
                    <c:numCache>
                      <c:formatCode>General</c:formatCode>
                      <c:ptCount val="36"/>
                      <c:pt idx="0">
                        <c:v>2015</c:v>
                      </c:pt>
                      <c:pt idx="1">
                        <c:v>2016</c:v>
                      </c:pt>
                      <c:pt idx="2">
                        <c:v>2017</c:v>
                      </c:pt>
                      <c:pt idx="3">
                        <c:v>2018</c:v>
                      </c:pt>
                      <c:pt idx="4">
                        <c:v>2019</c:v>
                      </c:pt>
                      <c:pt idx="5">
                        <c:v>2020</c:v>
                      </c:pt>
                      <c:pt idx="6">
                        <c:v>2021</c:v>
                      </c:pt>
                      <c:pt idx="7">
                        <c:v>2022</c:v>
                      </c:pt>
                      <c:pt idx="8">
                        <c:v>2023</c:v>
                      </c:pt>
                      <c:pt idx="9">
                        <c:v>2024</c:v>
                      </c:pt>
                      <c:pt idx="10">
                        <c:v>2025</c:v>
                      </c:pt>
                      <c:pt idx="11">
                        <c:v>2026</c:v>
                      </c:pt>
                      <c:pt idx="12">
                        <c:v>2027</c:v>
                      </c:pt>
                      <c:pt idx="13">
                        <c:v>2028</c:v>
                      </c:pt>
                      <c:pt idx="14">
                        <c:v>2029</c:v>
                      </c:pt>
                      <c:pt idx="15">
                        <c:v>2030</c:v>
                      </c:pt>
                      <c:pt idx="16">
                        <c:v>2031</c:v>
                      </c:pt>
                      <c:pt idx="17">
                        <c:v>2032</c:v>
                      </c:pt>
                      <c:pt idx="18">
                        <c:v>2033</c:v>
                      </c:pt>
                      <c:pt idx="19">
                        <c:v>2034</c:v>
                      </c:pt>
                      <c:pt idx="20">
                        <c:v>2035</c:v>
                      </c:pt>
                      <c:pt idx="21">
                        <c:v>2036</c:v>
                      </c:pt>
                      <c:pt idx="22">
                        <c:v>2037</c:v>
                      </c:pt>
                      <c:pt idx="23">
                        <c:v>2038</c:v>
                      </c:pt>
                      <c:pt idx="24">
                        <c:v>2039</c:v>
                      </c:pt>
                      <c:pt idx="25">
                        <c:v>2040</c:v>
                      </c:pt>
                      <c:pt idx="26">
                        <c:v>2041</c:v>
                      </c:pt>
                      <c:pt idx="27">
                        <c:v>2042</c:v>
                      </c:pt>
                      <c:pt idx="28">
                        <c:v>2043</c:v>
                      </c:pt>
                      <c:pt idx="29">
                        <c:v>2044</c:v>
                      </c:pt>
                      <c:pt idx="30">
                        <c:v>2045</c:v>
                      </c:pt>
                      <c:pt idx="31">
                        <c:v>2046</c:v>
                      </c:pt>
                      <c:pt idx="32">
                        <c:v>2047</c:v>
                      </c:pt>
                      <c:pt idx="33">
                        <c:v>2048</c:v>
                      </c:pt>
                      <c:pt idx="34">
                        <c:v>2049</c:v>
                      </c:pt>
                      <c:pt idx="35">
                        <c:v>2050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'Market prices'!#REF!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CBE4-49FF-9780-239598E3B6DD}"/>
                  </c:ext>
                </c:extLst>
              </c15:ser>
            </c15:filteredScatterSeries>
          </c:ext>
        </c:extLst>
      </c:scatterChart>
      <c:valAx>
        <c:axId val="1951419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951417407"/>
        <c:crosses val="autoZero"/>
        <c:crossBetween val="midCat"/>
      </c:valAx>
      <c:valAx>
        <c:axId val="195141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9514190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161924</xdr:colOff>
      <xdr:row>61</xdr:row>
      <xdr:rowOff>23812</xdr:rowOff>
    </xdr:from>
    <xdr:to>
      <xdr:col>25</xdr:col>
      <xdr:colOff>323849</xdr:colOff>
      <xdr:row>83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84411B-6F17-4B8D-954E-7B0505D699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84</xdr:row>
      <xdr:rowOff>0</xdr:rowOff>
    </xdr:from>
    <xdr:to>
      <xdr:col>25</xdr:col>
      <xdr:colOff>161925</xdr:colOff>
      <xdr:row>106</xdr:row>
      <xdr:rowOff>128588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C1AAA44-7DFA-4475-B7B7-C94218F306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0</xdr:colOff>
      <xdr:row>84</xdr:row>
      <xdr:rowOff>0</xdr:rowOff>
    </xdr:from>
    <xdr:to>
      <xdr:col>48</xdr:col>
      <xdr:colOff>161925</xdr:colOff>
      <xdr:row>106</xdr:row>
      <xdr:rowOff>128588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F24BCFF-E25F-4C64-A2DF-0F7A149542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329565</xdr:colOff>
      <xdr:row>57</xdr:row>
      <xdr:rowOff>66674</xdr:rowOff>
    </xdr:from>
    <xdr:to>
      <xdr:col>27</xdr:col>
      <xdr:colOff>443865</xdr:colOff>
      <xdr:row>77</xdr:row>
      <xdr:rowOff>87629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102317-FEEF-4EE2-90EF-0E112AF71C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161924</xdr:colOff>
      <xdr:row>61</xdr:row>
      <xdr:rowOff>23812</xdr:rowOff>
    </xdr:from>
    <xdr:to>
      <xdr:col>25</xdr:col>
      <xdr:colOff>323849</xdr:colOff>
      <xdr:row>83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FFBCD4F-E736-4896-A0C7-122293213D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104775</xdr:colOff>
      <xdr:row>84</xdr:row>
      <xdr:rowOff>95250</xdr:rowOff>
    </xdr:from>
    <xdr:to>
      <xdr:col>25</xdr:col>
      <xdr:colOff>266700</xdr:colOff>
      <xdr:row>107</xdr:row>
      <xdr:rowOff>33338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728C88E-5956-4F3A-A4A2-10D2FF196C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19050</xdr:colOff>
      <xdr:row>60</xdr:row>
      <xdr:rowOff>47625</xdr:rowOff>
    </xdr:from>
    <xdr:to>
      <xdr:col>39</xdr:col>
      <xdr:colOff>600075</xdr:colOff>
      <xdr:row>89</xdr:row>
      <xdr:rowOff>23812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D37842B-5D0F-433E-9BA8-298DB18376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352425</xdr:colOff>
      <xdr:row>50</xdr:row>
      <xdr:rowOff>97155</xdr:rowOff>
    </xdr:from>
    <xdr:to>
      <xdr:col>22</xdr:col>
      <xdr:colOff>308609</xdr:colOff>
      <xdr:row>73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ED120B-3686-44C9-9E32-28292E3EF7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C1205-EF19-4ABD-BC26-990D63B5895C}">
  <dimension ref="A1:AK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3" sqref="C3"/>
    </sheetView>
  </sheetViews>
  <sheetFormatPr defaultRowHeight="14.4" x14ac:dyDescent="0.3"/>
  <cols>
    <col min="1" max="1" width="23.109375" customWidth="1"/>
  </cols>
  <sheetData>
    <row r="1" spans="1:37" s="1" customFormat="1" x14ac:dyDescent="0.3">
      <c r="A1" s="1" t="s">
        <v>0</v>
      </c>
      <c r="B1" s="1">
        <v>42005</v>
      </c>
      <c r="C1" s="1">
        <v>42370</v>
      </c>
      <c r="D1" s="1">
        <v>42736</v>
      </c>
      <c r="E1" s="1">
        <v>43101</v>
      </c>
      <c r="F1" s="1">
        <v>43466</v>
      </c>
      <c r="G1" s="1">
        <v>43831</v>
      </c>
      <c r="H1" s="1">
        <v>44197</v>
      </c>
      <c r="I1" s="1">
        <v>44562</v>
      </c>
      <c r="J1" s="1">
        <v>44927</v>
      </c>
      <c r="K1" s="1">
        <v>45292</v>
      </c>
      <c r="L1" s="1">
        <v>45658</v>
      </c>
      <c r="M1" s="1">
        <v>46023</v>
      </c>
      <c r="N1" s="1">
        <v>46388</v>
      </c>
      <c r="O1" s="1">
        <v>46753</v>
      </c>
      <c r="P1" s="1">
        <v>47119</v>
      </c>
      <c r="Q1" s="1">
        <v>47484</v>
      </c>
      <c r="R1" s="1">
        <v>47849</v>
      </c>
      <c r="S1" s="1">
        <v>48214</v>
      </c>
      <c r="T1" s="1">
        <v>48580</v>
      </c>
      <c r="U1" s="1">
        <v>48945</v>
      </c>
      <c r="V1" s="1">
        <v>49310</v>
      </c>
      <c r="W1" s="1">
        <v>49675</v>
      </c>
      <c r="X1" s="1">
        <v>50041</v>
      </c>
      <c r="Y1" s="1">
        <v>50406</v>
      </c>
      <c r="Z1" s="1">
        <v>50771</v>
      </c>
      <c r="AA1" s="1">
        <v>51136</v>
      </c>
      <c r="AB1" s="1">
        <v>51502</v>
      </c>
      <c r="AC1" s="1">
        <v>51867</v>
      </c>
      <c r="AD1" s="1">
        <v>52232</v>
      </c>
      <c r="AE1" s="1">
        <v>52597</v>
      </c>
      <c r="AF1" s="1">
        <v>52963</v>
      </c>
      <c r="AG1" s="1">
        <v>53328</v>
      </c>
      <c r="AH1" s="1">
        <v>53693</v>
      </c>
      <c r="AI1" s="1">
        <v>54058</v>
      </c>
      <c r="AJ1" s="1">
        <v>54424</v>
      </c>
      <c r="AK1" s="1">
        <v>54789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9E79D-0687-4729-92B5-0C55CE90E211}">
  <dimension ref="A1:AK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23.5546875" customWidth="1"/>
  </cols>
  <sheetData>
    <row r="1" spans="1:37" s="1" customFormat="1" x14ac:dyDescent="0.3">
      <c r="A1" s="1" t="s">
        <v>0</v>
      </c>
      <c r="B1" s="1">
        <v>42005</v>
      </c>
      <c r="C1" s="1">
        <v>42370</v>
      </c>
      <c r="D1" s="1">
        <v>42736</v>
      </c>
      <c r="E1" s="1">
        <v>43101</v>
      </c>
      <c r="F1" s="1">
        <v>43466</v>
      </c>
      <c r="G1" s="1">
        <v>43831</v>
      </c>
      <c r="H1" s="1">
        <v>44197</v>
      </c>
      <c r="I1" s="1">
        <v>44562</v>
      </c>
      <c r="J1" s="1">
        <v>44927</v>
      </c>
      <c r="K1" s="1">
        <v>45292</v>
      </c>
      <c r="L1" s="1">
        <v>45658</v>
      </c>
      <c r="M1" s="1">
        <v>46023</v>
      </c>
      <c r="N1" s="1">
        <v>46388</v>
      </c>
      <c r="O1" s="1">
        <v>46753</v>
      </c>
      <c r="P1" s="1">
        <v>47119</v>
      </c>
      <c r="Q1" s="1">
        <v>47484</v>
      </c>
      <c r="R1" s="1">
        <v>47849</v>
      </c>
      <c r="S1" s="1">
        <v>48214</v>
      </c>
      <c r="T1" s="1">
        <v>48580</v>
      </c>
      <c r="U1" s="1">
        <v>48945</v>
      </c>
      <c r="V1" s="1">
        <v>49310</v>
      </c>
      <c r="W1" s="1">
        <v>49675</v>
      </c>
      <c r="X1" s="1">
        <v>50041</v>
      </c>
      <c r="Y1" s="1">
        <v>50406</v>
      </c>
      <c r="Z1" s="1">
        <v>50771</v>
      </c>
      <c r="AA1" s="1">
        <v>51136</v>
      </c>
      <c r="AB1" s="1">
        <v>51502</v>
      </c>
      <c r="AC1" s="1">
        <v>51867</v>
      </c>
      <c r="AD1" s="1">
        <v>52232</v>
      </c>
      <c r="AE1" s="1">
        <v>52597</v>
      </c>
      <c r="AF1" s="1">
        <v>52963</v>
      </c>
      <c r="AG1" s="1">
        <v>53328</v>
      </c>
      <c r="AH1" s="1">
        <v>53693</v>
      </c>
      <c r="AI1" s="1">
        <v>54058</v>
      </c>
      <c r="AJ1" s="1">
        <v>54424</v>
      </c>
      <c r="AK1" s="1">
        <v>54789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E164F-9808-4094-BFFE-BC431AAAA5C8}">
  <sheetPr>
    <tabColor theme="7"/>
  </sheetPr>
  <dimension ref="A1:AU137"/>
  <sheetViews>
    <sheetView topLeftCell="A88" workbookViewId="0">
      <selection activeCell="K141" sqref="K141"/>
    </sheetView>
  </sheetViews>
  <sheetFormatPr defaultRowHeight="14.4" x14ac:dyDescent="0.3"/>
  <cols>
    <col min="3" max="3" width="10.109375" bestFit="1" customWidth="1"/>
    <col min="4" max="4" width="6.5546875" bestFit="1" customWidth="1"/>
    <col min="5" max="7" width="10.109375" bestFit="1" customWidth="1"/>
    <col min="9" max="9" width="9.109375" style="10"/>
    <col min="11" max="11" width="22.33203125" bestFit="1" customWidth="1"/>
    <col min="18" max="18" width="9.109375" style="10"/>
    <col min="20" max="20" width="32.88671875" customWidth="1"/>
  </cols>
  <sheetData>
    <row r="1" spans="1:47" s="12" customFormat="1" ht="19.8" x14ac:dyDescent="0.4">
      <c r="A1" s="11" t="s">
        <v>159</v>
      </c>
      <c r="C1" s="11"/>
      <c r="D1" s="11"/>
      <c r="E1" s="11"/>
      <c r="F1" s="11"/>
      <c r="G1" s="11"/>
      <c r="H1" s="11"/>
      <c r="I1" s="11"/>
      <c r="J1" s="11"/>
      <c r="K1" s="11" t="s">
        <v>160</v>
      </c>
      <c r="L1" s="11"/>
      <c r="M1" s="11"/>
      <c r="N1" s="11"/>
      <c r="O1" s="11"/>
      <c r="P1" s="11"/>
      <c r="Q1" s="11"/>
      <c r="R1" s="11"/>
      <c r="S1" s="11"/>
      <c r="T1" s="11" t="s">
        <v>161</v>
      </c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</row>
    <row r="3" spans="1:47" x14ac:dyDescent="0.3">
      <c r="L3">
        <v>2</v>
      </c>
      <c r="M3">
        <v>7</v>
      </c>
      <c r="N3">
        <v>17</v>
      </c>
      <c r="O3">
        <v>27</v>
      </c>
      <c r="P3">
        <v>37</v>
      </c>
    </row>
    <row r="4" spans="1:47" x14ac:dyDescent="0.3">
      <c r="C4" s="5">
        <v>2015</v>
      </c>
      <c r="D4" s="5">
        <v>2020</v>
      </c>
      <c r="E4" s="5">
        <v>2030</v>
      </c>
      <c r="F4" s="5">
        <v>2040</v>
      </c>
      <c r="G4" s="5">
        <v>2050</v>
      </c>
      <c r="L4" s="5">
        <v>2015</v>
      </c>
      <c r="M4" s="5">
        <v>2020</v>
      </c>
      <c r="N4" s="5">
        <v>2030</v>
      </c>
      <c r="O4" s="5">
        <v>2040</v>
      </c>
      <c r="P4" s="5">
        <v>2050</v>
      </c>
      <c r="U4" s="5">
        <v>2015</v>
      </c>
      <c r="V4" s="5">
        <v>2020</v>
      </c>
      <c r="W4" s="5">
        <v>2030</v>
      </c>
      <c r="X4" s="5">
        <v>2040</v>
      </c>
      <c r="Y4" s="5">
        <v>2050</v>
      </c>
    </row>
    <row r="5" spans="1:47" x14ac:dyDescent="0.3">
      <c r="A5" s="2" t="s">
        <v>136</v>
      </c>
      <c r="B5" s="2" t="s">
        <v>147</v>
      </c>
      <c r="C5" s="7">
        <v>2.49427682268948E-3</v>
      </c>
      <c r="D5" s="8">
        <v>2.49427682268948E-3</v>
      </c>
      <c r="E5" s="8">
        <v>0</v>
      </c>
      <c r="F5" s="8">
        <v>0</v>
      </c>
      <c r="G5" s="8">
        <v>0</v>
      </c>
      <c r="K5" t="str">
        <f>"CI_toe_"&amp;A5&amp;"_"&amp;B5&amp;"_0"</f>
        <v>CI_toe_ccoa_sagr_0</v>
      </c>
      <c r="L5" s="9" t="str">
        <f>IFERROR(VLOOKUP($K5,baseline!$A:$AK,L$3,FALSE),"")</f>
        <v/>
      </c>
      <c r="M5" s="9" t="str">
        <f>IFERROR(VLOOKUP($K5,baseline!$A:$AK,M$3,FALSE),"")</f>
        <v/>
      </c>
      <c r="N5" s="9" t="str">
        <f>IFERROR(VLOOKUP($K5,baseline!$A:$AK,N$3,FALSE),"")</f>
        <v/>
      </c>
      <c r="O5" s="9" t="str">
        <f>IFERROR(VLOOKUP($K5,baseline!$A:$AK,O$3,FALSE),"")</f>
        <v/>
      </c>
      <c r="P5" s="9" t="str">
        <f>IFERROR(VLOOKUP($K5,baseline!$A:$AK,P$3,FALSE),"")</f>
        <v/>
      </c>
      <c r="T5" t="str">
        <f>K5</f>
        <v>CI_toe_ccoa_sagr_0</v>
      </c>
      <c r="U5" s="9" t="str">
        <f>IFERROR(L5-C5,"")</f>
        <v/>
      </c>
      <c r="V5" s="9" t="str">
        <f t="shared" ref="V5:Y5" si="0">IFERROR(M5-D5,"")</f>
        <v/>
      </c>
      <c r="W5" s="9" t="str">
        <f t="shared" si="0"/>
        <v/>
      </c>
      <c r="X5" s="9" t="str">
        <f t="shared" si="0"/>
        <v/>
      </c>
      <c r="Y5" s="9" t="str">
        <f t="shared" si="0"/>
        <v/>
      </c>
    </row>
    <row r="6" spans="1:47" x14ac:dyDescent="0.3">
      <c r="A6" s="2" t="s">
        <v>137</v>
      </c>
      <c r="B6" s="2" t="s">
        <v>147</v>
      </c>
      <c r="C6" s="7">
        <v>9.4696090354390194E-2</v>
      </c>
      <c r="D6" s="8">
        <v>9.4696090354390194E-2</v>
      </c>
      <c r="E6" s="8">
        <v>9.4696090354390194E-2</v>
      </c>
      <c r="F6" s="8">
        <v>9.4696090354390194E-2</v>
      </c>
      <c r="G6" s="8">
        <v>9.4696090354390194E-2</v>
      </c>
      <c r="K6" t="str">
        <f t="shared" ref="K6:K69" si="1">"CI_toe_"&amp;A6&amp;"_"&amp;B6&amp;"_0"</f>
        <v>CI_toe_coil_sagr_0</v>
      </c>
      <c r="L6" s="9" t="str">
        <f>IFERROR(VLOOKUP($K6,baseline!$A:$AK,L$3,FALSE),"")</f>
        <v/>
      </c>
      <c r="M6" s="9" t="str">
        <f>IFERROR(VLOOKUP($K6,baseline!$A:$AK,M$3,FALSE),"")</f>
        <v/>
      </c>
      <c r="N6" s="9" t="str">
        <f>IFERROR(VLOOKUP($K6,baseline!$A:$AK,N$3,FALSE),"")</f>
        <v/>
      </c>
      <c r="O6" s="9" t="str">
        <f>IFERROR(VLOOKUP($K6,baseline!$A:$AK,O$3,FALSE),"")</f>
        <v/>
      </c>
      <c r="P6" s="9" t="str">
        <f>IFERROR(VLOOKUP($K6,baseline!$A:$AK,P$3,FALSE),"")</f>
        <v/>
      </c>
      <c r="T6" t="str">
        <f t="shared" ref="T6:T69" si="2">K6</f>
        <v>CI_toe_coil_sagr_0</v>
      </c>
      <c r="U6" s="9" t="str">
        <f t="shared" ref="U6:U69" si="3">IFERROR(L6-C6,"")</f>
        <v/>
      </c>
      <c r="V6" s="9" t="str">
        <f t="shared" ref="V6:V69" si="4">IFERROR(M6-D6,"")</f>
        <v/>
      </c>
      <c r="W6" s="9" t="str">
        <f t="shared" ref="W6:W69" si="5">IFERROR(N6-E6,"")</f>
        <v/>
      </c>
      <c r="X6" s="9" t="str">
        <f t="shared" ref="X6:X69" si="6">IFERROR(O6-F6,"")</f>
        <v/>
      </c>
      <c r="Y6" s="9" t="str">
        <f t="shared" ref="Y6:Y69" si="7">IFERROR(P6-G6,"")</f>
        <v/>
      </c>
    </row>
    <row r="7" spans="1:47" x14ac:dyDescent="0.3">
      <c r="A7" s="2" t="s">
        <v>138</v>
      </c>
      <c r="B7" s="2" t="s">
        <v>147</v>
      </c>
      <c r="C7" s="7">
        <v>0.75011452473295204</v>
      </c>
      <c r="D7" s="8">
        <v>0.67002951272919564</v>
      </c>
      <c r="E7" s="8">
        <v>0.69045416997203501</v>
      </c>
      <c r="F7" s="8">
        <v>0.57314367206037442</v>
      </c>
      <c r="G7" s="8">
        <v>1.5187679936130253E-3</v>
      </c>
      <c r="K7" t="str">
        <f t="shared" si="1"/>
        <v>CI_toe_cfue_sagr_0</v>
      </c>
      <c r="L7" s="9" t="str">
        <f>IFERROR(VLOOKUP($K7,baseline!$A:$AK,L$3,FALSE),"")</f>
        <v/>
      </c>
      <c r="M7" s="9" t="str">
        <f>IFERROR(VLOOKUP($K7,baseline!$A:$AK,M$3,FALSE),"")</f>
        <v/>
      </c>
      <c r="N7" s="9" t="str">
        <f>IFERROR(VLOOKUP($K7,baseline!$A:$AK,N$3,FALSE),"")</f>
        <v/>
      </c>
      <c r="O7" s="9" t="str">
        <f>IFERROR(VLOOKUP($K7,baseline!$A:$AK,O$3,FALSE),"")</f>
        <v/>
      </c>
      <c r="P7" s="9" t="str">
        <f>IFERROR(VLOOKUP($K7,baseline!$A:$AK,P$3,FALSE),"")</f>
        <v/>
      </c>
      <c r="T7" t="str">
        <f t="shared" si="2"/>
        <v>CI_toe_cfue_sagr_0</v>
      </c>
      <c r="U7" s="9" t="str">
        <f t="shared" si="3"/>
        <v/>
      </c>
      <c r="V7" s="9" t="str">
        <f t="shared" si="4"/>
        <v/>
      </c>
      <c r="W7" s="9" t="str">
        <f t="shared" si="5"/>
        <v/>
      </c>
      <c r="X7" s="9" t="str">
        <f t="shared" si="6"/>
        <v/>
      </c>
      <c r="Y7" s="9" t="str">
        <f t="shared" si="7"/>
        <v/>
      </c>
    </row>
    <row r="8" spans="1:47" x14ac:dyDescent="0.3">
      <c r="A8" s="2" t="s">
        <v>139</v>
      </c>
      <c r="B8" s="2" t="s">
        <v>147</v>
      </c>
      <c r="C8" s="7">
        <v>0.18384926157509901</v>
      </c>
      <c r="D8" s="8">
        <v>0.18384926157509901</v>
      </c>
      <c r="E8" s="8">
        <v>0.18384926157509901</v>
      </c>
      <c r="F8" s="8">
        <v>0.18384926157509901</v>
      </c>
      <c r="G8" s="8">
        <v>0.18384926157509901</v>
      </c>
      <c r="K8" t="str">
        <f t="shared" si="1"/>
        <v>CI_toe_cpch_sagr_0</v>
      </c>
      <c r="L8" s="9" t="str">
        <f>IFERROR(VLOOKUP($K8,baseline!$A:$AK,L$3,FALSE),"")</f>
        <v/>
      </c>
      <c r="M8" s="9" t="str">
        <f>IFERROR(VLOOKUP($K8,baseline!$A:$AK,M$3,FALSE),"")</f>
        <v/>
      </c>
      <c r="N8" s="9" t="str">
        <f>IFERROR(VLOOKUP($K8,baseline!$A:$AK,N$3,FALSE),"")</f>
        <v/>
      </c>
      <c r="O8" s="9" t="str">
        <f>IFERROR(VLOOKUP($K8,baseline!$A:$AK,O$3,FALSE),"")</f>
        <v/>
      </c>
      <c r="P8" s="9" t="str">
        <f>IFERROR(VLOOKUP($K8,baseline!$A:$AK,P$3,FALSE),"")</f>
        <v/>
      </c>
      <c r="T8" t="str">
        <f t="shared" si="2"/>
        <v>CI_toe_cpch_sagr_0</v>
      </c>
      <c r="U8" s="9" t="str">
        <f t="shared" si="3"/>
        <v/>
      </c>
      <c r="V8" s="9" t="str">
        <f t="shared" si="4"/>
        <v/>
      </c>
      <c r="W8" s="9" t="str">
        <f t="shared" si="5"/>
        <v/>
      </c>
      <c r="X8" s="9" t="str">
        <f t="shared" si="6"/>
        <v/>
      </c>
      <c r="Y8" s="9" t="str">
        <f t="shared" si="7"/>
        <v/>
      </c>
    </row>
    <row r="9" spans="1:47" x14ac:dyDescent="0.3">
      <c r="A9" s="2" t="s">
        <v>140</v>
      </c>
      <c r="B9" s="2" t="s">
        <v>147</v>
      </c>
      <c r="C9" s="7">
        <v>0.77203667520954899</v>
      </c>
      <c r="D9" s="8">
        <v>0.77203667520954899</v>
      </c>
      <c r="E9" s="8">
        <v>0.77203667520954899</v>
      </c>
      <c r="F9" s="8">
        <v>0.79161166905822022</v>
      </c>
      <c r="G9" s="8">
        <v>0.82387485630680057</v>
      </c>
      <c r="K9" t="str">
        <f t="shared" si="1"/>
        <v>CI_toe_cele_sagr_0</v>
      </c>
      <c r="L9" s="9" t="str">
        <f>IFERROR(VLOOKUP($K9,baseline!$A:$AK,L$3,FALSE),"")</f>
        <v/>
      </c>
      <c r="M9" s="9" t="str">
        <f>IFERROR(VLOOKUP($K9,baseline!$A:$AK,M$3,FALSE),"")</f>
        <v/>
      </c>
      <c r="N9" s="9" t="str">
        <f>IFERROR(VLOOKUP($K9,baseline!$A:$AK,N$3,FALSE),"")</f>
        <v/>
      </c>
      <c r="O9" s="9" t="str">
        <f>IFERROR(VLOOKUP($K9,baseline!$A:$AK,O$3,FALSE),"")</f>
        <v/>
      </c>
      <c r="P9" s="9" t="str">
        <f>IFERROR(VLOOKUP($K9,baseline!$A:$AK,P$3,FALSE),"")</f>
        <v/>
      </c>
      <c r="T9" t="str">
        <f t="shared" si="2"/>
        <v>CI_toe_cele_sagr_0</v>
      </c>
      <c r="U9" s="9" t="str">
        <f t="shared" si="3"/>
        <v/>
      </c>
      <c r="V9" s="9" t="str">
        <f t="shared" si="4"/>
        <v/>
      </c>
      <c r="W9" s="9" t="str">
        <f t="shared" si="5"/>
        <v/>
      </c>
      <c r="X9" s="9" t="str">
        <f t="shared" si="6"/>
        <v/>
      </c>
      <c r="Y9" s="9" t="str">
        <f t="shared" si="7"/>
        <v/>
      </c>
    </row>
    <row r="10" spans="1:47" x14ac:dyDescent="0.3">
      <c r="A10" s="2" t="s">
        <v>141</v>
      </c>
      <c r="B10" s="2" t="s">
        <v>147</v>
      </c>
      <c r="C10" s="7">
        <v>2.2466481110586898</v>
      </c>
      <c r="D10" s="8">
        <v>2.014592342804983</v>
      </c>
      <c r="E10" s="8">
        <v>1.7248323259632052</v>
      </c>
      <c r="F10" s="8">
        <v>0.97730815607562804</v>
      </c>
      <c r="G10" s="8">
        <v>0.79168703693558162</v>
      </c>
      <c r="K10" t="str">
        <f t="shared" si="1"/>
        <v>CI_toe_cgas_sagr_0</v>
      </c>
      <c r="L10" s="9" t="str">
        <f>IFERROR(VLOOKUP($K10,baseline!$A:$AK,L$3,FALSE),"")</f>
        <v/>
      </c>
      <c r="M10" s="9" t="str">
        <f>IFERROR(VLOOKUP($K10,baseline!$A:$AK,M$3,FALSE),"")</f>
        <v/>
      </c>
      <c r="N10" s="9" t="str">
        <f>IFERROR(VLOOKUP($K10,baseline!$A:$AK,N$3,FALSE),"")</f>
        <v/>
      </c>
      <c r="O10" s="9" t="str">
        <f>IFERROR(VLOOKUP($K10,baseline!$A:$AK,O$3,FALSE),"")</f>
        <v/>
      </c>
      <c r="P10" s="9" t="str">
        <f>IFERROR(VLOOKUP($K10,baseline!$A:$AK,P$3,FALSE),"")</f>
        <v/>
      </c>
      <c r="T10" t="str">
        <f t="shared" si="2"/>
        <v>CI_toe_cgas_sagr_0</v>
      </c>
      <c r="U10" s="9" t="str">
        <f t="shared" si="3"/>
        <v/>
      </c>
      <c r="V10" s="9" t="str">
        <f t="shared" si="4"/>
        <v/>
      </c>
      <c r="W10" s="9" t="str">
        <f t="shared" si="5"/>
        <v/>
      </c>
      <c r="X10" s="9" t="str">
        <f t="shared" si="6"/>
        <v/>
      </c>
      <c r="Y10" s="9" t="str">
        <f t="shared" si="7"/>
        <v/>
      </c>
    </row>
    <row r="11" spans="1:47" x14ac:dyDescent="0.3">
      <c r="A11" s="2" t="s">
        <v>142</v>
      </c>
      <c r="B11" s="2" t="s">
        <v>147</v>
      </c>
      <c r="C11" s="7">
        <v>0</v>
      </c>
      <c r="D11" s="8">
        <v>0</v>
      </c>
      <c r="E11" s="8">
        <v>0</v>
      </c>
      <c r="F11" s="8">
        <v>0</v>
      </c>
      <c r="G11" s="8">
        <v>0</v>
      </c>
      <c r="K11" t="str">
        <f t="shared" si="1"/>
        <v>CI_toe_cmga_sagr_0</v>
      </c>
      <c r="L11" s="9" t="str">
        <f>IFERROR(VLOOKUP($K11,baseline!$A:$AK,L$3,FALSE),"")</f>
        <v/>
      </c>
      <c r="M11" s="9" t="str">
        <f>IFERROR(VLOOKUP($K11,baseline!$A:$AK,M$3,FALSE),"")</f>
        <v/>
      </c>
      <c r="N11" s="9" t="str">
        <f>IFERROR(VLOOKUP($K11,baseline!$A:$AK,N$3,FALSE),"")</f>
        <v/>
      </c>
      <c r="O11" s="9" t="str">
        <f>IFERROR(VLOOKUP($K11,baseline!$A:$AK,O$3,FALSE),"")</f>
        <v/>
      </c>
      <c r="P11" s="9" t="str">
        <f>IFERROR(VLOOKUP($K11,baseline!$A:$AK,P$3,FALSE),"")</f>
        <v/>
      </c>
      <c r="T11" t="str">
        <f t="shared" si="2"/>
        <v>CI_toe_cmga_sagr_0</v>
      </c>
      <c r="U11" s="9" t="str">
        <f t="shared" si="3"/>
        <v/>
      </c>
      <c r="V11" s="9" t="str">
        <f t="shared" si="4"/>
        <v/>
      </c>
      <c r="W11" s="9" t="str">
        <f t="shared" si="5"/>
        <v/>
      </c>
      <c r="X11" s="9" t="str">
        <f t="shared" si="6"/>
        <v/>
      </c>
      <c r="Y11" s="9" t="str">
        <f t="shared" si="7"/>
        <v/>
      </c>
    </row>
    <row r="12" spans="1:47" x14ac:dyDescent="0.3">
      <c r="A12" s="2" t="s">
        <v>143</v>
      </c>
      <c r="B12" s="2" t="s">
        <v>147</v>
      </c>
      <c r="C12" s="7">
        <v>5.5541494715622197E-2</v>
      </c>
      <c r="D12" s="8">
        <v>6.3244181141283731E-2</v>
      </c>
      <c r="E12" s="8">
        <v>5.4107999561147133E-2</v>
      </c>
      <c r="F12" s="8">
        <v>4.4893488498853558E-2</v>
      </c>
      <c r="G12" s="8">
        <v>1.1472431991276325E-4</v>
      </c>
      <c r="K12" t="str">
        <f t="shared" si="1"/>
        <v>CI_toe_cbiog_sagr_0</v>
      </c>
      <c r="L12" s="9" t="str">
        <f>IFERROR(VLOOKUP($K12,baseline!$A:$AK,L$3,FALSE),"")</f>
        <v/>
      </c>
      <c r="M12" s="9" t="str">
        <f>IFERROR(VLOOKUP($K12,baseline!$A:$AK,M$3,FALSE),"")</f>
        <v/>
      </c>
      <c r="N12" s="9" t="str">
        <f>IFERROR(VLOOKUP($K12,baseline!$A:$AK,N$3,FALSE),"")</f>
        <v/>
      </c>
      <c r="O12" s="9" t="str">
        <f>IFERROR(VLOOKUP($K12,baseline!$A:$AK,O$3,FALSE),"")</f>
        <v/>
      </c>
      <c r="P12" s="9" t="str">
        <f>IFERROR(VLOOKUP($K12,baseline!$A:$AK,P$3,FALSE),"")</f>
        <v/>
      </c>
      <c r="T12" t="str">
        <f t="shared" si="2"/>
        <v>CI_toe_cbiog_sagr_0</v>
      </c>
      <c r="U12" s="9" t="str">
        <f t="shared" si="3"/>
        <v/>
      </c>
      <c r="V12" s="9" t="str">
        <f t="shared" si="4"/>
        <v/>
      </c>
      <c r="W12" s="9" t="str">
        <f t="shared" si="5"/>
        <v/>
      </c>
      <c r="X12" s="9" t="str">
        <f t="shared" si="6"/>
        <v/>
      </c>
      <c r="Y12" s="9" t="str">
        <f t="shared" si="7"/>
        <v/>
      </c>
    </row>
    <row r="13" spans="1:47" x14ac:dyDescent="0.3">
      <c r="A13" s="2" t="s">
        <v>144</v>
      </c>
      <c r="B13" s="2" t="s">
        <v>147</v>
      </c>
      <c r="C13" s="7">
        <v>6.4907229130305305E-2</v>
      </c>
      <c r="D13" s="8">
        <v>0.13061304167015983</v>
      </c>
      <c r="E13" s="8">
        <v>0.12980874667575684</v>
      </c>
      <c r="F13" s="8">
        <v>0.10767706212470436</v>
      </c>
      <c r="G13" s="8">
        <v>3.781448180429401E-2</v>
      </c>
      <c r="K13" t="str">
        <f t="shared" si="1"/>
        <v>CI_toe_cbiom_sagr_0</v>
      </c>
      <c r="L13" s="9" t="str">
        <f>IFERROR(VLOOKUP($K13,baseline!$A:$AK,L$3,FALSE),"")</f>
        <v/>
      </c>
      <c r="M13" s="9" t="str">
        <f>IFERROR(VLOOKUP($K13,baseline!$A:$AK,M$3,FALSE),"")</f>
        <v/>
      </c>
      <c r="N13" s="9" t="str">
        <f>IFERROR(VLOOKUP($K13,baseline!$A:$AK,N$3,FALSE),"")</f>
        <v/>
      </c>
      <c r="O13" s="9" t="str">
        <f>IFERROR(VLOOKUP($K13,baseline!$A:$AK,O$3,FALSE),"")</f>
        <v/>
      </c>
      <c r="P13" s="9" t="str">
        <f>IFERROR(VLOOKUP($K13,baseline!$A:$AK,P$3,FALSE),"")</f>
        <v/>
      </c>
      <c r="T13" t="str">
        <f t="shared" si="2"/>
        <v>CI_toe_cbiom_sagr_0</v>
      </c>
      <c r="U13" s="9" t="str">
        <f t="shared" si="3"/>
        <v/>
      </c>
      <c r="V13" s="9" t="str">
        <f t="shared" si="4"/>
        <v/>
      </c>
      <c r="W13" s="9" t="str">
        <f t="shared" si="5"/>
        <v/>
      </c>
      <c r="X13" s="9" t="str">
        <f t="shared" si="6"/>
        <v/>
      </c>
      <c r="Y13" s="9" t="str">
        <f t="shared" si="7"/>
        <v/>
      </c>
    </row>
    <row r="14" spans="1:47" x14ac:dyDescent="0.3">
      <c r="A14" s="2" t="s">
        <v>145</v>
      </c>
      <c r="B14" s="2" t="s">
        <v>147</v>
      </c>
      <c r="C14" s="7">
        <v>1.06035671471885E-2</v>
      </c>
      <c r="D14" s="8">
        <v>9.5014971282456548E-3</v>
      </c>
      <c r="E14" s="8">
        <v>9.5104150912492507E-3</v>
      </c>
      <c r="F14" s="8">
        <v>9.5104150912492507E-3</v>
      </c>
      <c r="G14" s="8">
        <v>9.5104150912492507E-3</v>
      </c>
      <c r="K14" t="str">
        <f t="shared" si="1"/>
        <v>CI_toe_cbiof_sagr_0</v>
      </c>
      <c r="L14" s="9" t="str">
        <f>IFERROR(VLOOKUP($K14,baseline!$A:$AK,L$3,FALSE),"")</f>
        <v/>
      </c>
      <c r="M14" s="9" t="str">
        <f>IFERROR(VLOOKUP($K14,baseline!$A:$AK,M$3,FALSE),"")</f>
        <v/>
      </c>
      <c r="N14" s="9" t="str">
        <f>IFERROR(VLOOKUP($K14,baseline!$A:$AK,N$3,FALSE),"")</f>
        <v/>
      </c>
      <c r="O14" s="9" t="str">
        <f>IFERROR(VLOOKUP($K14,baseline!$A:$AK,O$3,FALSE),"")</f>
        <v/>
      </c>
      <c r="P14" s="9" t="str">
        <f>IFERROR(VLOOKUP($K14,baseline!$A:$AK,P$3,FALSE),"")</f>
        <v/>
      </c>
      <c r="T14" t="str">
        <f t="shared" si="2"/>
        <v>CI_toe_cbiof_sagr_0</v>
      </c>
      <c r="U14" s="9" t="str">
        <f t="shared" si="3"/>
        <v/>
      </c>
      <c r="V14" s="9" t="str">
        <f t="shared" si="4"/>
        <v/>
      </c>
      <c r="W14" s="9" t="str">
        <f t="shared" si="5"/>
        <v/>
      </c>
      <c r="X14" s="9" t="str">
        <f t="shared" si="6"/>
        <v/>
      </c>
      <c r="Y14" s="9" t="str">
        <f t="shared" si="7"/>
        <v/>
      </c>
    </row>
    <row r="15" spans="1:47" x14ac:dyDescent="0.3">
      <c r="A15" s="2" t="s">
        <v>146</v>
      </c>
      <c r="B15" s="2" t="s">
        <v>147</v>
      </c>
      <c r="C15" s="7">
        <v>8.3584705255668898E-2</v>
      </c>
      <c r="D15" s="8">
        <v>0.15003000881199083</v>
      </c>
      <c r="E15" s="8">
        <v>0.27890714214910894</v>
      </c>
      <c r="F15" s="8">
        <v>0.42064872915043749</v>
      </c>
      <c r="G15" s="8">
        <v>0.51106248924597997</v>
      </c>
      <c r="K15" t="str">
        <f t="shared" si="1"/>
        <v>CI_toe_chea_sagr_0</v>
      </c>
      <c r="L15" s="9" t="str">
        <f>IFERROR(VLOOKUP($K15,baseline!$A:$AK,L$3,FALSE),"")</f>
        <v/>
      </c>
      <c r="M15" s="9" t="str">
        <f>IFERROR(VLOOKUP($K15,baseline!$A:$AK,M$3,FALSE),"")</f>
        <v/>
      </c>
      <c r="N15" s="9" t="str">
        <f>IFERROR(VLOOKUP($K15,baseline!$A:$AK,N$3,FALSE),"")</f>
        <v/>
      </c>
      <c r="O15" s="9" t="str">
        <f>IFERROR(VLOOKUP($K15,baseline!$A:$AK,O$3,FALSE),"")</f>
        <v/>
      </c>
      <c r="P15" s="9" t="str">
        <f>IFERROR(VLOOKUP($K15,baseline!$A:$AK,P$3,FALSE),"")</f>
        <v/>
      </c>
      <c r="T15" t="str">
        <f t="shared" si="2"/>
        <v>CI_toe_chea_sagr_0</v>
      </c>
      <c r="U15" s="9" t="str">
        <f t="shared" si="3"/>
        <v/>
      </c>
      <c r="V15" s="9" t="str">
        <f t="shared" si="4"/>
        <v/>
      </c>
      <c r="W15" s="9" t="str">
        <f t="shared" si="5"/>
        <v/>
      </c>
      <c r="X15" s="9" t="str">
        <f t="shared" si="6"/>
        <v/>
      </c>
      <c r="Y15" s="9" t="str">
        <f t="shared" si="7"/>
        <v/>
      </c>
    </row>
    <row r="16" spans="1:47" x14ac:dyDescent="0.3">
      <c r="A16" s="2" t="s">
        <v>136</v>
      </c>
      <c r="B16" s="2" t="s">
        <v>148</v>
      </c>
      <c r="C16" s="7">
        <v>2.3333957672116701</v>
      </c>
      <c r="D16" s="8">
        <v>2.0262319953203694</v>
      </c>
      <c r="E16" s="8">
        <v>2.5275375455610734</v>
      </c>
      <c r="F16" s="8">
        <v>2.4720318499971583</v>
      </c>
      <c r="G16" s="8">
        <v>2.4722894122145251</v>
      </c>
      <c r="K16" t="str">
        <f t="shared" si="1"/>
        <v>CI_toe_ccoa_smet_0</v>
      </c>
      <c r="L16" s="9" t="str">
        <f>IFERROR(VLOOKUP($K16,baseline!$A:$AK,L$3,FALSE),"")</f>
        <v/>
      </c>
      <c r="M16" s="9" t="str">
        <f>IFERROR(VLOOKUP($K16,baseline!$A:$AK,M$3,FALSE),"")</f>
        <v/>
      </c>
      <c r="N16" s="9" t="str">
        <f>IFERROR(VLOOKUP($K16,baseline!$A:$AK,N$3,FALSE),"")</f>
        <v/>
      </c>
      <c r="O16" s="9" t="str">
        <f>IFERROR(VLOOKUP($K16,baseline!$A:$AK,O$3,FALSE),"")</f>
        <v/>
      </c>
      <c r="P16" s="9" t="str">
        <f>IFERROR(VLOOKUP($K16,baseline!$A:$AK,P$3,FALSE),"")</f>
        <v/>
      </c>
      <c r="T16" t="str">
        <f t="shared" si="2"/>
        <v>CI_toe_ccoa_smet_0</v>
      </c>
      <c r="U16" s="9" t="str">
        <f t="shared" si="3"/>
        <v/>
      </c>
      <c r="V16" s="9" t="str">
        <f t="shared" si="4"/>
        <v/>
      </c>
      <c r="W16" s="9" t="str">
        <f t="shared" si="5"/>
        <v/>
      </c>
      <c r="X16" s="9" t="str">
        <f t="shared" si="6"/>
        <v/>
      </c>
      <c r="Y16" s="9" t="str">
        <f t="shared" si="7"/>
        <v/>
      </c>
    </row>
    <row r="17" spans="1:25" x14ac:dyDescent="0.3">
      <c r="A17" s="2" t="s">
        <v>137</v>
      </c>
      <c r="B17" s="2" t="s">
        <v>148</v>
      </c>
      <c r="C17" s="7">
        <v>6.5365869806519997E-2</v>
      </c>
      <c r="D17" s="8">
        <v>6.5365869806519997E-2</v>
      </c>
      <c r="E17" s="8">
        <v>6.5365869806519997E-2</v>
      </c>
      <c r="F17" s="8">
        <v>6.5365869806519997E-2</v>
      </c>
      <c r="G17" s="8">
        <v>6.5365869806519997E-2</v>
      </c>
      <c r="K17" t="str">
        <f t="shared" si="1"/>
        <v>CI_toe_coil_smet_0</v>
      </c>
      <c r="L17" s="9" t="str">
        <f>IFERROR(VLOOKUP($K17,baseline!$A:$AK,L$3,FALSE),"")</f>
        <v/>
      </c>
      <c r="M17" s="9" t="str">
        <f>IFERROR(VLOOKUP($K17,baseline!$A:$AK,M$3,FALSE),"")</f>
        <v/>
      </c>
      <c r="N17" s="9" t="str">
        <f>IFERROR(VLOOKUP($K17,baseline!$A:$AK,N$3,FALSE),"")</f>
        <v/>
      </c>
      <c r="O17" s="9" t="str">
        <f>IFERROR(VLOOKUP($K17,baseline!$A:$AK,O$3,FALSE),"")</f>
        <v/>
      </c>
      <c r="P17" s="9" t="str">
        <f>IFERROR(VLOOKUP($K17,baseline!$A:$AK,P$3,FALSE),"")</f>
        <v/>
      </c>
      <c r="T17" t="str">
        <f t="shared" si="2"/>
        <v>CI_toe_coil_smet_0</v>
      </c>
      <c r="U17" s="9" t="str">
        <f t="shared" si="3"/>
        <v/>
      </c>
      <c r="V17" s="9" t="str">
        <f t="shared" si="4"/>
        <v/>
      </c>
      <c r="W17" s="9" t="str">
        <f t="shared" si="5"/>
        <v/>
      </c>
      <c r="X17" s="9" t="str">
        <f t="shared" si="6"/>
        <v/>
      </c>
      <c r="Y17" s="9" t="str">
        <f t="shared" si="7"/>
        <v/>
      </c>
    </row>
    <row r="18" spans="1:25" x14ac:dyDescent="0.3">
      <c r="A18" s="2" t="s">
        <v>138</v>
      </c>
      <c r="B18" s="2" t="s">
        <v>148</v>
      </c>
      <c r="C18" s="7">
        <v>0.101636719009356</v>
      </c>
      <c r="D18" s="8">
        <v>0.11838117777885389</v>
      </c>
      <c r="E18" s="8">
        <v>0.13312870595896725</v>
      </c>
      <c r="F18" s="8">
        <v>0</v>
      </c>
      <c r="G18" s="8">
        <v>0</v>
      </c>
      <c r="K18" t="str">
        <f t="shared" si="1"/>
        <v>CI_toe_cfue_smet_0</v>
      </c>
      <c r="L18" s="9" t="str">
        <f>IFERROR(VLOOKUP($K18,baseline!$A:$AK,L$3,FALSE),"")</f>
        <v/>
      </c>
      <c r="M18" s="9" t="str">
        <f>IFERROR(VLOOKUP($K18,baseline!$A:$AK,M$3,FALSE),"")</f>
        <v/>
      </c>
      <c r="N18" s="9" t="str">
        <f>IFERROR(VLOOKUP($K18,baseline!$A:$AK,N$3,FALSE),"")</f>
        <v/>
      </c>
      <c r="O18" s="9" t="str">
        <f>IFERROR(VLOOKUP($K18,baseline!$A:$AK,O$3,FALSE),"")</f>
        <v/>
      </c>
      <c r="P18" s="9" t="str">
        <f>IFERROR(VLOOKUP($K18,baseline!$A:$AK,P$3,FALSE),"")</f>
        <v/>
      </c>
      <c r="T18" t="str">
        <f t="shared" si="2"/>
        <v>CI_toe_cfue_smet_0</v>
      </c>
      <c r="U18" s="9" t="str">
        <f t="shared" si="3"/>
        <v/>
      </c>
      <c r="V18" s="9" t="str">
        <f t="shared" si="4"/>
        <v/>
      </c>
      <c r="W18" s="9" t="str">
        <f t="shared" si="5"/>
        <v/>
      </c>
      <c r="X18" s="9" t="str">
        <f t="shared" si="6"/>
        <v/>
      </c>
      <c r="Y18" s="9" t="str">
        <f t="shared" si="7"/>
        <v/>
      </c>
    </row>
    <row r="19" spans="1:25" x14ac:dyDescent="0.3">
      <c r="A19" s="2" t="s">
        <v>139</v>
      </c>
      <c r="B19" s="2" t="s">
        <v>148</v>
      </c>
      <c r="C19" s="7">
        <v>0.12690562885087101</v>
      </c>
      <c r="D19" s="8">
        <v>0.12690562885087101</v>
      </c>
      <c r="E19" s="8">
        <v>0.12690562885087101</v>
      </c>
      <c r="F19" s="8">
        <v>0.12690562885087101</v>
      </c>
      <c r="G19" s="8">
        <v>0.12690562885087101</v>
      </c>
      <c r="K19" t="str">
        <f t="shared" si="1"/>
        <v>CI_toe_cpch_smet_0</v>
      </c>
      <c r="L19" s="9" t="str">
        <f>IFERROR(VLOOKUP($K19,baseline!$A:$AK,L$3,FALSE),"")</f>
        <v/>
      </c>
      <c r="M19" s="9" t="str">
        <f>IFERROR(VLOOKUP($K19,baseline!$A:$AK,M$3,FALSE),"")</f>
        <v/>
      </c>
      <c r="N19" s="9" t="str">
        <f>IFERROR(VLOOKUP($K19,baseline!$A:$AK,N$3,FALSE),"")</f>
        <v/>
      </c>
      <c r="O19" s="9" t="str">
        <f>IFERROR(VLOOKUP($K19,baseline!$A:$AK,O$3,FALSE),"")</f>
        <v/>
      </c>
      <c r="P19" s="9" t="str">
        <f>IFERROR(VLOOKUP($K19,baseline!$A:$AK,P$3,FALSE),"")</f>
        <v/>
      </c>
      <c r="T19" t="str">
        <f t="shared" si="2"/>
        <v>CI_toe_cpch_smet_0</v>
      </c>
      <c r="U19" s="9" t="str">
        <f t="shared" si="3"/>
        <v/>
      </c>
      <c r="V19" s="9" t="str">
        <f t="shared" si="4"/>
        <v/>
      </c>
      <c r="W19" s="9" t="str">
        <f t="shared" si="5"/>
        <v/>
      </c>
      <c r="X19" s="9" t="str">
        <f t="shared" si="6"/>
        <v/>
      </c>
      <c r="Y19" s="9" t="str">
        <f t="shared" si="7"/>
        <v/>
      </c>
    </row>
    <row r="20" spans="1:25" x14ac:dyDescent="0.3">
      <c r="A20" s="2" t="s">
        <v>140</v>
      </c>
      <c r="B20" s="2" t="s">
        <v>148</v>
      </c>
      <c r="C20" s="7">
        <v>0.40596179193035897</v>
      </c>
      <c r="D20" s="8">
        <v>0.41890557786000054</v>
      </c>
      <c r="E20" s="8">
        <v>0.45348827464765346</v>
      </c>
      <c r="F20" s="8">
        <v>0.83291777373885512</v>
      </c>
      <c r="G20" s="8">
        <v>0.85467020187076337</v>
      </c>
      <c r="K20" t="str">
        <f t="shared" si="1"/>
        <v>CI_toe_cele_smet_0</v>
      </c>
      <c r="L20" s="9" t="str">
        <f>IFERROR(VLOOKUP($K20,baseline!$A:$AK,L$3,FALSE),"")</f>
        <v/>
      </c>
      <c r="M20" s="9" t="str">
        <f>IFERROR(VLOOKUP($K20,baseline!$A:$AK,M$3,FALSE),"")</f>
        <v/>
      </c>
      <c r="N20" s="9" t="str">
        <f>IFERROR(VLOOKUP($K20,baseline!$A:$AK,N$3,FALSE),"")</f>
        <v/>
      </c>
      <c r="O20" s="9" t="str">
        <f>IFERROR(VLOOKUP($K20,baseline!$A:$AK,O$3,FALSE),"")</f>
        <v/>
      </c>
      <c r="P20" s="9" t="str">
        <f>IFERROR(VLOOKUP($K20,baseline!$A:$AK,P$3,FALSE),"")</f>
        <v/>
      </c>
      <c r="T20" t="str">
        <f t="shared" si="2"/>
        <v>CI_toe_cele_smet_0</v>
      </c>
      <c r="U20" s="9" t="str">
        <f t="shared" si="3"/>
        <v/>
      </c>
      <c r="V20" s="9" t="str">
        <f t="shared" si="4"/>
        <v/>
      </c>
      <c r="W20" s="9" t="str">
        <f t="shared" si="5"/>
        <v/>
      </c>
      <c r="X20" s="9" t="str">
        <f t="shared" si="6"/>
        <v/>
      </c>
      <c r="Y20" s="9" t="str">
        <f t="shared" si="7"/>
        <v/>
      </c>
    </row>
    <row r="21" spans="1:25" x14ac:dyDescent="0.3">
      <c r="A21" s="2" t="s">
        <v>141</v>
      </c>
      <c r="B21" s="2" t="s">
        <v>148</v>
      </c>
      <c r="C21" s="7">
        <v>0.39749958372484101</v>
      </c>
      <c r="D21" s="8">
        <v>0.36007206424247612</v>
      </c>
      <c r="E21" s="8">
        <v>0.40591197408373503</v>
      </c>
      <c r="F21" s="8">
        <v>0.3582846016760643</v>
      </c>
      <c r="G21" s="8">
        <v>0.3475342529460328</v>
      </c>
      <c r="K21" t="str">
        <f t="shared" si="1"/>
        <v>CI_toe_cgas_smet_0</v>
      </c>
      <c r="L21" s="9" t="str">
        <f>IFERROR(VLOOKUP($K21,baseline!$A:$AK,L$3,FALSE),"")</f>
        <v/>
      </c>
      <c r="M21" s="9" t="str">
        <f>IFERROR(VLOOKUP($K21,baseline!$A:$AK,M$3,FALSE),"")</f>
        <v/>
      </c>
      <c r="N21" s="9" t="str">
        <f>IFERROR(VLOOKUP($K21,baseline!$A:$AK,N$3,FALSE),"")</f>
        <v/>
      </c>
      <c r="O21" s="9" t="str">
        <f>IFERROR(VLOOKUP($K21,baseline!$A:$AK,O$3,FALSE),"")</f>
        <v/>
      </c>
      <c r="P21" s="9" t="str">
        <f>IFERROR(VLOOKUP($K21,baseline!$A:$AK,P$3,FALSE),"")</f>
        <v/>
      </c>
      <c r="T21" t="str">
        <f t="shared" si="2"/>
        <v>CI_toe_cgas_smet_0</v>
      </c>
      <c r="U21" s="9" t="str">
        <f t="shared" si="3"/>
        <v/>
      </c>
      <c r="V21" s="9" t="str">
        <f t="shared" si="4"/>
        <v/>
      </c>
      <c r="W21" s="9" t="str">
        <f t="shared" si="5"/>
        <v/>
      </c>
      <c r="X21" s="9" t="str">
        <f t="shared" si="6"/>
        <v/>
      </c>
      <c r="Y21" s="9" t="str">
        <f t="shared" si="7"/>
        <v/>
      </c>
    </row>
    <row r="22" spans="1:25" x14ac:dyDescent="0.3">
      <c r="A22" s="2" t="s">
        <v>142</v>
      </c>
      <c r="B22" s="2" t="s">
        <v>148</v>
      </c>
      <c r="C22" s="7">
        <v>0.463076907727756</v>
      </c>
      <c r="D22" s="8">
        <v>0.41947479920879116</v>
      </c>
      <c r="E22" s="8">
        <v>0.47287712859211811</v>
      </c>
      <c r="F22" s="8">
        <v>0.47287712859211811</v>
      </c>
      <c r="G22" s="8">
        <v>0.78213861861690248</v>
      </c>
      <c r="K22" t="str">
        <f t="shared" si="1"/>
        <v>CI_toe_cmga_smet_0</v>
      </c>
      <c r="L22" s="9" t="str">
        <f>IFERROR(VLOOKUP($K22,baseline!$A:$AK,L$3,FALSE),"")</f>
        <v/>
      </c>
      <c r="M22" s="9" t="str">
        <f>IFERROR(VLOOKUP($K22,baseline!$A:$AK,M$3,FALSE),"")</f>
        <v/>
      </c>
      <c r="N22" s="9" t="str">
        <f>IFERROR(VLOOKUP($K22,baseline!$A:$AK,N$3,FALSE),"")</f>
        <v/>
      </c>
      <c r="O22" s="9" t="str">
        <f>IFERROR(VLOOKUP($K22,baseline!$A:$AK,O$3,FALSE),"")</f>
        <v/>
      </c>
      <c r="P22" s="9" t="str">
        <f>IFERROR(VLOOKUP($K22,baseline!$A:$AK,P$3,FALSE),"")</f>
        <v/>
      </c>
      <c r="T22" t="str">
        <f t="shared" si="2"/>
        <v>CI_toe_cmga_smet_0</v>
      </c>
      <c r="U22" s="9" t="str">
        <f t="shared" si="3"/>
        <v/>
      </c>
      <c r="V22" s="9" t="str">
        <f t="shared" si="4"/>
        <v/>
      </c>
      <c r="W22" s="9" t="str">
        <f t="shared" si="5"/>
        <v/>
      </c>
      <c r="X22" s="9" t="str">
        <f t="shared" si="6"/>
        <v/>
      </c>
      <c r="Y22" s="9" t="str">
        <f t="shared" si="7"/>
        <v/>
      </c>
    </row>
    <row r="23" spans="1:25" x14ac:dyDescent="0.3">
      <c r="A23" s="2" t="s">
        <v>143</v>
      </c>
      <c r="B23" s="2" t="s">
        <v>148</v>
      </c>
      <c r="C23" s="7">
        <v>0</v>
      </c>
      <c r="D23" s="8">
        <v>0</v>
      </c>
      <c r="E23" s="8">
        <v>0</v>
      </c>
      <c r="F23" s="8">
        <v>0</v>
      </c>
      <c r="G23" s="8">
        <v>0</v>
      </c>
      <c r="K23" t="str">
        <f t="shared" si="1"/>
        <v>CI_toe_cbiog_smet_0</v>
      </c>
      <c r="L23" s="9" t="str">
        <f>IFERROR(VLOOKUP($K23,baseline!$A:$AK,L$3,FALSE),"")</f>
        <v/>
      </c>
      <c r="M23" s="9" t="str">
        <f>IFERROR(VLOOKUP($K23,baseline!$A:$AK,M$3,FALSE),"")</f>
        <v/>
      </c>
      <c r="N23" s="9" t="str">
        <f>IFERROR(VLOOKUP($K23,baseline!$A:$AK,N$3,FALSE),"")</f>
        <v/>
      </c>
      <c r="O23" s="9" t="str">
        <f>IFERROR(VLOOKUP($K23,baseline!$A:$AK,O$3,FALSE),"")</f>
        <v/>
      </c>
      <c r="P23" s="9" t="str">
        <f>IFERROR(VLOOKUP($K23,baseline!$A:$AK,P$3,FALSE),"")</f>
        <v/>
      </c>
      <c r="T23" t="str">
        <f t="shared" si="2"/>
        <v>CI_toe_cbiog_smet_0</v>
      </c>
      <c r="U23" s="9" t="str">
        <f t="shared" si="3"/>
        <v/>
      </c>
      <c r="V23" s="9" t="str">
        <f t="shared" si="4"/>
        <v/>
      </c>
      <c r="W23" s="9" t="str">
        <f t="shared" si="5"/>
        <v/>
      </c>
      <c r="X23" s="9" t="str">
        <f t="shared" si="6"/>
        <v/>
      </c>
      <c r="Y23" s="9" t="str">
        <f t="shared" si="7"/>
        <v/>
      </c>
    </row>
    <row r="24" spans="1:25" x14ac:dyDescent="0.3">
      <c r="A24" s="2" t="s">
        <v>144</v>
      </c>
      <c r="B24" s="2" t="s">
        <v>148</v>
      </c>
      <c r="C24" s="7">
        <v>0</v>
      </c>
      <c r="D24" s="8">
        <v>0</v>
      </c>
      <c r="E24" s="8">
        <v>0</v>
      </c>
      <c r="F24" s="8">
        <v>0</v>
      </c>
      <c r="G24" s="8">
        <v>0</v>
      </c>
      <c r="K24" t="str">
        <f t="shared" si="1"/>
        <v>CI_toe_cbiom_smet_0</v>
      </c>
      <c r="L24" s="9" t="str">
        <f>IFERROR(VLOOKUP($K24,baseline!$A:$AK,L$3,FALSE),"")</f>
        <v/>
      </c>
      <c r="M24" s="9" t="str">
        <f>IFERROR(VLOOKUP($K24,baseline!$A:$AK,M$3,FALSE),"")</f>
        <v/>
      </c>
      <c r="N24" s="9" t="str">
        <f>IFERROR(VLOOKUP($K24,baseline!$A:$AK,N$3,FALSE),"")</f>
        <v/>
      </c>
      <c r="O24" s="9" t="str">
        <f>IFERROR(VLOOKUP($K24,baseline!$A:$AK,O$3,FALSE),"")</f>
        <v/>
      </c>
      <c r="P24" s="9" t="str">
        <f>IFERROR(VLOOKUP($K24,baseline!$A:$AK,P$3,FALSE),"")</f>
        <v/>
      </c>
      <c r="T24" t="str">
        <f t="shared" si="2"/>
        <v>CI_toe_cbiom_smet_0</v>
      </c>
      <c r="U24" s="9" t="str">
        <f t="shared" si="3"/>
        <v/>
      </c>
      <c r="V24" s="9" t="str">
        <f t="shared" si="4"/>
        <v/>
      </c>
      <c r="W24" s="9" t="str">
        <f t="shared" si="5"/>
        <v/>
      </c>
      <c r="X24" s="9" t="str">
        <f t="shared" si="6"/>
        <v/>
      </c>
      <c r="Y24" s="9" t="str">
        <f t="shared" si="7"/>
        <v/>
      </c>
    </row>
    <row r="25" spans="1:25" x14ac:dyDescent="0.3">
      <c r="A25" s="2" t="s">
        <v>145</v>
      </c>
      <c r="B25" s="2" t="s">
        <v>148</v>
      </c>
      <c r="C25" s="7">
        <v>0</v>
      </c>
      <c r="D25" s="8">
        <v>0</v>
      </c>
      <c r="E25" s="8">
        <v>0</v>
      </c>
      <c r="F25" s="8">
        <v>0</v>
      </c>
      <c r="G25" s="8">
        <v>0</v>
      </c>
      <c r="K25" t="str">
        <f t="shared" si="1"/>
        <v>CI_toe_cbiof_smet_0</v>
      </c>
      <c r="L25" s="9" t="str">
        <f>IFERROR(VLOOKUP($K25,baseline!$A:$AK,L$3,FALSE),"")</f>
        <v/>
      </c>
      <c r="M25" s="9" t="str">
        <f>IFERROR(VLOOKUP($K25,baseline!$A:$AK,M$3,FALSE),"")</f>
        <v/>
      </c>
      <c r="N25" s="9" t="str">
        <f>IFERROR(VLOOKUP($K25,baseline!$A:$AK,N$3,FALSE),"")</f>
        <v/>
      </c>
      <c r="O25" s="9" t="str">
        <f>IFERROR(VLOOKUP($K25,baseline!$A:$AK,O$3,FALSE),"")</f>
        <v/>
      </c>
      <c r="P25" s="9" t="str">
        <f>IFERROR(VLOOKUP($K25,baseline!$A:$AK,P$3,FALSE),"")</f>
        <v/>
      </c>
      <c r="T25" t="str">
        <f t="shared" si="2"/>
        <v>CI_toe_cbiof_smet_0</v>
      </c>
      <c r="U25" s="9" t="str">
        <f t="shared" si="3"/>
        <v/>
      </c>
      <c r="V25" s="9" t="str">
        <f t="shared" si="4"/>
        <v/>
      </c>
      <c r="W25" s="9" t="str">
        <f t="shared" si="5"/>
        <v/>
      </c>
      <c r="X25" s="9" t="str">
        <f t="shared" si="6"/>
        <v/>
      </c>
      <c r="Y25" s="9" t="str">
        <f t="shared" si="7"/>
        <v/>
      </c>
    </row>
    <row r="26" spans="1:25" x14ac:dyDescent="0.3">
      <c r="A26" s="2" t="s">
        <v>146</v>
      </c>
      <c r="B26" s="2" t="s">
        <v>148</v>
      </c>
      <c r="C26" s="7">
        <v>2.93829898810033E-2</v>
      </c>
      <c r="D26" s="8">
        <v>2.93829898810033E-2</v>
      </c>
      <c r="E26" s="8">
        <v>0</v>
      </c>
      <c r="F26" s="8">
        <v>0</v>
      </c>
      <c r="G26" s="8">
        <v>0</v>
      </c>
      <c r="K26" t="str">
        <f t="shared" si="1"/>
        <v>CI_toe_chea_smet_0</v>
      </c>
      <c r="L26" s="9" t="str">
        <f>IFERROR(VLOOKUP($K26,baseline!$A:$AK,L$3,FALSE),"")</f>
        <v/>
      </c>
      <c r="M26" s="9" t="str">
        <f>IFERROR(VLOOKUP($K26,baseline!$A:$AK,M$3,FALSE),"")</f>
        <v/>
      </c>
      <c r="N26" s="9" t="str">
        <f>IFERROR(VLOOKUP($K26,baseline!$A:$AK,N$3,FALSE),"")</f>
        <v/>
      </c>
      <c r="O26" s="9" t="str">
        <f>IFERROR(VLOOKUP($K26,baseline!$A:$AK,O$3,FALSE),"")</f>
        <v/>
      </c>
      <c r="P26" s="9" t="str">
        <f>IFERROR(VLOOKUP($K26,baseline!$A:$AK,P$3,FALSE),"")</f>
        <v/>
      </c>
      <c r="T26" t="str">
        <f t="shared" si="2"/>
        <v>CI_toe_chea_smet_0</v>
      </c>
      <c r="U26" s="9" t="str">
        <f t="shared" si="3"/>
        <v/>
      </c>
      <c r="V26" s="9" t="str">
        <f t="shared" si="4"/>
        <v/>
      </c>
      <c r="W26" s="9" t="str">
        <f t="shared" si="5"/>
        <v/>
      </c>
      <c r="X26" s="9" t="str">
        <f t="shared" si="6"/>
        <v/>
      </c>
      <c r="Y26" s="9" t="str">
        <f t="shared" si="7"/>
        <v/>
      </c>
    </row>
    <row r="27" spans="1:25" x14ac:dyDescent="0.3">
      <c r="A27" s="2" t="s">
        <v>136</v>
      </c>
      <c r="B27" s="2" t="s">
        <v>149</v>
      </c>
      <c r="C27" s="7">
        <v>7.5577985437376696E-3</v>
      </c>
      <c r="D27" s="8">
        <v>1.1577593519350882E-2</v>
      </c>
      <c r="E27" s="8">
        <v>0</v>
      </c>
      <c r="F27" s="8">
        <v>0</v>
      </c>
      <c r="G27" s="8">
        <v>0</v>
      </c>
      <c r="K27" t="str">
        <f t="shared" si="1"/>
        <v>CI_toe_ccoa_schem_0</v>
      </c>
      <c r="L27" s="9" t="str">
        <f>IFERROR(VLOOKUP($K27,baseline!$A:$AK,L$3,FALSE),"")</f>
        <v/>
      </c>
      <c r="M27" s="9" t="str">
        <f>IFERROR(VLOOKUP($K27,baseline!$A:$AK,M$3,FALSE),"")</f>
        <v/>
      </c>
      <c r="N27" s="9" t="str">
        <f>IFERROR(VLOOKUP($K27,baseline!$A:$AK,N$3,FALSE),"")</f>
        <v/>
      </c>
      <c r="O27" s="9" t="str">
        <f>IFERROR(VLOOKUP($K27,baseline!$A:$AK,O$3,FALSE),"")</f>
        <v/>
      </c>
      <c r="P27" s="9" t="str">
        <f>IFERROR(VLOOKUP($K27,baseline!$A:$AK,P$3,FALSE),"")</f>
        <v/>
      </c>
      <c r="T27" t="str">
        <f t="shared" si="2"/>
        <v>CI_toe_ccoa_schem_0</v>
      </c>
      <c r="U27" s="9" t="str">
        <f t="shared" si="3"/>
        <v/>
      </c>
      <c r="V27" s="9" t="str">
        <f t="shared" si="4"/>
        <v/>
      </c>
      <c r="W27" s="9" t="str">
        <f t="shared" si="5"/>
        <v/>
      </c>
      <c r="X27" s="9" t="str">
        <f t="shared" si="6"/>
        <v/>
      </c>
      <c r="Y27" s="9" t="str">
        <f t="shared" si="7"/>
        <v/>
      </c>
    </row>
    <row r="28" spans="1:25" x14ac:dyDescent="0.3">
      <c r="A28" s="2" t="s">
        <v>137</v>
      </c>
      <c r="B28" s="2" t="s">
        <v>149</v>
      </c>
      <c r="C28" s="7">
        <v>0.28693446022817798</v>
      </c>
      <c r="D28" s="8">
        <v>0.21672270341450961</v>
      </c>
      <c r="E28" s="8">
        <v>0.23209970785676953</v>
      </c>
      <c r="F28" s="8">
        <v>0.23209970785676953</v>
      </c>
      <c r="G28" s="8">
        <v>0.23209970785676953</v>
      </c>
      <c r="K28" t="str">
        <f t="shared" si="1"/>
        <v>CI_toe_coil_schem_0</v>
      </c>
      <c r="L28" s="9" t="str">
        <f>IFERROR(VLOOKUP($K28,baseline!$A:$AK,L$3,FALSE),"")</f>
        <v/>
      </c>
      <c r="M28" s="9" t="str">
        <f>IFERROR(VLOOKUP($K28,baseline!$A:$AK,M$3,FALSE),"")</f>
        <v/>
      </c>
      <c r="N28" s="9" t="str">
        <f>IFERROR(VLOOKUP($K28,baseline!$A:$AK,N$3,FALSE),"")</f>
        <v/>
      </c>
      <c r="O28" s="9" t="str">
        <f>IFERROR(VLOOKUP($K28,baseline!$A:$AK,O$3,FALSE),"")</f>
        <v/>
      </c>
      <c r="P28" s="9" t="str">
        <f>IFERROR(VLOOKUP($K28,baseline!$A:$AK,P$3,FALSE),"")</f>
        <v/>
      </c>
      <c r="T28" t="str">
        <f t="shared" si="2"/>
        <v>CI_toe_coil_schem_0</v>
      </c>
      <c r="U28" s="9" t="str">
        <f t="shared" si="3"/>
        <v/>
      </c>
      <c r="V28" s="9" t="str">
        <f t="shared" si="4"/>
        <v/>
      </c>
      <c r="W28" s="9" t="str">
        <f t="shared" si="5"/>
        <v/>
      </c>
      <c r="X28" s="9" t="str">
        <f t="shared" si="6"/>
        <v/>
      </c>
      <c r="Y28" s="9" t="str">
        <f t="shared" si="7"/>
        <v/>
      </c>
    </row>
    <row r="29" spans="1:25" x14ac:dyDescent="0.3">
      <c r="A29" s="2" t="s">
        <v>138</v>
      </c>
      <c r="B29" s="2" t="s">
        <v>149</v>
      </c>
      <c r="C29" s="7">
        <v>0.97496819975397597</v>
      </c>
      <c r="D29" s="8">
        <v>1.1187149357410686</v>
      </c>
      <c r="E29" s="8">
        <v>1.18190146651394</v>
      </c>
      <c r="F29" s="8">
        <v>1.2051992043829431</v>
      </c>
      <c r="G29" s="8">
        <v>1.1382345415476041</v>
      </c>
      <c r="K29" t="str">
        <f t="shared" si="1"/>
        <v>CI_toe_cfue_schem_0</v>
      </c>
      <c r="L29" s="9" t="str">
        <f>IFERROR(VLOOKUP($K29,baseline!$A:$AK,L$3,FALSE),"")</f>
        <v/>
      </c>
      <c r="M29" s="9" t="str">
        <f>IFERROR(VLOOKUP($K29,baseline!$A:$AK,M$3,FALSE),"")</f>
        <v/>
      </c>
      <c r="N29" s="9" t="str">
        <f>IFERROR(VLOOKUP($K29,baseline!$A:$AK,N$3,FALSE),"")</f>
        <v/>
      </c>
      <c r="O29" s="9" t="str">
        <f>IFERROR(VLOOKUP($K29,baseline!$A:$AK,O$3,FALSE),"")</f>
        <v/>
      </c>
      <c r="P29" s="9" t="str">
        <f>IFERROR(VLOOKUP($K29,baseline!$A:$AK,P$3,FALSE),"")</f>
        <v/>
      </c>
      <c r="T29" t="str">
        <f t="shared" si="2"/>
        <v>CI_toe_cfue_schem_0</v>
      </c>
      <c r="U29" s="9" t="str">
        <f t="shared" si="3"/>
        <v/>
      </c>
      <c r="V29" s="9" t="str">
        <f t="shared" si="4"/>
        <v/>
      </c>
      <c r="W29" s="9" t="str">
        <f t="shared" si="5"/>
        <v/>
      </c>
      <c r="X29" s="9" t="str">
        <f t="shared" si="6"/>
        <v/>
      </c>
      <c r="Y29" s="9" t="str">
        <f t="shared" si="7"/>
        <v/>
      </c>
    </row>
    <row r="30" spans="1:25" x14ac:dyDescent="0.3">
      <c r="A30" s="2" t="s">
        <v>139</v>
      </c>
      <c r="B30" s="2" t="s">
        <v>149</v>
      </c>
      <c r="C30" s="7">
        <v>0.55707356487452397</v>
      </c>
      <c r="D30" s="8">
        <v>0.55707356487452397</v>
      </c>
      <c r="E30" s="8">
        <v>0.55707356487452397</v>
      </c>
      <c r="F30" s="8">
        <v>0.48439776103307813</v>
      </c>
      <c r="G30" s="8">
        <v>0.45030339059553842</v>
      </c>
      <c r="K30" t="str">
        <f t="shared" si="1"/>
        <v>CI_toe_cpch_schem_0</v>
      </c>
      <c r="L30" s="9" t="str">
        <f>IFERROR(VLOOKUP($K30,baseline!$A:$AK,L$3,FALSE),"")</f>
        <v/>
      </c>
      <c r="M30" s="9" t="str">
        <f>IFERROR(VLOOKUP($K30,baseline!$A:$AK,M$3,FALSE),"")</f>
        <v/>
      </c>
      <c r="N30" s="9" t="str">
        <f>IFERROR(VLOOKUP($K30,baseline!$A:$AK,N$3,FALSE),"")</f>
        <v/>
      </c>
      <c r="O30" s="9" t="str">
        <f>IFERROR(VLOOKUP($K30,baseline!$A:$AK,O$3,FALSE),"")</f>
        <v/>
      </c>
      <c r="P30" s="9" t="str">
        <f>IFERROR(VLOOKUP($K30,baseline!$A:$AK,P$3,FALSE),"")</f>
        <v/>
      </c>
      <c r="T30" t="str">
        <f t="shared" si="2"/>
        <v>CI_toe_cpch_schem_0</v>
      </c>
      <c r="U30" s="9" t="str">
        <f t="shared" si="3"/>
        <v/>
      </c>
      <c r="V30" s="9" t="str">
        <f t="shared" si="4"/>
        <v/>
      </c>
      <c r="W30" s="9" t="str">
        <f t="shared" si="5"/>
        <v/>
      </c>
      <c r="X30" s="9" t="str">
        <f t="shared" si="6"/>
        <v/>
      </c>
      <c r="Y30" s="9" t="str">
        <f t="shared" si="7"/>
        <v/>
      </c>
    </row>
    <row r="31" spans="1:25" x14ac:dyDescent="0.3">
      <c r="A31" s="2" t="s">
        <v>140</v>
      </c>
      <c r="B31" s="2" t="s">
        <v>149</v>
      </c>
      <c r="C31" s="7">
        <v>0.24071376807356501</v>
      </c>
      <c r="D31" s="8">
        <v>0.26260765179497736</v>
      </c>
      <c r="E31" s="8">
        <v>0.29759231899261834</v>
      </c>
      <c r="F31" s="8">
        <v>0.44377912239265005</v>
      </c>
      <c r="G31" s="8">
        <v>0.67967002545237709</v>
      </c>
      <c r="K31" t="str">
        <f t="shared" si="1"/>
        <v>CI_toe_cele_schem_0</v>
      </c>
      <c r="L31" s="9" t="str">
        <f>IFERROR(VLOOKUP($K31,baseline!$A:$AK,L$3,FALSE),"")</f>
        <v/>
      </c>
      <c r="M31" s="9" t="str">
        <f>IFERROR(VLOOKUP($K31,baseline!$A:$AK,M$3,FALSE),"")</f>
        <v/>
      </c>
      <c r="N31" s="9" t="str">
        <f>IFERROR(VLOOKUP($K31,baseline!$A:$AK,N$3,FALSE),"")</f>
        <v/>
      </c>
      <c r="O31" s="9" t="str">
        <f>IFERROR(VLOOKUP($K31,baseline!$A:$AK,O$3,FALSE),"")</f>
        <v/>
      </c>
      <c r="P31" s="9" t="str">
        <f>IFERROR(VLOOKUP($K31,baseline!$A:$AK,P$3,FALSE),"")</f>
        <v/>
      </c>
      <c r="T31" t="str">
        <f t="shared" si="2"/>
        <v>CI_toe_cele_schem_0</v>
      </c>
      <c r="U31" s="9" t="str">
        <f t="shared" si="3"/>
        <v/>
      </c>
      <c r="V31" s="9" t="str">
        <f t="shared" si="4"/>
        <v/>
      </c>
      <c r="W31" s="9" t="str">
        <f t="shared" si="5"/>
        <v/>
      </c>
      <c r="X31" s="9" t="str">
        <f t="shared" si="6"/>
        <v/>
      </c>
      <c r="Y31" s="9" t="str">
        <f t="shared" si="7"/>
        <v/>
      </c>
    </row>
    <row r="32" spans="1:25" x14ac:dyDescent="0.3">
      <c r="A32" s="2" t="s">
        <v>141</v>
      </c>
      <c r="B32" s="2" t="s">
        <v>149</v>
      </c>
      <c r="C32" s="7">
        <v>0.71446440438483105</v>
      </c>
      <c r="D32" s="8">
        <v>0.58556579673325837</v>
      </c>
      <c r="E32" s="8">
        <v>0.66889706446909791</v>
      </c>
      <c r="F32" s="8">
        <v>0.55561932224008148</v>
      </c>
      <c r="G32" s="8">
        <v>0.31651758018846776</v>
      </c>
      <c r="K32" t="str">
        <f t="shared" si="1"/>
        <v>CI_toe_cgas_schem_0</v>
      </c>
      <c r="L32" s="9" t="str">
        <f>IFERROR(VLOOKUP($K32,baseline!$A:$AK,L$3,FALSE),"")</f>
        <v/>
      </c>
      <c r="M32" s="9" t="str">
        <f>IFERROR(VLOOKUP($K32,baseline!$A:$AK,M$3,FALSE),"")</f>
        <v/>
      </c>
      <c r="N32" s="9" t="str">
        <f>IFERROR(VLOOKUP($K32,baseline!$A:$AK,N$3,FALSE),"")</f>
        <v/>
      </c>
      <c r="O32" s="9" t="str">
        <f>IFERROR(VLOOKUP($K32,baseline!$A:$AK,O$3,FALSE),"")</f>
        <v/>
      </c>
      <c r="P32" s="9" t="str">
        <f>IFERROR(VLOOKUP($K32,baseline!$A:$AK,P$3,FALSE),"")</f>
        <v/>
      </c>
      <c r="T32" t="str">
        <f t="shared" si="2"/>
        <v>CI_toe_cgas_schem_0</v>
      </c>
      <c r="U32" s="9" t="str">
        <f t="shared" si="3"/>
        <v/>
      </c>
      <c r="V32" s="9" t="str">
        <f t="shared" si="4"/>
        <v/>
      </c>
      <c r="W32" s="9" t="str">
        <f t="shared" si="5"/>
        <v/>
      </c>
      <c r="X32" s="9" t="str">
        <f t="shared" si="6"/>
        <v/>
      </c>
      <c r="Y32" s="9" t="str">
        <f t="shared" si="7"/>
        <v/>
      </c>
    </row>
    <row r="33" spans="1:25" x14ac:dyDescent="0.3">
      <c r="A33" s="2" t="s">
        <v>142</v>
      </c>
      <c r="B33" s="2" t="s">
        <v>149</v>
      </c>
      <c r="C33" s="7">
        <v>0</v>
      </c>
      <c r="D33" s="8">
        <v>0</v>
      </c>
      <c r="E33" s="8">
        <v>0</v>
      </c>
      <c r="F33" s="8">
        <v>0</v>
      </c>
      <c r="G33" s="8">
        <v>0</v>
      </c>
      <c r="K33" t="str">
        <f t="shared" si="1"/>
        <v>CI_toe_cmga_schem_0</v>
      </c>
      <c r="L33" s="9" t="str">
        <f>IFERROR(VLOOKUP($K33,baseline!$A:$AK,L$3,FALSE),"")</f>
        <v/>
      </c>
      <c r="M33" s="9" t="str">
        <f>IFERROR(VLOOKUP($K33,baseline!$A:$AK,M$3,FALSE),"")</f>
        <v/>
      </c>
      <c r="N33" s="9" t="str">
        <f>IFERROR(VLOOKUP($K33,baseline!$A:$AK,N$3,FALSE),"")</f>
        <v/>
      </c>
      <c r="O33" s="9" t="str">
        <f>IFERROR(VLOOKUP($K33,baseline!$A:$AK,O$3,FALSE),"")</f>
        <v/>
      </c>
      <c r="P33" s="9" t="str">
        <f>IFERROR(VLOOKUP($K33,baseline!$A:$AK,P$3,FALSE),"")</f>
        <v/>
      </c>
      <c r="T33" t="str">
        <f t="shared" si="2"/>
        <v>CI_toe_cmga_schem_0</v>
      </c>
      <c r="U33" s="9" t="str">
        <f t="shared" si="3"/>
        <v/>
      </c>
      <c r="V33" s="9" t="str">
        <f t="shared" si="4"/>
        <v/>
      </c>
      <c r="W33" s="9" t="str">
        <f t="shared" si="5"/>
        <v/>
      </c>
      <c r="X33" s="9" t="str">
        <f t="shared" si="6"/>
        <v/>
      </c>
      <c r="Y33" s="9" t="str">
        <f t="shared" si="7"/>
        <v/>
      </c>
    </row>
    <row r="34" spans="1:25" x14ac:dyDescent="0.3">
      <c r="A34" s="2" t="s">
        <v>143</v>
      </c>
      <c r="B34" s="2" t="s">
        <v>149</v>
      </c>
      <c r="C34" s="7">
        <v>0</v>
      </c>
      <c r="D34" s="8">
        <v>0</v>
      </c>
      <c r="E34" s="8">
        <v>0</v>
      </c>
      <c r="F34" s="8">
        <v>0</v>
      </c>
      <c r="G34" s="8">
        <v>0</v>
      </c>
      <c r="K34" t="str">
        <f t="shared" si="1"/>
        <v>CI_toe_cbiog_schem_0</v>
      </c>
      <c r="L34" s="9" t="str">
        <f>IFERROR(VLOOKUP($K34,baseline!$A:$AK,L$3,FALSE),"")</f>
        <v/>
      </c>
      <c r="M34" s="9" t="str">
        <f>IFERROR(VLOOKUP($K34,baseline!$A:$AK,M$3,FALSE),"")</f>
        <v/>
      </c>
      <c r="N34" s="9" t="str">
        <f>IFERROR(VLOOKUP($K34,baseline!$A:$AK,N$3,FALSE),"")</f>
        <v/>
      </c>
      <c r="O34" s="9" t="str">
        <f>IFERROR(VLOOKUP($K34,baseline!$A:$AK,O$3,FALSE),"")</f>
        <v/>
      </c>
      <c r="P34" s="9" t="str">
        <f>IFERROR(VLOOKUP($K34,baseline!$A:$AK,P$3,FALSE),"")</f>
        <v/>
      </c>
      <c r="T34" t="str">
        <f t="shared" si="2"/>
        <v>CI_toe_cbiog_schem_0</v>
      </c>
      <c r="U34" s="9" t="str">
        <f t="shared" si="3"/>
        <v/>
      </c>
      <c r="V34" s="9" t="str">
        <f t="shared" si="4"/>
        <v/>
      </c>
      <c r="W34" s="9" t="str">
        <f t="shared" si="5"/>
        <v/>
      </c>
      <c r="X34" s="9" t="str">
        <f t="shared" si="6"/>
        <v/>
      </c>
      <c r="Y34" s="9" t="str">
        <f t="shared" si="7"/>
        <v/>
      </c>
    </row>
    <row r="35" spans="1:25" x14ac:dyDescent="0.3">
      <c r="A35" s="2" t="s">
        <v>144</v>
      </c>
      <c r="B35" s="2" t="s">
        <v>149</v>
      </c>
      <c r="C35" s="7">
        <v>0</v>
      </c>
      <c r="D35" s="8">
        <v>0</v>
      </c>
      <c r="E35" s="8">
        <v>0</v>
      </c>
      <c r="F35" s="8">
        <v>0</v>
      </c>
      <c r="G35" s="8">
        <v>0</v>
      </c>
      <c r="K35" t="str">
        <f t="shared" si="1"/>
        <v>CI_toe_cbiom_schem_0</v>
      </c>
      <c r="L35" s="9" t="str">
        <f>IFERROR(VLOOKUP($K35,baseline!$A:$AK,L$3,FALSE),"")</f>
        <v/>
      </c>
      <c r="M35" s="9" t="str">
        <f>IFERROR(VLOOKUP($K35,baseline!$A:$AK,M$3,FALSE),"")</f>
        <v/>
      </c>
      <c r="N35" s="9" t="str">
        <f>IFERROR(VLOOKUP($K35,baseline!$A:$AK,N$3,FALSE),"")</f>
        <v/>
      </c>
      <c r="O35" s="9" t="str">
        <f>IFERROR(VLOOKUP($K35,baseline!$A:$AK,O$3,FALSE),"")</f>
        <v/>
      </c>
      <c r="P35" s="9" t="str">
        <f>IFERROR(VLOOKUP($K35,baseline!$A:$AK,P$3,FALSE),"")</f>
        <v/>
      </c>
      <c r="T35" t="str">
        <f t="shared" si="2"/>
        <v>CI_toe_cbiom_schem_0</v>
      </c>
      <c r="U35" s="9" t="str">
        <f t="shared" si="3"/>
        <v/>
      </c>
      <c r="V35" s="9" t="str">
        <f t="shared" si="4"/>
        <v/>
      </c>
      <c r="W35" s="9" t="str">
        <f t="shared" si="5"/>
        <v/>
      </c>
      <c r="X35" s="9" t="str">
        <f t="shared" si="6"/>
        <v/>
      </c>
      <c r="Y35" s="9" t="str">
        <f t="shared" si="7"/>
        <v/>
      </c>
    </row>
    <row r="36" spans="1:25" x14ac:dyDescent="0.3">
      <c r="A36" s="2" t="s">
        <v>145</v>
      </c>
      <c r="B36" s="2" t="s">
        <v>149</v>
      </c>
      <c r="C36" s="7">
        <v>0</v>
      </c>
      <c r="D36" s="8">
        <v>0</v>
      </c>
      <c r="E36" s="8">
        <v>0</v>
      </c>
      <c r="F36" s="8">
        <v>0</v>
      </c>
      <c r="G36" s="8">
        <v>0</v>
      </c>
      <c r="K36" t="str">
        <f t="shared" si="1"/>
        <v>CI_toe_cbiof_schem_0</v>
      </c>
      <c r="L36" s="9" t="str">
        <f>IFERROR(VLOOKUP($K36,baseline!$A:$AK,L$3,FALSE),"")</f>
        <v/>
      </c>
      <c r="M36" s="9" t="str">
        <f>IFERROR(VLOOKUP($K36,baseline!$A:$AK,M$3,FALSE),"")</f>
        <v/>
      </c>
      <c r="N36" s="9" t="str">
        <f>IFERROR(VLOOKUP($K36,baseline!$A:$AK,N$3,FALSE),"")</f>
        <v/>
      </c>
      <c r="O36" s="9" t="str">
        <f>IFERROR(VLOOKUP($K36,baseline!$A:$AK,O$3,FALSE),"")</f>
        <v/>
      </c>
      <c r="P36" s="9" t="str">
        <f>IFERROR(VLOOKUP($K36,baseline!$A:$AK,P$3,FALSE),"")</f>
        <v/>
      </c>
      <c r="T36" t="str">
        <f t="shared" si="2"/>
        <v>CI_toe_cbiof_schem_0</v>
      </c>
      <c r="U36" s="9" t="str">
        <f t="shared" si="3"/>
        <v/>
      </c>
      <c r="V36" s="9" t="str">
        <f t="shared" si="4"/>
        <v/>
      </c>
      <c r="W36" s="9" t="str">
        <f t="shared" si="5"/>
        <v/>
      </c>
      <c r="X36" s="9" t="str">
        <f t="shared" si="6"/>
        <v/>
      </c>
      <c r="Y36" s="9" t="str">
        <f t="shared" si="7"/>
        <v/>
      </c>
    </row>
    <row r="37" spans="1:25" x14ac:dyDescent="0.3">
      <c r="A37" s="2" t="s">
        <v>146</v>
      </c>
      <c r="B37" s="2" t="s">
        <v>149</v>
      </c>
      <c r="C37" s="7">
        <v>0.34311033104613298</v>
      </c>
      <c r="D37" s="8">
        <v>0.30114382248348315</v>
      </c>
      <c r="E37" s="8">
        <v>7.6616366908755118E-2</v>
      </c>
      <c r="F37" s="8">
        <v>0.1496641046580692</v>
      </c>
      <c r="G37" s="8">
        <v>0.16005213336672094</v>
      </c>
      <c r="K37" t="str">
        <f t="shared" si="1"/>
        <v>CI_toe_chea_schem_0</v>
      </c>
      <c r="L37" s="9" t="str">
        <f>IFERROR(VLOOKUP($K37,baseline!$A:$AK,L$3,FALSE),"")</f>
        <v/>
      </c>
      <c r="M37" s="9" t="str">
        <f>IFERROR(VLOOKUP($K37,baseline!$A:$AK,M$3,FALSE),"")</f>
        <v/>
      </c>
      <c r="N37" s="9" t="str">
        <f>IFERROR(VLOOKUP($K37,baseline!$A:$AK,N$3,FALSE),"")</f>
        <v/>
      </c>
      <c r="O37" s="9" t="str">
        <f>IFERROR(VLOOKUP($K37,baseline!$A:$AK,O$3,FALSE),"")</f>
        <v/>
      </c>
      <c r="P37" s="9" t="str">
        <f>IFERROR(VLOOKUP($K37,baseline!$A:$AK,P$3,FALSE),"")</f>
        <v/>
      </c>
      <c r="T37" t="str">
        <f t="shared" si="2"/>
        <v>CI_toe_chea_schem_0</v>
      </c>
      <c r="U37" s="9" t="str">
        <f t="shared" si="3"/>
        <v/>
      </c>
      <c r="V37" s="9" t="str">
        <f t="shared" si="4"/>
        <v/>
      </c>
      <c r="W37" s="9" t="str">
        <f t="shared" si="5"/>
        <v/>
      </c>
      <c r="X37" s="9" t="str">
        <f t="shared" si="6"/>
        <v/>
      </c>
      <c r="Y37" s="9" t="str">
        <f t="shared" si="7"/>
        <v/>
      </c>
    </row>
    <row r="38" spans="1:25" x14ac:dyDescent="0.3">
      <c r="A38" s="2" t="s">
        <v>136</v>
      </c>
      <c r="B38" s="2" t="s">
        <v>150</v>
      </c>
      <c r="C38" s="7">
        <v>2.2998680840896399E-4</v>
      </c>
      <c r="D38" s="8">
        <v>4.1795209691869304E-4</v>
      </c>
      <c r="E38" s="8">
        <v>3.75930577019458E-4</v>
      </c>
      <c r="F38" s="8">
        <v>3.75930577019458E-4</v>
      </c>
      <c r="G38" s="8">
        <v>3.75930577019458E-4</v>
      </c>
      <c r="K38" t="str">
        <f t="shared" si="1"/>
        <v>CI_toe_ccoa_spla_0</v>
      </c>
      <c r="L38" s="9" t="str">
        <f>IFERROR(VLOOKUP($K38,baseline!$A:$AK,L$3,FALSE),"")</f>
        <v/>
      </c>
      <c r="M38" s="9" t="str">
        <f>IFERROR(VLOOKUP($K38,baseline!$A:$AK,M$3,FALSE),"")</f>
        <v/>
      </c>
      <c r="N38" s="9" t="str">
        <f>IFERROR(VLOOKUP($K38,baseline!$A:$AK,N$3,FALSE),"")</f>
        <v/>
      </c>
      <c r="O38" s="9" t="str">
        <f>IFERROR(VLOOKUP($K38,baseline!$A:$AK,O$3,FALSE),"")</f>
        <v/>
      </c>
      <c r="P38" s="9" t="str">
        <f>IFERROR(VLOOKUP($K38,baseline!$A:$AK,P$3,FALSE),"")</f>
        <v/>
      </c>
      <c r="T38" t="str">
        <f t="shared" si="2"/>
        <v>CI_toe_ccoa_spla_0</v>
      </c>
      <c r="U38" s="9" t="str">
        <f t="shared" si="3"/>
        <v/>
      </c>
      <c r="V38" s="9" t="str">
        <f t="shared" si="4"/>
        <v/>
      </c>
      <c r="W38" s="9" t="str">
        <f t="shared" si="5"/>
        <v/>
      </c>
      <c r="X38" s="9" t="str">
        <f t="shared" si="6"/>
        <v/>
      </c>
      <c r="Y38" s="9" t="str">
        <f t="shared" si="7"/>
        <v/>
      </c>
    </row>
    <row r="39" spans="1:25" x14ac:dyDescent="0.3">
      <c r="A39" s="2" t="s">
        <v>137</v>
      </c>
      <c r="B39" s="2" t="s">
        <v>150</v>
      </c>
      <c r="C39" s="7">
        <v>8.7315294723100505E-3</v>
      </c>
      <c r="D39" s="8">
        <v>8.7315294723100505E-3</v>
      </c>
      <c r="E39" s="8">
        <v>8.7315294723100505E-3</v>
      </c>
      <c r="F39" s="8">
        <v>8.7315294723100505E-3</v>
      </c>
      <c r="G39" s="8">
        <v>8.7315294723100505E-3</v>
      </c>
      <c r="K39" t="str">
        <f t="shared" si="1"/>
        <v>CI_toe_coil_spla_0</v>
      </c>
      <c r="L39" s="9" t="str">
        <f>IFERROR(VLOOKUP($K39,baseline!$A:$AK,L$3,FALSE),"")</f>
        <v/>
      </c>
      <c r="M39" s="9" t="str">
        <f>IFERROR(VLOOKUP($K39,baseline!$A:$AK,M$3,FALSE),"")</f>
        <v/>
      </c>
      <c r="N39" s="9" t="str">
        <f>IFERROR(VLOOKUP($K39,baseline!$A:$AK,N$3,FALSE),"")</f>
        <v/>
      </c>
      <c r="O39" s="9" t="str">
        <f>IFERROR(VLOOKUP($K39,baseline!$A:$AK,O$3,FALSE),"")</f>
        <v/>
      </c>
      <c r="P39" s="9" t="str">
        <f>IFERROR(VLOOKUP($K39,baseline!$A:$AK,P$3,FALSE),"")</f>
        <v/>
      </c>
      <c r="T39" t="str">
        <f t="shared" si="2"/>
        <v>CI_toe_coil_spla_0</v>
      </c>
      <c r="U39" s="9" t="str">
        <f t="shared" si="3"/>
        <v/>
      </c>
      <c r="V39" s="9" t="str">
        <f t="shared" si="4"/>
        <v/>
      </c>
      <c r="W39" s="9" t="str">
        <f t="shared" si="5"/>
        <v/>
      </c>
      <c r="X39" s="9" t="str">
        <f t="shared" si="6"/>
        <v/>
      </c>
      <c r="Y39" s="9" t="str">
        <f t="shared" si="7"/>
        <v/>
      </c>
    </row>
    <row r="40" spans="1:25" x14ac:dyDescent="0.3">
      <c r="A40" s="2" t="s">
        <v>138</v>
      </c>
      <c r="B40" s="2" t="s">
        <v>150</v>
      </c>
      <c r="C40" s="7">
        <v>2.9668669158619598E-2</v>
      </c>
      <c r="D40" s="8">
        <v>3.4680034830414638E-2</v>
      </c>
      <c r="E40" s="8">
        <v>3.8277832062340832E-2</v>
      </c>
      <c r="F40" s="8">
        <v>3.8277832062340832E-2</v>
      </c>
      <c r="G40" s="8">
        <v>3.8277832062340832E-2</v>
      </c>
      <c r="K40" t="str">
        <f t="shared" si="1"/>
        <v>CI_toe_cfue_spla_0</v>
      </c>
      <c r="L40" s="9" t="str">
        <f>IFERROR(VLOOKUP($K40,baseline!$A:$AK,L$3,FALSE),"")</f>
        <v/>
      </c>
      <c r="M40" s="9" t="str">
        <f>IFERROR(VLOOKUP($K40,baseline!$A:$AK,M$3,FALSE),"")</f>
        <v/>
      </c>
      <c r="N40" s="9" t="str">
        <f>IFERROR(VLOOKUP($K40,baseline!$A:$AK,N$3,FALSE),"")</f>
        <v/>
      </c>
      <c r="O40" s="9" t="str">
        <f>IFERROR(VLOOKUP($K40,baseline!$A:$AK,O$3,FALSE),"")</f>
        <v/>
      </c>
      <c r="P40" s="9" t="str">
        <f>IFERROR(VLOOKUP($K40,baseline!$A:$AK,P$3,FALSE),"")</f>
        <v/>
      </c>
      <c r="T40" t="str">
        <f t="shared" si="2"/>
        <v>CI_toe_cfue_spla_0</v>
      </c>
      <c r="U40" s="9" t="str">
        <f t="shared" si="3"/>
        <v/>
      </c>
      <c r="V40" s="9" t="str">
        <f t="shared" si="4"/>
        <v/>
      </c>
      <c r="W40" s="9" t="str">
        <f t="shared" si="5"/>
        <v/>
      </c>
      <c r="X40" s="9" t="str">
        <f t="shared" si="6"/>
        <v/>
      </c>
      <c r="Y40" s="9" t="str">
        <f t="shared" si="7"/>
        <v/>
      </c>
    </row>
    <row r="41" spans="1:25" x14ac:dyDescent="0.3">
      <c r="A41" s="2" t="s">
        <v>139</v>
      </c>
      <c r="B41" s="2" t="s">
        <v>150</v>
      </c>
      <c r="C41" s="7">
        <v>1.6951969610337701E-2</v>
      </c>
      <c r="D41" s="8">
        <v>1.6951969610337701E-2</v>
      </c>
      <c r="E41" s="8">
        <v>1.6951969610337701E-2</v>
      </c>
      <c r="F41" s="8">
        <v>1.7464163805651675E-2</v>
      </c>
      <c r="G41" s="8">
        <v>1.7745058128232107E-2</v>
      </c>
      <c r="K41" t="str">
        <f t="shared" si="1"/>
        <v>CI_toe_cpch_spla_0</v>
      </c>
      <c r="L41" s="9" t="str">
        <f>IFERROR(VLOOKUP($K41,baseline!$A:$AK,L$3,FALSE),"")</f>
        <v/>
      </c>
      <c r="M41" s="9" t="str">
        <f>IFERROR(VLOOKUP($K41,baseline!$A:$AK,M$3,FALSE),"")</f>
        <v/>
      </c>
      <c r="N41" s="9" t="str">
        <f>IFERROR(VLOOKUP($K41,baseline!$A:$AK,N$3,FALSE),"")</f>
        <v/>
      </c>
      <c r="O41" s="9" t="str">
        <f>IFERROR(VLOOKUP($K41,baseline!$A:$AK,O$3,FALSE),"")</f>
        <v/>
      </c>
      <c r="P41" s="9" t="str">
        <f>IFERROR(VLOOKUP($K41,baseline!$A:$AK,P$3,FALSE),"")</f>
        <v/>
      </c>
      <c r="T41" t="str">
        <f t="shared" si="2"/>
        <v>CI_toe_cpch_spla_0</v>
      </c>
      <c r="U41" s="9" t="str">
        <f t="shared" si="3"/>
        <v/>
      </c>
      <c r="V41" s="9" t="str">
        <f t="shared" si="4"/>
        <v/>
      </c>
      <c r="W41" s="9" t="str">
        <f t="shared" si="5"/>
        <v/>
      </c>
      <c r="X41" s="9" t="str">
        <f t="shared" si="6"/>
        <v/>
      </c>
      <c r="Y41" s="9" t="str">
        <f t="shared" si="7"/>
        <v/>
      </c>
    </row>
    <row r="42" spans="1:25" x14ac:dyDescent="0.3">
      <c r="A42" s="2" t="s">
        <v>140</v>
      </c>
      <c r="B42" s="2" t="s">
        <v>150</v>
      </c>
      <c r="C42" s="7">
        <v>7.3250154709675903E-3</v>
      </c>
      <c r="D42" s="8">
        <v>6.6429536665457084E-3</v>
      </c>
      <c r="E42" s="8">
        <v>7.1150453990658719E-3</v>
      </c>
      <c r="F42" s="8">
        <v>1.3475035470797111E-2</v>
      </c>
      <c r="G42" s="8">
        <v>2.0428617104632198E-2</v>
      </c>
      <c r="K42" t="str">
        <f t="shared" si="1"/>
        <v>CI_toe_cele_spla_0</v>
      </c>
      <c r="L42" s="9" t="str">
        <f>IFERROR(VLOOKUP($K42,baseline!$A:$AK,L$3,FALSE),"")</f>
        <v/>
      </c>
      <c r="M42" s="9" t="str">
        <f>IFERROR(VLOOKUP($K42,baseline!$A:$AK,M$3,FALSE),"")</f>
        <v/>
      </c>
      <c r="N42" s="9" t="str">
        <f>IFERROR(VLOOKUP($K42,baseline!$A:$AK,N$3,FALSE),"")</f>
        <v/>
      </c>
      <c r="O42" s="9" t="str">
        <f>IFERROR(VLOOKUP($K42,baseline!$A:$AK,O$3,FALSE),"")</f>
        <v/>
      </c>
      <c r="P42" s="9" t="str">
        <f>IFERROR(VLOOKUP($K42,baseline!$A:$AK,P$3,FALSE),"")</f>
        <v/>
      </c>
      <c r="T42" t="str">
        <f t="shared" si="2"/>
        <v>CI_toe_cele_spla_0</v>
      </c>
      <c r="U42" s="9" t="str">
        <f t="shared" si="3"/>
        <v/>
      </c>
      <c r="V42" s="9" t="str">
        <f t="shared" si="4"/>
        <v/>
      </c>
      <c r="W42" s="9" t="str">
        <f t="shared" si="5"/>
        <v/>
      </c>
      <c r="X42" s="9" t="str">
        <f t="shared" si="6"/>
        <v/>
      </c>
      <c r="Y42" s="9" t="str">
        <f t="shared" si="7"/>
        <v/>
      </c>
    </row>
    <row r="43" spans="1:25" x14ac:dyDescent="0.3">
      <c r="A43" s="2" t="s">
        <v>141</v>
      </c>
      <c r="B43" s="2" t="s">
        <v>150</v>
      </c>
      <c r="C43" s="7">
        <v>2.1741435304918399E-2</v>
      </c>
      <c r="D43" s="8">
        <v>2.0789605010912388E-2</v>
      </c>
      <c r="E43" s="8">
        <v>2.0485488620751596E-2</v>
      </c>
      <c r="F43" s="8">
        <v>3.9233186419819236E-3</v>
      </c>
      <c r="G43" s="8">
        <v>3.3396296581439788E-3</v>
      </c>
      <c r="K43" t="str">
        <f t="shared" si="1"/>
        <v>CI_toe_cgas_spla_0</v>
      </c>
      <c r="L43" s="9" t="str">
        <f>IFERROR(VLOOKUP($K43,baseline!$A:$AK,L$3,FALSE),"")</f>
        <v/>
      </c>
      <c r="M43" s="9" t="str">
        <f>IFERROR(VLOOKUP($K43,baseline!$A:$AK,M$3,FALSE),"")</f>
        <v/>
      </c>
      <c r="N43" s="9" t="str">
        <f>IFERROR(VLOOKUP($K43,baseline!$A:$AK,N$3,FALSE),"")</f>
        <v/>
      </c>
      <c r="O43" s="9" t="str">
        <f>IFERROR(VLOOKUP($K43,baseline!$A:$AK,O$3,FALSE),"")</f>
        <v/>
      </c>
      <c r="P43" s="9" t="str">
        <f>IFERROR(VLOOKUP($K43,baseline!$A:$AK,P$3,FALSE),"")</f>
        <v/>
      </c>
      <c r="T43" t="str">
        <f t="shared" si="2"/>
        <v>CI_toe_cgas_spla_0</v>
      </c>
      <c r="U43" s="9" t="str">
        <f t="shared" si="3"/>
        <v/>
      </c>
      <c r="V43" s="9" t="str">
        <f t="shared" si="4"/>
        <v/>
      </c>
      <c r="W43" s="9" t="str">
        <f t="shared" si="5"/>
        <v/>
      </c>
      <c r="X43" s="9" t="str">
        <f t="shared" si="6"/>
        <v/>
      </c>
      <c r="Y43" s="9" t="str">
        <f t="shared" si="7"/>
        <v/>
      </c>
    </row>
    <row r="44" spans="1:25" x14ac:dyDescent="0.3">
      <c r="A44" s="2" t="s">
        <v>142</v>
      </c>
      <c r="B44" s="2" t="s">
        <v>150</v>
      </c>
      <c r="C44" s="7">
        <v>0</v>
      </c>
      <c r="D44" s="8">
        <v>0</v>
      </c>
      <c r="E44" s="8">
        <v>0</v>
      </c>
      <c r="F44" s="8">
        <v>0</v>
      </c>
      <c r="G44" s="8">
        <v>0</v>
      </c>
      <c r="K44" t="str">
        <f t="shared" si="1"/>
        <v>CI_toe_cmga_spla_0</v>
      </c>
      <c r="L44" s="9" t="str">
        <f>IFERROR(VLOOKUP($K44,baseline!$A:$AK,L$3,FALSE),"")</f>
        <v/>
      </c>
      <c r="M44" s="9" t="str">
        <f>IFERROR(VLOOKUP($K44,baseline!$A:$AK,M$3,FALSE),"")</f>
        <v/>
      </c>
      <c r="N44" s="9" t="str">
        <f>IFERROR(VLOOKUP($K44,baseline!$A:$AK,N$3,FALSE),"")</f>
        <v/>
      </c>
      <c r="O44" s="9" t="str">
        <f>IFERROR(VLOOKUP($K44,baseline!$A:$AK,O$3,FALSE),"")</f>
        <v/>
      </c>
      <c r="P44" s="9" t="str">
        <f>IFERROR(VLOOKUP($K44,baseline!$A:$AK,P$3,FALSE),"")</f>
        <v/>
      </c>
      <c r="T44" t="str">
        <f t="shared" si="2"/>
        <v>CI_toe_cmga_spla_0</v>
      </c>
      <c r="U44" s="9" t="str">
        <f t="shared" si="3"/>
        <v/>
      </c>
      <c r="V44" s="9" t="str">
        <f t="shared" si="4"/>
        <v/>
      </c>
      <c r="W44" s="9" t="str">
        <f t="shared" si="5"/>
        <v/>
      </c>
      <c r="X44" s="9" t="str">
        <f t="shared" si="6"/>
        <v/>
      </c>
      <c r="Y44" s="9" t="str">
        <f t="shared" si="7"/>
        <v/>
      </c>
    </row>
    <row r="45" spans="1:25" x14ac:dyDescent="0.3">
      <c r="A45" s="2" t="s">
        <v>143</v>
      </c>
      <c r="B45" s="2" t="s">
        <v>150</v>
      </c>
      <c r="C45" s="7">
        <v>0</v>
      </c>
      <c r="D45" s="8">
        <v>0</v>
      </c>
      <c r="E45" s="8">
        <v>0</v>
      </c>
      <c r="F45" s="8">
        <v>0</v>
      </c>
      <c r="G45" s="8">
        <v>0</v>
      </c>
      <c r="K45" t="str">
        <f t="shared" si="1"/>
        <v>CI_toe_cbiog_spla_0</v>
      </c>
      <c r="L45" s="9" t="str">
        <f>IFERROR(VLOOKUP($K45,baseline!$A:$AK,L$3,FALSE),"")</f>
        <v/>
      </c>
      <c r="M45" s="9" t="str">
        <f>IFERROR(VLOOKUP($K45,baseline!$A:$AK,M$3,FALSE),"")</f>
        <v/>
      </c>
      <c r="N45" s="9" t="str">
        <f>IFERROR(VLOOKUP($K45,baseline!$A:$AK,N$3,FALSE),"")</f>
        <v/>
      </c>
      <c r="O45" s="9" t="str">
        <f>IFERROR(VLOOKUP($K45,baseline!$A:$AK,O$3,FALSE),"")</f>
        <v/>
      </c>
      <c r="P45" s="9" t="str">
        <f>IFERROR(VLOOKUP($K45,baseline!$A:$AK,P$3,FALSE),"")</f>
        <v/>
      </c>
      <c r="T45" t="str">
        <f t="shared" si="2"/>
        <v>CI_toe_cbiog_spla_0</v>
      </c>
      <c r="U45" s="9" t="str">
        <f t="shared" si="3"/>
        <v/>
      </c>
      <c r="V45" s="9" t="str">
        <f t="shared" si="4"/>
        <v/>
      </c>
      <c r="W45" s="9" t="str">
        <f t="shared" si="5"/>
        <v/>
      </c>
      <c r="X45" s="9" t="str">
        <f t="shared" si="6"/>
        <v/>
      </c>
      <c r="Y45" s="9" t="str">
        <f t="shared" si="7"/>
        <v/>
      </c>
    </row>
    <row r="46" spans="1:25" x14ac:dyDescent="0.3">
      <c r="A46" s="2" t="s">
        <v>144</v>
      </c>
      <c r="B46" s="2" t="s">
        <v>150</v>
      </c>
      <c r="C46" s="7">
        <v>0</v>
      </c>
      <c r="D46" s="8">
        <v>0</v>
      </c>
      <c r="E46" s="8">
        <v>0</v>
      </c>
      <c r="F46" s="8">
        <v>0</v>
      </c>
      <c r="G46" s="8">
        <v>0</v>
      </c>
      <c r="K46" t="str">
        <f t="shared" si="1"/>
        <v>CI_toe_cbiom_spla_0</v>
      </c>
      <c r="L46" s="9" t="str">
        <f>IFERROR(VLOOKUP($K46,baseline!$A:$AK,L$3,FALSE),"")</f>
        <v/>
      </c>
      <c r="M46" s="9" t="str">
        <f>IFERROR(VLOOKUP($K46,baseline!$A:$AK,M$3,FALSE),"")</f>
        <v/>
      </c>
      <c r="N46" s="9" t="str">
        <f>IFERROR(VLOOKUP($K46,baseline!$A:$AK,N$3,FALSE),"")</f>
        <v/>
      </c>
      <c r="O46" s="9" t="str">
        <f>IFERROR(VLOOKUP($K46,baseline!$A:$AK,O$3,FALSE),"")</f>
        <v/>
      </c>
      <c r="P46" s="9" t="str">
        <f>IFERROR(VLOOKUP($K46,baseline!$A:$AK,P$3,FALSE),"")</f>
        <v/>
      </c>
      <c r="T46" t="str">
        <f t="shared" si="2"/>
        <v>CI_toe_cbiom_spla_0</v>
      </c>
      <c r="U46" s="9" t="str">
        <f t="shared" si="3"/>
        <v/>
      </c>
      <c r="V46" s="9" t="str">
        <f t="shared" si="4"/>
        <v/>
      </c>
      <c r="W46" s="9" t="str">
        <f t="shared" si="5"/>
        <v/>
      </c>
      <c r="X46" s="9" t="str">
        <f t="shared" si="6"/>
        <v/>
      </c>
      <c r="Y46" s="9" t="str">
        <f t="shared" si="7"/>
        <v/>
      </c>
    </row>
    <row r="47" spans="1:25" x14ac:dyDescent="0.3">
      <c r="A47" s="2" t="s">
        <v>145</v>
      </c>
      <c r="B47" s="2" t="s">
        <v>150</v>
      </c>
      <c r="C47" s="7">
        <v>0</v>
      </c>
      <c r="D47" s="8">
        <v>0</v>
      </c>
      <c r="E47" s="8">
        <v>0</v>
      </c>
      <c r="F47" s="8">
        <v>0</v>
      </c>
      <c r="G47" s="8">
        <v>0</v>
      </c>
      <c r="K47" t="str">
        <f t="shared" si="1"/>
        <v>CI_toe_cbiof_spla_0</v>
      </c>
      <c r="L47" s="9" t="str">
        <f>IFERROR(VLOOKUP($K47,baseline!$A:$AK,L$3,FALSE),"")</f>
        <v/>
      </c>
      <c r="M47" s="9" t="str">
        <f>IFERROR(VLOOKUP($K47,baseline!$A:$AK,M$3,FALSE),"")</f>
        <v/>
      </c>
      <c r="N47" s="9" t="str">
        <f>IFERROR(VLOOKUP($K47,baseline!$A:$AK,N$3,FALSE),"")</f>
        <v/>
      </c>
      <c r="O47" s="9" t="str">
        <f>IFERROR(VLOOKUP($K47,baseline!$A:$AK,O$3,FALSE),"")</f>
        <v/>
      </c>
      <c r="P47" s="9" t="str">
        <f>IFERROR(VLOOKUP($K47,baseline!$A:$AK,P$3,FALSE),"")</f>
        <v/>
      </c>
      <c r="T47" t="str">
        <f t="shared" si="2"/>
        <v>CI_toe_cbiof_spla_0</v>
      </c>
      <c r="U47" s="9" t="str">
        <f t="shared" si="3"/>
        <v/>
      </c>
      <c r="V47" s="9" t="str">
        <f t="shared" si="4"/>
        <v/>
      </c>
      <c r="W47" s="9" t="str">
        <f t="shared" si="5"/>
        <v/>
      </c>
      <c r="X47" s="9" t="str">
        <f t="shared" si="6"/>
        <v/>
      </c>
      <c r="Y47" s="9" t="str">
        <f t="shared" si="7"/>
        <v/>
      </c>
    </row>
    <row r="48" spans="1:25" x14ac:dyDescent="0.3">
      <c r="A48" s="2" t="s">
        <v>146</v>
      </c>
      <c r="B48" s="2" t="s">
        <v>150</v>
      </c>
      <c r="C48" s="7">
        <v>1.0440983510314399E-2</v>
      </c>
      <c r="D48" s="8">
        <v>9.8121522814256113E-3</v>
      </c>
      <c r="E48" s="8">
        <v>5.7024477642400821E-3</v>
      </c>
      <c r="F48" s="8">
        <v>1.2729326560248402E-2</v>
      </c>
      <c r="G48" s="8">
        <v>1.2729326560248402E-2</v>
      </c>
      <c r="K48" t="str">
        <f t="shared" si="1"/>
        <v>CI_toe_chea_spla_0</v>
      </c>
      <c r="L48" s="9" t="str">
        <f>IFERROR(VLOOKUP($K48,baseline!$A:$AK,L$3,FALSE),"")</f>
        <v/>
      </c>
      <c r="M48" s="9" t="str">
        <f>IFERROR(VLOOKUP($K48,baseline!$A:$AK,M$3,FALSE),"")</f>
        <v/>
      </c>
      <c r="N48" s="9" t="str">
        <f>IFERROR(VLOOKUP($K48,baseline!$A:$AK,N$3,FALSE),"")</f>
        <v/>
      </c>
      <c r="O48" s="9" t="str">
        <f>IFERROR(VLOOKUP($K48,baseline!$A:$AK,O$3,FALSE),"")</f>
        <v/>
      </c>
      <c r="P48" s="9" t="str">
        <f>IFERROR(VLOOKUP($K48,baseline!$A:$AK,P$3,FALSE),"")</f>
        <v/>
      </c>
      <c r="T48" t="str">
        <f t="shared" si="2"/>
        <v>CI_toe_chea_spla_0</v>
      </c>
      <c r="U48" s="9" t="str">
        <f t="shared" si="3"/>
        <v/>
      </c>
      <c r="V48" s="9" t="str">
        <f t="shared" si="4"/>
        <v/>
      </c>
      <c r="W48" s="9" t="str">
        <f t="shared" si="5"/>
        <v/>
      </c>
      <c r="X48" s="9" t="str">
        <f t="shared" si="6"/>
        <v/>
      </c>
      <c r="Y48" s="9" t="str">
        <f t="shared" si="7"/>
        <v/>
      </c>
    </row>
    <row r="49" spans="1:25" x14ac:dyDescent="0.3">
      <c r="A49" s="2" t="s">
        <v>136</v>
      </c>
      <c r="B49" s="2" t="s">
        <v>151</v>
      </c>
      <c r="C49" s="7">
        <v>3.5794897572638602E-2</v>
      </c>
      <c r="D49" s="8">
        <v>2.6835348583536357E-2</v>
      </c>
      <c r="E49" s="8">
        <v>1.9793546866458067E-2</v>
      </c>
      <c r="F49" s="8">
        <v>1.9793546866458067E-2</v>
      </c>
      <c r="G49" s="8">
        <v>1.9793546866458067E-2</v>
      </c>
      <c r="K49" t="str">
        <f t="shared" si="1"/>
        <v>CI_toe_ccoa_sgla_0</v>
      </c>
      <c r="L49" s="9" t="str">
        <f>IFERROR(VLOOKUP($K49,baseline!$A:$AK,L$3,FALSE),"")</f>
        <v/>
      </c>
      <c r="M49" s="9" t="str">
        <f>IFERROR(VLOOKUP($K49,baseline!$A:$AK,M$3,FALSE),"")</f>
        <v/>
      </c>
      <c r="N49" s="9" t="str">
        <f>IFERROR(VLOOKUP($K49,baseline!$A:$AK,N$3,FALSE),"")</f>
        <v/>
      </c>
      <c r="O49" s="9" t="str">
        <f>IFERROR(VLOOKUP($K49,baseline!$A:$AK,O$3,FALSE),"")</f>
        <v/>
      </c>
      <c r="P49" s="9" t="str">
        <f>IFERROR(VLOOKUP($K49,baseline!$A:$AK,P$3,FALSE),"")</f>
        <v/>
      </c>
      <c r="T49" t="str">
        <f t="shared" si="2"/>
        <v>CI_toe_ccoa_sgla_0</v>
      </c>
      <c r="U49" s="9" t="str">
        <f t="shared" si="3"/>
        <v/>
      </c>
      <c r="V49" s="9" t="str">
        <f t="shared" si="4"/>
        <v/>
      </c>
      <c r="W49" s="9" t="str">
        <f t="shared" si="5"/>
        <v/>
      </c>
      <c r="X49" s="9" t="str">
        <f t="shared" si="6"/>
        <v/>
      </c>
      <c r="Y49" s="9" t="str">
        <f t="shared" si="7"/>
        <v/>
      </c>
    </row>
    <row r="50" spans="1:25" x14ac:dyDescent="0.3">
      <c r="A50" s="2" t="s">
        <v>137</v>
      </c>
      <c r="B50" s="2" t="s">
        <v>151</v>
      </c>
      <c r="C50" s="7">
        <v>4.19209895659527E-2</v>
      </c>
      <c r="D50" s="8">
        <v>4.19209895659527E-2</v>
      </c>
      <c r="E50" s="8">
        <v>4.19209895659527E-2</v>
      </c>
      <c r="F50" s="8">
        <v>4.19209895659527E-2</v>
      </c>
      <c r="G50" s="8">
        <v>4.19209895659527E-2</v>
      </c>
      <c r="K50" t="str">
        <f t="shared" si="1"/>
        <v>CI_toe_coil_sgla_0</v>
      </c>
      <c r="L50" s="9" t="str">
        <f>IFERROR(VLOOKUP($K50,baseline!$A:$AK,L$3,FALSE),"")</f>
        <v/>
      </c>
      <c r="M50" s="9" t="str">
        <f>IFERROR(VLOOKUP($K50,baseline!$A:$AK,M$3,FALSE),"")</f>
        <v/>
      </c>
      <c r="N50" s="9" t="str">
        <f>IFERROR(VLOOKUP($K50,baseline!$A:$AK,N$3,FALSE),"")</f>
        <v/>
      </c>
      <c r="O50" s="9" t="str">
        <f>IFERROR(VLOOKUP($K50,baseline!$A:$AK,O$3,FALSE),"")</f>
        <v/>
      </c>
      <c r="P50" s="9" t="str">
        <f>IFERROR(VLOOKUP($K50,baseline!$A:$AK,P$3,FALSE),"")</f>
        <v/>
      </c>
      <c r="T50" t="str">
        <f t="shared" si="2"/>
        <v>CI_toe_coil_sgla_0</v>
      </c>
      <c r="U50" s="9" t="str">
        <f t="shared" si="3"/>
        <v/>
      </c>
      <c r="V50" s="9" t="str">
        <f t="shared" si="4"/>
        <v/>
      </c>
      <c r="W50" s="9" t="str">
        <f t="shared" si="5"/>
        <v/>
      </c>
      <c r="X50" s="9" t="str">
        <f t="shared" si="6"/>
        <v/>
      </c>
      <c r="Y50" s="9" t="str">
        <f t="shared" si="7"/>
        <v/>
      </c>
    </row>
    <row r="51" spans="1:25" x14ac:dyDescent="0.3">
      <c r="A51" s="2" t="s">
        <v>138</v>
      </c>
      <c r="B51" s="2" t="s">
        <v>151</v>
      </c>
      <c r="C51" s="7">
        <v>7.2591143168543495E-2</v>
      </c>
      <c r="D51" s="8">
        <v>6.749379260812953E-2</v>
      </c>
      <c r="E51" s="8">
        <v>6.9588403555139233E-2</v>
      </c>
      <c r="F51" s="8">
        <v>6.9588403555139233E-2</v>
      </c>
      <c r="G51" s="8">
        <v>6.9588403555139233E-2</v>
      </c>
      <c r="K51" t="str">
        <f t="shared" si="1"/>
        <v>CI_toe_cfue_sgla_0</v>
      </c>
      <c r="L51" s="9" t="str">
        <f>IFERROR(VLOOKUP($K51,baseline!$A:$AK,L$3,FALSE),"")</f>
        <v/>
      </c>
      <c r="M51" s="9" t="str">
        <f>IFERROR(VLOOKUP($K51,baseline!$A:$AK,M$3,FALSE),"")</f>
        <v/>
      </c>
      <c r="N51" s="9" t="str">
        <f>IFERROR(VLOOKUP($K51,baseline!$A:$AK,N$3,FALSE),"")</f>
        <v/>
      </c>
      <c r="O51" s="9" t="str">
        <f>IFERROR(VLOOKUP($K51,baseline!$A:$AK,O$3,FALSE),"")</f>
        <v/>
      </c>
      <c r="P51" s="9" t="str">
        <f>IFERROR(VLOOKUP($K51,baseline!$A:$AK,P$3,FALSE),"")</f>
        <v/>
      </c>
      <c r="T51" t="str">
        <f t="shared" si="2"/>
        <v>CI_toe_cfue_sgla_0</v>
      </c>
      <c r="U51" s="9" t="str">
        <f t="shared" si="3"/>
        <v/>
      </c>
      <c r="V51" s="9" t="str">
        <f t="shared" si="4"/>
        <v/>
      </c>
      <c r="W51" s="9" t="str">
        <f t="shared" si="5"/>
        <v/>
      </c>
      <c r="X51" s="9" t="str">
        <f t="shared" si="6"/>
        <v/>
      </c>
      <c r="Y51" s="9" t="str">
        <f t="shared" si="7"/>
        <v/>
      </c>
    </row>
    <row r="52" spans="1:25" x14ac:dyDescent="0.3">
      <c r="A52" s="2" t="s">
        <v>139</v>
      </c>
      <c r="B52" s="2" t="s">
        <v>151</v>
      </c>
      <c r="C52" s="7">
        <v>8.1388185587754097E-2</v>
      </c>
      <c r="D52" s="8">
        <v>8.1388185587754097E-2</v>
      </c>
      <c r="E52" s="8">
        <v>8.1388185587754097E-2</v>
      </c>
      <c r="F52" s="8">
        <v>8.3847283685697979E-2</v>
      </c>
      <c r="G52" s="8">
        <v>8.5195886814550995E-2</v>
      </c>
      <c r="K52" t="str">
        <f t="shared" si="1"/>
        <v>CI_toe_cpch_sgla_0</v>
      </c>
      <c r="L52" s="9" t="str">
        <f>IFERROR(VLOOKUP($K52,baseline!$A:$AK,L$3,FALSE),"")</f>
        <v/>
      </c>
      <c r="M52" s="9" t="str">
        <f>IFERROR(VLOOKUP($K52,baseline!$A:$AK,M$3,FALSE),"")</f>
        <v/>
      </c>
      <c r="N52" s="9" t="str">
        <f>IFERROR(VLOOKUP($K52,baseline!$A:$AK,N$3,FALSE),"")</f>
        <v/>
      </c>
      <c r="O52" s="9" t="str">
        <f>IFERROR(VLOOKUP($K52,baseline!$A:$AK,O$3,FALSE),"")</f>
        <v/>
      </c>
      <c r="P52" s="9" t="str">
        <f>IFERROR(VLOOKUP($K52,baseline!$A:$AK,P$3,FALSE),"")</f>
        <v/>
      </c>
      <c r="T52" t="str">
        <f t="shared" si="2"/>
        <v>CI_toe_cpch_sgla_0</v>
      </c>
      <c r="U52" s="9" t="str">
        <f t="shared" si="3"/>
        <v/>
      </c>
      <c r="V52" s="9" t="str">
        <f t="shared" si="4"/>
        <v/>
      </c>
      <c r="W52" s="9" t="str">
        <f t="shared" si="5"/>
        <v/>
      </c>
      <c r="X52" s="9" t="str">
        <f t="shared" si="6"/>
        <v/>
      </c>
      <c r="Y52" s="9" t="str">
        <f t="shared" si="7"/>
        <v/>
      </c>
    </row>
    <row r="53" spans="1:25" x14ac:dyDescent="0.3">
      <c r="A53" s="2" t="s">
        <v>140</v>
      </c>
      <c r="B53" s="2" t="s">
        <v>151</v>
      </c>
      <c r="C53" s="7">
        <v>0.101178</v>
      </c>
      <c r="D53" s="8">
        <v>0.10105406054754004</v>
      </c>
      <c r="E53" s="8">
        <v>0.1038529280522389</v>
      </c>
      <c r="F53" s="8">
        <v>0.19668488544483334</v>
      </c>
      <c r="G53" s="8">
        <v>0.29818104922459721</v>
      </c>
      <c r="K53" t="str">
        <f t="shared" si="1"/>
        <v>CI_toe_cele_sgla_0</v>
      </c>
      <c r="L53" s="9" t="str">
        <f>IFERROR(VLOOKUP($K53,baseline!$A:$AK,L$3,FALSE),"")</f>
        <v/>
      </c>
      <c r="M53" s="9" t="str">
        <f>IFERROR(VLOOKUP($K53,baseline!$A:$AK,M$3,FALSE),"")</f>
        <v/>
      </c>
      <c r="N53" s="9" t="str">
        <f>IFERROR(VLOOKUP($K53,baseline!$A:$AK,N$3,FALSE),"")</f>
        <v/>
      </c>
      <c r="O53" s="9" t="str">
        <f>IFERROR(VLOOKUP($K53,baseline!$A:$AK,O$3,FALSE),"")</f>
        <v/>
      </c>
      <c r="P53" s="9" t="str">
        <f>IFERROR(VLOOKUP($K53,baseline!$A:$AK,P$3,FALSE),"")</f>
        <v/>
      </c>
      <c r="T53" t="str">
        <f t="shared" si="2"/>
        <v>CI_toe_cele_sgla_0</v>
      </c>
      <c r="U53" s="9" t="str">
        <f t="shared" si="3"/>
        <v/>
      </c>
      <c r="V53" s="9" t="str">
        <f t="shared" si="4"/>
        <v/>
      </c>
      <c r="W53" s="9" t="str">
        <f t="shared" si="5"/>
        <v/>
      </c>
      <c r="X53" s="9" t="str">
        <f t="shared" si="6"/>
        <v/>
      </c>
      <c r="Y53" s="9" t="str">
        <f t="shared" si="7"/>
        <v/>
      </c>
    </row>
    <row r="54" spans="1:25" x14ac:dyDescent="0.3">
      <c r="A54" s="2" t="s">
        <v>141</v>
      </c>
      <c r="B54" s="2" t="s">
        <v>151</v>
      </c>
      <c r="C54" s="7">
        <v>0.46862399601138</v>
      </c>
      <c r="D54" s="8">
        <v>0.42731500844379244</v>
      </c>
      <c r="E54" s="8">
        <v>0.41411365666039707</v>
      </c>
      <c r="F54" s="8">
        <v>7.9309791392001894E-2</v>
      </c>
      <c r="G54" s="8">
        <v>6.7510532710680068E-2</v>
      </c>
      <c r="K54" t="str">
        <f t="shared" si="1"/>
        <v>CI_toe_cgas_sgla_0</v>
      </c>
      <c r="L54" s="9" t="str">
        <f>IFERROR(VLOOKUP($K54,baseline!$A:$AK,L$3,FALSE),"")</f>
        <v/>
      </c>
      <c r="M54" s="9" t="str">
        <f>IFERROR(VLOOKUP($K54,baseline!$A:$AK,M$3,FALSE),"")</f>
        <v/>
      </c>
      <c r="N54" s="9" t="str">
        <f>IFERROR(VLOOKUP($K54,baseline!$A:$AK,N$3,FALSE),"")</f>
        <v/>
      </c>
      <c r="O54" s="9" t="str">
        <f>IFERROR(VLOOKUP($K54,baseline!$A:$AK,O$3,FALSE),"")</f>
        <v/>
      </c>
      <c r="P54" s="9" t="str">
        <f>IFERROR(VLOOKUP($K54,baseline!$A:$AK,P$3,FALSE),"")</f>
        <v/>
      </c>
      <c r="T54" t="str">
        <f t="shared" si="2"/>
        <v>CI_toe_cgas_sgla_0</v>
      </c>
      <c r="U54" s="9" t="str">
        <f t="shared" si="3"/>
        <v/>
      </c>
      <c r="V54" s="9" t="str">
        <f t="shared" si="4"/>
        <v/>
      </c>
      <c r="W54" s="9" t="str">
        <f t="shared" si="5"/>
        <v/>
      </c>
      <c r="X54" s="9" t="str">
        <f t="shared" si="6"/>
        <v/>
      </c>
      <c r="Y54" s="9" t="str">
        <f t="shared" si="7"/>
        <v/>
      </c>
    </row>
    <row r="55" spans="1:25" x14ac:dyDescent="0.3">
      <c r="A55" s="2" t="s">
        <v>142</v>
      </c>
      <c r="B55" s="2" t="s">
        <v>151</v>
      </c>
      <c r="C55" s="7">
        <v>0</v>
      </c>
      <c r="D55" s="8">
        <v>0</v>
      </c>
      <c r="E55" s="8">
        <v>0</v>
      </c>
      <c r="F55" s="8">
        <v>0</v>
      </c>
      <c r="G55" s="8">
        <v>0</v>
      </c>
      <c r="K55" t="str">
        <f t="shared" si="1"/>
        <v>CI_toe_cmga_sgla_0</v>
      </c>
      <c r="L55" s="9" t="str">
        <f>IFERROR(VLOOKUP($K55,baseline!$A:$AK,L$3,FALSE),"")</f>
        <v/>
      </c>
      <c r="M55" s="9" t="str">
        <f>IFERROR(VLOOKUP($K55,baseline!$A:$AK,M$3,FALSE),"")</f>
        <v/>
      </c>
      <c r="N55" s="9" t="str">
        <f>IFERROR(VLOOKUP($K55,baseline!$A:$AK,N$3,FALSE),"")</f>
        <v/>
      </c>
      <c r="O55" s="9" t="str">
        <f>IFERROR(VLOOKUP($K55,baseline!$A:$AK,O$3,FALSE),"")</f>
        <v/>
      </c>
      <c r="P55" s="9" t="str">
        <f>IFERROR(VLOOKUP($K55,baseline!$A:$AK,P$3,FALSE),"")</f>
        <v/>
      </c>
      <c r="T55" t="str">
        <f t="shared" si="2"/>
        <v>CI_toe_cmga_sgla_0</v>
      </c>
      <c r="U55" s="9" t="str">
        <f t="shared" si="3"/>
        <v/>
      </c>
      <c r="V55" s="9" t="str">
        <f t="shared" si="4"/>
        <v/>
      </c>
      <c r="W55" s="9" t="str">
        <f t="shared" si="5"/>
        <v/>
      </c>
      <c r="X55" s="9" t="str">
        <f t="shared" si="6"/>
        <v/>
      </c>
      <c r="Y55" s="9" t="str">
        <f t="shared" si="7"/>
        <v/>
      </c>
    </row>
    <row r="56" spans="1:25" x14ac:dyDescent="0.3">
      <c r="A56" s="2" t="s">
        <v>143</v>
      </c>
      <c r="B56" s="2" t="s">
        <v>151</v>
      </c>
      <c r="C56" s="7">
        <v>0</v>
      </c>
      <c r="D56" s="8">
        <v>0</v>
      </c>
      <c r="E56" s="8">
        <v>0</v>
      </c>
      <c r="F56" s="8">
        <v>0</v>
      </c>
      <c r="G56" s="8">
        <v>0</v>
      </c>
      <c r="K56" t="str">
        <f t="shared" si="1"/>
        <v>CI_toe_cbiog_sgla_0</v>
      </c>
      <c r="L56" s="9" t="str">
        <f>IFERROR(VLOOKUP($K56,baseline!$A:$AK,L$3,FALSE),"")</f>
        <v/>
      </c>
      <c r="M56" s="9" t="str">
        <f>IFERROR(VLOOKUP($K56,baseline!$A:$AK,M$3,FALSE),"")</f>
        <v/>
      </c>
      <c r="N56" s="9" t="str">
        <f>IFERROR(VLOOKUP($K56,baseline!$A:$AK,N$3,FALSE),"")</f>
        <v/>
      </c>
      <c r="O56" s="9" t="str">
        <f>IFERROR(VLOOKUP($K56,baseline!$A:$AK,O$3,FALSE),"")</f>
        <v/>
      </c>
      <c r="P56" s="9" t="str">
        <f>IFERROR(VLOOKUP($K56,baseline!$A:$AK,P$3,FALSE),"")</f>
        <v/>
      </c>
      <c r="T56" t="str">
        <f t="shared" si="2"/>
        <v>CI_toe_cbiog_sgla_0</v>
      </c>
      <c r="U56" s="9" t="str">
        <f t="shared" si="3"/>
        <v/>
      </c>
      <c r="V56" s="9" t="str">
        <f t="shared" si="4"/>
        <v/>
      </c>
      <c r="W56" s="9" t="str">
        <f t="shared" si="5"/>
        <v/>
      </c>
      <c r="X56" s="9" t="str">
        <f t="shared" si="6"/>
        <v/>
      </c>
      <c r="Y56" s="9" t="str">
        <f t="shared" si="7"/>
        <v/>
      </c>
    </row>
    <row r="57" spans="1:25" x14ac:dyDescent="0.3">
      <c r="A57" s="2" t="s">
        <v>144</v>
      </c>
      <c r="B57" s="2" t="s">
        <v>151</v>
      </c>
      <c r="C57" s="7">
        <v>0</v>
      </c>
      <c r="D57" s="8">
        <v>0</v>
      </c>
      <c r="E57" s="8">
        <v>0</v>
      </c>
      <c r="F57" s="8">
        <v>0</v>
      </c>
      <c r="G57" s="8">
        <v>0</v>
      </c>
      <c r="K57" t="str">
        <f t="shared" si="1"/>
        <v>CI_toe_cbiom_sgla_0</v>
      </c>
      <c r="L57" s="9" t="str">
        <f>IFERROR(VLOOKUP($K57,baseline!$A:$AK,L$3,FALSE),"")</f>
        <v/>
      </c>
      <c r="M57" s="9" t="str">
        <f>IFERROR(VLOOKUP($K57,baseline!$A:$AK,M$3,FALSE),"")</f>
        <v/>
      </c>
      <c r="N57" s="9" t="str">
        <f>IFERROR(VLOOKUP($K57,baseline!$A:$AK,N$3,FALSE),"")</f>
        <v/>
      </c>
      <c r="O57" s="9" t="str">
        <f>IFERROR(VLOOKUP($K57,baseline!$A:$AK,O$3,FALSE),"")</f>
        <v/>
      </c>
      <c r="P57" s="9" t="str">
        <f>IFERROR(VLOOKUP($K57,baseline!$A:$AK,P$3,FALSE),"")</f>
        <v/>
      </c>
      <c r="T57" t="str">
        <f t="shared" si="2"/>
        <v>CI_toe_cbiom_sgla_0</v>
      </c>
      <c r="U57" s="9" t="str">
        <f t="shared" si="3"/>
        <v/>
      </c>
      <c r="V57" s="9" t="str">
        <f t="shared" si="4"/>
        <v/>
      </c>
      <c r="W57" s="9" t="str">
        <f t="shared" si="5"/>
        <v/>
      </c>
      <c r="X57" s="9" t="str">
        <f t="shared" si="6"/>
        <v/>
      </c>
      <c r="Y57" s="9" t="str">
        <f t="shared" si="7"/>
        <v/>
      </c>
    </row>
    <row r="58" spans="1:25" x14ac:dyDescent="0.3">
      <c r="A58" s="2" t="s">
        <v>145</v>
      </c>
      <c r="B58" s="2" t="s">
        <v>151</v>
      </c>
      <c r="C58" s="7">
        <v>0</v>
      </c>
      <c r="D58" s="8">
        <v>0</v>
      </c>
      <c r="E58" s="8">
        <v>0</v>
      </c>
      <c r="F58" s="8">
        <v>0</v>
      </c>
      <c r="G58" s="8">
        <v>0</v>
      </c>
      <c r="K58" t="str">
        <f t="shared" si="1"/>
        <v>CI_toe_cbiof_sgla_0</v>
      </c>
      <c r="L58" s="9" t="str">
        <f>IFERROR(VLOOKUP($K58,baseline!$A:$AK,L$3,FALSE),"")</f>
        <v/>
      </c>
      <c r="M58" s="9" t="str">
        <f>IFERROR(VLOOKUP($K58,baseline!$A:$AK,M$3,FALSE),"")</f>
        <v/>
      </c>
      <c r="N58" s="9" t="str">
        <f>IFERROR(VLOOKUP($K58,baseline!$A:$AK,N$3,FALSE),"")</f>
        <v/>
      </c>
      <c r="O58" s="9" t="str">
        <f>IFERROR(VLOOKUP($K58,baseline!$A:$AK,O$3,FALSE),"")</f>
        <v/>
      </c>
      <c r="P58" s="9" t="str">
        <f>IFERROR(VLOOKUP($K58,baseline!$A:$AK,P$3,FALSE),"")</f>
        <v/>
      </c>
      <c r="T58" t="str">
        <f t="shared" si="2"/>
        <v>CI_toe_cbiof_sgla_0</v>
      </c>
      <c r="U58" s="9" t="str">
        <f t="shared" si="3"/>
        <v/>
      </c>
      <c r="V58" s="9" t="str">
        <f t="shared" si="4"/>
        <v/>
      </c>
      <c r="W58" s="9" t="str">
        <f t="shared" si="5"/>
        <v/>
      </c>
      <c r="X58" s="9" t="str">
        <f t="shared" si="6"/>
        <v/>
      </c>
      <c r="Y58" s="9" t="str">
        <f t="shared" si="7"/>
        <v/>
      </c>
    </row>
    <row r="59" spans="1:25" x14ac:dyDescent="0.3">
      <c r="A59" s="2" t="s">
        <v>146</v>
      </c>
      <c r="B59" s="2" t="s">
        <v>151</v>
      </c>
      <c r="C59" s="7">
        <v>7.7000000000000001E-5</v>
      </c>
      <c r="D59" s="8">
        <v>3.1090198382213389E-5</v>
      </c>
      <c r="E59" s="8">
        <v>0</v>
      </c>
      <c r="F59" s="8">
        <v>0</v>
      </c>
      <c r="G59" s="8">
        <v>0</v>
      </c>
      <c r="K59" t="str">
        <f t="shared" si="1"/>
        <v>CI_toe_chea_sgla_0</v>
      </c>
      <c r="L59" s="9" t="str">
        <f>IFERROR(VLOOKUP($K59,baseline!$A:$AK,L$3,FALSE),"")</f>
        <v/>
      </c>
      <c r="M59" s="9" t="str">
        <f>IFERROR(VLOOKUP($K59,baseline!$A:$AK,M$3,FALSE),"")</f>
        <v/>
      </c>
      <c r="N59" s="9" t="str">
        <f>IFERROR(VLOOKUP($K59,baseline!$A:$AK,N$3,FALSE),"")</f>
        <v/>
      </c>
      <c r="O59" s="9" t="str">
        <f>IFERROR(VLOOKUP($K59,baseline!$A:$AK,O$3,FALSE),"")</f>
        <v/>
      </c>
      <c r="P59" s="9" t="str">
        <f>IFERROR(VLOOKUP($K59,baseline!$A:$AK,P$3,FALSE),"")</f>
        <v/>
      </c>
      <c r="T59" t="str">
        <f t="shared" si="2"/>
        <v>CI_toe_chea_sgla_0</v>
      </c>
      <c r="U59" s="9" t="str">
        <f t="shared" si="3"/>
        <v/>
      </c>
      <c r="V59" s="9" t="str">
        <f t="shared" si="4"/>
        <v/>
      </c>
      <c r="W59" s="9" t="str">
        <f t="shared" si="5"/>
        <v/>
      </c>
      <c r="X59" s="9" t="str">
        <f t="shared" si="6"/>
        <v/>
      </c>
      <c r="Y59" s="9" t="str">
        <f t="shared" si="7"/>
        <v/>
      </c>
    </row>
    <row r="60" spans="1:25" x14ac:dyDescent="0.3">
      <c r="A60" s="2" t="s">
        <v>136</v>
      </c>
      <c r="B60" s="2" t="s">
        <v>152</v>
      </c>
      <c r="C60" s="7">
        <v>2.6175294216710797E-4</v>
      </c>
      <c r="D60" s="8">
        <v>3.4900392288947726E-4</v>
      </c>
      <c r="E60" s="8">
        <v>0</v>
      </c>
      <c r="F60" s="8">
        <v>0</v>
      </c>
      <c r="G60" s="8">
        <v>0</v>
      </c>
      <c r="K60" t="str">
        <f t="shared" si="1"/>
        <v>CI_toe_ccoa_spap_0</v>
      </c>
      <c r="L60" s="9" t="str">
        <f>IFERROR(VLOOKUP($K60,baseline!$A:$AK,L$3,FALSE),"")</f>
        <v/>
      </c>
      <c r="M60" s="9" t="str">
        <f>IFERROR(VLOOKUP($K60,baseline!$A:$AK,M$3,FALSE),"")</f>
        <v/>
      </c>
      <c r="N60" s="9" t="str">
        <f>IFERROR(VLOOKUP($K60,baseline!$A:$AK,N$3,FALSE),"")</f>
        <v/>
      </c>
      <c r="O60" s="9" t="str">
        <f>IFERROR(VLOOKUP($K60,baseline!$A:$AK,O$3,FALSE),"")</f>
        <v/>
      </c>
      <c r="P60" s="9" t="str">
        <f>IFERROR(VLOOKUP($K60,baseline!$A:$AK,P$3,FALSE),"")</f>
        <v/>
      </c>
      <c r="T60" t="str">
        <f t="shared" si="2"/>
        <v>CI_toe_ccoa_spap_0</v>
      </c>
      <c r="U60" s="9" t="str">
        <f t="shared" si="3"/>
        <v/>
      </c>
      <c r="V60" s="9" t="str">
        <f t="shared" si="4"/>
        <v/>
      </c>
      <c r="W60" s="9" t="str">
        <f t="shared" si="5"/>
        <v/>
      </c>
      <c r="X60" s="9" t="str">
        <f t="shared" si="6"/>
        <v/>
      </c>
      <c r="Y60" s="9" t="str">
        <f t="shared" si="7"/>
        <v/>
      </c>
    </row>
    <row r="61" spans="1:25" x14ac:dyDescent="0.3">
      <c r="A61" s="2" t="s">
        <v>137</v>
      </c>
      <c r="B61" s="2" t="s">
        <v>152</v>
      </c>
      <c r="C61" s="7">
        <v>9.9375418303639298E-3</v>
      </c>
      <c r="D61" s="8">
        <v>9.9375418303639298E-3</v>
      </c>
      <c r="E61" s="8">
        <v>9.9375418303639298E-3</v>
      </c>
      <c r="F61" s="8">
        <v>9.9375418303639298E-3</v>
      </c>
      <c r="G61" s="8">
        <v>9.9375418303639298E-3</v>
      </c>
      <c r="K61" t="str">
        <f t="shared" si="1"/>
        <v>CI_toe_coil_spap_0</v>
      </c>
      <c r="L61" s="9" t="str">
        <f>IFERROR(VLOOKUP($K61,baseline!$A:$AK,L$3,FALSE),"")</f>
        <v/>
      </c>
      <c r="M61" s="9" t="str">
        <f>IFERROR(VLOOKUP($K61,baseline!$A:$AK,M$3,FALSE),"")</f>
        <v/>
      </c>
      <c r="N61" s="9" t="str">
        <f>IFERROR(VLOOKUP($K61,baseline!$A:$AK,N$3,FALSE),"")</f>
        <v/>
      </c>
      <c r="O61" s="9" t="str">
        <f>IFERROR(VLOOKUP($K61,baseline!$A:$AK,O$3,FALSE),"")</f>
        <v/>
      </c>
      <c r="P61" s="9" t="str">
        <f>IFERROR(VLOOKUP($K61,baseline!$A:$AK,P$3,FALSE),"")</f>
        <v/>
      </c>
      <c r="T61" t="str">
        <f t="shared" si="2"/>
        <v>CI_toe_coil_spap_0</v>
      </c>
      <c r="U61" s="9" t="str">
        <f t="shared" si="3"/>
        <v/>
      </c>
      <c r="V61" s="9" t="str">
        <f t="shared" si="4"/>
        <v/>
      </c>
      <c r="W61" s="9" t="str">
        <f t="shared" si="5"/>
        <v/>
      </c>
      <c r="X61" s="9" t="str">
        <f t="shared" si="6"/>
        <v/>
      </c>
      <c r="Y61" s="9" t="str">
        <f t="shared" si="7"/>
        <v/>
      </c>
    </row>
    <row r="62" spans="1:25" x14ac:dyDescent="0.3">
      <c r="A62" s="2" t="s">
        <v>138</v>
      </c>
      <c r="B62" s="2" t="s">
        <v>152</v>
      </c>
      <c r="C62" s="7">
        <v>1.48246443923814E-2</v>
      </c>
      <c r="D62" s="8">
        <v>5.7957783272607269E-3</v>
      </c>
      <c r="E62" s="8">
        <v>6.0795181230912862E-3</v>
      </c>
      <c r="F62" s="8">
        <v>6.0795181230912862E-3</v>
      </c>
      <c r="G62" s="8">
        <v>6.0795181230912862E-3</v>
      </c>
      <c r="K62" t="str">
        <f t="shared" si="1"/>
        <v>CI_toe_cfue_spap_0</v>
      </c>
      <c r="L62" s="9" t="str">
        <f>IFERROR(VLOOKUP($K62,baseline!$A:$AK,L$3,FALSE),"")</f>
        <v/>
      </c>
      <c r="M62" s="9" t="str">
        <f>IFERROR(VLOOKUP($K62,baseline!$A:$AK,M$3,FALSE),"")</f>
        <v/>
      </c>
      <c r="N62" s="9" t="str">
        <f>IFERROR(VLOOKUP($K62,baseline!$A:$AK,N$3,FALSE),"")</f>
        <v/>
      </c>
      <c r="O62" s="9" t="str">
        <f>IFERROR(VLOOKUP($K62,baseline!$A:$AK,O$3,FALSE),"")</f>
        <v/>
      </c>
      <c r="P62" s="9" t="str">
        <f>IFERROR(VLOOKUP($K62,baseline!$A:$AK,P$3,FALSE),"")</f>
        <v/>
      </c>
      <c r="T62" t="str">
        <f t="shared" si="2"/>
        <v>CI_toe_cfue_spap_0</v>
      </c>
      <c r="U62" s="9" t="str">
        <f t="shared" si="3"/>
        <v/>
      </c>
      <c r="V62" s="9" t="str">
        <f t="shared" si="4"/>
        <v/>
      </c>
      <c r="W62" s="9" t="str">
        <f t="shared" si="5"/>
        <v/>
      </c>
      <c r="X62" s="9" t="str">
        <f t="shared" si="6"/>
        <v/>
      </c>
      <c r="Y62" s="9" t="str">
        <f t="shared" si="7"/>
        <v/>
      </c>
    </row>
    <row r="63" spans="1:25" x14ac:dyDescent="0.3">
      <c r="A63" s="2" t="s">
        <v>139</v>
      </c>
      <c r="B63" s="2" t="s">
        <v>152</v>
      </c>
      <c r="C63" s="7">
        <v>1.9293401876959E-2</v>
      </c>
      <c r="D63" s="8">
        <v>1.9293401876959E-2</v>
      </c>
      <c r="E63" s="8">
        <v>1.9293401876959E-2</v>
      </c>
      <c r="F63" s="8">
        <v>1.9876341126874354E-2</v>
      </c>
      <c r="G63" s="8">
        <v>2.0196033007822248E-2</v>
      </c>
      <c r="K63" t="str">
        <f t="shared" si="1"/>
        <v>CI_toe_cpch_spap_0</v>
      </c>
      <c r="L63" s="9" t="str">
        <f>IFERROR(VLOOKUP($K63,baseline!$A:$AK,L$3,FALSE),"")</f>
        <v/>
      </c>
      <c r="M63" s="9" t="str">
        <f>IFERROR(VLOOKUP($K63,baseline!$A:$AK,M$3,FALSE),"")</f>
        <v/>
      </c>
      <c r="N63" s="9" t="str">
        <f>IFERROR(VLOOKUP($K63,baseline!$A:$AK,N$3,FALSE),"")</f>
        <v/>
      </c>
      <c r="O63" s="9" t="str">
        <f>IFERROR(VLOOKUP($K63,baseline!$A:$AK,O$3,FALSE),"")</f>
        <v/>
      </c>
      <c r="P63" s="9" t="str">
        <f>IFERROR(VLOOKUP($K63,baseline!$A:$AK,P$3,FALSE),"")</f>
        <v/>
      </c>
      <c r="T63" t="str">
        <f t="shared" si="2"/>
        <v>CI_toe_cpch_spap_0</v>
      </c>
      <c r="U63" s="9" t="str">
        <f t="shared" si="3"/>
        <v/>
      </c>
      <c r="V63" s="9" t="str">
        <f t="shared" si="4"/>
        <v/>
      </c>
      <c r="W63" s="9" t="str">
        <f t="shared" si="5"/>
        <v/>
      </c>
      <c r="X63" s="9" t="str">
        <f t="shared" si="6"/>
        <v/>
      </c>
      <c r="Y63" s="9" t="str">
        <f t="shared" si="7"/>
        <v/>
      </c>
    </row>
    <row r="64" spans="1:25" x14ac:dyDescent="0.3">
      <c r="A64" s="2" t="s">
        <v>140</v>
      </c>
      <c r="B64" s="2" t="s">
        <v>152</v>
      </c>
      <c r="C64" s="7">
        <v>0.21778700000000001</v>
      </c>
      <c r="D64" s="8">
        <v>0.16951116778861131</v>
      </c>
      <c r="E64" s="8">
        <v>0.24843241203715213</v>
      </c>
      <c r="F64" s="8">
        <v>0.47050094223373701</v>
      </c>
      <c r="G64" s="8">
        <v>0.71329560631524702</v>
      </c>
      <c r="K64" t="str">
        <f t="shared" si="1"/>
        <v>CI_toe_cele_spap_0</v>
      </c>
      <c r="L64" s="9" t="str">
        <f>IFERROR(VLOOKUP($K64,baseline!$A:$AK,L$3,FALSE),"")</f>
        <v/>
      </c>
      <c r="M64" s="9" t="str">
        <f>IFERROR(VLOOKUP($K64,baseline!$A:$AK,M$3,FALSE),"")</f>
        <v/>
      </c>
      <c r="N64" s="9" t="str">
        <f>IFERROR(VLOOKUP($K64,baseline!$A:$AK,N$3,FALSE),"")</f>
        <v/>
      </c>
      <c r="O64" s="9" t="str">
        <f>IFERROR(VLOOKUP($K64,baseline!$A:$AK,O$3,FALSE),"")</f>
        <v/>
      </c>
      <c r="P64" s="9" t="str">
        <f>IFERROR(VLOOKUP($K64,baseline!$A:$AK,P$3,FALSE),"")</f>
        <v/>
      </c>
      <c r="T64" t="str">
        <f t="shared" si="2"/>
        <v>CI_toe_cele_spap_0</v>
      </c>
      <c r="U64" s="9" t="str">
        <f t="shared" si="3"/>
        <v/>
      </c>
      <c r="V64" s="9" t="str">
        <f t="shared" si="4"/>
        <v/>
      </c>
      <c r="W64" s="9" t="str">
        <f t="shared" si="5"/>
        <v/>
      </c>
      <c r="X64" s="9" t="str">
        <f t="shared" si="6"/>
        <v/>
      </c>
      <c r="Y64" s="9" t="str">
        <f t="shared" si="7"/>
        <v/>
      </c>
    </row>
    <row r="65" spans="1:25" x14ac:dyDescent="0.3">
      <c r="A65" s="2" t="s">
        <v>141</v>
      </c>
      <c r="B65" s="2" t="s">
        <v>152</v>
      </c>
      <c r="C65" s="7">
        <v>0.35139190814539101</v>
      </c>
      <c r="D65" s="8">
        <v>0.31220246995147177</v>
      </c>
      <c r="E65" s="8">
        <v>0.14651300530029784</v>
      </c>
      <c r="F65" s="8">
        <v>2.8059726356986715E-2</v>
      </c>
      <c r="G65" s="8">
        <v>2.3885160215755142E-2</v>
      </c>
      <c r="K65" t="str">
        <f t="shared" si="1"/>
        <v>CI_toe_cgas_spap_0</v>
      </c>
      <c r="L65" s="9" t="str">
        <f>IFERROR(VLOOKUP($K65,baseline!$A:$AK,L$3,FALSE),"")</f>
        <v/>
      </c>
      <c r="M65" s="9" t="str">
        <f>IFERROR(VLOOKUP($K65,baseline!$A:$AK,M$3,FALSE),"")</f>
        <v/>
      </c>
      <c r="N65" s="9" t="str">
        <f>IFERROR(VLOOKUP($K65,baseline!$A:$AK,N$3,FALSE),"")</f>
        <v/>
      </c>
      <c r="O65" s="9" t="str">
        <f>IFERROR(VLOOKUP($K65,baseline!$A:$AK,O$3,FALSE),"")</f>
        <v/>
      </c>
      <c r="P65" s="9" t="str">
        <f>IFERROR(VLOOKUP($K65,baseline!$A:$AK,P$3,FALSE),"")</f>
        <v/>
      </c>
      <c r="T65" t="str">
        <f t="shared" si="2"/>
        <v>CI_toe_cgas_spap_0</v>
      </c>
      <c r="U65" s="9" t="str">
        <f t="shared" si="3"/>
        <v/>
      </c>
      <c r="V65" s="9" t="str">
        <f t="shared" si="4"/>
        <v/>
      </c>
      <c r="W65" s="9" t="str">
        <f t="shared" si="5"/>
        <v/>
      </c>
      <c r="X65" s="9" t="str">
        <f t="shared" si="6"/>
        <v/>
      </c>
      <c r="Y65" s="9" t="str">
        <f t="shared" si="7"/>
        <v/>
      </c>
    </row>
    <row r="66" spans="1:25" x14ac:dyDescent="0.3">
      <c r="A66" s="2" t="s">
        <v>142</v>
      </c>
      <c r="B66" s="2" t="s">
        <v>152</v>
      </c>
      <c r="C66" s="7">
        <v>0</v>
      </c>
      <c r="D66" s="8">
        <v>0</v>
      </c>
      <c r="E66" s="8">
        <v>0</v>
      </c>
      <c r="F66" s="8">
        <v>0</v>
      </c>
      <c r="G66" s="8">
        <v>0</v>
      </c>
      <c r="K66" t="str">
        <f t="shared" si="1"/>
        <v>CI_toe_cmga_spap_0</v>
      </c>
      <c r="L66" s="9" t="str">
        <f>IFERROR(VLOOKUP($K66,baseline!$A:$AK,L$3,FALSE),"")</f>
        <v/>
      </c>
      <c r="M66" s="9" t="str">
        <f>IFERROR(VLOOKUP($K66,baseline!$A:$AK,M$3,FALSE),"")</f>
        <v/>
      </c>
      <c r="N66" s="9" t="str">
        <f>IFERROR(VLOOKUP($K66,baseline!$A:$AK,N$3,FALSE),"")</f>
        <v/>
      </c>
      <c r="O66" s="9" t="str">
        <f>IFERROR(VLOOKUP($K66,baseline!$A:$AK,O$3,FALSE),"")</f>
        <v/>
      </c>
      <c r="P66" s="9" t="str">
        <f>IFERROR(VLOOKUP($K66,baseline!$A:$AK,P$3,FALSE),"")</f>
        <v/>
      </c>
      <c r="T66" t="str">
        <f t="shared" si="2"/>
        <v>CI_toe_cmga_spap_0</v>
      </c>
      <c r="U66" s="9" t="str">
        <f t="shared" si="3"/>
        <v/>
      </c>
      <c r="V66" s="9" t="str">
        <f t="shared" si="4"/>
        <v/>
      </c>
      <c r="W66" s="9" t="str">
        <f t="shared" si="5"/>
        <v/>
      </c>
      <c r="X66" s="9" t="str">
        <f t="shared" si="6"/>
        <v/>
      </c>
      <c r="Y66" s="9" t="str">
        <f t="shared" si="7"/>
        <v/>
      </c>
    </row>
    <row r="67" spans="1:25" x14ac:dyDescent="0.3">
      <c r="A67" s="2" t="s">
        <v>143</v>
      </c>
      <c r="B67" s="2" t="s">
        <v>152</v>
      </c>
      <c r="C67" s="7">
        <v>4.8170000000000001E-3</v>
      </c>
      <c r="D67" s="8">
        <v>4.8170000000000001E-3</v>
      </c>
      <c r="E67" s="8">
        <v>4.8170000000000001E-3</v>
      </c>
      <c r="F67" s="8">
        <v>4.8170000000000001E-3</v>
      </c>
      <c r="G67" s="8">
        <v>4.8170000000000001E-3</v>
      </c>
      <c r="K67" t="str">
        <f t="shared" si="1"/>
        <v>CI_toe_cbiog_spap_0</v>
      </c>
      <c r="L67" s="9" t="str">
        <f>IFERROR(VLOOKUP($K67,baseline!$A:$AK,L$3,FALSE),"")</f>
        <v/>
      </c>
      <c r="M67" s="9" t="str">
        <f>IFERROR(VLOOKUP($K67,baseline!$A:$AK,M$3,FALSE),"")</f>
        <v/>
      </c>
      <c r="N67" s="9" t="str">
        <f>IFERROR(VLOOKUP($K67,baseline!$A:$AK,N$3,FALSE),"")</f>
        <v/>
      </c>
      <c r="O67" s="9" t="str">
        <f>IFERROR(VLOOKUP($K67,baseline!$A:$AK,O$3,FALSE),"")</f>
        <v/>
      </c>
      <c r="P67" s="9" t="str">
        <f>IFERROR(VLOOKUP($K67,baseline!$A:$AK,P$3,FALSE),"")</f>
        <v/>
      </c>
      <c r="T67" t="str">
        <f t="shared" si="2"/>
        <v>CI_toe_cbiog_spap_0</v>
      </c>
      <c r="U67" s="9" t="str">
        <f t="shared" si="3"/>
        <v/>
      </c>
      <c r="V67" s="9" t="str">
        <f t="shared" si="4"/>
        <v/>
      </c>
      <c r="W67" s="9" t="str">
        <f t="shared" si="5"/>
        <v/>
      </c>
      <c r="X67" s="9" t="str">
        <f t="shared" si="6"/>
        <v/>
      </c>
      <c r="Y67" s="9" t="str">
        <f t="shared" si="7"/>
        <v/>
      </c>
    </row>
    <row r="68" spans="1:25" x14ac:dyDescent="0.3">
      <c r="A68" s="2" t="s">
        <v>144</v>
      </c>
      <c r="B68" s="2" t="s">
        <v>152</v>
      </c>
      <c r="C68" s="7">
        <v>0</v>
      </c>
      <c r="D68" s="8">
        <v>0</v>
      </c>
      <c r="E68" s="8">
        <v>0</v>
      </c>
      <c r="F68" s="8">
        <v>0</v>
      </c>
      <c r="G68" s="8">
        <v>0</v>
      </c>
      <c r="K68" t="str">
        <f t="shared" si="1"/>
        <v>CI_toe_cbiom_spap_0</v>
      </c>
      <c r="L68" s="9" t="str">
        <f>IFERROR(VLOOKUP($K68,baseline!$A:$AK,L$3,FALSE),"")</f>
        <v/>
      </c>
      <c r="M68" s="9" t="str">
        <f>IFERROR(VLOOKUP($K68,baseline!$A:$AK,M$3,FALSE),"")</f>
        <v/>
      </c>
      <c r="N68" s="9" t="str">
        <f>IFERROR(VLOOKUP($K68,baseline!$A:$AK,N$3,FALSE),"")</f>
        <v/>
      </c>
      <c r="O68" s="9" t="str">
        <f>IFERROR(VLOOKUP($K68,baseline!$A:$AK,O$3,FALSE),"")</f>
        <v/>
      </c>
      <c r="P68" s="9" t="str">
        <f>IFERROR(VLOOKUP($K68,baseline!$A:$AK,P$3,FALSE),"")</f>
        <v/>
      </c>
      <c r="T68" t="str">
        <f t="shared" si="2"/>
        <v>CI_toe_cbiom_spap_0</v>
      </c>
      <c r="U68" s="9" t="str">
        <f t="shared" si="3"/>
        <v/>
      </c>
      <c r="V68" s="9" t="str">
        <f t="shared" si="4"/>
        <v/>
      </c>
      <c r="W68" s="9" t="str">
        <f t="shared" si="5"/>
        <v/>
      </c>
      <c r="X68" s="9" t="str">
        <f t="shared" si="6"/>
        <v/>
      </c>
      <c r="Y68" s="9" t="str">
        <f t="shared" si="7"/>
        <v/>
      </c>
    </row>
    <row r="69" spans="1:25" x14ac:dyDescent="0.3">
      <c r="A69" s="2" t="s">
        <v>145</v>
      </c>
      <c r="B69" s="2" t="s">
        <v>152</v>
      </c>
      <c r="C69" s="7">
        <v>0</v>
      </c>
      <c r="D69" s="8">
        <v>0</v>
      </c>
      <c r="E69" s="8">
        <v>0</v>
      </c>
      <c r="F69" s="8">
        <v>0</v>
      </c>
      <c r="G69" s="8">
        <v>0</v>
      </c>
      <c r="K69" t="str">
        <f t="shared" si="1"/>
        <v>CI_toe_cbiof_spap_0</v>
      </c>
      <c r="L69" s="9" t="str">
        <f>IFERROR(VLOOKUP($K69,baseline!$A:$AK,L$3,FALSE),"")</f>
        <v/>
      </c>
      <c r="M69" s="9" t="str">
        <f>IFERROR(VLOOKUP($K69,baseline!$A:$AK,M$3,FALSE),"")</f>
        <v/>
      </c>
      <c r="N69" s="9" t="str">
        <f>IFERROR(VLOOKUP($K69,baseline!$A:$AK,N$3,FALSE),"")</f>
        <v/>
      </c>
      <c r="O69" s="9" t="str">
        <f>IFERROR(VLOOKUP($K69,baseline!$A:$AK,O$3,FALSE),"")</f>
        <v/>
      </c>
      <c r="P69" s="9" t="str">
        <f>IFERROR(VLOOKUP($K69,baseline!$A:$AK,P$3,FALSE),"")</f>
        <v/>
      </c>
      <c r="T69" t="str">
        <f t="shared" si="2"/>
        <v>CI_toe_cbiof_spap_0</v>
      </c>
      <c r="U69" s="9" t="str">
        <f t="shared" si="3"/>
        <v/>
      </c>
      <c r="V69" s="9" t="str">
        <f t="shared" si="4"/>
        <v/>
      </c>
      <c r="W69" s="9" t="str">
        <f t="shared" si="5"/>
        <v/>
      </c>
      <c r="X69" s="9" t="str">
        <f t="shared" si="6"/>
        <v/>
      </c>
      <c r="Y69" s="9" t="str">
        <f t="shared" si="7"/>
        <v/>
      </c>
    </row>
    <row r="70" spans="1:25" x14ac:dyDescent="0.3">
      <c r="A70" s="2" t="s">
        <v>146</v>
      </c>
      <c r="B70" s="2" t="s">
        <v>152</v>
      </c>
      <c r="C70" s="7">
        <v>4.3225E-2</v>
      </c>
      <c r="D70" s="8">
        <v>6.040441837367895E-2</v>
      </c>
      <c r="E70" s="8">
        <v>5.5304639320351082E-3</v>
      </c>
      <c r="F70" s="8">
        <v>1.2345414518660098E-2</v>
      </c>
      <c r="G70" s="8">
        <v>1.2345414518660098E-2</v>
      </c>
      <c r="K70" t="str">
        <f t="shared" ref="K70:K101" si="8">"CI_toe_"&amp;A70&amp;"_"&amp;B70&amp;"_0"</f>
        <v>CI_toe_chea_spap_0</v>
      </c>
      <c r="L70" s="9" t="str">
        <f>IFERROR(VLOOKUP($K70,baseline!$A:$AK,L$3,FALSE),"")</f>
        <v/>
      </c>
      <c r="M70" s="9" t="str">
        <f>IFERROR(VLOOKUP($K70,baseline!$A:$AK,M$3,FALSE),"")</f>
        <v/>
      </c>
      <c r="N70" s="9" t="str">
        <f>IFERROR(VLOOKUP($K70,baseline!$A:$AK,N$3,FALSE),"")</f>
        <v/>
      </c>
      <c r="O70" s="9" t="str">
        <f>IFERROR(VLOOKUP($K70,baseline!$A:$AK,O$3,FALSE),"")</f>
        <v/>
      </c>
      <c r="P70" s="9" t="str">
        <f>IFERROR(VLOOKUP($K70,baseline!$A:$AK,P$3,FALSE),"")</f>
        <v/>
      </c>
      <c r="T70" t="str">
        <f t="shared" ref="T70:T133" si="9">K70</f>
        <v>CI_toe_chea_spap_0</v>
      </c>
      <c r="U70" s="9" t="str">
        <f t="shared" ref="U70:U133" si="10">IFERROR(L70-C70,"")</f>
        <v/>
      </c>
      <c r="V70" s="9" t="str">
        <f t="shared" ref="V70:V133" si="11">IFERROR(M70-D70,"")</f>
        <v/>
      </c>
      <c r="W70" s="9" t="str">
        <f t="shared" ref="W70:W133" si="12">IFERROR(N70-E70,"")</f>
        <v/>
      </c>
      <c r="X70" s="9" t="str">
        <f t="shared" ref="X70:X133" si="13">IFERROR(O70-F70,"")</f>
        <v/>
      </c>
      <c r="Y70" s="9" t="str">
        <f t="shared" ref="Y70:Y133" si="14">IFERROR(P70-G70,"")</f>
        <v/>
      </c>
    </row>
    <row r="71" spans="1:25" x14ac:dyDescent="0.3">
      <c r="A71" s="2" t="s">
        <v>136</v>
      </c>
      <c r="B71" s="2" t="s">
        <v>153</v>
      </c>
      <c r="C71" s="7">
        <v>2.2718462827525501E-2</v>
      </c>
      <c r="D71" s="8">
        <v>2.8045735517343528E-2</v>
      </c>
      <c r="E71" s="8">
        <v>2.9563111486226586E-2</v>
      </c>
      <c r="F71" s="8">
        <v>3.1750837010402183E-2</v>
      </c>
      <c r="G71" s="8">
        <v>3.4359295389915917E-2</v>
      </c>
      <c r="K71" t="str">
        <f t="shared" si="8"/>
        <v>CI_toe_ccoa_sfoo_0</v>
      </c>
      <c r="L71" s="9" t="str">
        <f>IFERROR(VLOOKUP($K71,baseline!$A:$AK,L$3,FALSE),"")</f>
        <v/>
      </c>
      <c r="M71" s="9" t="str">
        <f>IFERROR(VLOOKUP($K71,baseline!$A:$AK,M$3,FALSE),"")</f>
        <v/>
      </c>
      <c r="N71" s="9" t="str">
        <f>IFERROR(VLOOKUP($K71,baseline!$A:$AK,N$3,FALSE),"")</f>
        <v/>
      </c>
      <c r="O71" s="9" t="str">
        <f>IFERROR(VLOOKUP($K71,baseline!$A:$AK,O$3,FALSE),"")</f>
        <v/>
      </c>
      <c r="P71" s="9" t="str">
        <f>IFERROR(VLOOKUP($K71,baseline!$A:$AK,P$3,FALSE),"")</f>
        <v/>
      </c>
      <c r="T71" t="str">
        <f t="shared" si="9"/>
        <v>CI_toe_ccoa_sfoo_0</v>
      </c>
      <c r="U71" s="9" t="str">
        <f t="shared" si="10"/>
        <v/>
      </c>
      <c r="V71" s="9" t="str">
        <f t="shared" si="11"/>
        <v/>
      </c>
      <c r="W71" s="9" t="str">
        <f t="shared" si="12"/>
        <v/>
      </c>
      <c r="X71" s="9" t="str">
        <f t="shared" si="13"/>
        <v/>
      </c>
      <c r="Y71" s="9" t="str">
        <f t="shared" si="14"/>
        <v/>
      </c>
    </row>
    <row r="72" spans="1:25" x14ac:dyDescent="0.3">
      <c r="A72" s="2" t="s">
        <v>137</v>
      </c>
      <c r="B72" s="2" t="s">
        <v>153</v>
      </c>
      <c r="C72" s="7">
        <v>6.3002085584734399E-2</v>
      </c>
      <c r="D72" s="8">
        <v>6.3002085584734399E-2</v>
      </c>
      <c r="E72" s="8">
        <v>6.3002085584734399E-2</v>
      </c>
      <c r="F72" s="8">
        <v>6.3002085584734399E-2</v>
      </c>
      <c r="G72" s="8">
        <v>6.3002085584734399E-2</v>
      </c>
      <c r="K72" t="str">
        <f t="shared" si="8"/>
        <v>CI_toe_coil_sfoo_0</v>
      </c>
      <c r="L72" s="9" t="str">
        <f>IFERROR(VLOOKUP($K72,baseline!$A:$AK,L$3,FALSE),"")</f>
        <v/>
      </c>
      <c r="M72" s="9" t="str">
        <f>IFERROR(VLOOKUP($K72,baseline!$A:$AK,M$3,FALSE),"")</f>
        <v/>
      </c>
      <c r="N72" s="9" t="str">
        <f>IFERROR(VLOOKUP($K72,baseline!$A:$AK,N$3,FALSE),"")</f>
        <v/>
      </c>
      <c r="O72" s="9" t="str">
        <f>IFERROR(VLOOKUP($K72,baseline!$A:$AK,O$3,FALSE),"")</f>
        <v/>
      </c>
      <c r="P72" s="9" t="str">
        <f>IFERROR(VLOOKUP($K72,baseline!$A:$AK,P$3,FALSE),"")</f>
        <v/>
      </c>
      <c r="T72" t="str">
        <f t="shared" si="9"/>
        <v>CI_toe_coil_sfoo_0</v>
      </c>
      <c r="U72" s="9" t="str">
        <f t="shared" si="10"/>
        <v/>
      </c>
      <c r="V72" s="9" t="str">
        <f t="shared" si="11"/>
        <v/>
      </c>
      <c r="W72" s="9" t="str">
        <f t="shared" si="12"/>
        <v/>
      </c>
      <c r="X72" s="9" t="str">
        <f t="shared" si="13"/>
        <v/>
      </c>
      <c r="Y72" s="9" t="str">
        <f t="shared" si="14"/>
        <v/>
      </c>
    </row>
    <row r="73" spans="1:25" x14ac:dyDescent="0.3">
      <c r="A73" s="2" t="s">
        <v>138</v>
      </c>
      <c r="B73" s="2" t="s">
        <v>153</v>
      </c>
      <c r="C73" s="7">
        <v>0.105333366875971</v>
      </c>
      <c r="D73" s="8">
        <v>0.16702612085324522</v>
      </c>
      <c r="E73" s="8">
        <v>0</v>
      </c>
      <c r="F73" s="8">
        <v>0</v>
      </c>
      <c r="G73" s="8">
        <v>0</v>
      </c>
      <c r="K73" t="str">
        <f t="shared" si="8"/>
        <v>CI_toe_cfue_sfoo_0</v>
      </c>
      <c r="L73" s="9" t="str">
        <f>IFERROR(VLOOKUP($K73,baseline!$A:$AK,L$3,FALSE),"")</f>
        <v/>
      </c>
      <c r="M73" s="9" t="str">
        <f>IFERROR(VLOOKUP($K73,baseline!$A:$AK,M$3,FALSE),"")</f>
        <v/>
      </c>
      <c r="N73" s="9" t="str">
        <f>IFERROR(VLOOKUP($K73,baseline!$A:$AK,N$3,FALSE),"")</f>
        <v/>
      </c>
      <c r="O73" s="9" t="str">
        <f>IFERROR(VLOOKUP($K73,baseline!$A:$AK,O$3,FALSE),"")</f>
        <v/>
      </c>
      <c r="P73" s="9" t="str">
        <f>IFERROR(VLOOKUP($K73,baseline!$A:$AK,P$3,FALSE),"")</f>
        <v/>
      </c>
      <c r="T73" t="str">
        <f t="shared" si="9"/>
        <v>CI_toe_cfue_sfoo_0</v>
      </c>
      <c r="U73" s="9" t="str">
        <f t="shared" si="10"/>
        <v/>
      </c>
      <c r="V73" s="9" t="str">
        <f t="shared" si="11"/>
        <v/>
      </c>
      <c r="W73" s="9" t="str">
        <f t="shared" si="12"/>
        <v/>
      </c>
      <c r="X73" s="9" t="str">
        <f t="shared" si="13"/>
        <v/>
      </c>
      <c r="Y73" s="9" t="str">
        <f t="shared" si="14"/>
        <v/>
      </c>
    </row>
    <row r="74" spans="1:25" x14ac:dyDescent="0.3">
      <c r="A74" s="2" t="s">
        <v>139</v>
      </c>
      <c r="B74" s="2" t="s">
        <v>153</v>
      </c>
      <c r="C74" s="7">
        <v>0.12231642160829299</v>
      </c>
      <c r="D74" s="8">
        <v>0.12231642160829299</v>
      </c>
      <c r="E74" s="8">
        <v>0.12231642160829299</v>
      </c>
      <c r="F74" s="8">
        <v>0.12231642160829299</v>
      </c>
      <c r="G74" s="8">
        <v>0.12231642160829299</v>
      </c>
      <c r="K74" t="str">
        <f t="shared" si="8"/>
        <v>CI_toe_cpch_sfoo_0</v>
      </c>
      <c r="L74" s="9" t="str">
        <f>IFERROR(VLOOKUP($K74,baseline!$A:$AK,L$3,FALSE),"")</f>
        <v/>
      </c>
      <c r="M74" s="9" t="str">
        <f>IFERROR(VLOOKUP($K74,baseline!$A:$AK,M$3,FALSE),"")</f>
        <v/>
      </c>
      <c r="N74" s="9" t="str">
        <f>IFERROR(VLOOKUP($K74,baseline!$A:$AK,N$3,FALSE),"")</f>
        <v/>
      </c>
      <c r="O74" s="9" t="str">
        <f>IFERROR(VLOOKUP($K74,baseline!$A:$AK,O$3,FALSE),"")</f>
        <v/>
      </c>
      <c r="P74" s="9" t="str">
        <f>IFERROR(VLOOKUP($K74,baseline!$A:$AK,P$3,FALSE),"")</f>
        <v/>
      </c>
      <c r="T74" t="str">
        <f t="shared" si="9"/>
        <v>CI_toe_cpch_sfoo_0</v>
      </c>
      <c r="U74" s="9" t="str">
        <f t="shared" si="10"/>
        <v/>
      </c>
      <c r="V74" s="9" t="str">
        <f t="shared" si="11"/>
        <v/>
      </c>
      <c r="W74" s="9" t="str">
        <f t="shared" si="12"/>
        <v/>
      </c>
      <c r="X74" s="9" t="str">
        <f t="shared" si="13"/>
        <v/>
      </c>
      <c r="Y74" s="9" t="str">
        <f t="shared" si="14"/>
        <v/>
      </c>
    </row>
    <row r="75" spans="1:25" x14ac:dyDescent="0.3">
      <c r="A75" s="2" t="s">
        <v>140</v>
      </c>
      <c r="B75" s="2" t="s">
        <v>153</v>
      </c>
      <c r="C75" s="7">
        <v>0.53445799999999999</v>
      </c>
      <c r="D75" s="8">
        <v>0.4805393311642211</v>
      </c>
      <c r="E75" s="8">
        <v>0.65873341413226416</v>
      </c>
      <c r="F75" s="8">
        <v>0.81928789342539698</v>
      </c>
      <c r="G75" s="8">
        <v>1.0927062385741417</v>
      </c>
      <c r="K75" t="str">
        <f t="shared" si="8"/>
        <v>CI_toe_cele_sfoo_0</v>
      </c>
      <c r="L75" s="9" t="str">
        <f>IFERROR(VLOOKUP($K75,baseline!$A:$AK,L$3,FALSE),"")</f>
        <v/>
      </c>
      <c r="M75" s="9" t="str">
        <f>IFERROR(VLOOKUP($K75,baseline!$A:$AK,M$3,FALSE),"")</f>
        <v/>
      </c>
      <c r="N75" s="9" t="str">
        <f>IFERROR(VLOOKUP($K75,baseline!$A:$AK,N$3,FALSE),"")</f>
        <v/>
      </c>
      <c r="O75" s="9" t="str">
        <f>IFERROR(VLOOKUP($K75,baseline!$A:$AK,O$3,FALSE),"")</f>
        <v/>
      </c>
      <c r="P75" s="9" t="str">
        <f>IFERROR(VLOOKUP($K75,baseline!$A:$AK,P$3,FALSE),"")</f>
        <v/>
      </c>
      <c r="T75" t="str">
        <f t="shared" si="9"/>
        <v>CI_toe_cele_sfoo_0</v>
      </c>
      <c r="U75" s="9" t="str">
        <f t="shared" si="10"/>
        <v/>
      </c>
      <c r="V75" s="9" t="str">
        <f t="shared" si="11"/>
        <v/>
      </c>
      <c r="W75" s="9" t="str">
        <f t="shared" si="12"/>
        <v/>
      </c>
      <c r="X75" s="9" t="str">
        <f t="shared" si="13"/>
        <v/>
      </c>
      <c r="Y75" s="9" t="str">
        <f t="shared" si="14"/>
        <v/>
      </c>
    </row>
    <row r="76" spans="1:25" x14ac:dyDescent="0.3">
      <c r="A76" s="2" t="s">
        <v>141</v>
      </c>
      <c r="B76" s="2" t="s">
        <v>153</v>
      </c>
      <c r="C76" s="7">
        <v>1.2829419030965099</v>
      </c>
      <c r="D76" s="8">
        <v>1.2562335314206587</v>
      </c>
      <c r="E76" s="8">
        <v>1.0217112900653618</v>
      </c>
      <c r="F76" s="8">
        <v>0.15478405860514716</v>
      </c>
      <c r="G76" s="8">
        <v>4.0829864381979129E-2</v>
      </c>
      <c r="K76" t="str">
        <f t="shared" si="8"/>
        <v>CI_toe_cgas_sfoo_0</v>
      </c>
      <c r="L76" s="9" t="str">
        <f>IFERROR(VLOOKUP($K76,baseline!$A:$AK,L$3,FALSE),"")</f>
        <v/>
      </c>
      <c r="M76" s="9" t="str">
        <f>IFERROR(VLOOKUP($K76,baseline!$A:$AK,M$3,FALSE),"")</f>
        <v/>
      </c>
      <c r="N76" s="9" t="str">
        <f>IFERROR(VLOOKUP($K76,baseline!$A:$AK,N$3,FALSE),"")</f>
        <v/>
      </c>
      <c r="O76" s="9" t="str">
        <f>IFERROR(VLOOKUP($K76,baseline!$A:$AK,O$3,FALSE),"")</f>
        <v/>
      </c>
      <c r="P76" s="9" t="str">
        <f>IFERROR(VLOOKUP($K76,baseline!$A:$AK,P$3,FALSE),"")</f>
        <v/>
      </c>
      <c r="T76" t="str">
        <f t="shared" si="9"/>
        <v>CI_toe_cgas_sfoo_0</v>
      </c>
      <c r="U76" s="9" t="str">
        <f t="shared" si="10"/>
        <v/>
      </c>
      <c r="V76" s="9" t="str">
        <f t="shared" si="11"/>
        <v/>
      </c>
      <c r="W76" s="9" t="str">
        <f t="shared" si="12"/>
        <v/>
      </c>
      <c r="X76" s="9" t="str">
        <f t="shared" si="13"/>
        <v/>
      </c>
      <c r="Y76" s="9" t="str">
        <f t="shared" si="14"/>
        <v/>
      </c>
    </row>
    <row r="77" spans="1:25" x14ac:dyDescent="0.3">
      <c r="A77" s="2" t="s">
        <v>142</v>
      </c>
      <c r="B77" s="2" t="s">
        <v>153</v>
      </c>
      <c r="C77" s="7">
        <v>0</v>
      </c>
      <c r="D77" s="8">
        <v>0</v>
      </c>
      <c r="E77" s="8">
        <v>0</v>
      </c>
      <c r="F77" s="8">
        <v>0</v>
      </c>
      <c r="G77" s="8">
        <v>0</v>
      </c>
      <c r="K77" t="str">
        <f t="shared" si="8"/>
        <v>CI_toe_cmga_sfoo_0</v>
      </c>
      <c r="L77" s="9" t="str">
        <f>IFERROR(VLOOKUP($K77,baseline!$A:$AK,L$3,FALSE),"")</f>
        <v/>
      </c>
      <c r="M77" s="9" t="str">
        <f>IFERROR(VLOOKUP($K77,baseline!$A:$AK,M$3,FALSE),"")</f>
        <v/>
      </c>
      <c r="N77" s="9" t="str">
        <f>IFERROR(VLOOKUP($K77,baseline!$A:$AK,N$3,FALSE),"")</f>
        <v/>
      </c>
      <c r="O77" s="9" t="str">
        <f>IFERROR(VLOOKUP($K77,baseline!$A:$AK,O$3,FALSE),"")</f>
        <v/>
      </c>
      <c r="P77" s="9" t="str">
        <f>IFERROR(VLOOKUP($K77,baseline!$A:$AK,P$3,FALSE),"")</f>
        <v/>
      </c>
      <c r="T77" t="str">
        <f t="shared" si="9"/>
        <v>CI_toe_cmga_sfoo_0</v>
      </c>
      <c r="U77" s="9" t="str">
        <f t="shared" si="10"/>
        <v/>
      </c>
      <c r="V77" s="9" t="str">
        <f t="shared" si="11"/>
        <v/>
      </c>
      <c r="W77" s="9" t="str">
        <f t="shared" si="12"/>
        <v/>
      </c>
      <c r="X77" s="9" t="str">
        <f t="shared" si="13"/>
        <v/>
      </c>
      <c r="Y77" s="9" t="str">
        <f t="shared" si="14"/>
        <v/>
      </c>
    </row>
    <row r="78" spans="1:25" x14ac:dyDescent="0.3">
      <c r="A78" s="2" t="s">
        <v>143</v>
      </c>
      <c r="B78" s="2" t="s">
        <v>153</v>
      </c>
      <c r="C78" s="7">
        <v>1.1789000000000001E-2</v>
      </c>
      <c r="D78" s="8">
        <v>1.6869728752631083E-2</v>
      </c>
      <c r="E78" s="8">
        <v>2.6523525970811902E-2</v>
      </c>
      <c r="F78" s="8">
        <v>2.6523525970811902E-2</v>
      </c>
      <c r="G78" s="8">
        <v>2.6523525970811902E-2</v>
      </c>
      <c r="K78" t="str">
        <f t="shared" si="8"/>
        <v>CI_toe_cbiog_sfoo_0</v>
      </c>
      <c r="L78" s="9" t="str">
        <f>IFERROR(VLOOKUP($K78,baseline!$A:$AK,L$3,FALSE),"")</f>
        <v/>
      </c>
      <c r="M78" s="9" t="str">
        <f>IFERROR(VLOOKUP($K78,baseline!$A:$AK,M$3,FALSE),"")</f>
        <v/>
      </c>
      <c r="N78" s="9" t="str">
        <f>IFERROR(VLOOKUP($K78,baseline!$A:$AK,N$3,FALSE),"")</f>
        <v/>
      </c>
      <c r="O78" s="9" t="str">
        <f>IFERROR(VLOOKUP($K78,baseline!$A:$AK,O$3,FALSE),"")</f>
        <v/>
      </c>
      <c r="P78" s="9" t="str">
        <f>IFERROR(VLOOKUP($K78,baseline!$A:$AK,P$3,FALSE),"")</f>
        <v/>
      </c>
      <c r="T78" t="str">
        <f t="shared" si="9"/>
        <v>CI_toe_cbiog_sfoo_0</v>
      </c>
      <c r="U78" s="9" t="str">
        <f t="shared" si="10"/>
        <v/>
      </c>
      <c r="V78" s="9" t="str">
        <f t="shared" si="11"/>
        <v/>
      </c>
      <c r="W78" s="9" t="str">
        <f t="shared" si="12"/>
        <v/>
      </c>
      <c r="X78" s="9" t="str">
        <f t="shared" si="13"/>
        <v/>
      </c>
      <c r="Y78" s="9" t="str">
        <f t="shared" si="14"/>
        <v/>
      </c>
    </row>
    <row r="79" spans="1:25" x14ac:dyDescent="0.3">
      <c r="A79" s="2" t="s">
        <v>144</v>
      </c>
      <c r="B79" s="2" t="s">
        <v>153</v>
      </c>
      <c r="C79" s="7">
        <v>0</v>
      </c>
      <c r="D79" s="8">
        <v>0</v>
      </c>
      <c r="E79" s="8">
        <v>0</v>
      </c>
      <c r="F79" s="8">
        <v>0</v>
      </c>
      <c r="G79" s="8">
        <v>0</v>
      </c>
      <c r="K79" t="str">
        <f t="shared" si="8"/>
        <v>CI_toe_cbiom_sfoo_0</v>
      </c>
      <c r="L79" s="9" t="str">
        <f>IFERROR(VLOOKUP($K79,baseline!$A:$AK,L$3,FALSE),"")</f>
        <v/>
      </c>
      <c r="M79" s="9" t="str">
        <f>IFERROR(VLOOKUP($K79,baseline!$A:$AK,M$3,FALSE),"")</f>
        <v/>
      </c>
      <c r="N79" s="9" t="str">
        <f>IFERROR(VLOOKUP($K79,baseline!$A:$AK,N$3,FALSE),"")</f>
        <v/>
      </c>
      <c r="O79" s="9" t="str">
        <f>IFERROR(VLOOKUP($K79,baseline!$A:$AK,O$3,FALSE),"")</f>
        <v/>
      </c>
      <c r="P79" s="9" t="str">
        <f>IFERROR(VLOOKUP($K79,baseline!$A:$AK,P$3,FALSE),"")</f>
        <v/>
      </c>
      <c r="T79" t="str">
        <f t="shared" si="9"/>
        <v>CI_toe_cbiom_sfoo_0</v>
      </c>
      <c r="U79" s="9" t="str">
        <f t="shared" si="10"/>
        <v/>
      </c>
      <c r="V79" s="9" t="str">
        <f t="shared" si="11"/>
        <v/>
      </c>
      <c r="W79" s="9" t="str">
        <f t="shared" si="12"/>
        <v/>
      </c>
      <c r="X79" s="9" t="str">
        <f t="shared" si="13"/>
        <v/>
      </c>
      <c r="Y79" s="9" t="str">
        <f t="shared" si="14"/>
        <v/>
      </c>
    </row>
    <row r="80" spans="1:25" x14ac:dyDescent="0.3">
      <c r="A80" s="2" t="s">
        <v>145</v>
      </c>
      <c r="B80" s="2" t="s">
        <v>153</v>
      </c>
      <c r="C80" s="7">
        <v>0</v>
      </c>
      <c r="D80" s="8">
        <v>0</v>
      </c>
      <c r="E80" s="8">
        <v>0</v>
      </c>
      <c r="F80" s="8">
        <v>0</v>
      </c>
      <c r="G80" s="8">
        <v>0</v>
      </c>
      <c r="K80" t="str">
        <f t="shared" si="8"/>
        <v>CI_toe_cbiof_sfoo_0</v>
      </c>
      <c r="L80" s="9" t="str">
        <f>IFERROR(VLOOKUP($K80,baseline!$A:$AK,L$3,FALSE),"")</f>
        <v/>
      </c>
      <c r="M80" s="9" t="str">
        <f>IFERROR(VLOOKUP($K80,baseline!$A:$AK,M$3,FALSE),"")</f>
        <v/>
      </c>
      <c r="N80" s="9" t="str">
        <f>IFERROR(VLOOKUP($K80,baseline!$A:$AK,N$3,FALSE),"")</f>
        <v/>
      </c>
      <c r="O80" s="9" t="str">
        <f>IFERROR(VLOOKUP($K80,baseline!$A:$AK,O$3,FALSE),"")</f>
        <v/>
      </c>
      <c r="P80" s="9" t="str">
        <f>IFERROR(VLOOKUP($K80,baseline!$A:$AK,P$3,FALSE),"")</f>
        <v/>
      </c>
      <c r="T80" t="str">
        <f t="shared" si="9"/>
        <v>CI_toe_cbiof_sfoo_0</v>
      </c>
      <c r="U80" s="9" t="str">
        <f t="shared" si="10"/>
        <v/>
      </c>
      <c r="V80" s="9" t="str">
        <f t="shared" si="11"/>
        <v/>
      </c>
      <c r="W80" s="9" t="str">
        <f t="shared" si="12"/>
        <v/>
      </c>
      <c r="X80" s="9" t="str">
        <f t="shared" si="13"/>
        <v/>
      </c>
      <c r="Y80" s="9" t="str">
        <f t="shared" si="14"/>
        <v/>
      </c>
    </row>
    <row r="81" spans="1:25" x14ac:dyDescent="0.3">
      <c r="A81" s="2" t="s">
        <v>146</v>
      </c>
      <c r="B81" s="2" t="s">
        <v>153</v>
      </c>
      <c r="C81" s="7">
        <v>0.110939</v>
      </c>
      <c r="D81" s="8">
        <v>9.7429803883834085E-2</v>
      </c>
      <c r="E81" s="8">
        <v>0.10785198212967914</v>
      </c>
      <c r="F81" s="8">
        <v>8.5274936489963524E-2</v>
      </c>
      <c r="G81" s="8">
        <v>8.5516738743081411E-2</v>
      </c>
      <c r="K81" t="str">
        <f t="shared" si="8"/>
        <v>CI_toe_chea_sfoo_0</v>
      </c>
      <c r="L81" s="9" t="str">
        <f>IFERROR(VLOOKUP($K81,baseline!$A:$AK,L$3,FALSE),"")</f>
        <v/>
      </c>
      <c r="M81" s="9" t="str">
        <f>IFERROR(VLOOKUP($K81,baseline!$A:$AK,M$3,FALSE),"")</f>
        <v/>
      </c>
      <c r="N81" s="9" t="str">
        <f>IFERROR(VLOOKUP($K81,baseline!$A:$AK,N$3,FALSE),"")</f>
        <v/>
      </c>
      <c r="O81" s="9" t="str">
        <f>IFERROR(VLOOKUP($K81,baseline!$A:$AK,O$3,FALSE),"")</f>
        <v/>
      </c>
      <c r="P81" s="9" t="str">
        <f>IFERROR(VLOOKUP($K81,baseline!$A:$AK,P$3,FALSE),"")</f>
        <v/>
      </c>
      <c r="T81" t="str">
        <f t="shared" si="9"/>
        <v>CI_toe_chea_sfoo_0</v>
      </c>
      <c r="U81" s="9" t="str">
        <f t="shared" si="10"/>
        <v/>
      </c>
      <c r="V81" s="9" t="str">
        <f t="shared" si="11"/>
        <v/>
      </c>
      <c r="W81" s="9" t="str">
        <f t="shared" si="12"/>
        <v/>
      </c>
      <c r="X81" s="9" t="str">
        <f t="shared" si="13"/>
        <v/>
      </c>
      <c r="Y81" s="9" t="str">
        <f t="shared" si="14"/>
        <v/>
      </c>
    </row>
    <row r="82" spans="1:25" x14ac:dyDescent="0.3">
      <c r="A82" s="2" t="s">
        <v>136</v>
      </c>
      <c r="B82" s="2" t="s">
        <v>154</v>
      </c>
      <c r="C82" s="7">
        <v>0</v>
      </c>
      <c r="D82" s="8">
        <v>0</v>
      </c>
      <c r="E82" s="8">
        <v>0</v>
      </c>
      <c r="F82" s="8">
        <v>0</v>
      </c>
      <c r="G82" s="8">
        <v>0</v>
      </c>
      <c r="K82" t="str">
        <f t="shared" si="8"/>
        <v>CI_toe_ccoa_sroa_0</v>
      </c>
      <c r="L82" s="9" t="str">
        <f>IFERROR(VLOOKUP($K82,baseline!$A:$AK,L$3,FALSE),"")</f>
        <v/>
      </c>
      <c r="M82" s="9" t="str">
        <f>IFERROR(VLOOKUP($K82,baseline!$A:$AK,M$3,FALSE),"")</f>
        <v/>
      </c>
      <c r="N82" s="9" t="str">
        <f>IFERROR(VLOOKUP($K82,baseline!$A:$AK,N$3,FALSE),"")</f>
        <v/>
      </c>
      <c r="O82" s="9" t="str">
        <f>IFERROR(VLOOKUP($K82,baseline!$A:$AK,O$3,FALSE),"")</f>
        <v/>
      </c>
      <c r="P82" s="9" t="str">
        <f>IFERROR(VLOOKUP($K82,baseline!$A:$AK,P$3,FALSE),"")</f>
        <v/>
      </c>
      <c r="T82" t="str">
        <f t="shared" si="9"/>
        <v>CI_toe_ccoa_sroa_0</v>
      </c>
      <c r="U82" s="9" t="str">
        <f t="shared" si="10"/>
        <v/>
      </c>
      <c r="V82" s="9" t="str">
        <f t="shared" si="11"/>
        <v/>
      </c>
      <c r="W82" s="9" t="str">
        <f t="shared" si="12"/>
        <v/>
      </c>
      <c r="X82" s="9" t="str">
        <f t="shared" si="13"/>
        <v/>
      </c>
      <c r="Y82" s="9" t="str">
        <f t="shared" si="14"/>
        <v/>
      </c>
    </row>
    <row r="83" spans="1:25" x14ac:dyDescent="0.3">
      <c r="A83" s="2" t="s">
        <v>137</v>
      </c>
      <c r="B83" s="2" t="s">
        <v>154</v>
      </c>
      <c r="C83" s="7">
        <v>0</v>
      </c>
      <c r="D83" s="8">
        <v>0</v>
      </c>
      <c r="E83" s="8">
        <v>0</v>
      </c>
      <c r="F83" s="8">
        <v>0</v>
      </c>
      <c r="G83" s="8">
        <v>0</v>
      </c>
      <c r="K83" t="str">
        <f t="shared" si="8"/>
        <v>CI_toe_coil_sroa_0</v>
      </c>
      <c r="L83" s="9" t="str">
        <f>IFERROR(VLOOKUP($K83,baseline!$A:$AK,L$3,FALSE),"")</f>
        <v/>
      </c>
      <c r="M83" s="9" t="str">
        <f>IFERROR(VLOOKUP($K83,baseline!$A:$AK,M$3,FALSE),"")</f>
        <v/>
      </c>
      <c r="N83" s="9" t="str">
        <f>IFERROR(VLOOKUP($K83,baseline!$A:$AK,N$3,FALSE),"")</f>
        <v/>
      </c>
      <c r="O83" s="9" t="str">
        <f>IFERROR(VLOOKUP($K83,baseline!$A:$AK,O$3,FALSE),"")</f>
        <v/>
      </c>
      <c r="P83" s="9" t="str">
        <f>IFERROR(VLOOKUP($K83,baseline!$A:$AK,P$3,FALSE),"")</f>
        <v/>
      </c>
      <c r="T83" t="str">
        <f t="shared" si="9"/>
        <v>CI_toe_coil_sroa_0</v>
      </c>
      <c r="U83" s="9" t="str">
        <f t="shared" si="10"/>
        <v/>
      </c>
      <c r="V83" s="9" t="str">
        <f t="shared" si="11"/>
        <v/>
      </c>
      <c r="W83" s="9" t="str">
        <f t="shared" si="12"/>
        <v/>
      </c>
      <c r="X83" s="9" t="str">
        <f t="shared" si="13"/>
        <v/>
      </c>
      <c r="Y83" s="9" t="str">
        <f t="shared" si="14"/>
        <v/>
      </c>
    </row>
    <row r="84" spans="1:25" x14ac:dyDescent="0.3">
      <c r="A84" s="2" t="s">
        <v>138</v>
      </c>
      <c r="B84" s="2" t="s">
        <v>154</v>
      </c>
      <c r="C84" s="7">
        <v>1.71558385684774</v>
      </c>
      <c r="D84" s="8">
        <v>2.9491630097943311</v>
      </c>
      <c r="E84" s="8">
        <v>2.5744145841388937</v>
      </c>
      <c r="F84" s="8">
        <v>1.3936647171743666</v>
      </c>
      <c r="G84" s="8">
        <v>0.69683235858718329</v>
      </c>
      <c r="K84" t="str">
        <f t="shared" si="8"/>
        <v>CI_toe_cfue_sroa_0</v>
      </c>
      <c r="L84" s="9" t="str">
        <f>IFERROR(VLOOKUP($K84,baseline!$A:$AK,L$3,FALSE),"")</f>
        <v/>
      </c>
      <c r="M84" s="9" t="str">
        <f>IFERROR(VLOOKUP($K84,baseline!$A:$AK,M$3,FALSE),"")</f>
        <v/>
      </c>
      <c r="N84" s="9" t="str">
        <f>IFERROR(VLOOKUP($K84,baseline!$A:$AK,N$3,FALSE),"")</f>
        <v/>
      </c>
      <c r="O84" s="9" t="str">
        <f>IFERROR(VLOOKUP($K84,baseline!$A:$AK,O$3,FALSE),"")</f>
        <v/>
      </c>
      <c r="P84" s="9" t="str">
        <f>IFERROR(VLOOKUP($K84,baseline!$A:$AK,P$3,FALSE),"")</f>
        <v/>
      </c>
      <c r="T84" t="str">
        <f t="shared" si="9"/>
        <v>CI_toe_cfue_sroa_0</v>
      </c>
      <c r="U84" s="9" t="str">
        <f t="shared" si="10"/>
        <v/>
      </c>
      <c r="V84" s="9" t="str">
        <f t="shared" si="11"/>
        <v/>
      </c>
      <c r="W84" s="9" t="str">
        <f t="shared" si="12"/>
        <v/>
      </c>
      <c r="X84" s="9" t="str">
        <f t="shared" si="13"/>
        <v/>
      </c>
      <c r="Y84" s="9" t="str">
        <f t="shared" si="14"/>
        <v/>
      </c>
    </row>
    <row r="85" spans="1:25" x14ac:dyDescent="0.3">
      <c r="A85" s="2" t="s">
        <v>139</v>
      </c>
      <c r="B85" s="2" t="s">
        <v>154</v>
      </c>
      <c r="C85" s="7">
        <v>2.47365118391417E-2</v>
      </c>
      <c r="D85" s="8">
        <v>2.47365118391417E-2</v>
      </c>
      <c r="E85" s="8">
        <v>2.47365118391417E-2</v>
      </c>
      <c r="F85" s="8">
        <v>0</v>
      </c>
      <c r="G85" s="8">
        <v>0</v>
      </c>
      <c r="K85" t="str">
        <f t="shared" si="8"/>
        <v>CI_toe_cpch_sroa_0</v>
      </c>
      <c r="L85" s="9" t="str">
        <f>IFERROR(VLOOKUP($K85,baseline!$A:$AK,L$3,FALSE),"")</f>
        <v/>
      </c>
      <c r="M85" s="9" t="str">
        <f>IFERROR(VLOOKUP($K85,baseline!$A:$AK,M$3,FALSE),"")</f>
        <v/>
      </c>
      <c r="N85" s="9" t="str">
        <f>IFERROR(VLOOKUP($K85,baseline!$A:$AK,N$3,FALSE),"")</f>
        <v/>
      </c>
      <c r="O85" s="9" t="str">
        <f>IFERROR(VLOOKUP($K85,baseline!$A:$AK,O$3,FALSE),"")</f>
        <v/>
      </c>
      <c r="P85" s="9" t="str">
        <f>IFERROR(VLOOKUP($K85,baseline!$A:$AK,P$3,FALSE),"")</f>
        <v/>
      </c>
      <c r="T85" t="str">
        <f t="shared" si="9"/>
        <v>CI_toe_cpch_sroa_0</v>
      </c>
      <c r="U85" s="9" t="str">
        <f t="shared" si="10"/>
        <v/>
      </c>
      <c r="V85" s="9" t="str">
        <f t="shared" si="11"/>
        <v/>
      </c>
      <c r="W85" s="9" t="str">
        <f t="shared" si="12"/>
        <v/>
      </c>
      <c r="X85" s="9" t="str">
        <f t="shared" si="13"/>
        <v/>
      </c>
      <c r="Y85" s="9" t="str">
        <f t="shared" si="14"/>
        <v/>
      </c>
    </row>
    <row r="86" spans="1:25" x14ac:dyDescent="0.3">
      <c r="A86" s="2" t="s">
        <v>140</v>
      </c>
      <c r="B86" s="2" t="s">
        <v>154</v>
      </c>
      <c r="C86" s="7">
        <v>0.13547702406784801</v>
      </c>
      <c r="D86" s="8">
        <v>0.18713177681496973</v>
      </c>
      <c r="E86" s="8">
        <v>0.41933364592429145</v>
      </c>
      <c r="F86" s="8">
        <v>1.0891251420921941</v>
      </c>
      <c r="G86" s="8">
        <v>3.4681123045777853</v>
      </c>
      <c r="K86" t="str">
        <f t="shared" si="8"/>
        <v>CI_toe_cele_sroa_0</v>
      </c>
      <c r="L86" s="9" t="str">
        <f>IFERROR(VLOOKUP($K86,baseline!$A:$AK,L$3,FALSE),"")</f>
        <v/>
      </c>
      <c r="M86" s="9" t="str">
        <f>IFERROR(VLOOKUP($K86,baseline!$A:$AK,M$3,FALSE),"")</f>
        <v/>
      </c>
      <c r="N86" s="9" t="str">
        <f>IFERROR(VLOOKUP($K86,baseline!$A:$AK,N$3,FALSE),"")</f>
        <v/>
      </c>
      <c r="O86" s="9" t="str">
        <f>IFERROR(VLOOKUP($K86,baseline!$A:$AK,O$3,FALSE),"")</f>
        <v/>
      </c>
      <c r="P86" s="9" t="str">
        <f>IFERROR(VLOOKUP($K86,baseline!$A:$AK,P$3,FALSE),"")</f>
        <v/>
      </c>
      <c r="T86" t="str">
        <f t="shared" si="9"/>
        <v>CI_toe_cele_sroa_0</v>
      </c>
      <c r="U86" s="9" t="str">
        <f t="shared" si="10"/>
        <v/>
      </c>
      <c r="V86" s="9" t="str">
        <f t="shared" si="11"/>
        <v/>
      </c>
      <c r="W86" s="9" t="str">
        <f t="shared" si="12"/>
        <v/>
      </c>
      <c r="X86" s="9" t="str">
        <f t="shared" si="13"/>
        <v/>
      </c>
      <c r="Y86" s="9" t="str">
        <f t="shared" si="14"/>
        <v/>
      </c>
    </row>
    <row r="87" spans="1:25" x14ac:dyDescent="0.3">
      <c r="A87" s="2" t="s">
        <v>141</v>
      </c>
      <c r="B87" s="2" t="s">
        <v>154</v>
      </c>
      <c r="C87" s="7">
        <v>6.3905388905867999E-3</v>
      </c>
      <c r="D87" s="8">
        <v>9.0626916790022237E-3</v>
      </c>
      <c r="E87" s="8">
        <v>8.6971831055323301E-3</v>
      </c>
      <c r="F87" s="8">
        <v>0.19680939396945843</v>
      </c>
      <c r="G87" s="8">
        <v>1.1280846548032291E-4</v>
      </c>
      <c r="K87" t="str">
        <f t="shared" si="8"/>
        <v>CI_toe_cgas_sroa_0</v>
      </c>
      <c r="L87" s="9" t="str">
        <f>IFERROR(VLOOKUP($K87,baseline!$A:$AK,L$3,FALSE),"")</f>
        <v/>
      </c>
      <c r="M87" s="9" t="str">
        <f>IFERROR(VLOOKUP($K87,baseline!$A:$AK,M$3,FALSE),"")</f>
        <v/>
      </c>
      <c r="N87" s="9" t="str">
        <f>IFERROR(VLOOKUP($K87,baseline!$A:$AK,N$3,FALSE),"")</f>
        <v/>
      </c>
      <c r="O87" s="9" t="str">
        <f>IFERROR(VLOOKUP($K87,baseline!$A:$AK,O$3,FALSE),"")</f>
        <v/>
      </c>
      <c r="P87" s="9" t="str">
        <f>IFERROR(VLOOKUP($K87,baseline!$A:$AK,P$3,FALSE),"")</f>
        <v/>
      </c>
      <c r="T87" t="str">
        <f t="shared" si="9"/>
        <v>CI_toe_cgas_sroa_0</v>
      </c>
      <c r="U87" s="9" t="str">
        <f t="shared" si="10"/>
        <v/>
      </c>
      <c r="V87" s="9" t="str">
        <f t="shared" si="11"/>
        <v/>
      </c>
      <c r="W87" s="9" t="str">
        <f t="shared" si="12"/>
        <v/>
      </c>
      <c r="X87" s="9" t="str">
        <f t="shared" si="13"/>
        <v/>
      </c>
      <c r="Y87" s="9" t="str">
        <f t="shared" si="14"/>
        <v/>
      </c>
    </row>
    <row r="88" spans="1:25" x14ac:dyDescent="0.3">
      <c r="A88" s="2" t="s">
        <v>142</v>
      </c>
      <c r="B88" s="2" t="s">
        <v>154</v>
      </c>
      <c r="C88" s="7">
        <v>0</v>
      </c>
      <c r="D88" s="8">
        <v>0</v>
      </c>
      <c r="E88" s="8">
        <v>0</v>
      </c>
      <c r="F88" s="8">
        <v>0</v>
      </c>
      <c r="G88" s="8">
        <v>0</v>
      </c>
      <c r="K88" t="str">
        <f t="shared" si="8"/>
        <v>CI_toe_cmga_sroa_0</v>
      </c>
      <c r="L88" s="9" t="str">
        <f>IFERROR(VLOOKUP($K88,baseline!$A:$AK,L$3,FALSE),"")</f>
        <v/>
      </c>
      <c r="M88" s="9" t="str">
        <f>IFERROR(VLOOKUP($K88,baseline!$A:$AK,M$3,FALSE),"")</f>
        <v/>
      </c>
      <c r="N88" s="9" t="str">
        <f>IFERROR(VLOOKUP($K88,baseline!$A:$AK,N$3,FALSE),"")</f>
        <v/>
      </c>
      <c r="O88" s="9" t="str">
        <f>IFERROR(VLOOKUP($K88,baseline!$A:$AK,O$3,FALSE),"")</f>
        <v/>
      </c>
      <c r="P88" s="9" t="str">
        <f>IFERROR(VLOOKUP($K88,baseline!$A:$AK,P$3,FALSE),"")</f>
        <v/>
      </c>
      <c r="T88" t="str">
        <f t="shared" si="9"/>
        <v>CI_toe_cmga_sroa_0</v>
      </c>
      <c r="U88" s="9" t="str">
        <f t="shared" si="10"/>
        <v/>
      </c>
      <c r="V88" s="9" t="str">
        <f t="shared" si="11"/>
        <v/>
      </c>
      <c r="W88" s="9" t="str">
        <f t="shared" si="12"/>
        <v/>
      </c>
      <c r="X88" s="9" t="str">
        <f t="shared" si="13"/>
        <v/>
      </c>
      <c r="Y88" s="9" t="str">
        <f t="shared" si="14"/>
        <v/>
      </c>
    </row>
    <row r="89" spans="1:25" x14ac:dyDescent="0.3">
      <c r="A89" s="2" t="s">
        <v>143</v>
      </c>
      <c r="B89" s="2" t="s">
        <v>154</v>
      </c>
      <c r="C89" s="7">
        <v>0</v>
      </c>
      <c r="D89" s="8">
        <v>0</v>
      </c>
      <c r="E89" s="8">
        <v>0</v>
      </c>
      <c r="F89" s="8">
        <v>0</v>
      </c>
      <c r="G89" s="8">
        <v>0</v>
      </c>
      <c r="K89" t="str">
        <f t="shared" si="8"/>
        <v>CI_toe_cbiog_sroa_0</v>
      </c>
      <c r="L89" s="9" t="str">
        <f>IFERROR(VLOOKUP($K89,baseline!$A:$AK,L$3,FALSE),"")</f>
        <v/>
      </c>
      <c r="M89" s="9" t="str">
        <f>IFERROR(VLOOKUP($K89,baseline!$A:$AK,M$3,FALSE),"")</f>
        <v/>
      </c>
      <c r="N89" s="9" t="str">
        <f>IFERROR(VLOOKUP($K89,baseline!$A:$AK,N$3,FALSE),"")</f>
        <v/>
      </c>
      <c r="O89" s="9" t="str">
        <f>IFERROR(VLOOKUP($K89,baseline!$A:$AK,O$3,FALSE),"")</f>
        <v/>
      </c>
      <c r="P89" s="9" t="str">
        <f>IFERROR(VLOOKUP($K89,baseline!$A:$AK,P$3,FALSE),"")</f>
        <v/>
      </c>
      <c r="T89" t="str">
        <f t="shared" si="9"/>
        <v>CI_toe_cbiog_sroa_0</v>
      </c>
      <c r="U89" s="9" t="str">
        <f t="shared" si="10"/>
        <v/>
      </c>
      <c r="V89" s="9" t="str">
        <f t="shared" si="11"/>
        <v/>
      </c>
      <c r="W89" s="9" t="str">
        <f t="shared" si="12"/>
        <v/>
      </c>
      <c r="X89" s="9" t="str">
        <f t="shared" si="13"/>
        <v/>
      </c>
      <c r="Y89" s="9" t="str">
        <f t="shared" si="14"/>
        <v/>
      </c>
    </row>
    <row r="90" spans="1:25" x14ac:dyDescent="0.3">
      <c r="A90" s="2" t="s">
        <v>144</v>
      </c>
      <c r="B90" s="2" t="s">
        <v>154</v>
      </c>
      <c r="C90" s="7">
        <v>0</v>
      </c>
      <c r="D90" s="8">
        <v>0</v>
      </c>
      <c r="E90" s="8">
        <v>0</v>
      </c>
      <c r="F90" s="8">
        <v>0</v>
      </c>
      <c r="G90" s="8">
        <v>0</v>
      </c>
      <c r="K90" t="str">
        <f t="shared" si="8"/>
        <v>CI_toe_cbiom_sroa_0</v>
      </c>
      <c r="L90" s="9" t="str">
        <f>IFERROR(VLOOKUP($K90,baseline!$A:$AK,L$3,FALSE),"")</f>
        <v/>
      </c>
      <c r="M90" s="9" t="str">
        <f>IFERROR(VLOOKUP($K90,baseline!$A:$AK,M$3,FALSE),"")</f>
        <v/>
      </c>
      <c r="N90" s="9" t="str">
        <f>IFERROR(VLOOKUP($K90,baseline!$A:$AK,N$3,FALSE),"")</f>
        <v/>
      </c>
      <c r="O90" s="9" t="str">
        <f>IFERROR(VLOOKUP($K90,baseline!$A:$AK,O$3,FALSE),"")</f>
        <v/>
      </c>
      <c r="P90" s="9" t="str">
        <f>IFERROR(VLOOKUP($K90,baseline!$A:$AK,P$3,FALSE),"")</f>
        <v/>
      </c>
      <c r="T90" t="str">
        <f t="shared" si="9"/>
        <v>CI_toe_cbiom_sroa_0</v>
      </c>
      <c r="U90" s="9" t="str">
        <f t="shared" si="10"/>
        <v/>
      </c>
      <c r="V90" s="9" t="str">
        <f t="shared" si="11"/>
        <v/>
      </c>
      <c r="W90" s="9" t="str">
        <f t="shared" si="12"/>
        <v/>
      </c>
      <c r="X90" s="9" t="str">
        <f t="shared" si="13"/>
        <v/>
      </c>
      <c r="Y90" s="9" t="str">
        <f t="shared" si="14"/>
        <v/>
      </c>
    </row>
    <row r="91" spans="1:25" x14ac:dyDescent="0.3">
      <c r="A91" s="2" t="s">
        <v>145</v>
      </c>
      <c r="B91" s="2" t="s">
        <v>154</v>
      </c>
      <c r="C91" s="7">
        <v>5.3580652658924199E-2</v>
      </c>
      <c r="D91" s="8">
        <v>5.075100059733588E-2</v>
      </c>
      <c r="E91" s="8">
        <v>4.9205826518298384E-2</v>
      </c>
      <c r="F91" s="8">
        <v>3.1235556422693406E-2</v>
      </c>
      <c r="G91" s="8">
        <v>4.0202581963381154E-2</v>
      </c>
      <c r="K91" t="str">
        <f t="shared" si="8"/>
        <v>CI_toe_cbiof_sroa_0</v>
      </c>
      <c r="L91" s="9" t="str">
        <f>IFERROR(VLOOKUP($K91,baseline!$A:$AK,L$3,FALSE),"")</f>
        <v/>
      </c>
      <c r="M91" s="9" t="str">
        <f>IFERROR(VLOOKUP($K91,baseline!$A:$AK,M$3,FALSE),"")</f>
        <v/>
      </c>
      <c r="N91" s="9" t="str">
        <f>IFERROR(VLOOKUP($K91,baseline!$A:$AK,N$3,FALSE),"")</f>
        <v/>
      </c>
      <c r="O91" s="9" t="str">
        <f>IFERROR(VLOOKUP($K91,baseline!$A:$AK,O$3,FALSE),"")</f>
        <v/>
      </c>
      <c r="P91" s="9" t="str">
        <f>IFERROR(VLOOKUP($K91,baseline!$A:$AK,P$3,FALSE),"")</f>
        <v/>
      </c>
      <c r="T91" t="str">
        <f t="shared" si="9"/>
        <v>CI_toe_cbiof_sroa_0</v>
      </c>
      <c r="U91" s="9" t="str">
        <f t="shared" si="10"/>
        <v/>
      </c>
      <c r="V91" s="9" t="str">
        <f t="shared" si="11"/>
        <v/>
      </c>
      <c r="W91" s="9" t="str">
        <f t="shared" si="12"/>
        <v/>
      </c>
      <c r="X91" s="9" t="str">
        <f t="shared" si="13"/>
        <v/>
      </c>
      <c r="Y91" s="9" t="str">
        <f t="shared" si="14"/>
        <v/>
      </c>
    </row>
    <row r="92" spans="1:25" x14ac:dyDescent="0.3">
      <c r="A92" s="2" t="s">
        <v>146</v>
      </c>
      <c r="B92" s="2" t="s">
        <v>154</v>
      </c>
      <c r="C92" s="7">
        <v>0</v>
      </c>
      <c r="D92" s="8">
        <v>0</v>
      </c>
      <c r="E92" s="8">
        <v>0</v>
      </c>
      <c r="F92" s="8">
        <v>0</v>
      </c>
      <c r="G92" s="8">
        <v>0</v>
      </c>
      <c r="K92" t="str">
        <f t="shared" si="8"/>
        <v>CI_toe_chea_sroa_0</v>
      </c>
      <c r="L92" s="9" t="str">
        <f>IFERROR(VLOOKUP($K92,baseline!$A:$AK,L$3,FALSE),"")</f>
        <v/>
      </c>
      <c r="M92" s="9" t="str">
        <f>IFERROR(VLOOKUP($K92,baseline!$A:$AK,M$3,FALSE),"")</f>
        <v/>
      </c>
      <c r="N92" s="9" t="str">
        <f>IFERROR(VLOOKUP($K92,baseline!$A:$AK,N$3,FALSE),"")</f>
        <v/>
      </c>
      <c r="O92" s="9" t="str">
        <f>IFERROR(VLOOKUP($K92,baseline!$A:$AK,O$3,FALSE),"")</f>
        <v/>
      </c>
      <c r="P92" s="9" t="str">
        <f>IFERROR(VLOOKUP($K92,baseline!$A:$AK,P$3,FALSE),"")</f>
        <v/>
      </c>
      <c r="T92" t="str">
        <f t="shared" si="9"/>
        <v>CI_toe_chea_sroa_0</v>
      </c>
      <c r="U92" s="9" t="str">
        <f t="shared" si="10"/>
        <v/>
      </c>
      <c r="V92" s="9" t="str">
        <f t="shared" si="11"/>
        <v/>
      </c>
      <c r="W92" s="9" t="str">
        <f t="shared" si="12"/>
        <v/>
      </c>
      <c r="X92" s="9" t="str">
        <f t="shared" si="13"/>
        <v/>
      </c>
      <c r="Y92" s="9" t="str">
        <f t="shared" si="14"/>
        <v/>
      </c>
    </row>
    <row r="93" spans="1:25" x14ac:dyDescent="0.3">
      <c r="A93" s="2" t="s">
        <v>136</v>
      </c>
      <c r="B93" s="2" t="s">
        <v>155</v>
      </c>
      <c r="C93" s="7">
        <v>0</v>
      </c>
      <c r="D93" s="8">
        <v>0</v>
      </c>
      <c r="E93" s="8">
        <v>0</v>
      </c>
      <c r="F93" s="8">
        <v>0</v>
      </c>
      <c r="G93" s="8">
        <v>0</v>
      </c>
      <c r="K93" t="str">
        <f t="shared" si="8"/>
        <v>CI_toe_ccoa_swat_0</v>
      </c>
      <c r="L93" s="9" t="str">
        <f>IFERROR(VLOOKUP($K93,baseline!$A:$AK,L$3,FALSE),"")</f>
        <v/>
      </c>
      <c r="M93" s="9" t="str">
        <f>IFERROR(VLOOKUP($K93,baseline!$A:$AK,M$3,FALSE),"")</f>
        <v/>
      </c>
      <c r="N93" s="9" t="str">
        <f>IFERROR(VLOOKUP($K93,baseline!$A:$AK,N$3,FALSE),"")</f>
        <v/>
      </c>
      <c r="O93" s="9" t="str">
        <f>IFERROR(VLOOKUP($K93,baseline!$A:$AK,O$3,FALSE),"")</f>
        <v/>
      </c>
      <c r="P93" s="9" t="str">
        <f>IFERROR(VLOOKUP($K93,baseline!$A:$AK,P$3,FALSE),"")</f>
        <v/>
      </c>
      <c r="T93" t="str">
        <f t="shared" si="9"/>
        <v>CI_toe_ccoa_swat_0</v>
      </c>
      <c r="U93" s="9" t="str">
        <f t="shared" si="10"/>
        <v/>
      </c>
      <c r="V93" s="9" t="str">
        <f t="shared" si="11"/>
        <v/>
      </c>
      <c r="W93" s="9" t="str">
        <f t="shared" si="12"/>
        <v/>
      </c>
      <c r="X93" s="9" t="str">
        <f t="shared" si="13"/>
        <v/>
      </c>
      <c r="Y93" s="9" t="str">
        <f t="shared" si="14"/>
        <v/>
      </c>
    </row>
    <row r="94" spans="1:25" x14ac:dyDescent="0.3">
      <c r="A94" s="2" t="s">
        <v>137</v>
      </c>
      <c r="B94" s="2" t="s">
        <v>155</v>
      </c>
      <c r="C94" s="7">
        <v>0</v>
      </c>
      <c r="D94" s="8">
        <v>0</v>
      </c>
      <c r="E94" s="8">
        <v>0</v>
      </c>
      <c r="F94" s="8">
        <v>0</v>
      </c>
      <c r="G94" s="8">
        <v>0</v>
      </c>
      <c r="K94" t="str">
        <f t="shared" si="8"/>
        <v>CI_toe_coil_swat_0</v>
      </c>
      <c r="L94" s="9" t="str">
        <f>IFERROR(VLOOKUP($K94,baseline!$A:$AK,L$3,FALSE),"")</f>
        <v/>
      </c>
      <c r="M94" s="9" t="str">
        <f>IFERROR(VLOOKUP($K94,baseline!$A:$AK,M$3,FALSE),"")</f>
        <v/>
      </c>
      <c r="N94" s="9" t="str">
        <f>IFERROR(VLOOKUP($K94,baseline!$A:$AK,N$3,FALSE),"")</f>
        <v/>
      </c>
      <c r="O94" s="9" t="str">
        <f>IFERROR(VLOOKUP($K94,baseline!$A:$AK,O$3,FALSE),"")</f>
        <v/>
      </c>
      <c r="P94" s="9" t="str">
        <f>IFERROR(VLOOKUP($K94,baseline!$A:$AK,P$3,FALSE),"")</f>
        <v/>
      </c>
      <c r="T94" t="str">
        <f t="shared" si="9"/>
        <v>CI_toe_coil_swat_0</v>
      </c>
      <c r="U94" s="9" t="str">
        <f t="shared" si="10"/>
        <v/>
      </c>
      <c r="V94" s="9" t="str">
        <f t="shared" si="11"/>
        <v/>
      </c>
      <c r="W94" s="9" t="str">
        <f t="shared" si="12"/>
        <v/>
      </c>
      <c r="X94" s="9" t="str">
        <f t="shared" si="13"/>
        <v/>
      </c>
      <c r="Y94" s="9" t="str">
        <f t="shared" si="14"/>
        <v/>
      </c>
    </row>
    <row r="95" spans="1:25" x14ac:dyDescent="0.3">
      <c r="A95" s="2" t="s">
        <v>138</v>
      </c>
      <c r="B95" s="2" t="s">
        <v>155</v>
      </c>
      <c r="C95" s="7">
        <v>0.33941700000000002</v>
      </c>
      <c r="D95" s="8">
        <v>0.58347253461257198</v>
      </c>
      <c r="E95" s="8">
        <v>0.50933101953419802</v>
      </c>
      <c r="F95" s="8">
        <v>0.27572741222824082</v>
      </c>
      <c r="G95" s="8">
        <v>0.13786370611412041</v>
      </c>
      <c r="K95" t="str">
        <f t="shared" si="8"/>
        <v>CI_toe_cfue_swat_0</v>
      </c>
      <c r="L95" s="9" t="str">
        <f>IFERROR(VLOOKUP($K95,baseline!$A:$AK,L$3,FALSE),"")</f>
        <v/>
      </c>
      <c r="M95" s="9" t="str">
        <f>IFERROR(VLOOKUP($K95,baseline!$A:$AK,M$3,FALSE),"")</f>
        <v/>
      </c>
      <c r="N95" s="9" t="str">
        <f>IFERROR(VLOOKUP($K95,baseline!$A:$AK,N$3,FALSE),"")</f>
        <v/>
      </c>
      <c r="O95" s="9" t="str">
        <f>IFERROR(VLOOKUP($K95,baseline!$A:$AK,O$3,FALSE),"")</f>
        <v/>
      </c>
      <c r="P95" s="9" t="str">
        <f>IFERROR(VLOOKUP($K95,baseline!$A:$AK,P$3,FALSE),"")</f>
        <v/>
      </c>
      <c r="T95" t="str">
        <f t="shared" si="9"/>
        <v>CI_toe_cfue_swat_0</v>
      </c>
      <c r="U95" s="9" t="str">
        <f t="shared" si="10"/>
        <v/>
      </c>
      <c r="V95" s="9" t="str">
        <f t="shared" si="11"/>
        <v/>
      </c>
      <c r="W95" s="9" t="str">
        <f t="shared" si="12"/>
        <v/>
      </c>
      <c r="X95" s="9" t="str">
        <f t="shared" si="13"/>
        <v/>
      </c>
      <c r="Y95" s="9" t="str">
        <f t="shared" si="14"/>
        <v/>
      </c>
    </row>
    <row r="96" spans="1:25" x14ac:dyDescent="0.3">
      <c r="A96" s="2" t="s">
        <v>139</v>
      </c>
      <c r="B96" s="2" t="s">
        <v>155</v>
      </c>
      <c r="C96" s="7">
        <v>8.24424895059735E-3</v>
      </c>
      <c r="D96" s="8">
        <v>8.24424895059735E-3</v>
      </c>
      <c r="E96" s="8">
        <v>8.24424895059735E-3</v>
      </c>
      <c r="F96" s="8">
        <v>0</v>
      </c>
      <c r="G96" s="8">
        <v>0</v>
      </c>
      <c r="K96" t="str">
        <f t="shared" si="8"/>
        <v>CI_toe_cpch_swat_0</v>
      </c>
      <c r="L96" s="9" t="str">
        <f>IFERROR(VLOOKUP($K96,baseline!$A:$AK,L$3,FALSE),"")</f>
        <v/>
      </c>
      <c r="M96" s="9" t="str">
        <f>IFERROR(VLOOKUP($K96,baseline!$A:$AK,M$3,FALSE),"")</f>
        <v/>
      </c>
      <c r="N96" s="9" t="str">
        <f>IFERROR(VLOOKUP($K96,baseline!$A:$AK,N$3,FALSE),"")</f>
        <v/>
      </c>
      <c r="O96" s="9" t="str">
        <f>IFERROR(VLOOKUP($K96,baseline!$A:$AK,O$3,FALSE),"")</f>
        <v/>
      </c>
      <c r="P96" s="9" t="str">
        <f>IFERROR(VLOOKUP($K96,baseline!$A:$AK,P$3,FALSE),"")</f>
        <v/>
      </c>
      <c r="T96" t="str">
        <f t="shared" si="9"/>
        <v>CI_toe_cpch_swat_0</v>
      </c>
      <c r="U96" s="9" t="str">
        <f t="shared" si="10"/>
        <v/>
      </c>
      <c r="V96" s="9" t="str">
        <f t="shared" si="11"/>
        <v/>
      </c>
      <c r="W96" s="9" t="str">
        <f t="shared" si="12"/>
        <v/>
      </c>
      <c r="X96" s="9" t="str">
        <f t="shared" si="13"/>
        <v/>
      </c>
      <c r="Y96" s="9" t="str">
        <f t="shared" si="14"/>
        <v/>
      </c>
    </row>
    <row r="97" spans="1:25" x14ac:dyDescent="0.3">
      <c r="A97" s="2" t="s">
        <v>140</v>
      </c>
      <c r="B97" s="2" t="s">
        <v>155</v>
      </c>
      <c r="C97" s="7">
        <v>0</v>
      </c>
      <c r="D97" s="8">
        <v>0</v>
      </c>
      <c r="E97" s="8">
        <v>0</v>
      </c>
      <c r="F97" s="8">
        <v>0</v>
      </c>
      <c r="G97" s="8">
        <v>0</v>
      </c>
      <c r="K97" t="str">
        <f t="shared" si="8"/>
        <v>CI_toe_cele_swat_0</v>
      </c>
      <c r="L97" s="9" t="str">
        <f>IFERROR(VLOOKUP($K97,baseline!$A:$AK,L$3,FALSE),"")</f>
        <v/>
      </c>
      <c r="M97" s="9" t="str">
        <f>IFERROR(VLOOKUP($K97,baseline!$A:$AK,M$3,FALSE),"")</f>
        <v/>
      </c>
      <c r="N97" s="9" t="str">
        <f>IFERROR(VLOOKUP($K97,baseline!$A:$AK,N$3,FALSE),"")</f>
        <v/>
      </c>
      <c r="O97" s="9" t="str">
        <f>IFERROR(VLOOKUP($K97,baseline!$A:$AK,O$3,FALSE),"")</f>
        <v/>
      </c>
      <c r="P97" s="9" t="str">
        <f>IFERROR(VLOOKUP($K97,baseline!$A:$AK,P$3,FALSE),"")</f>
        <v/>
      </c>
      <c r="T97" t="str">
        <f t="shared" si="9"/>
        <v>CI_toe_cele_swat_0</v>
      </c>
      <c r="U97" s="9" t="str">
        <f t="shared" si="10"/>
        <v/>
      </c>
      <c r="V97" s="9" t="str">
        <f t="shared" si="11"/>
        <v/>
      </c>
      <c r="W97" s="9" t="str">
        <f t="shared" si="12"/>
        <v/>
      </c>
      <c r="X97" s="9" t="str">
        <f t="shared" si="13"/>
        <v/>
      </c>
      <c r="Y97" s="9" t="str">
        <f t="shared" si="14"/>
        <v/>
      </c>
    </row>
    <row r="98" spans="1:25" x14ac:dyDescent="0.3">
      <c r="A98" s="2" t="s">
        <v>141</v>
      </c>
      <c r="B98" s="2" t="s">
        <v>155</v>
      </c>
      <c r="C98" s="7">
        <v>0</v>
      </c>
      <c r="D98" s="8">
        <v>0</v>
      </c>
      <c r="E98" s="8">
        <v>0</v>
      </c>
      <c r="F98" s="8">
        <v>0</v>
      </c>
      <c r="G98" s="8">
        <v>0</v>
      </c>
      <c r="K98" t="str">
        <f t="shared" si="8"/>
        <v>CI_toe_cgas_swat_0</v>
      </c>
      <c r="L98" s="9" t="str">
        <f>IFERROR(VLOOKUP($K98,baseline!$A:$AK,L$3,FALSE),"")</f>
        <v/>
      </c>
      <c r="M98" s="9" t="str">
        <f>IFERROR(VLOOKUP($K98,baseline!$A:$AK,M$3,FALSE),"")</f>
        <v/>
      </c>
      <c r="N98" s="9" t="str">
        <f>IFERROR(VLOOKUP($K98,baseline!$A:$AK,N$3,FALSE),"")</f>
        <v/>
      </c>
      <c r="O98" s="9" t="str">
        <f>IFERROR(VLOOKUP($K98,baseline!$A:$AK,O$3,FALSE),"")</f>
        <v/>
      </c>
      <c r="P98" s="9" t="str">
        <f>IFERROR(VLOOKUP($K98,baseline!$A:$AK,P$3,FALSE),"")</f>
        <v/>
      </c>
      <c r="T98" t="str">
        <f t="shared" si="9"/>
        <v>CI_toe_cgas_swat_0</v>
      </c>
      <c r="U98" s="9" t="str">
        <f t="shared" si="10"/>
        <v/>
      </c>
      <c r="V98" s="9" t="str">
        <f t="shared" si="11"/>
        <v/>
      </c>
      <c r="W98" s="9" t="str">
        <f t="shared" si="12"/>
        <v/>
      </c>
      <c r="X98" s="9" t="str">
        <f t="shared" si="13"/>
        <v/>
      </c>
      <c r="Y98" s="9" t="str">
        <f t="shared" si="14"/>
        <v/>
      </c>
    </row>
    <row r="99" spans="1:25" x14ac:dyDescent="0.3">
      <c r="A99" s="2" t="s">
        <v>142</v>
      </c>
      <c r="B99" s="2" t="s">
        <v>155</v>
      </c>
      <c r="C99" s="7">
        <v>0</v>
      </c>
      <c r="D99" s="8">
        <v>0</v>
      </c>
      <c r="E99" s="8">
        <v>0</v>
      </c>
      <c r="F99" s="8">
        <v>0</v>
      </c>
      <c r="G99" s="8">
        <v>0</v>
      </c>
      <c r="K99" t="str">
        <f t="shared" si="8"/>
        <v>CI_toe_cmga_swat_0</v>
      </c>
      <c r="L99" s="9" t="str">
        <f>IFERROR(VLOOKUP($K99,baseline!$A:$AK,L$3,FALSE),"")</f>
        <v/>
      </c>
      <c r="M99" s="9" t="str">
        <f>IFERROR(VLOOKUP($K99,baseline!$A:$AK,M$3,FALSE),"")</f>
        <v/>
      </c>
      <c r="N99" s="9" t="str">
        <f>IFERROR(VLOOKUP($K99,baseline!$A:$AK,N$3,FALSE),"")</f>
        <v/>
      </c>
      <c r="O99" s="9" t="str">
        <f>IFERROR(VLOOKUP($K99,baseline!$A:$AK,O$3,FALSE),"")</f>
        <v/>
      </c>
      <c r="P99" s="9" t="str">
        <f>IFERROR(VLOOKUP($K99,baseline!$A:$AK,P$3,FALSE),"")</f>
        <v/>
      </c>
      <c r="T99" t="str">
        <f t="shared" si="9"/>
        <v>CI_toe_cmga_swat_0</v>
      </c>
      <c r="U99" s="9" t="str">
        <f t="shared" si="10"/>
        <v/>
      </c>
      <c r="V99" s="9" t="str">
        <f t="shared" si="11"/>
        <v/>
      </c>
      <c r="W99" s="9" t="str">
        <f t="shared" si="12"/>
        <v/>
      </c>
      <c r="X99" s="9" t="str">
        <f t="shared" si="13"/>
        <v/>
      </c>
      <c r="Y99" s="9" t="str">
        <f t="shared" si="14"/>
        <v/>
      </c>
    </row>
    <row r="100" spans="1:25" x14ac:dyDescent="0.3">
      <c r="A100" s="2" t="s">
        <v>143</v>
      </c>
      <c r="B100" s="2" t="s">
        <v>155</v>
      </c>
      <c r="C100" s="7">
        <v>0</v>
      </c>
      <c r="D100" s="8">
        <v>0</v>
      </c>
      <c r="E100" s="8">
        <v>0</v>
      </c>
      <c r="F100" s="8">
        <v>0</v>
      </c>
      <c r="G100" s="8">
        <v>0</v>
      </c>
      <c r="K100" t="str">
        <f t="shared" si="8"/>
        <v>CI_toe_cbiog_swat_0</v>
      </c>
      <c r="L100" s="9" t="str">
        <f>IFERROR(VLOOKUP($K100,baseline!$A:$AK,L$3,FALSE),"")</f>
        <v/>
      </c>
      <c r="M100" s="9" t="str">
        <f>IFERROR(VLOOKUP($K100,baseline!$A:$AK,M$3,FALSE),"")</f>
        <v/>
      </c>
      <c r="N100" s="9" t="str">
        <f>IFERROR(VLOOKUP($K100,baseline!$A:$AK,N$3,FALSE),"")</f>
        <v/>
      </c>
      <c r="O100" s="9" t="str">
        <f>IFERROR(VLOOKUP($K100,baseline!$A:$AK,O$3,FALSE),"")</f>
        <v/>
      </c>
      <c r="P100" s="9" t="str">
        <f>IFERROR(VLOOKUP($K100,baseline!$A:$AK,P$3,FALSE),"")</f>
        <v/>
      </c>
      <c r="T100" t="str">
        <f t="shared" si="9"/>
        <v>CI_toe_cbiog_swat_0</v>
      </c>
      <c r="U100" s="9" t="str">
        <f t="shared" si="10"/>
        <v/>
      </c>
      <c r="V100" s="9" t="str">
        <f t="shared" si="11"/>
        <v/>
      </c>
      <c r="W100" s="9" t="str">
        <f t="shared" si="12"/>
        <v/>
      </c>
      <c r="X100" s="9" t="str">
        <f t="shared" si="13"/>
        <v/>
      </c>
      <c r="Y100" s="9" t="str">
        <f t="shared" si="14"/>
        <v/>
      </c>
    </row>
    <row r="101" spans="1:25" x14ac:dyDescent="0.3">
      <c r="A101" s="2" t="s">
        <v>144</v>
      </c>
      <c r="B101" s="2" t="s">
        <v>155</v>
      </c>
      <c r="C101" s="7">
        <v>0</v>
      </c>
      <c r="D101" s="8">
        <v>0</v>
      </c>
      <c r="E101" s="8">
        <v>0</v>
      </c>
      <c r="F101" s="8">
        <v>0</v>
      </c>
      <c r="G101" s="8">
        <v>0</v>
      </c>
      <c r="K101" t="str">
        <f t="shared" si="8"/>
        <v>CI_toe_cbiom_swat_0</v>
      </c>
      <c r="L101" s="9" t="str">
        <f>IFERROR(VLOOKUP($K101,baseline!$A:$AK,L$3,FALSE),"")</f>
        <v/>
      </c>
      <c r="M101" s="9" t="str">
        <f>IFERROR(VLOOKUP($K101,baseline!$A:$AK,M$3,FALSE),"")</f>
        <v/>
      </c>
      <c r="N101" s="9" t="str">
        <f>IFERROR(VLOOKUP($K101,baseline!$A:$AK,N$3,FALSE),"")</f>
        <v/>
      </c>
      <c r="O101" s="9" t="str">
        <f>IFERROR(VLOOKUP($K101,baseline!$A:$AK,O$3,FALSE),"")</f>
        <v/>
      </c>
      <c r="P101" s="9" t="str">
        <f>IFERROR(VLOOKUP($K101,baseline!$A:$AK,P$3,FALSE),"")</f>
        <v/>
      </c>
      <c r="T101" t="str">
        <f t="shared" si="9"/>
        <v>CI_toe_cbiom_swat_0</v>
      </c>
      <c r="U101" s="9" t="str">
        <f t="shared" si="10"/>
        <v/>
      </c>
      <c r="V101" s="9" t="str">
        <f t="shared" si="11"/>
        <v/>
      </c>
      <c r="W101" s="9" t="str">
        <f t="shared" si="12"/>
        <v/>
      </c>
      <c r="X101" s="9" t="str">
        <f t="shared" si="13"/>
        <v/>
      </c>
      <c r="Y101" s="9" t="str">
        <f t="shared" si="14"/>
        <v/>
      </c>
    </row>
    <row r="102" spans="1:25" x14ac:dyDescent="0.3">
      <c r="A102" s="2" t="s">
        <v>145</v>
      </c>
      <c r="B102" s="2" t="s">
        <v>155</v>
      </c>
      <c r="C102" s="7">
        <v>0</v>
      </c>
      <c r="D102" s="8">
        <v>0</v>
      </c>
      <c r="E102" s="8">
        <v>0</v>
      </c>
      <c r="F102" s="8">
        <v>0</v>
      </c>
      <c r="G102" s="8">
        <v>0</v>
      </c>
      <c r="K102" t="str">
        <f t="shared" ref="K102:K124" si="15">"CI_toe_"&amp;A102&amp;"_"&amp;B102&amp;"_0"</f>
        <v>CI_toe_cbiof_swat_0</v>
      </c>
      <c r="L102" s="9" t="str">
        <f>IFERROR(VLOOKUP($K102,baseline!$A:$AK,L$3,FALSE),"")</f>
        <v/>
      </c>
      <c r="M102" s="9" t="str">
        <f>IFERROR(VLOOKUP($K102,baseline!$A:$AK,M$3,FALSE),"")</f>
        <v/>
      </c>
      <c r="N102" s="9" t="str">
        <f>IFERROR(VLOOKUP($K102,baseline!$A:$AK,N$3,FALSE),"")</f>
        <v/>
      </c>
      <c r="O102" s="9" t="str">
        <f>IFERROR(VLOOKUP($K102,baseline!$A:$AK,O$3,FALSE),"")</f>
        <v/>
      </c>
      <c r="P102" s="9" t="str">
        <f>IFERROR(VLOOKUP($K102,baseline!$A:$AK,P$3,FALSE),"")</f>
        <v/>
      </c>
      <c r="T102" t="str">
        <f t="shared" si="9"/>
        <v>CI_toe_cbiof_swat_0</v>
      </c>
      <c r="U102" s="9" t="str">
        <f t="shared" si="10"/>
        <v/>
      </c>
      <c r="V102" s="9" t="str">
        <f t="shared" si="11"/>
        <v/>
      </c>
      <c r="W102" s="9" t="str">
        <f t="shared" si="12"/>
        <v/>
      </c>
      <c r="X102" s="9" t="str">
        <f t="shared" si="13"/>
        <v/>
      </c>
      <c r="Y102" s="9" t="str">
        <f t="shared" si="14"/>
        <v/>
      </c>
    </row>
    <row r="103" spans="1:25" x14ac:dyDescent="0.3">
      <c r="A103" s="2" t="s">
        <v>146</v>
      </c>
      <c r="B103" s="2" t="s">
        <v>155</v>
      </c>
      <c r="C103" s="7">
        <v>0</v>
      </c>
      <c r="D103" s="8">
        <v>0</v>
      </c>
      <c r="E103" s="8">
        <v>0</v>
      </c>
      <c r="F103" s="8">
        <v>0</v>
      </c>
      <c r="G103" s="8">
        <v>0</v>
      </c>
      <c r="K103" t="str">
        <f t="shared" si="15"/>
        <v>CI_toe_chea_swat_0</v>
      </c>
      <c r="L103" s="9" t="str">
        <f>IFERROR(VLOOKUP($K103,baseline!$A:$AK,L$3,FALSE),"")</f>
        <v/>
      </c>
      <c r="M103" s="9" t="str">
        <f>IFERROR(VLOOKUP($K103,baseline!$A:$AK,M$3,FALSE),"")</f>
        <v/>
      </c>
      <c r="N103" s="9" t="str">
        <f>IFERROR(VLOOKUP($K103,baseline!$A:$AK,N$3,FALSE),"")</f>
        <v/>
      </c>
      <c r="O103" s="9" t="str">
        <f>IFERROR(VLOOKUP($K103,baseline!$A:$AK,O$3,FALSE),"")</f>
        <v/>
      </c>
      <c r="P103" s="9" t="str">
        <f>IFERROR(VLOOKUP($K103,baseline!$A:$AK,P$3,FALSE),"")</f>
        <v/>
      </c>
      <c r="T103" t="str">
        <f t="shared" si="9"/>
        <v>CI_toe_chea_swat_0</v>
      </c>
      <c r="U103" s="9" t="str">
        <f t="shared" si="10"/>
        <v/>
      </c>
      <c r="V103" s="9" t="str">
        <f t="shared" si="11"/>
        <v/>
      </c>
      <c r="W103" s="9" t="str">
        <f t="shared" si="12"/>
        <v/>
      </c>
      <c r="X103" s="9" t="str">
        <f t="shared" si="13"/>
        <v/>
      </c>
      <c r="Y103" s="9" t="str">
        <f t="shared" si="14"/>
        <v/>
      </c>
    </row>
    <row r="104" spans="1:25" x14ac:dyDescent="0.3">
      <c r="A104" s="2" t="s">
        <v>136</v>
      </c>
      <c r="B104" s="2" t="s">
        <v>156</v>
      </c>
      <c r="C104" s="7">
        <v>0</v>
      </c>
      <c r="D104" s="8">
        <v>0</v>
      </c>
      <c r="E104" s="8">
        <v>0</v>
      </c>
      <c r="F104" s="8">
        <v>0</v>
      </c>
      <c r="G104" s="8">
        <v>0</v>
      </c>
      <c r="K104" t="str">
        <f t="shared" si="15"/>
        <v>CI_toe_ccoa_sair_0</v>
      </c>
      <c r="L104" s="9" t="str">
        <f>IFERROR(VLOOKUP($K104,baseline!$A:$AK,L$3,FALSE),"")</f>
        <v/>
      </c>
      <c r="M104" s="9" t="str">
        <f>IFERROR(VLOOKUP($K104,baseline!$A:$AK,M$3,FALSE),"")</f>
        <v/>
      </c>
      <c r="N104" s="9" t="str">
        <f>IFERROR(VLOOKUP($K104,baseline!$A:$AK,N$3,FALSE),"")</f>
        <v/>
      </c>
      <c r="O104" s="9" t="str">
        <f>IFERROR(VLOOKUP($K104,baseline!$A:$AK,O$3,FALSE),"")</f>
        <v/>
      </c>
      <c r="P104" s="9" t="str">
        <f>IFERROR(VLOOKUP($K104,baseline!$A:$AK,P$3,FALSE),"")</f>
        <v/>
      </c>
      <c r="T104" t="str">
        <f t="shared" si="9"/>
        <v>CI_toe_ccoa_sair_0</v>
      </c>
      <c r="U104" s="9" t="str">
        <f t="shared" si="10"/>
        <v/>
      </c>
      <c r="V104" s="9" t="str">
        <f t="shared" si="11"/>
        <v/>
      </c>
      <c r="W104" s="9" t="str">
        <f t="shared" si="12"/>
        <v/>
      </c>
      <c r="X104" s="9" t="str">
        <f t="shared" si="13"/>
        <v/>
      </c>
      <c r="Y104" s="9" t="str">
        <f t="shared" si="14"/>
        <v/>
      </c>
    </row>
    <row r="105" spans="1:25" x14ac:dyDescent="0.3">
      <c r="A105" s="2" t="s">
        <v>137</v>
      </c>
      <c r="B105" s="2" t="s">
        <v>156</v>
      </c>
      <c r="C105" s="7">
        <v>0</v>
      </c>
      <c r="D105" s="8">
        <v>0</v>
      </c>
      <c r="E105" s="8">
        <v>0</v>
      </c>
      <c r="F105" s="8">
        <v>0</v>
      </c>
      <c r="G105" s="8">
        <v>0</v>
      </c>
      <c r="K105" t="str">
        <f t="shared" si="15"/>
        <v>CI_toe_coil_sair_0</v>
      </c>
      <c r="L105" s="9" t="str">
        <f>IFERROR(VLOOKUP($K105,baseline!$A:$AK,L$3,FALSE),"")</f>
        <v/>
      </c>
      <c r="M105" s="9" t="str">
        <f>IFERROR(VLOOKUP($K105,baseline!$A:$AK,M$3,FALSE),"")</f>
        <v/>
      </c>
      <c r="N105" s="9" t="str">
        <f>IFERROR(VLOOKUP($K105,baseline!$A:$AK,N$3,FALSE),"")</f>
        <v/>
      </c>
      <c r="O105" s="9" t="str">
        <f>IFERROR(VLOOKUP($K105,baseline!$A:$AK,O$3,FALSE),"")</f>
        <v/>
      </c>
      <c r="P105" s="9" t="str">
        <f>IFERROR(VLOOKUP($K105,baseline!$A:$AK,P$3,FALSE),"")</f>
        <v/>
      </c>
      <c r="T105" t="str">
        <f t="shared" si="9"/>
        <v>CI_toe_coil_sair_0</v>
      </c>
      <c r="U105" s="9" t="str">
        <f t="shared" si="10"/>
        <v/>
      </c>
      <c r="V105" s="9" t="str">
        <f t="shared" si="11"/>
        <v/>
      </c>
      <c r="W105" s="9" t="str">
        <f t="shared" si="12"/>
        <v/>
      </c>
      <c r="X105" s="9" t="str">
        <f t="shared" si="13"/>
        <v/>
      </c>
      <c r="Y105" s="9" t="str">
        <f t="shared" si="14"/>
        <v/>
      </c>
    </row>
    <row r="106" spans="1:25" x14ac:dyDescent="0.3">
      <c r="A106" s="2" t="s">
        <v>138</v>
      </c>
      <c r="B106" s="2" t="s">
        <v>156</v>
      </c>
      <c r="C106" s="7">
        <v>1.0402E-2</v>
      </c>
      <c r="D106" s="8">
        <v>1.7881488861901357E-2</v>
      </c>
      <c r="E106" s="8">
        <v>1.5609298488863926E-2</v>
      </c>
      <c r="F106" s="8">
        <v>8.4501263696225015E-3</v>
      </c>
      <c r="G106" s="8">
        <v>4.2250631848112508E-3</v>
      </c>
      <c r="K106" t="str">
        <f t="shared" si="15"/>
        <v>CI_toe_cfue_sair_0</v>
      </c>
      <c r="L106" s="9" t="str">
        <f>IFERROR(VLOOKUP($K106,baseline!$A:$AK,L$3,FALSE),"")</f>
        <v/>
      </c>
      <c r="M106" s="9" t="str">
        <f>IFERROR(VLOOKUP($K106,baseline!$A:$AK,M$3,FALSE),"")</f>
        <v/>
      </c>
      <c r="N106" s="9" t="str">
        <f>IFERROR(VLOOKUP($K106,baseline!$A:$AK,N$3,FALSE),"")</f>
        <v/>
      </c>
      <c r="O106" s="9" t="str">
        <f>IFERROR(VLOOKUP($K106,baseline!$A:$AK,O$3,FALSE),"")</f>
        <v/>
      </c>
      <c r="P106" s="9" t="str">
        <f>IFERROR(VLOOKUP($K106,baseline!$A:$AK,P$3,FALSE),"")</f>
        <v/>
      </c>
      <c r="T106" t="str">
        <f t="shared" si="9"/>
        <v>CI_toe_cfue_sair_0</v>
      </c>
      <c r="U106" s="9" t="str">
        <f t="shared" si="10"/>
        <v/>
      </c>
      <c r="V106" s="9" t="str">
        <f t="shared" si="11"/>
        <v/>
      </c>
      <c r="W106" s="9" t="str">
        <f t="shared" si="12"/>
        <v/>
      </c>
      <c r="X106" s="9" t="str">
        <f t="shared" si="13"/>
        <v/>
      </c>
      <c r="Y106" s="9" t="str">
        <f t="shared" si="14"/>
        <v/>
      </c>
    </row>
    <row r="107" spans="1:25" x14ac:dyDescent="0.3">
      <c r="A107" s="2" t="s">
        <v>139</v>
      </c>
      <c r="B107" s="2" t="s">
        <v>156</v>
      </c>
      <c r="C107" s="7">
        <v>2.5005735227639599E-2</v>
      </c>
      <c r="D107" s="8">
        <v>2.5005735227639599E-2</v>
      </c>
      <c r="E107" s="8">
        <v>2.5005735227639599E-2</v>
      </c>
      <c r="F107" s="8">
        <v>0</v>
      </c>
      <c r="G107" s="8">
        <v>0</v>
      </c>
      <c r="K107" t="str">
        <f t="shared" si="15"/>
        <v>CI_toe_cpch_sair_0</v>
      </c>
      <c r="L107" s="9" t="str">
        <f>IFERROR(VLOOKUP($K107,baseline!$A:$AK,L$3,FALSE),"")</f>
        <v/>
      </c>
      <c r="M107" s="9" t="str">
        <f>IFERROR(VLOOKUP($K107,baseline!$A:$AK,M$3,FALSE),"")</f>
        <v/>
      </c>
      <c r="N107" s="9" t="str">
        <f>IFERROR(VLOOKUP($K107,baseline!$A:$AK,N$3,FALSE),"")</f>
        <v/>
      </c>
      <c r="O107" s="9" t="str">
        <f>IFERROR(VLOOKUP($K107,baseline!$A:$AK,O$3,FALSE),"")</f>
        <v/>
      </c>
      <c r="P107" s="9" t="str">
        <f>IFERROR(VLOOKUP($K107,baseline!$A:$AK,P$3,FALSE),"")</f>
        <v/>
      </c>
      <c r="T107" t="str">
        <f t="shared" si="9"/>
        <v>CI_toe_cpch_sair_0</v>
      </c>
      <c r="U107" s="9" t="str">
        <f t="shared" si="10"/>
        <v/>
      </c>
      <c r="V107" s="9" t="str">
        <f t="shared" si="11"/>
        <v/>
      </c>
      <c r="W107" s="9" t="str">
        <f t="shared" si="12"/>
        <v/>
      </c>
      <c r="X107" s="9" t="str">
        <f t="shared" si="13"/>
        <v/>
      </c>
      <c r="Y107" s="9" t="str">
        <f t="shared" si="14"/>
        <v/>
      </c>
    </row>
    <row r="108" spans="1:25" x14ac:dyDescent="0.3">
      <c r="A108" s="2" t="s">
        <v>140</v>
      </c>
      <c r="B108" s="2" t="s">
        <v>156</v>
      </c>
      <c r="C108" s="7">
        <v>0</v>
      </c>
      <c r="D108" s="8">
        <v>0</v>
      </c>
      <c r="E108" s="8">
        <v>0</v>
      </c>
      <c r="F108" s="8">
        <v>0</v>
      </c>
      <c r="G108" s="8">
        <v>0</v>
      </c>
      <c r="K108" t="str">
        <f t="shared" si="15"/>
        <v>CI_toe_cele_sair_0</v>
      </c>
      <c r="L108" s="9" t="str">
        <f>IFERROR(VLOOKUP($K108,baseline!$A:$AK,L$3,FALSE),"")</f>
        <v/>
      </c>
      <c r="M108" s="9" t="str">
        <f>IFERROR(VLOOKUP($K108,baseline!$A:$AK,M$3,FALSE),"")</f>
        <v/>
      </c>
      <c r="N108" s="9" t="str">
        <f>IFERROR(VLOOKUP($K108,baseline!$A:$AK,N$3,FALSE),"")</f>
        <v/>
      </c>
      <c r="O108" s="9" t="str">
        <f>IFERROR(VLOOKUP($K108,baseline!$A:$AK,O$3,FALSE),"")</f>
        <v/>
      </c>
      <c r="P108" s="9" t="str">
        <f>IFERROR(VLOOKUP($K108,baseline!$A:$AK,P$3,FALSE),"")</f>
        <v/>
      </c>
      <c r="T108" t="str">
        <f t="shared" si="9"/>
        <v>CI_toe_cele_sair_0</v>
      </c>
      <c r="U108" s="9" t="str">
        <f t="shared" si="10"/>
        <v/>
      </c>
      <c r="V108" s="9" t="str">
        <f t="shared" si="11"/>
        <v/>
      </c>
      <c r="W108" s="9" t="str">
        <f t="shared" si="12"/>
        <v/>
      </c>
      <c r="X108" s="9" t="str">
        <f t="shared" si="13"/>
        <v/>
      </c>
      <c r="Y108" s="9" t="str">
        <f t="shared" si="14"/>
        <v/>
      </c>
    </row>
    <row r="109" spans="1:25" x14ac:dyDescent="0.3">
      <c r="A109" s="2" t="s">
        <v>141</v>
      </c>
      <c r="B109" s="2" t="s">
        <v>156</v>
      </c>
      <c r="C109" s="7">
        <v>0</v>
      </c>
      <c r="D109" s="8">
        <v>0</v>
      </c>
      <c r="E109" s="8">
        <v>0</v>
      </c>
      <c r="F109" s="8">
        <v>0</v>
      </c>
      <c r="G109" s="8">
        <v>0</v>
      </c>
      <c r="K109" t="str">
        <f t="shared" si="15"/>
        <v>CI_toe_cgas_sair_0</v>
      </c>
      <c r="L109" s="9" t="str">
        <f>IFERROR(VLOOKUP($K109,baseline!$A:$AK,L$3,FALSE),"")</f>
        <v/>
      </c>
      <c r="M109" s="9" t="str">
        <f>IFERROR(VLOOKUP($K109,baseline!$A:$AK,M$3,FALSE),"")</f>
        <v/>
      </c>
      <c r="N109" s="9" t="str">
        <f>IFERROR(VLOOKUP($K109,baseline!$A:$AK,N$3,FALSE),"")</f>
        <v/>
      </c>
      <c r="O109" s="9" t="str">
        <f>IFERROR(VLOOKUP($K109,baseline!$A:$AK,O$3,FALSE),"")</f>
        <v/>
      </c>
      <c r="P109" s="9" t="str">
        <f>IFERROR(VLOOKUP($K109,baseline!$A:$AK,P$3,FALSE),"")</f>
        <v/>
      </c>
      <c r="T109" t="str">
        <f t="shared" si="9"/>
        <v>CI_toe_cgas_sair_0</v>
      </c>
      <c r="U109" s="9" t="str">
        <f t="shared" si="10"/>
        <v/>
      </c>
      <c r="V109" s="9" t="str">
        <f t="shared" si="11"/>
        <v/>
      </c>
      <c r="W109" s="9" t="str">
        <f t="shared" si="12"/>
        <v/>
      </c>
      <c r="X109" s="9" t="str">
        <f t="shared" si="13"/>
        <v/>
      </c>
      <c r="Y109" s="9" t="str">
        <f t="shared" si="14"/>
        <v/>
      </c>
    </row>
    <row r="110" spans="1:25" x14ac:dyDescent="0.3">
      <c r="A110" s="2" t="s">
        <v>142</v>
      </c>
      <c r="B110" s="2" t="s">
        <v>156</v>
      </c>
      <c r="C110" s="7">
        <v>0</v>
      </c>
      <c r="D110" s="8">
        <v>0</v>
      </c>
      <c r="E110" s="8">
        <v>0</v>
      </c>
      <c r="F110" s="8">
        <v>0</v>
      </c>
      <c r="G110" s="8">
        <v>0</v>
      </c>
      <c r="K110" t="str">
        <f t="shared" si="15"/>
        <v>CI_toe_cmga_sair_0</v>
      </c>
      <c r="L110" s="9" t="str">
        <f>IFERROR(VLOOKUP($K110,baseline!$A:$AK,L$3,FALSE),"")</f>
        <v/>
      </c>
      <c r="M110" s="9" t="str">
        <f>IFERROR(VLOOKUP($K110,baseline!$A:$AK,M$3,FALSE),"")</f>
        <v/>
      </c>
      <c r="N110" s="9" t="str">
        <f>IFERROR(VLOOKUP($K110,baseline!$A:$AK,N$3,FALSE),"")</f>
        <v/>
      </c>
      <c r="O110" s="9" t="str">
        <f>IFERROR(VLOOKUP($K110,baseline!$A:$AK,O$3,FALSE),"")</f>
        <v/>
      </c>
      <c r="P110" s="9" t="str">
        <f>IFERROR(VLOOKUP($K110,baseline!$A:$AK,P$3,FALSE),"")</f>
        <v/>
      </c>
      <c r="T110" t="str">
        <f t="shared" si="9"/>
        <v>CI_toe_cmga_sair_0</v>
      </c>
      <c r="U110" s="9" t="str">
        <f t="shared" si="10"/>
        <v/>
      </c>
      <c r="V110" s="9" t="str">
        <f t="shared" si="11"/>
        <v/>
      </c>
      <c r="W110" s="9" t="str">
        <f t="shared" si="12"/>
        <v/>
      </c>
      <c r="X110" s="9" t="str">
        <f t="shared" si="13"/>
        <v/>
      </c>
      <c r="Y110" s="9" t="str">
        <f t="shared" si="14"/>
        <v/>
      </c>
    </row>
    <row r="111" spans="1:25" x14ac:dyDescent="0.3">
      <c r="A111" s="2" t="s">
        <v>143</v>
      </c>
      <c r="B111" s="2" t="s">
        <v>156</v>
      </c>
      <c r="C111" s="7">
        <v>0</v>
      </c>
      <c r="D111" s="8">
        <v>0</v>
      </c>
      <c r="E111" s="8">
        <v>0</v>
      </c>
      <c r="F111" s="8">
        <v>0</v>
      </c>
      <c r="G111" s="8">
        <v>0</v>
      </c>
      <c r="K111" t="str">
        <f t="shared" si="15"/>
        <v>CI_toe_cbiog_sair_0</v>
      </c>
      <c r="L111" s="9" t="str">
        <f>IFERROR(VLOOKUP($K111,baseline!$A:$AK,L$3,FALSE),"")</f>
        <v/>
      </c>
      <c r="M111" s="9" t="str">
        <f>IFERROR(VLOOKUP($K111,baseline!$A:$AK,M$3,FALSE),"")</f>
        <v/>
      </c>
      <c r="N111" s="9" t="str">
        <f>IFERROR(VLOOKUP($K111,baseline!$A:$AK,N$3,FALSE),"")</f>
        <v/>
      </c>
      <c r="O111" s="9" t="str">
        <f>IFERROR(VLOOKUP($K111,baseline!$A:$AK,O$3,FALSE),"")</f>
        <v/>
      </c>
      <c r="P111" s="9" t="str">
        <f>IFERROR(VLOOKUP($K111,baseline!$A:$AK,P$3,FALSE),"")</f>
        <v/>
      </c>
      <c r="T111" t="str">
        <f t="shared" si="9"/>
        <v>CI_toe_cbiog_sair_0</v>
      </c>
      <c r="U111" s="9" t="str">
        <f t="shared" si="10"/>
        <v/>
      </c>
      <c r="V111" s="9" t="str">
        <f t="shared" si="11"/>
        <v/>
      </c>
      <c r="W111" s="9" t="str">
        <f t="shared" si="12"/>
        <v/>
      </c>
      <c r="X111" s="9" t="str">
        <f t="shared" si="13"/>
        <v/>
      </c>
      <c r="Y111" s="9" t="str">
        <f t="shared" si="14"/>
        <v/>
      </c>
    </row>
    <row r="112" spans="1:25" x14ac:dyDescent="0.3">
      <c r="A112" s="2" t="s">
        <v>144</v>
      </c>
      <c r="B112" s="2" t="s">
        <v>156</v>
      </c>
      <c r="C112" s="7">
        <v>0</v>
      </c>
      <c r="D112" s="8">
        <v>0</v>
      </c>
      <c r="E112" s="8">
        <v>0</v>
      </c>
      <c r="F112" s="8">
        <v>0</v>
      </c>
      <c r="G112" s="8">
        <v>0</v>
      </c>
      <c r="K112" t="str">
        <f t="shared" si="15"/>
        <v>CI_toe_cbiom_sair_0</v>
      </c>
      <c r="L112" s="9" t="str">
        <f>IFERROR(VLOOKUP($K112,baseline!$A:$AK,L$3,FALSE),"")</f>
        <v/>
      </c>
      <c r="M112" s="9" t="str">
        <f>IFERROR(VLOOKUP($K112,baseline!$A:$AK,M$3,FALSE),"")</f>
        <v/>
      </c>
      <c r="N112" s="9" t="str">
        <f>IFERROR(VLOOKUP($K112,baseline!$A:$AK,N$3,FALSE),"")</f>
        <v/>
      </c>
      <c r="O112" s="9" t="str">
        <f>IFERROR(VLOOKUP($K112,baseline!$A:$AK,O$3,FALSE),"")</f>
        <v/>
      </c>
      <c r="P112" s="9" t="str">
        <f>IFERROR(VLOOKUP($K112,baseline!$A:$AK,P$3,FALSE),"")</f>
        <v/>
      </c>
      <c r="T112" t="str">
        <f t="shared" si="9"/>
        <v>CI_toe_cbiom_sair_0</v>
      </c>
      <c r="U112" s="9" t="str">
        <f t="shared" si="10"/>
        <v/>
      </c>
      <c r="V112" s="9" t="str">
        <f t="shared" si="11"/>
        <v/>
      </c>
      <c r="W112" s="9" t="str">
        <f t="shared" si="12"/>
        <v/>
      </c>
      <c r="X112" s="9" t="str">
        <f t="shared" si="13"/>
        <v/>
      </c>
      <c r="Y112" s="9" t="str">
        <f t="shared" si="14"/>
        <v/>
      </c>
    </row>
    <row r="113" spans="1:25" x14ac:dyDescent="0.3">
      <c r="A113" s="2" t="s">
        <v>145</v>
      </c>
      <c r="B113" s="2" t="s">
        <v>156</v>
      </c>
      <c r="C113" s="7">
        <v>0</v>
      </c>
      <c r="D113" s="8">
        <v>0</v>
      </c>
      <c r="E113" s="8">
        <v>0</v>
      </c>
      <c r="F113" s="8">
        <v>0</v>
      </c>
      <c r="G113" s="8">
        <v>0</v>
      </c>
      <c r="K113" t="str">
        <f t="shared" si="15"/>
        <v>CI_toe_cbiof_sair_0</v>
      </c>
      <c r="L113" s="9" t="str">
        <f>IFERROR(VLOOKUP($K113,baseline!$A:$AK,L$3,FALSE),"")</f>
        <v/>
      </c>
      <c r="M113" s="9" t="str">
        <f>IFERROR(VLOOKUP($K113,baseline!$A:$AK,M$3,FALSE),"")</f>
        <v/>
      </c>
      <c r="N113" s="9" t="str">
        <f>IFERROR(VLOOKUP($K113,baseline!$A:$AK,N$3,FALSE),"")</f>
        <v/>
      </c>
      <c r="O113" s="9" t="str">
        <f>IFERROR(VLOOKUP($K113,baseline!$A:$AK,O$3,FALSE),"")</f>
        <v/>
      </c>
      <c r="P113" s="9" t="str">
        <f>IFERROR(VLOOKUP($K113,baseline!$A:$AK,P$3,FALSE),"")</f>
        <v/>
      </c>
      <c r="T113" t="str">
        <f t="shared" si="9"/>
        <v>CI_toe_cbiof_sair_0</v>
      </c>
      <c r="U113" s="9" t="str">
        <f t="shared" si="10"/>
        <v/>
      </c>
      <c r="V113" s="9" t="str">
        <f t="shared" si="11"/>
        <v/>
      </c>
      <c r="W113" s="9" t="str">
        <f t="shared" si="12"/>
        <v/>
      </c>
      <c r="X113" s="9" t="str">
        <f t="shared" si="13"/>
        <v/>
      </c>
      <c r="Y113" s="9" t="str">
        <f t="shared" si="14"/>
        <v/>
      </c>
    </row>
    <row r="114" spans="1:25" x14ac:dyDescent="0.3">
      <c r="A114" s="2" t="s">
        <v>146</v>
      </c>
      <c r="B114" s="2" t="s">
        <v>156</v>
      </c>
      <c r="C114" s="7">
        <v>0</v>
      </c>
      <c r="D114" s="8">
        <v>0</v>
      </c>
      <c r="E114" s="8">
        <v>0</v>
      </c>
      <c r="F114" s="8">
        <v>0</v>
      </c>
      <c r="G114" s="8">
        <v>0</v>
      </c>
      <c r="K114" t="str">
        <f t="shared" si="15"/>
        <v>CI_toe_chea_sair_0</v>
      </c>
      <c r="L114" s="9" t="str">
        <f>IFERROR(VLOOKUP($K114,baseline!$A:$AK,L$3,FALSE),"")</f>
        <v/>
      </c>
      <c r="M114" s="9" t="str">
        <f>IFERROR(VLOOKUP($K114,baseline!$A:$AK,M$3,FALSE),"")</f>
        <v/>
      </c>
      <c r="N114" s="9" t="str">
        <f>IFERROR(VLOOKUP($K114,baseline!$A:$AK,N$3,FALSE),"")</f>
        <v/>
      </c>
      <c r="O114" s="9" t="str">
        <f>IFERROR(VLOOKUP($K114,baseline!$A:$AK,O$3,FALSE),"")</f>
        <v/>
      </c>
      <c r="P114" s="9" t="str">
        <f>IFERROR(VLOOKUP($K114,baseline!$A:$AK,P$3,FALSE),"")</f>
        <v/>
      </c>
      <c r="T114" t="str">
        <f t="shared" si="9"/>
        <v>CI_toe_chea_sair_0</v>
      </c>
      <c r="U114" s="9" t="str">
        <f t="shared" si="10"/>
        <v/>
      </c>
      <c r="V114" s="9" t="str">
        <f t="shared" si="11"/>
        <v/>
      </c>
      <c r="W114" s="9" t="str">
        <f t="shared" si="12"/>
        <v/>
      </c>
      <c r="X114" s="9" t="str">
        <f t="shared" si="13"/>
        <v/>
      </c>
      <c r="Y114" s="9" t="str">
        <f t="shared" si="14"/>
        <v/>
      </c>
    </row>
    <row r="115" spans="1:25" x14ac:dyDescent="0.3">
      <c r="A115" s="2" t="s">
        <v>136</v>
      </c>
      <c r="B115" s="2" t="s">
        <v>157</v>
      </c>
      <c r="C115" s="7">
        <v>3.0286298219768599E-2</v>
      </c>
      <c r="D115" s="8">
        <v>2.8238324358805952E-2</v>
      </c>
      <c r="E115" s="8">
        <v>2.9277682072375275E-2</v>
      </c>
      <c r="F115" s="8">
        <v>2.9277682072375275E-2</v>
      </c>
      <c r="G115" s="8">
        <v>2.9277682072375275E-2</v>
      </c>
      <c r="K115" t="str">
        <f t="shared" si="15"/>
        <v>CI_toe_ccoa_sres_0</v>
      </c>
      <c r="L115" s="9" t="str">
        <f>IFERROR(VLOOKUP($K115,baseline!$A:$AK,L$3,FALSE),"")</f>
        <v/>
      </c>
      <c r="M115" s="9" t="str">
        <f>IFERROR(VLOOKUP($K115,baseline!$A:$AK,M$3,FALSE),"")</f>
        <v/>
      </c>
      <c r="N115" s="9" t="str">
        <f>IFERROR(VLOOKUP($K115,baseline!$A:$AK,N$3,FALSE),"")</f>
        <v/>
      </c>
      <c r="O115" s="9" t="str">
        <f>IFERROR(VLOOKUP($K115,baseline!$A:$AK,O$3,FALSE),"")</f>
        <v/>
      </c>
      <c r="P115" s="9" t="str">
        <f>IFERROR(VLOOKUP($K115,baseline!$A:$AK,P$3,FALSE),"")</f>
        <v/>
      </c>
      <c r="T115" t="str">
        <f t="shared" si="9"/>
        <v>CI_toe_ccoa_sres_0</v>
      </c>
      <c r="U115" s="9" t="str">
        <f t="shared" si="10"/>
        <v/>
      </c>
      <c r="V115" s="9" t="str">
        <f t="shared" si="11"/>
        <v/>
      </c>
      <c r="W115" s="9" t="str">
        <f t="shared" si="12"/>
        <v/>
      </c>
      <c r="X115" s="9" t="str">
        <f t="shared" si="13"/>
        <v/>
      </c>
      <c r="Y115" s="9" t="str">
        <f t="shared" si="14"/>
        <v/>
      </c>
    </row>
    <row r="116" spans="1:25" x14ac:dyDescent="0.3">
      <c r="A116" s="2" t="s">
        <v>137</v>
      </c>
      <c r="B116" s="2" t="s">
        <v>157</v>
      </c>
      <c r="C116" s="7">
        <v>0.61178594899356997</v>
      </c>
      <c r="D116" s="8">
        <v>0.61178594899356997</v>
      </c>
      <c r="E116" s="8">
        <v>0.61178594899356997</v>
      </c>
      <c r="F116" s="8">
        <v>0.61178594899356997</v>
      </c>
      <c r="G116" s="8">
        <v>0.61178594899356997</v>
      </c>
      <c r="K116" t="str">
        <f t="shared" si="15"/>
        <v>CI_toe_coil_sres_0</v>
      </c>
      <c r="L116" s="9" t="str">
        <f>IFERROR(VLOOKUP($K116,baseline!$A:$AK,L$3,FALSE),"")</f>
        <v/>
      </c>
      <c r="M116" s="9" t="str">
        <f>IFERROR(VLOOKUP($K116,baseline!$A:$AK,M$3,FALSE),"")</f>
        <v/>
      </c>
      <c r="N116" s="9" t="str">
        <f>IFERROR(VLOOKUP($K116,baseline!$A:$AK,N$3,FALSE),"")</f>
        <v/>
      </c>
      <c r="O116" s="9" t="str">
        <f>IFERROR(VLOOKUP($K116,baseline!$A:$AK,O$3,FALSE),"")</f>
        <v/>
      </c>
      <c r="P116" s="9" t="str">
        <f>IFERROR(VLOOKUP($K116,baseline!$A:$AK,P$3,FALSE),"")</f>
        <v/>
      </c>
      <c r="T116" t="str">
        <f t="shared" si="9"/>
        <v>CI_toe_coil_sres_0</v>
      </c>
      <c r="U116" s="9" t="str">
        <f t="shared" si="10"/>
        <v/>
      </c>
      <c r="V116" s="9" t="str">
        <f t="shared" si="11"/>
        <v/>
      </c>
      <c r="W116" s="9" t="str">
        <f t="shared" si="12"/>
        <v/>
      </c>
      <c r="X116" s="9" t="str">
        <f t="shared" si="13"/>
        <v/>
      </c>
      <c r="Y116" s="9" t="str">
        <f t="shared" si="14"/>
        <v/>
      </c>
    </row>
    <row r="117" spans="1:25" x14ac:dyDescent="0.3">
      <c r="A117" s="2" t="s">
        <v>138</v>
      </c>
      <c r="B117" s="2" t="s">
        <v>157</v>
      </c>
      <c r="C117" s="7">
        <v>1.5866179997959799</v>
      </c>
      <c r="D117" s="8">
        <v>1.083368101925076</v>
      </c>
      <c r="E117" s="8">
        <v>1.1544863213978984</v>
      </c>
      <c r="F117" s="8">
        <v>2.784899944437198</v>
      </c>
      <c r="G117" s="8">
        <v>2.784899944437198</v>
      </c>
      <c r="K117" t="str">
        <f t="shared" si="15"/>
        <v>CI_toe_cfue_sres_0</v>
      </c>
      <c r="L117" s="9" t="str">
        <f>IFERROR(VLOOKUP($K117,baseline!$A:$AK,L$3,FALSE),"")</f>
        <v/>
      </c>
      <c r="M117" s="9" t="str">
        <f>IFERROR(VLOOKUP($K117,baseline!$A:$AK,M$3,FALSE),"")</f>
        <v/>
      </c>
      <c r="N117" s="9" t="str">
        <f>IFERROR(VLOOKUP($K117,baseline!$A:$AK,N$3,FALSE),"")</f>
        <v/>
      </c>
      <c r="O117" s="9" t="str">
        <f>IFERROR(VLOOKUP($K117,baseline!$A:$AK,O$3,FALSE),"")</f>
        <v/>
      </c>
      <c r="P117" s="9" t="str">
        <f>IFERROR(VLOOKUP($K117,baseline!$A:$AK,P$3,FALSE),"")</f>
        <v/>
      </c>
      <c r="T117" t="str">
        <f t="shared" si="9"/>
        <v>CI_toe_cfue_sres_0</v>
      </c>
      <c r="U117" s="9" t="str">
        <f t="shared" si="10"/>
        <v/>
      </c>
      <c r="V117" s="9" t="str">
        <f t="shared" si="11"/>
        <v/>
      </c>
      <c r="W117" s="9" t="str">
        <f t="shared" si="12"/>
        <v/>
      </c>
      <c r="X117" s="9" t="str">
        <f t="shared" si="13"/>
        <v/>
      </c>
      <c r="Y117" s="9" t="str">
        <f t="shared" si="14"/>
        <v/>
      </c>
    </row>
    <row r="118" spans="1:25" x14ac:dyDescent="0.3">
      <c r="A118" s="2" t="s">
        <v>139</v>
      </c>
      <c r="B118" s="2" t="s">
        <v>157</v>
      </c>
      <c r="C118" s="7">
        <v>1.21679126419424</v>
      </c>
      <c r="D118" s="8">
        <v>1.21679126419424</v>
      </c>
      <c r="E118" s="8">
        <v>1.21679126419424</v>
      </c>
      <c r="F118" s="8">
        <v>1.21679126419424</v>
      </c>
      <c r="G118" s="8">
        <v>1.21679126419424</v>
      </c>
      <c r="K118" t="str">
        <f t="shared" si="15"/>
        <v>CI_toe_cpch_sres_0</v>
      </c>
      <c r="L118" s="9" t="str">
        <f>IFERROR(VLOOKUP($K118,baseline!$A:$AK,L$3,FALSE),"")</f>
        <v/>
      </c>
      <c r="M118" s="9" t="str">
        <f>IFERROR(VLOOKUP($K118,baseline!$A:$AK,M$3,FALSE),"")</f>
        <v/>
      </c>
      <c r="N118" s="9" t="str">
        <f>IFERROR(VLOOKUP($K118,baseline!$A:$AK,N$3,FALSE),"")</f>
        <v/>
      </c>
      <c r="O118" s="9" t="str">
        <f>IFERROR(VLOOKUP($K118,baseline!$A:$AK,O$3,FALSE),"")</f>
        <v/>
      </c>
      <c r="P118" s="9" t="str">
        <f>IFERROR(VLOOKUP($K118,baseline!$A:$AK,P$3,FALSE),"")</f>
        <v/>
      </c>
      <c r="T118" t="str">
        <f t="shared" si="9"/>
        <v>CI_toe_cpch_sres_0</v>
      </c>
      <c r="U118" s="9" t="str">
        <f t="shared" si="10"/>
        <v/>
      </c>
      <c r="V118" s="9" t="str">
        <f t="shared" si="11"/>
        <v/>
      </c>
      <c r="W118" s="9" t="str">
        <f t="shared" si="12"/>
        <v/>
      </c>
      <c r="X118" s="9" t="str">
        <f t="shared" si="13"/>
        <v/>
      </c>
      <c r="Y118" s="9" t="str">
        <f t="shared" si="14"/>
        <v/>
      </c>
    </row>
    <row r="119" spans="1:25" x14ac:dyDescent="0.3">
      <c r="A119" s="2" t="s">
        <v>140</v>
      </c>
      <c r="B119" s="2" t="s">
        <v>157</v>
      </c>
      <c r="C119" s="7">
        <v>3.7408589914921899</v>
      </c>
      <c r="D119" s="8">
        <v>3.7837644283413447</v>
      </c>
      <c r="E119" s="8">
        <v>3.9269160344879275</v>
      </c>
      <c r="F119" s="8">
        <v>2.3604525485257097</v>
      </c>
      <c r="G119" s="8">
        <v>1.1354169583154459</v>
      </c>
      <c r="K119" t="str">
        <f t="shared" si="15"/>
        <v>CI_toe_cele_sres_0</v>
      </c>
      <c r="L119" s="9" t="str">
        <f>IFERROR(VLOOKUP($K119,baseline!$A:$AK,L$3,FALSE),"")</f>
        <v/>
      </c>
      <c r="M119" s="9" t="str">
        <f>IFERROR(VLOOKUP($K119,baseline!$A:$AK,M$3,FALSE),"")</f>
        <v/>
      </c>
      <c r="N119" s="9" t="str">
        <f>IFERROR(VLOOKUP($K119,baseline!$A:$AK,N$3,FALSE),"")</f>
        <v/>
      </c>
      <c r="O119" s="9" t="str">
        <f>IFERROR(VLOOKUP($K119,baseline!$A:$AK,O$3,FALSE),"")</f>
        <v/>
      </c>
      <c r="P119" s="9" t="str">
        <f>IFERROR(VLOOKUP($K119,baseline!$A:$AK,P$3,FALSE),"")</f>
        <v/>
      </c>
      <c r="T119" t="str">
        <f t="shared" si="9"/>
        <v>CI_toe_cele_sres_0</v>
      </c>
      <c r="U119" s="9" t="str">
        <f t="shared" si="10"/>
        <v/>
      </c>
      <c r="V119" s="9" t="str">
        <f t="shared" si="11"/>
        <v/>
      </c>
      <c r="W119" s="9" t="str">
        <f t="shared" si="12"/>
        <v/>
      </c>
      <c r="X119" s="9" t="str">
        <f t="shared" si="13"/>
        <v/>
      </c>
      <c r="Y119" s="9" t="str">
        <f t="shared" si="14"/>
        <v/>
      </c>
    </row>
    <row r="120" spans="1:25" x14ac:dyDescent="0.3">
      <c r="A120" s="2" t="s">
        <v>141</v>
      </c>
      <c r="B120" s="2" t="s">
        <v>157</v>
      </c>
      <c r="C120" s="7">
        <v>4.4384309361208096</v>
      </c>
      <c r="D120" s="8">
        <v>4.0342979561055703</v>
      </c>
      <c r="E120" s="8">
        <v>2.7467633500804722</v>
      </c>
      <c r="F120" s="8">
        <v>0.79115854634097527</v>
      </c>
      <c r="G120" s="8">
        <v>0.10889040180580604</v>
      </c>
      <c r="K120" t="str">
        <f t="shared" si="15"/>
        <v>CI_toe_cgas_sres_0</v>
      </c>
      <c r="L120" s="9" t="str">
        <f>IFERROR(VLOOKUP($K120,baseline!$A:$AK,L$3,FALSE),"")</f>
        <v/>
      </c>
      <c r="M120" s="9" t="str">
        <f>IFERROR(VLOOKUP($K120,baseline!$A:$AK,M$3,FALSE),"")</f>
        <v/>
      </c>
      <c r="N120" s="9" t="str">
        <f>IFERROR(VLOOKUP($K120,baseline!$A:$AK,N$3,FALSE),"")</f>
        <v/>
      </c>
      <c r="O120" s="9" t="str">
        <f>IFERROR(VLOOKUP($K120,baseline!$A:$AK,O$3,FALSE),"")</f>
        <v/>
      </c>
      <c r="P120" s="9" t="str">
        <f>IFERROR(VLOOKUP($K120,baseline!$A:$AK,P$3,FALSE),"")</f>
        <v/>
      </c>
      <c r="T120" t="str">
        <f t="shared" si="9"/>
        <v>CI_toe_cgas_sres_0</v>
      </c>
      <c r="U120" s="9" t="str">
        <f t="shared" si="10"/>
        <v/>
      </c>
      <c r="V120" s="9" t="str">
        <f t="shared" si="11"/>
        <v/>
      </c>
      <c r="W120" s="9" t="str">
        <f t="shared" si="12"/>
        <v/>
      </c>
      <c r="X120" s="9" t="str">
        <f t="shared" si="13"/>
        <v/>
      </c>
      <c r="Y120" s="9" t="str">
        <f t="shared" si="14"/>
        <v/>
      </c>
    </row>
    <row r="121" spans="1:25" x14ac:dyDescent="0.3">
      <c r="A121" s="2" t="s">
        <v>142</v>
      </c>
      <c r="B121" s="2" t="s">
        <v>157</v>
      </c>
      <c r="C121" s="7">
        <v>0</v>
      </c>
      <c r="D121" s="8">
        <v>0</v>
      </c>
      <c r="E121" s="8">
        <v>0</v>
      </c>
      <c r="F121" s="8">
        <v>0</v>
      </c>
      <c r="G121" s="8">
        <v>0</v>
      </c>
      <c r="K121" t="str">
        <f t="shared" si="15"/>
        <v>CI_toe_cmga_sres_0</v>
      </c>
      <c r="L121" s="9" t="str">
        <f>IFERROR(VLOOKUP($K121,baseline!$A:$AK,L$3,FALSE),"")</f>
        <v/>
      </c>
      <c r="M121" s="9" t="str">
        <f>IFERROR(VLOOKUP($K121,baseline!$A:$AK,M$3,FALSE),"")</f>
        <v/>
      </c>
      <c r="N121" s="9" t="str">
        <f>IFERROR(VLOOKUP($K121,baseline!$A:$AK,N$3,FALSE),"")</f>
        <v/>
      </c>
      <c r="O121" s="9" t="str">
        <f>IFERROR(VLOOKUP($K121,baseline!$A:$AK,O$3,FALSE),"")</f>
        <v/>
      </c>
      <c r="P121" s="9" t="str">
        <f>IFERROR(VLOOKUP($K121,baseline!$A:$AK,P$3,FALSE),"")</f>
        <v/>
      </c>
      <c r="T121" t="str">
        <f t="shared" si="9"/>
        <v>CI_toe_cmga_sres_0</v>
      </c>
      <c r="U121" s="9" t="str">
        <f t="shared" si="10"/>
        <v/>
      </c>
      <c r="V121" s="9" t="str">
        <f t="shared" si="11"/>
        <v/>
      </c>
      <c r="W121" s="9" t="str">
        <f t="shared" si="12"/>
        <v/>
      </c>
      <c r="X121" s="9" t="str">
        <f t="shared" si="13"/>
        <v/>
      </c>
      <c r="Y121" s="9" t="str">
        <f t="shared" si="14"/>
        <v/>
      </c>
    </row>
    <row r="122" spans="1:25" x14ac:dyDescent="0.3">
      <c r="A122" s="2" t="s">
        <v>143</v>
      </c>
      <c r="B122" s="2" t="s">
        <v>157</v>
      </c>
      <c r="C122" s="7">
        <v>3.6916614760280103E-2</v>
      </c>
      <c r="D122" s="8">
        <v>3.6916614760280103E-2</v>
      </c>
      <c r="E122" s="8">
        <v>3.6916614760280103E-2</v>
      </c>
      <c r="F122" s="8">
        <v>3.6916614760280103E-2</v>
      </c>
      <c r="G122" s="8">
        <v>3.6916614760280103E-2</v>
      </c>
      <c r="K122" t="str">
        <f t="shared" si="15"/>
        <v>CI_toe_cbiog_sres_0</v>
      </c>
      <c r="L122" s="9" t="str">
        <f>IFERROR(VLOOKUP($K122,baseline!$A:$AK,L$3,FALSE),"")</f>
        <v/>
      </c>
      <c r="M122" s="9" t="str">
        <f>IFERROR(VLOOKUP($K122,baseline!$A:$AK,M$3,FALSE),"")</f>
        <v/>
      </c>
      <c r="N122" s="9" t="str">
        <f>IFERROR(VLOOKUP($K122,baseline!$A:$AK,N$3,FALSE),"")</f>
        <v/>
      </c>
      <c r="O122" s="9" t="str">
        <f>IFERROR(VLOOKUP($K122,baseline!$A:$AK,O$3,FALSE),"")</f>
        <v/>
      </c>
      <c r="P122" s="9" t="str">
        <f>IFERROR(VLOOKUP($K122,baseline!$A:$AK,P$3,FALSE),"")</f>
        <v/>
      </c>
      <c r="T122" t="str">
        <f t="shared" si="9"/>
        <v>CI_toe_cbiog_sres_0</v>
      </c>
      <c r="U122" s="9" t="str">
        <f t="shared" si="10"/>
        <v/>
      </c>
      <c r="V122" s="9" t="str">
        <f t="shared" si="11"/>
        <v/>
      </c>
      <c r="W122" s="9" t="str">
        <f t="shared" si="12"/>
        <v/>
      </c>
      <c r="X122" s="9" t="str">
        <f t="shared" si="13"/>
        <v/>
      </c>
      <c r="Y122" s="9" t="str">
        <f t="shared" si="14"/>
        <v/>
      </c>
    </row>
    <row r="123" spans="1:25" x14ac:dyDescent="0.3">
      <c r="A123" s="2" t="s">
        <v>144</v>
      </c>
      <c r="B123" s="2" t="s">
        <v>157</v>
      </c>
      <c r="C123" s="7">
        <v>0.21766847110576801</v>
      </c>
      <c r="D123" s="8">
        <v>0.54765620253385694</v>
      </c>
      <c r="E123" s="8">
        <v>0.66171356381713764</v>
      </c>
      <c r="F123" s="8">
        <v>0.66171356381713764</v>
      </c>
      <c r="G123" s="8">
        <v>0.66171356381713764</v>
      </c>
      <c r="K123" t="str">
        <f t="shared" si="15"/>
        <v>CI_toe_cbiom_sres_0</v>
      </c>
      <c r="L123" s="9" t="str">
        <f>IFERROR(VLOOKUP($K123,baseline!$A:$AK,L$3,FALSE),"")</f>
        <v/>
      </c>
      <c r="M123" s="9" t="str">
        <f>IFERROR(VLOOKUP($K123,baseline!$A:$AK,M$3,FALSE),"")</f>
        <v/>
      </c>
      <c r="N123" s="9" t="str">
        <f>IFERROR(VLOOKUP($K123,baseline!$A:$AK,N$3,FALSE),"")</f>
        <v/>
      </c>
      <c r="O123" s="9" t="str">
        <f>IFERROR(VLOOKUP($K123,baseline!$A:$AK,O$3,FALSE),"")</f>
        <v/>
      </c>
      <c r="P123" s="9" t="str">
        <f>IFERROR(VLOOKUP($K123,baseline!$A:$AK,P$3,FALSE),"")</f>
        <v/>
      </c>
      <c r="T123" t="str">
        <f t="shared" si="9"/>
        <v>CI_toe_cbiom_sres_0</v>
      </c>
      <c r="U123" s="9" t="str">
        <f t="shared" si="10"/>
        <v/>
      </c>
      <c r="V123" s="9" t="str">
        <f t="shared" si="11"/>
        <v/>
      </c>
      <c r="W123" s="9" t="str">
        <f t="shared" si="12"/>
        <v/>
      </c>
      <c r="X123" s="9" t="str">
        <f t="shared" si="13"/>
        <v/>
      </c>
      <c r="Y123" s="9" t="str">
        <f t="shared" si="14"/>
        <v/>
      </c>
    </row>
    <row r="124" spans="1:25" x14ac:dyDescent="0.3">
      <c r="A124" s="2" t="s">
        <v>145</v>
      </c>
      <c r="B124" s="2" t="s">
        <v>157</v>
      </c>
      <c r="C124" s="7">
        <v>1.1488E-2</v>
      </c>
      <c r="D124" s="8">
        <v>1.351071236550023E-2</v>
      </c>
      <c r="E124" s="8">
        <v>1.4805228279375159E-2</v>
      </c>
      <c r="F124" s="8">
        <v>1.4805228279375159E-2</v>
      </c>
      <c r="G124" s="8">
        <v>1.4805228279375159E-2</v>
      </c>
      <c r="K124" t="str">
        <f t="shared" si="15"/>
        <v>CI_toe_cbiof_sres_0</v>
      </c>
      <c r="L124" s="9" t="str">
        <f>IFERROR(VLOOKUP($K124,baseline!$A:$AK,L$3,FALSE),"")</f>
        <v/>
      </c>
      <c r="M124" s="9" t="str">
        <f>IFERROR(VLOOKUP($K124,baseline!$A:$AK,M$3,FALSE),"")</f>
        <v/>
      </c>
      <c r="N124" s="9" t="str">
        <f>IFERROR(VLOOKUP($K124,baseline!$A:$AK,N$3,FALSE),"")</f>
        <v/>
      </c>
      <c r="O124" s="9" t="str">
        <f>IFERROR(VLOOKUP($K124,baseline!$A:$AK,O$3,FALSE),"")</f>
        <v/>
      </c>
      <c r="P124" s="9" t="str">
        <f>IFERROR(VLOOKUP($K124,baseline!$A:$AK,P$3,FALSE),"")</f>
        <v/>
      </c>
      <c r="T124" t="str">
        <f t="shared" si="9"/>
        <v>CI_toe_cbiof_sres_0</v>
      </c>
      <c r="U124" s="9" t="str">
        <f t="shared" si="10"/>
        <v/>
      </c>
      <c r="V124" s="9" t="str">
        <f t="shared" si="11"/>
        <v/>
      </c>
      <c r="W124" s="9" t="str">
        <f t="shared" si="12"/>
        <v/>
      </c>
      <c r="X124" s="9" t="str">
        <f t="shared" si="13"/>
        <v/>
      </c>
      <c r="Y124" s="9" t="str">
        <f t="shared" si="14"/>
        <v/>
      </c>
    </row>
    <row r="125" spans="1:25" x14ac:dyDescent="0.3">
      <c r="A125" s="56" t="s">
        <v>136</v>
      </c>
      <c r="B125" s="56" t="s">
        <v>158</v>
      </c>
      <c r="C125" s="57">
        <v>5.3899999999999998E-4</v>
      </c>
      <c r="D125" s="58">
        <v>5.3899999999999998E-4</v>
      </c>
      <c r="E125" s="58">
        <v>5.3899999999999998E-4</v>
      </c>
      <c r="F125" s="58">
        <v>5.3899999999999998E-4</v>
      </c>
      <c r="G125" s="58">
        <v>5.3899999999999998E-4</v>
      </c>
      <c r="H125" s="59"/>
      <c r="I125" s="59"/>
      <c r="J125" s="59"/>
      <c r="K125" s="59" t="str">
        <f>"CH_toe_"&amp;A125&amp;"_0"</f>
        <v>CH_toe_ccoa_0</v>
      </c>
      <c r="L125" s="58" t="str">
        <f>IFERROR(VLOOKUP($K125,baseline!$A:$AK,L$3,FALSE),"")</f>
        <v/>
      </c>
      <c r="M125" s="58" t="str">
        <f>IFERROR(VLOOKUP($K125,baseline!$A:$AK,M$3,FALSE),"")</f>
        <v/>
      </c>
      <c r="N125" s="58" t="str">
        <f>IFERROR(VLOOKUP($K125,baseline!$A:$AK,N$3,FALSE),"")</f>
        <v/>
      </c>
      <c r="O125" s="58" t="str">
        <f>IFERROR(VLOOKUP($K125,baseline!$A:$AK,O$3,FALSE),"")</f>
        <v/>
      </c>
      <c r="P125" s="58" t="str">
        <f>IFERROR(VLOOKUP($K125,baseline!$A:$AK,P$3,FALSE),"")</f>
        <v/>
      </c>
      <c r="Q125" s="59"/>
      <c r="R125" s="59"/>
      <c r="S125" s="59"/>
      <c r="T125" s="59" t="str">
        <f t="shared" si="9"/>
        <v>CH_toe_ccoa_0</v>
      </c>
      <c r="U125" s="58" t="str">
        <f t="shared" si="10"/>
        <v/>
      </c>
      <c r="V125" s="58" t="str">
        <f t="shared" si="11"/>
        <v/>
      </c>
      <c r="W125" s="58" t="str">
        <f t="shared" si="12"/>
        <v/>
      </c>
      <c r="X125" s="58" t="str">
        <f t="shared" si="13"/>
        <v/>
      </c>
      <c r="Y125" s="58" t="str">
        <f t="shared" si="14"/>
        <v/>
      </c>
    </row>
    <row r="126" spans="1:25" x14ac:dyDescent="0.3">
      <c r="A126" s="56" t="s">
        <v>137</v>
      </c>
      <c r="B126" s="56" t="s">
        <v>158</v>
      </c>
      <c r="C126" s="57">
        <v>0</v>
      </c>
      <c r="D126" s="58">
        <v>0</v>
      </c>
      <c r="E126" s="58">
        <v>0</v>
      </c>
      <c r="F126" s="58">
        <v>0</v>
      </c>
      <c r="G126" s="58">
        <v>0</v>
      </c>
      <c r="H126" s="59"/>
      <c r="I126" s="59"/>
      <c r="J126" s="59"/>
      <c r="K126" s="59" t="str">
        <f t="shared" ref="K126:K135" si="16">"CH_toe_"&amp;A126&amp;"_0"</f>
        <v>CH_toe_coil_0</v>
      </c>
      <c r="L126" s="58" t="str">
        <f>IFERROR(VLOOKUP($K126,baseline!$A:$AK,L$3,FALSE),"")</f>
        <v/>
      </c>
      <c r="M126" s="58" t="str">
        <f>IFERROR(VLOOKUP($K126,baseline!$A:$AK,M$3,FALSE),"")</f>
        <v/>
      </c>
      <c r="N126" s="58" t="str">
        <f>IFERROR(VLOOKUP($K126,baseline!$A:$AK,N$3,FALSE),"")</f>
        <v/>
      </c>
      <c r="O126" s="58" t="str">
        <f>IFERROR(VLOOKUP($K126,baseline!$A:$AK,O$3,FALSE),"")</f>
        <v/>
      </c>
      <c r="P126" s="58" t="str">
        <f>IFERROR(VLOOKUP($K126,baseline!$A:$AK,P$3,FALSE),"")</f>
        <v/>
      </c>
      <c r="Q126" s="59"/>
      <c r="R126" s="59"/>
      <c r="S126" s="59"/>
      <c r="T126" s="59" t="str">
        <f t="shared" si="9"/>
        <v>CH_toe_coil_0</v>
      </c>
      <c r="U126" s="58" t="str">
        <f t="shared" si="10"/>
        <v/>
      </c>
      <c r="V126" s="58" t="str">
        <f t="shared" si="11"/>
        <v/>
      </c>
      <c r="W126" s="58" t="str">
        <f t="shared" si="12"/>
        <v/>
      </c>
      <c r="X126" s="58" t="str">
        <f t="shared" si="13"/>
        <v/>
      </c>
      <c r="Y126" s="58" t="str">
        <f t="shared" si="14"/>
        <v/>
      </c>
    </row>
    <row r="127" spans="1:25" x14ac:dyDescent="0.3">
      <c r="A127" s="56" t="s">
        <v>138</v>
      </c>
      <c r="B127" s="56" t="s">
        <v>158</v>
      </c>
      <c r="C127" s="57">
        <v>7.8688382476314196</v>
      </c>
      <c r="D127" s="58">
        <v>6.8116023586470416</v>
      </c>
      <c r="E127" s="58">
        <v>3.4058011793235208</v>
      </c>
      <c r="F127" s="58">
        <v>1.7029005896617604</v>
      </c>
      <c r="G127" s="58">
        <v>0.85145029483088019</v>
      </c>
      <c r="H127" s="59"/>
      <c r="I127" s="59"/>
      <c r="J127" s="59"/>
      <c r="K127" s="59" t="str">
        <f t="shared" si="16"/>
        <v>CH_toe_cfue_0</v>
      </c>
      <c r="L127" s="58" t="str">
        <f>IFERROR(VLOOKUP($K127,baseline!$A:$AK,L$3,FALSE),"")</f>
        <v/>
      </c>
      <c r="M127" s="58" t="str">
        <f>IFERROR(VLOOKUP($K127,baseline!$A:$AK,M$3,FALSE),"")</f>
        <v/>
      </c>
      <c r="N127" s="58" t="str">
        <f>IFERROR(VLOOKUP($K127,baseline!$A:$AK,N$3,FALSE),"")</f>
        <v/>
      </c>
      <c r="O127" s="58" t="str">
        <f>IFERROR(VLOOKUP($K127,baseline!$A:$AK,O$3,FALSE),"")</f>
        <v/>
      </c>
      <c r="P127" s="58" t="str">
        <f>IFERROR(VLOOKUP($K127,baseline!$A:$AK,P$3,FALSE),"")</f>
        <v/>
      </c>
      <c r="Q127" s="59"/>
      <c r="R127" s="59"/>
      <c r="S127" s="59"/>
      <c r="T127" s="59" t="str">
        <f t="shared" si="9"/>
        <v>CH_toe_cfue_0</v>
      </c>
      <c r="U127" s="58" t="str">
        <f t="shared" si="10"/>
        <v/>
      </c>
      <c r="V127" s="58" t="str">
        <f t="shared" si="11"/>
        <v/>
      </c>
      <c r="W127" s="58" t="str">
        <f t="shared" si="12"/>
        <v/>
      </c>
      <c r="X127" s="58" t="str">
        <f t="shared" si="13"/>
        <v/>
      </c>
      <c r="Y127" s="58" t="str">
        <f t="shared" si="14"/>
        <v/>
      </c>
    </row>
    <row r="128" spans="1:25" x14ac:dyDescent="0.3">
      <c r="A128" s="56" t="s">
        <v>139</v>
      </c>
      <c r="B128" s="56" t="s">
        <v>158</v>
      </c>
      <c r="C128" s="57">
        <v>0</v>
      </c>
      <c r="D128" s="58">
        <v>0</v>
      </c>
      <c r="E128" s="58">
        <v>0</v>
      </c>
      <c r="F128" s="58">
        <v>0</v>
      </c>
      <c r="G128" s="58">
        <v>0</v>
      </c>
      <c r="H128" s="59"/>
      <c r="I128" s="59"/>
      <c r="J128" s="59"/>
      <c r="K128" s="59" t="str">
        <f t="shared" si="16"/>
        <v>CH_toe_cpch_0</v>
      </c>
      <c r="L128" s="58" t="str">
        <f>IFERROR(VLOOKUP($K128,baseline!$A:$AK,L$3,FALSE),"")</f>
        <v/>
      </c>
      <c r="M128" s="58" t="str">
        <f>IFERROR(VLOOKUP($K128,baseline!$A:$AK,M$3,FALSE),"")</f>
        <v/>
      </c>
      <c r="N128" s="58" t="str">
        <f>IFERROR(VLOOKUP($K128,baseline!$A:$AK,N$3,FALSE),"")</f>
        <v/>
      </c>
      <c r="O128" s="58" t="str">
        <f>IFERROR(VLOOKUP($K128,baseline!$A:$AK,O$3,FALSE),"")</f>
        <v/>
      </c>
      <c r="P128" s="58" t="str">
        <f>IFERROR(VLOOKUP($K128,baseline!$A:$AK,P$3,FALSE),"")</f>
        <v/>
      </c>
      <c r="Q128" s="59"/>
      <c r="R128" s="59"/>
      <c r="S128" s="59"/>
      <c r="T128" s="59" t="str">
        <f t="shared" si="9"/>
        <v>CH_toe_cpch_0</v>
      </c>
      <c r="U128" s="58" t="str">
        <f t="shared" si="10"/>
        <v/>
      </c>
      <c r="V128" s="58" t="str">
        <f t="shared" si="11"/>
        <v/>
      </c>
      <c r="W128" s="58" t="str">
        <f t="shared" si="12"/>
        <v/>
      </c>
      <c r="X128" s="58" t="str">
        <f t="shared" si="13"/>
        <v/>
      </c>
      <c r="Y128" s="58" t="str">
        <f t="shared" si="14"/>
        <v/>
      </c>
    </row>
    <row r="129" spans="1:27" x14ac:dyDescent="0.3">
      <c r="A129" s="56" t="s">
        <v>140</v>
      </c>
      <c r="B129" s="56" t="s">
        <v>158</v>
      </c>
      <c r="C129" s="57">
        <v>1.95824097593215</v>
      </c>
      <c r="D129" s="58">
        <v>1.9566788576967291</v>
      </c>
      <c r="E129" s="58">
        <v>1.2318419684507009</v>
      </c>
      <c r="F129" s="58">
        <v>2.3537568725827245</v>
      </c>
      <c r="G129" s="58">
        <v>3.5073777300301234</v>
      </c>
      <c r="H129" s="59"/>
      <c r="I129" s="59"/>
      <c r="J129" s="59"/>
      <c r="K129" s="59" t="str">
        <f t="shared" si="16"/>
        <v>CH_toe_cele_0</v>
      </c>
      <c r="L129" s="58" t="str">
        <f>IFERROR(VLOOKUP($K129,baseline!$A:$AK,L$3,FALSE),"")</f>
        <v/>
      </c>
      <c r="M129" s="58" t="str">
        <f>IFERROR(VLOOKUP($K129,baseline!$A:$AK,M$3,FALSE),"")</f>
        <v/>
      </c>
      <c r="N129" s="58" t="str">
        <f>IFERROR(VLOOKUP($K129,baseline!$A:$AK,N$3,FALSE),"")</f>
        <v/>
      </c>
      <c r="O129" s="58" t="str">
        <f>IFERROR(VLOOKUP($K129,baseline!$A:$AK,O$3,FALSE),"")</f>
        <v/>
      </c>
      <c r="P129" s="58" t="str">
        <f>IFERROR(VLOOKUP($K129,baseline!$A:$AK,P$3,FALSE),"")</f>
        <v/>
      </c>
      <c r="Q129" s="59"/>
      <c r="R129" s="59"/>
      <c r="S129" s="59"/>
      <c r="T129" s="59" t="str">
        <f t="shared" si="9"/>
        <v>CH_toe_cele_0</v>
      </c>
      <c r="U129" s="58" t="str">
        <f t="shared" si="10"/>
        <v/>
      </c>
      <c r="V129" s="58" t="str">
        <f t="shared" si="11"/>
        <v/>
      </c>
      <c r="W129" s="58" t="str">
        <f t="shared" si="12"/>
        <v/>
      </c>
      <c r="X129" s="58" t="str">
        <f t="shared" si="13"/>
        <v/>
      </c>
      <c r="Y129" s="58" t="str">
        <f t="shared" si="14"/>
        <v/>
      </c>
    </row>
    <row r="130" spans="1:27" x14ac:dyDescent="0.3">
      <c r="A130" s="56" t="s">
        <v>141</v>
      </c>
      <c r="B130" s="56" t="s">
        <v>158</v>
      </c>
      <c r="C130" s="57">
        <v>6.8436444611094096</v>
      </c>
      <c r="D130" s="58">
        <v>6.0731101731865351</v>
      </c>
      <c r="E130" s="58">
        <v>5.5016912453615205</v>
      </c>
      <c r="F130" s="58">
        <v>3.3907405754498927</v>
      </c>
      <c r="G130" s="58">
        <v>1.8499421915887735</v>
      </c>
      <c r="H130" s="59"/>
      <c r="I130" s="59"/>
      <c r="J130" s="59"/>
      <c r="K130" s="59" t="str">
        <f t="shared" si="16"/>
        <v>CH_toe_cgas_0</v>
      </c>
      <c r="L130" s="58" t="str">
        <f>IFERROR(VLOOKUP($K130,baseline!$A:$AK,L$3,FALSE),"")</f>
        <v/>
      </c>
      <c r="M130" s="58" t="str">
        <f>IFERROR(VLOOKUP($K130,baseline!$A:$AK,M$3,FALSE),"")</f>
        <v/>
      </c>
      <c r="N130" s="58" t="str">
        <f>IFERROR(VLOOKUP($K130,baseline!$A:$AK,N$3,FALSE),"")</f>
        <v/>
      </c>
      <c r="O130" s="58" t="str">
        <f>IFERROR(VLOOKUP($K130,baseline!$A:$AK,O$3,FALSE),"")</f>
        <v/>
      </c>
      <c r="P130" s="58" t="str">
        <f>IFERROR(VLOOKUP($K130,baseline!$A:$AK,P$3,FALSE),"")</f>
        <v/>
      </c>
      <c r="Q130" s="59"/>
      <c r="R130" s="59"/>
      <c r="S130" s="59"/>
      <c r="T130" s="59" t="str">
        <f t="shared" si="9"/>
        <v>CH_toe_cgas_0</v>
      </c>
      <c r="U130" s="58" t="str">
        <f t="shared" si="10"/>
        <v/>
      </c>
      <c r="V130" s="58" t="str">
        <f t="shared" si="11"/>
        <v/>
      </c>
      <c r="W130" s="58" t="str">
        <f t="shared" si="12"/>
        <v/>
      </c>
      <c r="X130" s="58" t="str">
        <f t="shared" si="13"/>
        <v/>
      </c>
      <c r="Y130" s="58" t="str">
        <f t="shared" si="14"/>
        <v/>
      </c>
    </row>
    <row r="131" spans="1:27" x14ac:dyDescent="0.3">
      <c r="A131" s="56" t="s">
        <v>142</v>
      </c>
      <c r="B131" s="56" t="s">
        <v>158</v>
      </c>
      <c r="C131" s="57">
        <v>0</v>
      </c>
      <c r="D131" s="58">
        <v>0</v>
      </c>
      <c r="E131" s="58">
        <v>0</v>
      </c>
      <c r="F131" s="58">
        <v>0</v>
      </c>
      <c r="G131" s="58">
        <v>0</v>
      </c>
      <c r="H131" s="59"/>
      <c r="I131" s="59"/>
      <c r="J131" s="59"/>
      <c r="K131" s="59" t="str">
        <f t="shared" si="16"/>
        <v>CH_toe_cmga_0</v>
      </c>
      <c r="L131" s="58" t="str">
        <f>IFERROR(VLOOKUP($K131,baseline!$A:$AK,L$3,FALSE),"")</f>
        <v/>
      </c>
      <c r="M131" s="58" t="str">
        <f>IFERROR(VLOOKUP($K131,baseline!$A:$AK,M$3,FALSE),"")</f>
        <v/>
      </c>
      <c r="N131" s="58" t="str">
        <f>IFERROR(VLOOKUP($K131,baseline!$A:$AK,N$3,FALSE),"")</f>
        <v/>
      </c>
      <c r="O131" s="58" t="str">
        <f>IFERROR(VLOOKUP($K131,baseline!$A:$AK,O$3,FALSE),"")</f>
        <v/>
      </c>
      <c r="P131" s="58" t="str">
        <f>IFERROR(VLOOKUP($K131,baseline!$A:$AK,P$3,FALSE),"")</f>
        <v/>
      </c>
      <c r="Q131" s="59"/>
      <c r="R131" s="59"/>
      <c r="S131" s="59"/>
      <c r="T131" s="59" t="str">
        <f t="shared" si="9"/>
        <v>CH_toe_cmga_0</v>
      </c>
      <c r="U131" s="58" t="str">
        <f t="shared" si="10"/>
        <v/>
      </c>
      <c r="V131" s="58" t="str">
        <f t="shared" si="11"/>
        <v/>
      </c>
      <c r="W131" s="58" t="str">
        <f t="shared" si="12"/>
        <v/>
      </c>
      <c r="X131" s="58" t="str">
        <f t="shared" si="13"/>
        <v/>
      </c>
      <c r="Y131" s="58" t="str">
        <f t="shared" si="14"/>
        <v/>
      </c>
    </row>
    <row r="132" spans="1:27" x14ac:dyDescent="0.3">
      <c r="A132" s="56" t="s">
        <v>143</v>
      </c>
      <c r="B132" s="56" t="s">
        <v>158</v>
      </c>
      <c r="C132" s="57">
        <v>0</v>
      </c>
      <c r="D132" s="58">
        <v>0</v>
      </c>
      <c r="E132" s="58">
        <v>0</v>
      </c>
      <c r="F132" s="58">
        <v>0</v>
      </c>
      <c r="G132" s="58">
        <v>0</v>
      </c>
      <c r="H132" s="59"/>
      <c r="I132" s="59"/>
      <c r="J132" s="59"/>
      <c r="K132" s="59" t="str">
        <f t="shared" si="16"/>
        <v>CH_toe_cbiog_0</v>
      </c>
      <c r="L132" s="58" t="str">
        <f>IFERROR(VLOOKUP($K132,baseline!$A:$AK,L$3,FALSE),"")</f>
        <v/>
      </c>
      <c r="M132" s="58" t="str">
        <f>IFERROR(VLOOKUP($K132,baseline!$A:$AK,M$3,FALSE),"")</f>
        <v/>
      </c>
      <c r="N132" s="58" t="str">
        <f>IFERROR(VLOOKUP($K132,baseline!$A:$AK,N$3,FALSE),"")</f>
        <v/>
      </c>
      <c r="O132" s="58" t="str">
        <f>IFERROR(VLOOKUP($K132,baseline!$A:$AK,O$3,FALSE),"")</f>
        <v/>
      </c>
      <c r="P132" s="58" t="str">
        <f>IFERROR(VLOOKUP($K132,baseline!$A:$AK,P$3,FALSE),"")</f>
        <v/>
      </c>
      <c r="Q132" s="59"/>
      <c r="R132" s="59"/>
      <c r="S132" s="59"/>
      <c r="T132" s="59" t="str">
        <f t="shared" si="9"/>
        <v>CH_toe_cbiog_0</v>
      </c>
      <c r="U132" s="58" t="str">
        <f t="shared" si="10"/>
        <v/>
      </c>
      <c r="V132" s="58" t="str">
        <f t="shared" si="11"/>
        <v/>
      </c>
      <c r="W132" s="58" t="str">
        <f t="shared" si="12"/>
        <v/>
      </c>
      <c r="X132" s="58" t="str">
        <f t="shared" si="13"/>
        <v/>
      </c>
      <c r="Y132" s="58" t="str">
        <f t="shared" si="14"/>
        <v/>
      </c>
    </row>
    <row r="133" spans="1:27" x14ac:dyDescent="0.3">
      <c r="A133" s="56" t="s">
        <v>144</v>
      </c>
      <c r="B133" s="56" t="s">
        <v>158</v>
      </c>
      <c r="C133" s="57">
        <v>0.39990399999999998</v>
      </c>
      <c r="D133" s="58">
        <v>0.37531742400366791</v>
      </c>
      <c r="E133" s="58">
        <v>2.2081303076335146E-3</v>
      </c>
      <c r="F133" s="58">
        <v>1.4189979179803192E-2</v>
      </c>
      <c r="G133" s="58">
        <v>0.44154766599789819</v>
      </c>
      <c r="H133" s="59"/>
      <c r="I133" s="59"/>
      <c r="J133" s="59"/>
      <c r="K133" s="59" t="str">
        <f t="shared" si="16"/>
        <v>CH_toe_cbiom_0</v>
      </c>
      <c r="L133" s="58" t="str">
        <f>IFERROR(VLOOKUP($K133,baseline!$A:$AK,L$3,FALSE),"")</f>
        <v/>
      </c>
      <c r="M133" s="58" t="str">
        <f>IFERROR(VLOOKUP($K133,baseline!$A:$AK,M$3,FALSE),"")</f>
        <v/>
      </c>
      <c r="N133" s="58" t="str">
        <f>IFERROR(VLOOKUP($K133,baseline!$A:$AK,N$3,FALSE),"")</f>
        <v/>
      </c>
      <c r="O133" s="58" t="str">
        <f>IFERROR(VLOOKUP($K133,baseline!$A:$AK,O$3,FALSE),"")</f>
        <v/>
      </c>
      <c r="P133" s="58" t="str">
        <f>IFERROR(VLOOKUP($K133,baseline!$A:$AK,P$3,FALSE),"")</f>
        <v/>
      </c>
      <c r="Q133" s="59"/>
      <c r="R133" s="59"/>
      <c r="S133" s="59"/>
      <c r="T133" s="59" t="str">
        <f t="shared" si="9"/>
        <v>CH_toe_cbiom_0</v>
      </c>
      <c r="U133" s="58" t="str">
        <f t="shared" si="10"/>
        <v/>
      </c>
      <c r="V133" s="58" t="str">
        <f t="shared" si="11"/>
        <v/>
      </c>
      <c r="W133" s="58" t="str">
        <f t="shared" si="12"/>
        <v/>
      </c>
      <c r="X133" s="58" t="str">
        <f t="shared" si="13"/>
        <v/>
      </c>
      <c r="Y133" s="58" t="str">
        <f t="shared" si="14"/>
        <v/>
      </c>
    </row>
    <row r="134" spans="1:27" x14ac:dyDescent="0.3">
      <c r="A134" s="56" t="s">
        <v>145</v>
      </c>
      <c r="B134" s="56" t="s">
        <v>158</v>
      </c>
      <c r="C134" s="57">
        <v>0.244713347341076</v>
      </c>
      <c r="D134" s="58">
        <v>0.244713347341076</v>
      </c>
      <c r="E134" s="58">
        <v>0.122356673670538</v>
      </c>
      <c r="F134" s="58">
        <v>6.1178336835269E-2</v>
      </c>
      <c r="G134" s="58">
        <v>3.05891684176345E-2</v>
      </c>
      <c r="H134" s="59"/>
      <c r="I134" s="59"/>
      <c r="J134" s="59"/>
      <c r="K134" s="59" t="str">
        <f t="shared" si="16"/>
        <v>CH_toe_cbiof_0</v>
      </c>
      <c r="L134" s="58" t="str">
        <f>IFERROR(VLOOKUP($K134,baseline!$A:$AK,L$3,FALSE),"")</f>
        <v/>
      </c>
      <c r="M134" s="58" t="str">
        <f>IFERROR(VLOOKUP($K134,baseline!$A:$AK,M$3,FALSE),"")</f>
        <v/>
      </c>
      <c r="N134" s="58" t="str">
        <f>IFERROR(VLOOKUP($K134,baseline!$A:$AK,N$3,FALSE),"")</f>
        <v/>
      </c>
      <c r="O134" s="58" t="str">
        <f>IFERROR(VLOOKUP($K134,baseline!$A:$AK,O$3,FALSE),"")</f>
        <v/>
      </c>
      <c r="P134" s="58" t="str">
        <f>IFERROR(VLOOKUP($K134,baseline!$A:$AK,P$3,FALSE),"")</f>
        <v/>
      </c>
      <c r="Q134" s="59"/>
      <c r="R134" s="59"/>
      <c r="S134" s="59"/>
      <c r="T134" s="59" t="str">
        <f t="shared" ref="T134:T135" si="17">K134</f>
        <v>CH_toe_cbiof_0</v>
      </c>
      <c r="U134" s="58" t="str">
        <f t="shared" ref="U134:U135" si="18">IFERROR(L134-C134,"")</f>
        <v/>
      </c>
      <c r="V134" s="58" t="str">
        <f t="shared" ref="V134:V135" si="19">IFERROR(M134-D134,"")</f>
        <v/>
      </c>
      <c r="W134" s="58" t="str">
        <f t="shared" ref="W134:W135" si="20">IFERROR(N134-E134,"")</f>
        <v/>
      </c>
      <c r="X134" s="58" t="str">
        <f t="shared" ref="X134:X135" si="21">IFERROR(O134-F134,"")</f>
        <v/>
      </c>
      <c r="Y134" s="58" t="str">
        <f t="shared" ref="Y134:Y135" si="22">IFERROR(P134-G134,"")</f>
        <v/>
      </c>
    </row>
    <row r="135" spans="1:27" x14ac:dyDescent="0.3">
      <c r="A135" s="56" t="s">
        <v>146</v>
      </c>
      <c r="B135" s="56" t="s">
        <v>158</v>
      </c>
      <c r="C135" s="57">
        <v>0.28847800000000001</v>
      </c>
      <c r="D135" s="58">
        <v>0.39124730885430226</v>
      </c>
      <c r="E135" s="58">
        <v>0.78102953221126348</v>
      </c>
      <c r="F135" s="58">
        <v>1.3547291351282227</v>
      </c>
      <c r="G135" s="58">
        <v>1.58892292333048</v>
      </c>
      <c r="H135" s="59"/>
      <c r="I135" s="59"/>
      <c r="J135" s="59"/>
      <c r="K135" s="59" t="str">
        <f t="shared" si="16"/>
        <v>CH_toe_chea_0</v>
      </c>
      <c r="L135" s="58" t="str">
        <f>IFERROR(VLOOKUP($K135,baseline!$A:$AK,L$3,FALSE),"")</f>
        <v/>
      </c>
      <c r="M135" s="58" t="str">
        <f>IFERROR(VLOOKUP($K135,baseline!$A:$AK,M$3,FALSE),"")</f>
        <v/>
      </c>
      <c r="N135" s="58" t="str">
        <f>IFERROR(VLOOKUP($K135,baseline!$A:$AK,N$3,FALSE),"")</f>
        <v/>
      </c>
      <c r="O135" s="58" t="str">
        <f>IFERROR(VLOOKUP($K135,baseline!$A:$AK,O$3,FALSE),"")</f>
        <v/>
      </c>
      <c r="P135" s="58" t="str">
        <f>IFERROR(VLOOKUP($K135,baseline!$A:$AK,P$3,FALSE),"")</f>
        <v/>
      </c>
      <c r="Q135" s="59"/>
      <c r="R135" s="59"/>
      <c r="S135" s="59"/>
      <c r="T135" s="59" t="str">
        <f t="shared" si="17"/>
        <v>CH_toe_chea_0</v>
      </c>
      <c r="U135" s="58" t="str">
        <f t="shared" si="18"/>
        <v/>
      </c>
      <c r="V135" s="58" t="str">
        <f t="shared" si="19"/>
        <v/>
      </c>
      <c r="W135" s="58" t="str">
        <f t="shared" si="20"/>
        <v/>
      </c>
      <c r="X135" s="58" t="str">
        <f t="shared" si="21"/>
        <v/>
      </c>
      <c r="Y135" s="58" t="str">
        <f t="shared" si="22"/>
        <v/>
      </c>
    </row>
    <row r="136" spans="1:27" s="60" customFormat="1" x14ac:dyDescent="0.3">
      <c r="C136" s="6">
        <v>47.093346445140014</v>
      </c>
      <c r="D136" s="3"/>
      <c r="E136" s="6">
        <v>39.896537598261709</v>
      </c>
      <c r="F136" s="6">
        <v>33.820555627877063</v>
      </c>
      <c r="G136" s="6">
        <v>32.488545455106767</v>
      </c>
      <c r="L136" s="61">
        <f>SUM(L5:L135)</f>
        <v>0</v>
      </c>
      <c r="M136" s="61">
        <f t="shared" ref="M136:P136" si="23">SUM(M5:M135)</f>
        <v>0</v>
      </c>
      <c r="N136" s="61">
        <f t="shared" si="23"/>
        <v>0</v>
      </c>
      <c r="O136" s="61">
        <f t="shared" si="23"/>
        <v>0</v>
      </c>
      <c r="P136" s="61">
        <f t="shared" si="23"/>
        <v>0</v>
      </c>
      <c r="U136" s="62">
        <f t="shared" ref="U136:Y136" si="24">SUM(U5:U135)</f>
        <v>0</v>
      </c>
      <c r="V136" s="62">
        <f t="shared" si="24"/>
        <v>0</v>
      </c>
      <c r="W136" s="62">
        <f t="shared" si="24"/>
        <v>0</v>
      </c>
      <c r="X136" s="62">
        <f t="shared" si="24"/>
        <v>0</v>
      </c>
      <c r="Y136" s="62">
        <f t="shared" si="24"/>
        <v>0</v>
      </c>
      <c r="AA136" s="63" t="s">
        <v>170</v>
      </c>
    </row>
    <row r="137" spans="1:27" x14ac:dyDescent="0.3">
      <c r="C137" s="4">
        <v>1971.7042289651222</v>
      </c>
      <c r="D137" s="13"/>
      <c r="E137" s="4">
        <v>1670.3882361640212</v>
      </c>
      <c r="F137" s="4">
        <v>1415.999023027957</v>
      </c>
      <c r="G137" s="4">
        <v>1360.2304211144101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4B4FE-CAF0-4FE8-90C9-54EF80FD97C4}">
  <sheetPr>
    <tabColor theme="5"/>
  </sheetPr>
  <dimension ref="A1:AV97"/>
  <sheetViews>
    <sheetView zoomScale="85" zoomScaleNormal="85" workbookViewId="0">
      <selection activeCell="AU23" sqref="AU23"/>
    </sheetView>
  </sheetViews>
  <sheetFormatPr defaultRowHeight="14.4" x14ac:dyDescent="0.3"/>
  <cols>
    <col min="2" max="2" width="27.5546875" customWidth="1"/>
    <col min="3" max="3" width="43.88671875" bestFit="1" customWidth="1"/>
    <col min="4" max="4" width="22.33203125" customWidth="1"/>
    <col min="5" max="5" width="12" bestFit="1" customWidth="1"/>
  </cols>
  <sheetData>
    <row r="1" spans="1:48" s="12" customFormat="1" ht="19.8" x14ac:dyDescent="0.4">
      <c r="A1" s="11" t="s">
        <v>159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</row>
    <row r="2" spans="1:48" x14ac:dyDescent="0.3">
      <c r="E2" s="14">
        <v>2</v>
      </c>
      <c r="F2" s="14">
        <v>3</v>
      </c>
      <c r="G2" s="14">
        <v>4</v>
      </c>
      <c r="H2" s="14">
        <v>5</v>
      </c>
      <c r="I2" s="14">
        <v>6</v>
      </c>
      <c r="J2" s="14">
        <v>7</v>
      </c>
      <c r="K2" s="14">
        <v>8</v>
      </c>
      <c r="L2" s="14">
        <v>9</v>
      </c>
      <c r="M2" s="14">
        <v>10</v>
      </c>
      <c r="N2" s="14">
        <v>11</v>
      </c>
      <c r="O2" s="14">
        <v>12</v>
      </c>
      <c r="P2" s="14">
        <v>13</v>
      </c>
      <c r="Q2" s="14">
        <v>14</v>
      </c>
      <c r="R2" s="14">
        <v>15</v>
      </c>
      <c r="S2" s="14">
        <v>16</v>
      </c>
      <c r="T2" s="14">
        <v>17</v>
      </c>
      <c r="U2" s="14">
        <v>18</v>
      </c>
      <c r="V2" s="14">
        <v>19</v>
      </c>
      <c r="W2" s="14">
        <v>20</v>
      </c>
      <c r="X2" s="14">
        <v>21</v>
      </c>
      <c r="Y2" s="14">
        <v>22</v>
      </c>
      <c r="Z2" s="14">
        <v>23</v>
      </c>
      <c r="AA2" s="14">
        <v>24</v>
      </c>
      <c r="AB2" s="14">
        <v>25</v>
      </c>
      <c r="AC2" s="14">
        <v>26</v>
      </c>
      <c r="AD2" s="14">
        <v>27</v>
      </c>
      <c r="AE2" s="14">
        <v>28</v>
      </c>
      <c r="AF2" s="14">
        <v>29</v>
      </c>
      <c r="AG2" s="14">
        <v>30</v>
      </c>
      <c r="AH2" s="14">
        <v>31</v>
      </c>
      <c r="AI2" s="14">
        <v>32</v>
      </c>
      <c r="AJ2" s="14">
        <v>33</v>
      </c>
      <c r="AK2" s="14">
        <v>34</v>
      </c>
      <c r="AL2" s="14">
        <v>35</v>
      </c>
      <c r="AM2" s="14">
        <v>36</v>
      </c>
      <c r="AN2" s="14">
        <v>37</v>
      </c>
    </row>
    <row r="3" spans="1:48" x14ac:dyDescent="0.3">
      <c r="D3" s="15"/>
      <c r="E3" s="5">
        <v>2015</v>
      </c>
      <c r="F3" s="5">
        <v>2016</v>
      </c>
      <c r="G3" s="5">
        <v>2017</v>
      </c>
      <c r="H3" s="5">
        <v>2018</v>
      </c>
      <c r="I3" s="5">
        <v>2019</v>
      </c>
      <c r="J3" s="5">
        <v>2020</v>
      </c>
      <c r="K3" s="5">
        <v>2021</v>
      </c>
      <c r="L3" s="5">
        <v>2022</v>
      </c>
      <c r="M3" s="5">
        <v>2023</v>
      </c>
      <c r="N3" s="5">
        <v>2024</v>
      </c>
      <c r="O3" s="5">
        <v>2025</v>
      </c>
      <c r="P3" s="5">
        <v>2026</v>
      </c>
      <c r="Q3" s="5">
        <v>2027</v>
      </c>
      <c r="R3" s="5">
        <v>2028</v>
      </c>
      <c r="S3" s="5">
        <v>2029</v>
      </c>
      <c r="T3" s="5">
        <v>2030</v>
      </c>
      <c r="U3" s="5">
        <v>2031</v>
      </c>
      <c r="V3" s="5">
        <v>2032</v>
      </c>
      <c r="W3" s="5">
        <v>2033</v>
      </c>
      <c r="X3" s="5">
        <v>2034</v>
      </c>
      <c r="Y3" s="5">
        <v>2035</v>
      </c>
      <c r="Z3" s="5">
        <v>2036</v>
      </c>
      <c r="AA3" s="5">
        <v>2037</v>
      </c>
      <c r="AB3" s="5">
        <v>2038</v>
      </c>
      <c r="AC3" s="5">
        <v>2039</v>
      </c>
      <c r="AD3" s="5">
        <v>2040</v>
      </c>
      <c r="AE3" s="5">
        <v>2041</v>
      </c>
      <c r="AF3" s="5">
        <v>2042</v>
      </c>
      <c r="AG3" s="5">
        <v>2043</v>
      </c>
      <c r="AH3" s="5">
        <v>2044</v>
      </c>
      <c r="AI3" s="5">
        <v>2045</v>
      </c>
      <c r="AJ3" s="5">
        <v>2046</v>
      </c>
      <c r="AK3" s="5">
        <v>2047</v>
      </c>
      <c r="AL3" s="5">
        <v>2048</v>
      </c>
      <c r="AM3" s="5">
        <v>2049</v>
      </c>
      <c r="AN3" s="5">
        <v>2050</v>
      </c>
      <c r="AP3" s="5" t="s">
        <v>168</v>
      </c>
    </row>
    <row r="4" spans="1:48" x14ac:dyDescent="0.3">
      <c r="B4" t="s">
        <v>131</v>
      </c>
      <c r="C4" s="5" t="s">
        <v>167</v>
      </c>
      <c r="D4" s="15" t="s">
        <v>171</v>
      </c>
      <c r="E4" s="3" t="e">
        <f>VLOOKUP($B4,baseline!$A:$AK,E$2,FALSE)</f>
        <v>#N/A</v>
      </c>
      <c r="F4" s="3" t="e">
        <f>VLOOKUP($B4,baseline!$A:$AK,F$2,FALSE)</f>
        <v>#N/A</v>
      </c>
      <c r="G4" s="3" t="e">
        <f>VLOOKUP($B4,baseline!$A:$AK,G$2,FALSE)</f>
        <v>#N/A</v>
      </c>
      <c r="H4" s="3" t="e">
        <f>VLOOKUP($B4,baseline!$A:$AK,H$2,FALSE)</f>
        <v>#N/A</v>
      </c>
      <c r="I4" s="3" t="e">
        <f>VLOOKUP($B4,baseline!$A:$AK,I$2,FALSE)</f>
        <v>#N/A</v>
      </c>
      <c r="J4" s="3" t="e">
        <f>VLOOKUP($B4,baseline!$A:$AK,J$2,FALSE)</f>
        <v>#N/A</v>
      </c>
      <c r="K4" s="3" t="e">
        <f>VLOOKUP($B4,baseline!$A:$AK,K$2,FALSE)</f>
        <v>#N/A</v>
      </c>
      <c r="L4" s="3" t="e">
        <f>VLOOKUP($B4,baseline!$A:$AK,L$2,FALSE)</f>
        <v>#N/A</v>
      </c>
      <c r="M4" s="3" t="e">
        <f>VLOOKUP($B4,baseline!$A:$AK,M$2,FALSE)</f>
        <v>#N/A</v>
      </c>
      <c r="N4" s="3" t="e">
        <f>VLOOKUP($B4,baseline!$A:$AK,N$2,FALSE)</f>
        <v>#N/A</v>
      </c>
      <c r="O4" s="3" t="e">
        <f>VLOOKUP($B4,baseline!$A:$AK,O$2,FALSE)</f>
        <v>#N/A</v>
      </c>
      <c r="P4" s="3" t="e">
        <f>VLOOKUP($B4,baseline!$A:$AK,P$2,FALSE)</f>
        <v>#N/A</v>
      </c>
      <c r="Q4" s="3" t="e">
        <f>VLOOKUP($B4,baseline!$A:$AK,Q$2,FALSE)</f>
        <v>#N/A</v>
      </c>
      <c r="R4" s="3" t="e">
        <f>VLOOKUP($B4,baseline!$A:$AK,R$2,FALSE)</f>
        <v>#N/A</v>
      </c>
      <c r="S4" s="3" t="e">
        <f>VLOOKUP($B4,baseline!$A:$AK,S$2,FALSE)</f>
        <v>#N/A</v>
      </c>
      <c r="T4" s="3" t="e">
        <f>VLOOKUP($B4,baseline!$A:$AK,T$2,FALSE)</f>
        <v>#N/A</v>
      </c>
      <c r="U4" s="3" t="e">
        <f>VLOOKUP($B4,baseline!$A:$AK,U$2,FALSE)</f>
        <v>#N/A</v>
      </c>
      <c r="V4" s="3" t="e">
        <f>VLOOKUP($B4,baseline!$A:$AK,V$2,FALSE)</f>
        <v>#N/A</v>
      </c>
      <c r="W4" s="3" t="e">
        <f>VLOOKUP($B4,baseline!$A:$AK,W$2,FALSE)</f>
        <v>#N/A</v>
      </c>
      <c r="X4" s="3" t="e">
        <f>VLOOKUP($B4,baseline!$A:$AK,X$2,FALSE)</f>
        <v>#N/A</v>
      </c>
      <c r="Y4" s="3" t="e">
        <f>VLOOKUP($B4,baseline!$A:$AK,Y$2,FALSE)</f>
        <v>#N/A</v>
      </c>
      <c r="Z4" s="3" t="e">
        <f>VLOOKUP($B4,baseline!$A:$AK,Z$2,FALSE)</f>
        <v>#N/A</v>
      </c>
      <c r="AA4" s="3" t="e">
        <f>VLOOKUP($B4,baseline!$A:$AK,AA$2,FALSE)</f>
        <v>#N/A</v>
      </c>
      <c r="AB4" s="3" t="e">
        <f>VLOOKUP($B4,baseline!$A:$AK,AB$2,FALSE)</f>
        <v>#N/A</v>
      </c>
      <c r="AC4" s="3" t="e">
        <f>VLOOKUP($B4,baseline!$A:$AK,AC$2,FALSE)</f>
        <v>#N/A</v>
      </c>
      <c r="AD4" s="3" t="e">
        <f>VLOOKUP($B4,baseline!$A:$AK,AD$2,FALSE)</f>
        <v>#N/A</v>
      </c>
      <c r="AE4" s="3" t="e">
        <f>VLOOKUP($B4,baseline!$A:$AK,AE$2,FALSE)</f>
        <v>#N/A</v>
      </c>
      <c r="AF4" s="3" t="e">
        <f>VLOOKUP($B4,baseline!$A:$AK,AF$2,FALSE)</f>
        <v>#N/A</v>
      </c>
      <c r="AG4" s="3" t="e">
        <f>VLOOKUP($B4,baseline!$A:$AK,AG$2,FALSE)</f>
        <v>#N/A</v>
      </c>
      <c r="AH4" s="3" t="e">
        <f>VLOOKUP($B4,baseline!$A:$AK,AH$2,FALSE)</f>
        <v>#N/A</v>
      </c>
      <c r="AI4" s="3" t="e">
        <f>VLOOKUP($B4,baseline!$A:$AK,AI$2,FALSE)</f>
        <v>#N/A</v>
      </c>
      <c r="AJ4" s="3" t="e">
        <f>VLOOKUP($B4,baseline!$A:$AK,AJ$2,FALSE)</f>
        <v>#N/A</v>
      </c>
      <c r="AK4" s="3" t="e">
        <f>VLOOKUP($B4,baseline!$A:$AK,AK$2,FALSE)</f>
        <v>#N/A</v>
      </c>
      <c r="AL4" s="3" t="e">
        <f>VLOOKUP($B4,baseline!$A:$AK,AL$2,FALSE)</f>
        <v>#N/A</v>
      </c>
      <c r="AM4" s="3" t="e">
        <f>VLOOKUP($B4,baseline!$A:$AK,AM$2,FALSE)</f>
        <v>#N/A</v>
      </c>
      <c r="AN4" s="3" t="e">
        <f>VLOOKUP($B4,baseline!$A:$AK,AN$2,FALSE)</f>
        <v>#N/A</v>
      </c>
      <c r="AP4" s="3" t="e">
        <f>AN4/E4</f>
        <v>#N/A</v>
      </c>
    </row>
    <row r="5" spans="1:48" x14ac:dyDescent="0.3">
      <c r="C5" t="s">
        <v>165</v>
      </c>
      <c r="D5" s="15" t="s">
        <v>171</v>
      </c>
      <c r="E5" s="3" t="e">
        <f>E4-SUM(E6:E9)</f>
        <v>#N/A</v>
      </c>
      <c r="F5" s="3" t="e">
        <f t="shared" ref="F5:AN5" si="0">F4-SUM(F6:F9)</f>
        <v>#N/A</v>
      </c>
      <c r="G5" s="3" t="e">
        <f t="shared" si="0"/>
        <v>#N/A</v>
      </c>
      <c r="H5" s="3" t="e">
        <f t="shared" si="0"/>
        <v>#N/A</v>
      </c>
      <c r="I5" s="3" t="e">
        <f t="shared" si="0"/>
        <v>#N/A</v>
      </c>
      <c r="J5" s="3" t="e">
        <f t="shared" si="0"/>
        <v>#N/A</v>
      </c>
      <c r="K5" s="3" t="e">
        <f t="shared" si="0"/>
        <v>#N/A</v>
      </c>
      <c r="L5" s="3" t="e">
        <f t="shared" si="0"/>
        <v>#N/A</v>
      </c>
      <c r="M5" s="3" t="e">
        <f t="shared" si="0"/>
        <v>#N/A</v>
      </c>
      <c r="N5" s="3" t="e">
        <f t="shared" si="0"/>
        <v>#N/A</v>
      </c>
      <c r="O5" s="3" t="e">
        <f t="shared" si="0"/>
        <v>#N/A</v>
      </c>
      <c r="P5" s="3" t="e">
        <f t="shared" si="0"/>
        <v>#N/A</v>
      </c>
      <c r="Q5" s="3" t="e">
        <f t="shared" si="0"/>
        <v>#N/A</v>
      </c>
      <c r="R5" s="3" t="e">
        <f t="shared" si="0"/>
        <v>#N/A</v>
      </c>
      <c r="S5" s="3" t="e">
        <f t="shared" si="0"/>
        <v>#N/A</v>
      </c>
      <c r="T5" s="3" t="e">
        <f t="shared" si="0"/>
        <v>#N/A</v>
      </c>
      <c r="U5" s="3" t="e">
        <f t="shared" si="0"/>
        <v>#N/A</v>
      </c>
      <c r="V5" s="3" t="e">
        <f t="shared" si="0"/>
        <v>#N/A</v>
      </c>
      <c r="W5" s="3" t="e">
        <f t="shared" si="0"/>
        <v>#N/A</v>
      </c>
      <c r="X5" s="3" t="e">
        <f t="shared" si="0"/>
        <v>#N/A</v>
      </c>
      <c r="Y5" s="3" t="e">
        <f t="shared" si="0"/>
        <v>#N/A</v>
      </c>
      <c r="Z5" s="3" t="e">
        <f t="shared" si="0"/>
        <v>#N/A</v>
      </c>
      <c r="AA5" s="3" t="e">
        <f t="shared" si="0"/>
        <v>#N/A</v>
      </c>
      <c r="AB5" s="3" t="e">
        <f t="shared" si="0"/>
        <v>#N/A</v>
      </c>
      <c r="AC5" s="3" t="e">
        <f t="shared" si="0"/>
        <v>#N/A</v>
      </c>
      <c r="AD5" s="3" t="e">
        <f t="shared" si="0"/>
        <v>#N/A</v>
      </c>
      <c r="AE5" s="3" t="e">
        <f t="shared" si="0"/>
        <v>#N/A</v>
      </c>
      <c r="AF5" s="3" t="e">
        <f t="shared" si="0"/>
        <v>#N/A</v>
      </c>
      <c r="AG5" s="3" t="e">
        <f t="shared" si="0"/>
        <v>#N/A</v>
      </c>
      <c r="AH5" s="3" t="e">
        <f t="shared" si="0"/>
        <v>#N/A</v>
      </c>
      <c r="AI5" s="3" t="e">
        <f t="shared" si="0"/>
        <v>#N/A</v>
      </c>
      <c r="AJ5" s="3" t="e">
        <f t="shared" si="0"/>
        <v>#N/A</v>
      </c>
      <c r="AK5" s="3" t="e">
        <f t="shared" si="0"/>
        <v>#N/A</v>
      </c>
      <c r="AL5" s="3" t="e">
        <f t="shared" si="0"/>
        <v>#N/A</v>
      </c>
      <c r="AM5" s="3" t="e">
        <f t="shared" si="0"/>
        <v>#N/A</v>
      </c>
      <c r="AN5" s="3" t="e">
        <f t="shared" si="0"/>
        <v>#N/A</v>
      </c>
      <c r="AP5" s="3" t="e">
        <f t="shared" ref="AP5:AP38" si="1">AN5/E5</f>
        <v>#N/A</v>
      </c>
    </row>
    <row r="6" spans="1:48" x14ac:dyDescent="0.3">
      <c r="B6" t="s">
        <v>132</v>
      </c>
      <c r="C6" t="s">
        <v>175</v>
      </c>
      <c r="D6" s="15" t="s">
        <v>171</v>
      </c>
      <c r="E6" s="3" t="e">
        <f>VLOOKUP($B6,baseline!$A:$AK,E$2,FALSE)</f>
        <v>#N/A</v>
      </c>
      <c r="F6" s="3" t="e">
        <f>VLOOKUP($B6,baseline!$A:$AK,F$2,FALSE)</f>
        <v>#N/A</v>
      </c>
      <c r="G6" s="3" t="e">
        <f>VLOOKUP($B6,baseline!$A:$AK,G$2,FALSE)</f>
        <v>#N/A</v>
      </c>
      <c r="H6" s="3" t="e">
        <f>VLOOKUP($B6,baseline!$A:$AK,H$2,FALSE)</f>
        <v>#N/A</v>
      </c>
      <c r="I6" s="3" t="e">
        <f>VLOOKUP($B6,baseline!$A:$AK,I$2,FALSE)</f>
        <v>#N/A</v>
      </c>
      <c r="J6" s="3" t="e">
        <f>VLOOKUP($B6,baseline!$A:$AK,J$2,FALSE)</f>
        <v>#N/A</v>
      </c>
      <c r="K6" s="3" t="e">
        <f>VLOOKUP($B6,baseline!$A:$AK,K$2,FALSE)</f>
        <v>#N/A</v>
      </c>
      <c r="L6" s="3" t="e">
        <f>VLOOKUP($B6,baseline!$A:$AK,L$2,FALSE)</f>
        <v>#N/A</v>
      </c>
      <c r="M6" s="3" t="e">
        <f>VLOOKUP($B6,baseline!$A:$AK,M$2,FALSE)</f>
        <v>#N/A</v>
      </c>
      <c r="N6" s="3" t="e">
        <f>VLOOKUP($B6,baseline!$A:$AK,N$2,FALSE)</f>
        <v>#N/A</v>
      </c>
      <c r="O6" s="3" t="e">
        <f>VLOOKUP($B6,baseline!$A:$AK,O$2,FALSE)</f>
        <v>#N/A</v>
      </c>
      <c r="P6" s="3" t="e">
        <f>VLOOKUP($B6,baseline!$A:$AK,P$2,FALSE)</f>
        <v>#N/A</v>
      </c>
      <c r="Q6" s="3" t="e">
        <f>VLOOKUP($B6,baseline!$A:$AK,Q$2,FALSE)</f>
        <v>#N/A</v>
      </c>
      <c r="R6" s="3" t="e">
        <f>VLOOKUP($B6,baseline!$A:$AK,R$2,FALSE)</f>
        <v>#N/A</v>
      </c>
      <c r="S6" s="3" t="e">
        <f>VLOOKUP($B6,baseline!$A:$AK,S$2,FALSE)</f>
        <v>#N/A</v>
      </c>
      <c r="T6" s="3" t="e">
        <f>VLOOKUP($B6,baseline!$A:$AK,T$2,FALSE)</f>
        <v>#N/A</v>
      </c>
      <c r="U6" s="3" t="e">
        <f>VLOOKUP($B6,baseline!$A:$AK,U$2,FALSE)</f>
        <v>#N/A</v>
      </c>
      <c r="V6" s="3" t="e">
        <f>VLOOKUP($B6,baseline!$A:$AK,V$2,FALSE)</f>
        <v>#N/A</v>
      </c>
      <c r="W6" s="3" t="e">
        <f>VLOOKUP($B6,baseline!$A:$AK,W$2,FALSE)</f>
        <v>#N/A</v>
      </c>
      <c r="X6" s="3" t="e">
        <f>VLOOKUP($B6,baseline!$A:$AK,X$2,FALSE)</f>
        <v>#N/A</v>
      </c>
      <c r="Y6" s="3" t="e">
        <f>VLOOKUP($B6,baseline!$A:$AK,Y$2,FALSE)</f>
        <v>#N/A</v>
      </c>
      <c r="Z6" s="3" t="e">
        <f>VLOOKUP($B6,baseline!$A:$AK,Z$2,FALSE)</f>
        <v>#N/A</v>
      </c>
      <c r="AA6" s="3" t="e">
        <f>VLOOKUP($B6,baseline!$A:$AK,AA$2,FALSE)</f>
        <v>#N/A</v>
      </c>
      <c r="AB6" s="3" t="e">
        <f>VLOOKUP($B6,baseline!$A:$AK,AB$2,FALSE)</f>
        <v>#N/A</v>
      </c>
      <c r="AC6" s="3" t="e">
        <f>VLOOKUP($B6,baseline!$A:$AK,AC$2,FALSE)</f>
        <v>#N/A</v>
      </c>
      <c r="AD6" s="3" t="e">
        <f>VLOOKUP($B6,baseline!$A:$AK,AD$2,FALSE)</f>
        <v>#N/A</v>
      </c>
      <c r="AE6" s="3" t="e">
        <f>VLOOKUP($B6,baseline!$A:$AK,AE$2,FALSE)</f>
        <v>#N/A</v>
      </c>
      <c r="AF6" s="3" t="e">
        <f>VLOOKUP($B6,baseline!$A:$AK,AF$2,FALSE)</f>
        <v>#N/A</v>
      </c>
      <c r="AG6" s="3" t="e">
        <f>VLOOKUP($B6,baseline!$A:$AK,AG$2,FALSE)</f>
        <v>#N/A</v>
      </c>
      <c r="AH6" s="3" t="e">
        <f>VLOOKUP($B6,baseline!$A:$AK,AH$2,FALSE)</f>
        <v>#N/A</v>
      </c>
      <c r="AI6" s="3" t="e">
        <f>VLOOKUP($B6,baseline!$A:$AK,AI$2,FALSE)</f>
        <v>#N/A</v>
      </c>
      <c r="AJ6" s="3" t="e">
        <f>VLOOKUP($B6,baseline!$A:$AK,AJ$2,FALSE)</f>
        <v>#N/A</v>
      </c>
      <c r="AK6" s="3" t="e">
        <f>VLOOKUP($B6,baseline!$A:$AK,AK$2,FALSE)</f>
        <v>#N/A</v>
      </c>
      <c r="AL6" s="3" t="e">
        <f>VLOOKUP($B6,baseline!$A:$AK,AL$2,FALSE)</f>
        <v>#N/A</v>
      </c>
      <c r="AM6" s="3" t="e">
        <f>VLOOKUP($B6,baseline!$A:$AK,AM$2,FALSE)</f>
        <v>#N/A</v>
      </c>
      <c r="AN6" s="3" t="e">
        <f>VLOOKUP($B6,baseline!$A:$AK,AN$2,FALSE)</f>
        <v>#N/A</v>
      </c>
      <c r="AP6" s="3" t="e">
        <f t="shared" si="1"/>
        <v>#N/A</v>
      </c>
    </row>
    <row r="7" spans="1:48" x14ac:dyDescent="0.3">
      <c r="B7" t="s">
        <v>133</v>
      </c>
      <c r="C7" t="s">
        <v>163</v>
      </c>
      <c r="D7" s="15" t="s">
        <v>171</v>
      </c>
      <c r="E7" s="3" t="e">
        <f>VLOOKUP($B7,baseline!$A:$AK,E$2,FALSE)</f>
        <v>#N/A</v>
      </c>
      <c r="F7" s="3" t="e">
        <f>VLOOKUP($B7,baseline!$A:$AK,F$2,FALSE)</f>
        <v>#N/A</v>
      </c>
      <c r="G7" s="3" t="e">
        <f>VLOOKUP($B7,baseline!$A:$AK,G$2,FALSE)</f>
        <v>#N/A</v>
      </c>
      <c r="H7" s="3" t="e">
        <f>VLOOKUP($B7,baseline!$A:$AK,H$2,FALSE)</f>
        <v>#N/A</v>
      </c>
      <c r="I7" s="3" t="e">
        <f>VLOOKUP($B7,baseline!$A:$AK,I$2,FALSE)</f>
        <v>#N/A</v>
      </c>
      <c r="J7" s="3" t="e">
        <f>VLOOKUP($B7,baseline!$A:$AK,J$2,FALSE)</f>
        <v>#N/A</v>
      </c>
      <c r="K7" s="3" t="e">
        <f>VLOOKUP($B7,baseline!$A:$AK,K$2,FALSE)</f>
        <v>#N/A</v>
      </c>
      <c r="L7" s="3" t="e">
        <f>VLOOKUP($B7,baseline!$A:$AK,L$2,FALSE)</f>
        <v>#N/A</v>
      </c>
      <c r="M7" s="3" t="e">
        <f>VLOOKUP($B7,baseline!$A:$AK,M$2,FALSE)</f>
        <v>#N/A</v>
      </c>
      <c r="N7" s="3" t="e">
        <f>VLOOKUP($B7,baseline!$A:$AK,N$2,FALSE)</f>
        <v>#N/A</v>
      </c>
      <c r="O7" s="3" t="e">
        <f>VLOOKUP($B7,baseline!$A:$AK,O$2,FALSE)</f>
        <v>#N/A</v>
      </c>
      <c r="P7" s="3" t="e">
        <f>VLOOKUP($B7,baseline!$A:$AK,P$2,FALSE)</f>
        <v>#N/A</v>
      </c>
      <c r="Q7" s="3" t="e">
        <f>VLOOKUP($B7,baseline!$A:$AK,Q$2,FALSE)</f>
        <v>#N/A</v>
      </c>
      <c r="R7" s="3" t="e">
        <f>VLOOKUP($B7,baseline!$A:$AK,R$2,FALSE)</f>
        <v>#N/A</v>
      </c>
      <c r="S7" s="3" t="e">
        <f>VLOOKUP($B7,baseline!$A:$AK,S$2,FALSE)</f>
        <v>#N/A</v>
      </c>
      <c r="T7" s="3" t="e">
        <f>VLOOKUP($B7,baseline!$A:$AK,T$2,FALSE)</f>
        <v>#N/A</v>
      </c>
      <c r="U7" s="3" t="e">
        <f>VLOOKUP($B7,baseline!$A:$AK,U$2,FALSE)</f>
        <v>#N/A</v>
      </c>
      <c r="V7" s="3" t="e">
        <f>VLOOKUP($B7,baseline!$A:$AK,V$2,FALSE)</f>
        <v>#N/A</v>
      </c>
      <c r="W7" s="3" t="e">
        <f>VLOOKUP($B7,baseline!$A:$AK,W$2,FALSE)</f>
        <v>#N/A</v>
      </c>
      <c r="X7" s="3" t="e">
        <f>VLOOKUP($B7,baseline!$A:$AK,X$2,FALSE)</f>
        <v>#N/A</v>
      </c>
      <c r="Y7" s="3" t="e">
        <f>VLOOKUP($B7,baseline!$A:$AK,Y$2,FALSE)</f>
        <v>#N/A</v>
      </c>
      <c r="Z7" s="3" t="e">
        <f>VLOOKUP($B7,baseline!$A:$AK,Z$2,FALSE)</f>
        <v>#N/A</v>
      </c>
      <c r="AA7" s="3" t="e">
        <f>VLOOKUP($B7,baseline!$A:$AK,AA$2,FALSE)</f>
        <v>#N/A</v>
      </c>
      <c r="AB7" s="3" t="e">
        <f>VLOOKUP($B7,baseline!$A:$AK,AB$2,FALSE)</f>
        <v>#N/A</v>
      </c>
      <c r="AC7" s="3" t="e">
        <f>VLOOKUP($B7,baseline!$A:$AK,AC$2,FALSE)</f>
        <v>#N/A</v>
      </c>
      <c r="AD7" s="3" t="e">
        <f>VLOOKUP($B7,baseline!$A:$AK,AD$2,FALSE)</f>
        <v>#N/A</v>
      </c>
      <c r="AE7" s="3" t="e">
        <f>VLOOKUP($B7,baseline!$A:$AK,AE$2,FALSE)</f>
        <v>#N/A</v>
      </c>
      <c r="AF7" s="3" t="e">
        <f>VLOOKUP($B7,baseline!$A:$AK,AF$2,FALSE)</f>
        <v>#N/A</v>
      </c>
      <c r="AG7" s="3" t="e">
        <f>VLOOKUP($B7,baseline!$A:$AK,AG$2,FALSE)</f>
        <v>#N/A</v>
      </c>
      <c r="AH7" s="3" t="e">
        <f>VLOOKUP($B7,baseline!$A:$AK,AH$2,FALSE)</f>
        <v>#N/A</v>
      </c>
      <c r="AI7" s="3" t="e">
        <f>VLOOKUP($B7,baseline!$A:$AK,AI$2,FALSE)</f>
        <v>#N/A</v>
      </c>
      <c r="AJ7" s="3" t="e">
        <f>VLOOKUP($B7,baseline!$A:$AK,AJ$2,FALSE)</f>
        <v>#N/A</v>
      </c>
      <c r="AK7" s="3" t="e">
        <f>VLOOKUP($B7,baseline!$A:$AK,AK$2,FALSE)</f>
        <v>#N/A</v>
      </c>
      <c r="AL7" s="3" t="e">
        <f>VLOOKUP($B7,baseline!$A:$AK,AL$2,FALSE)</f>
        <v>#N/A</v>
      </c>
      <c r="AM7" s="3" t="e">
        <f>VLOOKUP($B7,baseline!$A:$AK,AM$2,FALSE)</f>
        <v>#N/A</v>
      </c>
      <c r="AN7" s="3" t="e">
        <f>VLOOKUP($B7,baseline!$A:$AK,AN$2,FALSE)</f>
        <v>#N/A</v>
      </c>
      <c r="AP7" s="3" t="e">
        <f t="shared" si="1"/>
        <v>#N/A</v>
      </c>
    </row>
    <row r="8" spans="1:48" x14ac:dyDescent="0.3">
      <c r="B8" t="s">
        <v>134</v>
      </c>
      <c r="C8" t="s">
        <v>164</v>
      </c>
      <c r="D8" s="15" t="s">
        <v>171</v>
      </c>
      <c r="E8" s="3" t="e">
        <f>VLOOKUP($B8,baseline!$A:$AK,E$2,FALSE)</f>
        <v>#N/A</v>
      </c>
      <c r="F8" s="3" t="e">
        <f>VLOOKUP($B8,baseline!$A:$AK,F$2,FALSE)</f>
        <v>#N/A</v>
      </c>
      <c r="G8" s="3" t="e">
        <f>VLOOKUP($B8,baseline!$A:$AK,G$2,FALSE)</f>
        <v>#N/A</v>
      </c>
      <c r="H8" s="3" t="e">
        <f>VLOOKUP($B8,baseline!$A:$AK,H$2,FALSE)</f>
        <v>#N/A</v>
      </c>
      <c r="I8" s="3" t="e">
        <f>VLOOKUP($B8,baseline!$A:$AK,I$2,FALSE)</f>
        <v>#N/A</v>
      </c>
      <c r="J8" s="3" t="e">
        <f>VLOOKUP($B8,baseline!$A:$AK,J$2,FALSE)</f>
        <v>#N/A</v>
      </c>
      <c r="K8" s="3" t="e">
        <f>VLOOKUP($B8,baseline!$A:$AK,K$2,FALSE)</f>
        <v>#N/A</v>
      </c>
      <c r="L8" s="3" t="e">
        <f>VLOOKUP($B8,baseline!$A:$AK,L$2,FALSE)</f>
        <v>#N/A</v>
      </c>
      <c r="M8" s="3" t="e">
        <f>VLOOKUP($B8,baseline!$A:$AK,M$2,FALSE)</f>
        <v>#N/A</v>
      </c>
      <c r="N8" s="3" t="e">
        <f>VLOOKUP($B8,baseline!$A:$AK,N$2,FALSE)</f>
        <v>#N/A</v>
      </c>
      <c r="O8" s="3" t="e">
        <f>VLOOKUP($B8,baseline!$A:$AK,O$2,FALSE)</f>
        <v>#N/A</v>
      </c>
      <c r="P8" s="3" t="e">
        <f>VLOOKUP($B8,baseline!$A:$AK,P$2,FALSE)</f>
        <v>#N/A</v>
      </c>
      <c r="Q8" s="3" t="e">
        <f>VLOOKUP($B8,baseline!$A:$AK,Q$2,FALSE)</f>
        <v>#N/A</v>
      </c>
      <c r="R8" s="3" t="e">
        <f>VLOOKUP($B8,baseline!$A:$AK,R$2,FALSE)</f>
        <v>#N/A</v>
      </c>
      <c r="S8" s="3" t="e">
        <f>VLOOKUP($B8,baseline!$A:$AK,S$2,FALSE)</f>
        <v>#N/A</v>
      </c>
      <c r="T8" s="3" t="e">
        <f>VLOOKUP($B8,baseline!$A:$AK,T$2,FALSE)</f>
        <v>#N/A</v>
      </c>
      <c r="U8" s="3" t="e">
        <f>VLOOKUP($B8,baseline!$A:$AK,U$2,FALSE)</f>
        <v>#N/A</v>
      </c>
      <c r="V8" s="3" t="e">
        <f>VLOOKUP($B8,baseline!$A:$AK,V$2,FALSE)</f>
        <v>#N/A</v>
      </c>
      <c r="W8" s="3" t="e">
        <f>VLOOKUP($B8,baseline!$A:$AK,W$2,FALSE)</f>
        <v>#N/A</v>
      </c>
      <c r="X8" s="3" t="e">
        <f>VLOOKUP($B8,baseline!$A:$AK,X$2,FALSE)</f>
        <v>#N/A</v>
      </c>
      <c r="Y8" s="3" t="e">
        <f>VLOOKUP($B8,baseline!$A:$AK,Y$2,FALSE)</f>
        <v>#N/A</v>
      </c>
      <c r="Z8" s="3" t="e">
        <f>VLOOKUP($B8,baseline!$A:$AK,Z$2,FALSE)</f>
        <v>#N/A</v>
      </c>
      <c r="AA8" s="3" t="e">
        <f>VLOOKUP($B8,baseline!$A:$AK,AA$2,FALSE)</f>
        <v>#N/A</v>
      </c>
      <c r="AB8" s="3" t="e">
        <f>VLOOKUP($B8,baseline!$A:$AK,AB$2,FALSE)</f>
        <v>#N/A</v>
      </c>
      <c r="AC8" s="3" t="e">
        <f>VLOOKUP($B8,baseline!$A:$AK,AC$2,FALSE)</f>
        <v>#N/A</v>
      </c>
      <c r="AD8" s="3" t="e">
        <f>VLOOKUP($B8,baseline!$A:$AK,AD$2,FALSE)</f>
        <v>#N/A</v>
      </c>
      <c r="AE8" s="3" t="e">
        <f>VLOOKUP($B8,baseline!$A:$AK,AE$2,FALSE)</f>
        <v>#N/A</v>
      </c>
      <c r="AF8" s="3" t="e">
        <f>VLOOKUP($B8,baseline!$A:$AK,AF$2,FALSE)</f>
        <v>#N/A</v>
      </c>
      <c r="AG8" s="3" t="e">
        <f>VLOOKUP($B8,baseline!$A:$AK,AG$2,FALSE)</f>
        <v>#N/A</v>
      </c>
      <c r="AH8" s="3" t="e">
        <f>VLOOKUP($B8,baseline!$A:$AK,AH$2,FALSE)</f>
        <v>#N/A</v>
      </c>
      <c r="AI8" s="3" t="e">
        <f>VLOOKUP($B8,baseline!$A:$AK,AI$2,FALSE)</f>
        <v>#N/A</v>
      </c>
      <c r="AJ8" s="3" t="e">
        <f>VLOOKUP($B8,baseline!$A:$AK,AJ$2,FALSE)</f>
        <v>#N/A</v>
      </c>
      <c r="AK8" s="3" t="e">
        <f>VLOOKUP($B8,baseline!$A:$AK,AK$2,FALSE)</f>
        <v>#N/A</v>
      </c>
      <c r="AL8" s="3" t="e">
        <f>VLOOKUP($B8,baseline!$A:$AK,AL$2,FALSE)</f>
        <v>#N/A</v>
      </c>
      <c r="AM8" s="3" t="e">
        <f>VLOOKUP($B8,baseline!$A:$AK,AM$2,FALSE)</f>
        <v>#N/A</v>
      </c>
      <c r="AN8" s="3" t="e">
        <f>VLOOKUP($B8,baseline!$A:$AK,AN$2,FALSE)</f>
        <v>#N/A</v>
      </c>
      <c r="AP8" s="3" t="e">
        <f t="shared" si="1"/>
        <v>#N/A</v>
      </c>
    </row>
    <row r="9" spans="1:48" x14ac:dyDescent="0.3">
      <c r="B9" t="s">
        <v>135</v>
      </c>
      <c r="C9" t="s">
        <v>162</v>
      </c>
      <c r="D9" s="15" t="s">
        <v>171</v>
      </c>
      <c r="E9" s="3" t="e">
        <f>VLOOKUP($B9,baseline!$A:$AK,E$2,FALSE)</f>
        <v>#N/A</v>
      </c>
      <c r="F9" s="3" t="e">
        <f>VLOOKUP($B9,baseline!$A:$AK,F$2,FALSE)</f>
        <v>#N/A</v>
      </c>
      <c r="G9" s="3" t="e">
        <f>VLOOKUP($B9,baseline!$A:$AK,G$2,FALSE)</f>
        <v>#N/A</v>
      </c>
      <c r="H9" s="3" t="e">
        <f>VLOOKUP($B9,baseline!$A:$AK,H$2,FALSE)</f>
        <v>#N/A</v>
      </c>
      <c r="I9" s="3" t="e">
        <f>VLOOKUP($B9,baseline!$A:$AK,I$2,FALSE)</f>
        <v>#N/A</v>
      </c>
      <c r="J9" s="3" t="e">
        <f>VLOOKUP($B9,baseline!$A:$AK,J$2,FALSE)</f>
        <v>#N/A</v>
      </c>
      <c r="K9" s="3" t="e">
        <f>VLOOKUP($B9,baseline!$A:$AK,K$2,FALSE)</f>
        <v>#N/A</v>
      </c>
      <c r="L9" s="3" t="e">
        <f>VLOOKUP($B9,baseline!$A:$AK,L$2,FALSE)</f>
        <v>#N/A</v>
      </c>
      <c r="M9" s="3" t="e">
        <f>VLOOKUP($B9,baseline!$A:$AK,M$2,FALSE)</f>
        <v>#N/A</v>
      </c>
      <c r="N9" s="3" t="e">
        <f>VLOOKUP($B9,baseline!$A:$AK,N$2,FALSE)</f>
        <v>#N/A</v>
      </c>
      <c r="O9" s="3" t="e">
        <f>VLOOKUP($B9,baseline!$A:$AK,O$2,FALSE)</f>
        <v>#N/A</v>
      </c>
      <c r="P9" s="3" t="e">
        <f>VLOOKUP($B9,baseline!$A:$AK,P$2,FALSE)</f>
        <v>#N/A</v>
      </c>
      <c r="Q9" s="3" t="e">
        <f>VLOOKUP($B9,baseline!$A:$AK,Q$2,FALSE)</f>
        <v>#N/A</v>
      </c>
      <c r="R9" s="3" t="e">
        <f>VLOOKUP($B9,baseline!$A:$AK,R$2,FALSE)</f>
        <v>#N/A</v>
      </c>
      <c r="S9" s="3" t="e">
        <f>VLOOKUP($B9,baseline!$A:$AK,S$2,FALSE)</f>
        <v>#N/A</v>
      </c>
      <c r="T9" s="3" t="e">
        <f>VLOOKUP($B9,baseline!$A:$AK,T$2,FALSE)</f>
        <v>#N/A</v>
      </c>
      <c r="U9" s="3" t="e">
        <f>VLOOKUP($B9,baseline!$A:$AK,U$2,FALSE)</f>
        <v>#N/A</v>
      </c>
      <c r="V9" s="3" t="e">
        <f>VLOOKUP($B9,baseline!$A:$AK,V$2,FALSE)</f>
        <v>#N/A</v>
      </c>
      <c r="W9" s="3" t="e">
        <f>VLOOKUP($B9,baseline!$A:$AK,W$2,FALSE)</f>
        <v>#N/A</v>
      </c>
      <c r="X9" s="3" t="e">
        <f>VLOOKUP($B9,baseline!$A:$AK,X$2,FALSE)</f>
        <v>#N/A</v>
      </c>
      <c r="Y9" s="3" t="e">
        <f>VLOOKUP($B9,baseline!$A:$AK,Y$2,FALSE)</f>
        <v>#N/A</v>
      </c>
      <c r="Z9" s="3" t="e">
        <f>VLOOKUP($B9,baseline!$A:$AK,Z$2,FALSE)</f>
        <v>#N/A</v>
      </c>
      <c r="AA9" s="3" t="e">
        <f>VLOOKUP($B9,baseline!$A:$AK,AA$2,FALSE)</f>
        <v>#N/A</v>
      </c>
      <c r="AB9" s="3" t="e">
        <f>VLOOKUP($B9,baseline!$A:$AK,AB$2,FALSE)</f>
        <v>#N/A</v>
      </c>
      <c r="AC9" s="3" t="e">
        <f>VLOOKUP($B9,baseline!$A:$AK,AC$2,FALSE)</f>
        <v>#N/A</v>
      </c>
      <c r="AD9" s="3" t="e">
        <f>VLOOKUP($B9,baseline!$A:$AK,AD$2,FALSE)</f>
        <v>#N/A</v>
      </c>
      <c r="AE9" s="3" t="e">
        <f>VLOOKUP($B9,baseline!$A:$AK,AE$2,FALSE)</f>
        <v>#N/A</v>
      </c>
      <c r="AF9" s="3" t="e">
        <f>VLOOKUP($B9,baseline!$A:$AK,AF$2,FALSE)</f>
        <v>#N/A</v>
      </c>
      <c r="AG9" s="3" t="e">
        <f>VLOOKUP($B9,baseline!$A:$AK,AG$2,FALSE)</f>
        <v>#N/A</v>
      </c>
      <c r="AH9" s="3" t="e">
        <f>VLOOKUP($B9,baseline!$A:$AK,AH$2,FALSE)</f>
        <v>#N/A</v>
      </c>
      <c r="AI9" s="3" t="e">
        <f>VLOOKUP($B9,baseline!$A:$AK,AI$2,FALSE)</f>
        <v>#N/A</v>
      </c>
      <c r="AJ9" s="3" t="e">
        <f>VLOOKUP($B9,baseline!$A:$AK,AJ$2,FALSE)</f>
        <v>#N/A</v>
      </c>
      <c r="AK9" s="3" t="e">
        <f>VLOOKUP($B9,baseline!$A:$AK,AK$2,FALSE)</f>
        <v>#N/A</v>
      </c>
      <c r="AL9" s="3" t="e">
        <f>VLOOKUP($B9,baseline!$A:$AK,AL$2,FALSE)</f>
        <v>#N/A</v>
      </c>
      <c r="AM9" s="3" t="e">
        <f>VLOOKUP($B9,baseline!$A:$AK,AM$2,FALSE)</f>
        <v>#N/A</v>
      </c>
      <c r="AN9" s="3" t="e">
        <f>VLOOKUP($B9,baseline!$A:$AK,AN$2,FALSE)</f>
        <v>#N/A</v>
      </c>
      <c r="AP9" s="3" t="e">
        <f t="shared" si="1"/>
        <v>#N/A</v>
      </c>
    </row>
    <row r="10" spans="1:48" x14ac:dyDescent="0.3">
      <c r="B10" t="s">
        <v>266</v>
      </c>
      <c r="C10" s="5" t="s">
        <v>166</v>
      </c>
      <c r="D10" s="15" t="s">
        <v>171</v>
      </c>
      <c r="E10" s="3" t="e">
        <f>SUM(E6:E9)</f>
        <v>#N/A</v>
      </c>
      <c r="F10" s="3" t="e">
        <f t="shared" ref="F10:AN10" si="2">SUM(F6:F9)</f>
        <v>#N/A</v>
      </c>
      <c r="G10" s="3" t="e">
        <f t="shared" si="2"/>
        <v>#N/A</v>
      </c>
      <c r="H10" s="3" t="e">
        <f t="shared" si="2"/>
        <v>#N/A</v>
      </c>
      <c r="I10" s="3" t="e">
        <f t="shared" si="2"/>
        <v>#N/A</v>
      </c>
      <c r="J10" s="3" t="e">
        <f t="shared" si="2"/>
        <v>#N/A</v>
      </c>
      <c r="K10" s="3" t="e">
        <f t="shared" si="2"/>
        <v>#N/A</v>
      </c>
      <c r="L10" s="3" t="e">
        <f t="shared" si="2"/>
        <v>#N/A</v>
      </c>
      <c r="M10" s="3" t="e">
        <f t="shared" si="2"/>
        <v>#N/A</v>
      </c>
      <c r="N10" s="3" t="e">
        <f t="shared" si="2"/>
        <v>#N/A</v>
      </c>
      <c r="O10" s="3" t="e">
        <f t="shared" si="2"/>
        <v>#N/A</v>
      </c>
      <c r="P10" s="3" t="e">
        <f t="shared" si="2"/>
        <v>#N/A</v>
      </c>
      <c r="Q10" s="3" t="e">
        <f t="shared" si="2"/>
        <v>#N/A</v>
      </c>
      <c r="R10" s="3" t="e">
        <f t="shared" si="2"/>
        <v>#N/A</v>
      </c>
      <c r="S10" s="3" t="e">
        <f t="shared" si="2"/>
        <v>#N/A</v>
      </c>
      <c r="T10" s="3" t="e">
        <f t="shared" si="2"/>
        <v>#N/A</v>
      </c>
      <c r="U10" s="3" t="e">
        <f t="shared" si="2"/>
        <v>#N/A</v>
      </c>
      <c r="V10" s="3" t="e">
        <f t="shared" si="2"/>
        <v>#N/A</v>
      </c>
      <c r="W10" s="3" t="e">
        <f t="shared" si="2"/>
        <v>#N/A</v>
      </c>
      <c r="X10" s="3" t="e">
        <f t="shared" si="2"/>
        <v>#N/A</v>
      </c>
      <c r="Y10" s="3" t="e">
        <f t="shared" si="2"/>
        <v>#N/A</v>
      </c>
      <c r="Z10" s="3" t="e">
        <f t="shared" si="2"/>
        <v>#N/A</v>
      </c>
      <c r="AA10" s="3" t="e">
        <f t="shared" si="2"/>
        <v>#N/A</v>
      </c>
      <c r="AB10" s="3" t="e">
        <f t="shared" si="2"/>
        <v>#N/A</v>
      </c>
      <c r="AC10" s="3" t="e">
        <f t="shared" si="2"/>
        <v>#N/A</v>
      </c>
      <c r="AD10" s="3" t="e">
        <f t="shared" si="2"/>
        <v>#N/A</v>
      </c>
      <c r="AE10" s="3" t="e">
        <f t="shared" si="2"/>
        <v>#N/A</v>
      </c>
      <c r="AF10" s="3" t="e">
        <f t="shared" si="2"/>
        <v>#N/A</v>
      </c>
      <c r="AG10" s="3" t="e">
        <f t="shared" si="2"/>
        <v>#N/A</v>
      </c>
      <c r="AH10" s="3" t="e">
        <f t="shared" si="2"/>
        <v>#N/A</v>
      </c>
      <c r="AI10" s="3" t="e">
        <f t="shared" si="2"/>
        <v>#N/A</v>
      </c>
      <c r="AJ10" s="3" t="e">
        <f t="shared" si="2"/>
        <v>#N/A</v>
      </c>
      <c r="AK10" s="3" t="e">
        <f t="shared" si="2"/>
        <v>#N/A</v>
      </c>
      <c r="AL10" s="3" t="e">
        <f t="shared" si="2"/>
        <v>#N/A</v>
      </c>
      <c r="AM10" s="3" t="e">
        <f t="shared" si="2"/>
        <v>#N/A</v>
      </c>
      <c r="AN10" s="3" t="e">
        <f t="shared" si="2"/>
        <v>#N/A</v>
      </c>
      <c r="AP10" s="3" t="e">
        <f t="shared" si="1"/>
        <v>#N/A</v>
      </c>
    </row>
    <row r="11" spans="1:48" x14ac:dyDescent="0.3">
      <c r="D11" s="15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P11" s="3"/>
    </row>
    <row r="12" spans="1:48" x14ac:dyDescent="0.3">
      <c r="B12" t="s">
        <v>104</v>
      </c>
      <c r="D12" s="15" t="s">
        <v>171</v>
      </c>
      <c r="E12" s="3" t="e">
        <f>VLOOKUP($B12,baseline!$A:$AK,E$2,FALSE)</f>
        <v>#N/A</v>
      </c>
      <c r="F12" s="3" t="e">
        <f>VLOOKUP($B12,baseline!$A:$AK,F$2,FALSE)</f>
        <v>#N/A</v>
      </c>
      <c r="G12" s="3" t="e">
        <f>VLOOKUP($B12,baseline!$A:$AK,G$2,FALSE)</f>
        <v>#N/A</v>
      </c>
      <c r="H12" s="3" t="e">
        <f>VLOOKUP($B12,baseline!$A:$AK,H$2,FALSE)</f>
        <v>#N/A</v>
      </c>
      <c r="I12" s="3" t="e">
        <f>VLOOKUP($B12,baseline!$A:$AK,I$2,FALSE)</f>
        <v>#N/A</v>
      </c>
      <c r="J12" s="3" t="e">
        <f>VLOOKUP($B12,baseline!$A:$AK,J$2,FALSE)</f>
        <v>#N/A</v>
      </c>
      <c r="K12" s="3" t="e">
        <f>VLOOKUP($B12,baseline!$A:$AK,K$2,FALSE)</f>
        <v>#N/A</v>
      </c>
      <c r="L12" s="3" t="e">
        <f>VLOOKUP($B12,baseline!$A:$AK,L$2,FALSE)</f>
        <v>#N/A</v>
      </c>
      <c r="M12" s="3" t="e">
        <f>VLOOKUP($B12,baseline!$A:$AK,M$2,FALSE)</f>
        <v>#N/A</v>
      </c>
      <c r="N12" s="3" t="e">
        <f>VLOOKUP($B12,baseline!$A:$AK,N$2,FALSE)</f>
        <v>#N/A</v>
      </c>
      <c r="O12" s="3" t="e">
        <f>VLOOKUP($B12,baseline!$A:$AK,O$2,FALSE)</f>
        <v>#N/A</v>
      </c>
      <c r="P12" s="3" t="e">
        <f>VLOOKUP($B12,baseline!$A:$AK,P$2,FALSE)</f>
        <v>#N/A</v>
      </c>
      <c r="Q12" s="3" t="e">
        <f>VLOOKUP($B12,baseline!$A:$AK,Q$2,FALSE)</f>
        <v>#N/A</v>
      </c>
      <c r="R12" s="3" t="e">
        <f>VLOOKUP($B12,baseline!$A:$AK,R$2,FALSE)</f>
        <v>#N/A</v>
      </c>
      <c r="S12" s="3" t="e">
        <f>VLOOKUP($B12,baseline!$A:$AK,S$2,FALSE)</f>
        <v>#N/A</v>
      </c>
      <c r="T12" s="3" t="e">
        <f>VLOOKUP($B12,baseline!$A:$AK,T$2,FALSE)</f>
        <v>#N/A</v>
      </c>
      <c r="U12" s="3" t="e">
        <f>VLOOKUP($B12,baseline!$A:$AK,U$2,FALSE)</f>
        <v>#N/A</v>
      </c>
      <c r="V12" s="3" t="e">
        <f>VLOOKUP($B12,baseline!$A:$AK,V$2,FALSE)</f>
        <v>#N/A</v>
      </c>
      <c r="W12" s="3" t="e">
        <f>VLOOKUP($B12,baseline!$A:$AK,W$2,FALSE)</f>
        <v>#N/A</v>
      </c>
      <c r="X12" s="3" t="e">
        <f>VLOOKUP($B12,baseline!$A:$AK,X$2,FALSE)</f>
        <v>#N/A</v>
      </c>
      <c r="Y12" s="3" t="e">
        <f>VLOOKUP($B12,baseline!$A:$AK,Y$2,FALSE)</f>
        <v>#N/A</v>
      </c>
      <c r="Z12" s="3" t="e">
        <f>VLOOKUP($B12,baseline!$A:$AK,Z$2,FALSE)</f>
        <v>#N/A</v>
      </c>
      <c r="AA12" s="3" t="e">
        <f>VLOOKUP($B12,baseline!$A:$AK,AA$2,FALSE)</f>
        <v>#N/A</v>
      </c>
      <c r="AB12" s="3" t="e">
        <f>VLOOKUP($B12,baseline!$A:$AK,AB$2,FALSE)</f>
        <v>#N/A</v>
      </c>
      <c r="AC12" s="3" t="e">
        <f>VLOOKUP($B12,baseline!$A:$AK,AC$2,FALSE)</f>
        <v>#N/A</v>
      </c>
      <c r="AD12" s="3" t="e">
        <f>VLOOKUP($B12,baseline!$A:$AK,AD$2,FALSE)</f>
        <v>#N/A</v>
      </c>
      <c r="AE12" s="3" t="e">
        <f>VLOOKUP($B12,baseline!$A:$AK,AE$2,FALSE)</f>
        <v>#N/A</v>
      </c>
      <c r="AF12" s="3" t="e">
        <f>VLOOKUP($B12,baseline!$A:$AK,AF$2,FALSE)</f>
        <v>#N/A</v>
      </c>
      <c r="AG12" s="3" t="e">
        <f>VLOOKUP($B12,baseline!$A:$AK,AG$2,FALSE)</f>
        <v>#N/A</v>
      </c>
      <c r="AH12" s="3" t="e">
        <f>VLOOKUP($B12,baseline!$A:$AK,AH$2,FALSE)</f>
        <v>#N/A</v>
      </c>
      <c r="AI12" s="3" t="e">
        <f>VLOOKUP($B12,baseline!$A:$AK,AI$2,FALSE)</f>
        <v>#N/A</v>
      </c>
      <c r="AJ12" s="3" t="e">
        <f>VLOOKUP($B12,baseline!$A:$AK,AJ$2,FALSE)</f>
        <v>#N/A</v>
      </c>
      <c r="AK12" s="3" t="e">
        <f>VLOOKUP($B12,baseline!$A:$AK,AK$2,FALSE)</f>
        <v>#N/A</v>
      </c>
      <c r="AL12" s="3" t="e">
        <f>VLOOKUP($B12,baseline!$A:$AK,AL$2,FALSE)</f>
        <v>#N/A</v>
      </c>
      <c r="AM12" s="3" t="e">
        <f>VLOOKUP($B12,baseline!$A:$AK,AM$2,FALSE)</f>
        <v>#N/A</v>
      </c>
      <c r="AN12" s="3" t="e">
        <f>VLOOKUP($B12,baseline!$A:$AK,AN$2,FALSE)</f>
        <v>#N/A</v>
      </c>
      <c r="AP12" s="3" t="e">
        <f t="shared" si="1"/>
        <v>#N/A</v>
      </c>
    </row>
    <row r="13" spans="1:48" x14ac:dyDescent="0.3">
      <c r="B13" t="s">
        <v>105</v>
      </c>
      <c r="D13" s="15" t="s">
        <v>171</v>
      </c>
      <c r="E13" s="3" t="e">
        <f>VLOOKUP($B13,baseline!$A:$AK,E$2,FALSE)</f>
        <v>#N/A</v>
      </c>
      <c r="F13" s="3" t="e">
        <f>VLOOKUP($B13,baseline!$A:$AK,F$2,FALSE)</f>
        <v>#N/A</v>
      </c>
      <c r="G13" s="3" t="e">
        <f>VLOOKUP($B13,baseline!$A:$AK,G$2,FALSE)</f>
        <v>#N/A</v>
      </c>
      <c r="H13" s="3" t="e">
        <f>VLOOKUP($B13,baseline!$A:$AK,H$2,FALSE)</f>
        <v>#N/A</v>
      </c>
      <c r="I13" s="3" t="e">
        <f>VLOOKUP($B13,baseline!$A:$AK,I$2,FALSE)</f>
        <v>#N/A</v>
      </c>
      <c r="J13" s="3" t="e">
        <f>VLOOKUP($B13,baseline!$A:$AK,J$2,FALSE)</f>
        <v>#N/A</v>
      </c>
      <c r="K13" s="3" t="e">
        <f>VLOOKUP($B13,baseline!$A:$AK,K$2,FALSE)</f>
        <v>#N/A</v>
      </c>
      <c r="L13" s="3" t="e">
        <f>VLOOKUP($B13,baseline!$A:$AK,L$2,FALSE)</f>
        <v>#N/A</v>
      </c>
      <c r="M13" s="3" t="e">
        <f>VLOOKUP($B13,baseline!$A:$AK,M$2,FALSE)</f>
        <v>#N/A</v>
      </c>
      <c r="N13" s="3" t="e">
        <f>VLOOKUP($B13,baseline!$A:$AK,N$2,FALSE)</f>
        <v>#N/A</v>
      </c>
      <c r="O13" s="3" t="e">
        <f>VLOOKUP($B13,baseline!$A:$AK,O$2,FALSE)</f>
        <v>#N/A</v>
      </c>
      <c r="P13" s="3" t="e">
        <f>VLOOKUP($B13,baseline!$A:$AK,P$2,FALSE)</f>
        <v>#N/A</v>
      </c>
      <c r="Q13" s="3" t="e">
        <f>VLOOKUP($B13,baseline!$A:$AK,Q$2,FALSE)</f>
        <v>#N/A</v>
      </c>
      <c r="R13" s="3" t="e">
        <f>VLOOKUP($B13,baseline!$A:$AK,R$2,FALSE)</f>
        <v>#N/A</v>
      </c>
      <c r="S13" s="3" t="e">
        <f>VLOOKUP($B13,baseline!$A:$AK,S$2,FALSE)</f>
        <v>#N/A</v>
      </c>
      <c r="T13" s="3" t="e">
        <f>VLOOKUP($B13,baseline!$A:$AK,T$2,FALSE)</f>
        <v>#N/A</v>
      </c>
      <c r="U13" s="3" t="e">
        <f>VLOOKUP($B13,baseline!$A:$AK,U$2,FALSE)</f>
        <v>#N/A</v>
      </c>
      <c r="V13" s="3" t="e">
        <f>VLOOKUP($B13,baseline!$A:$AK,V$2,FALSE)</f>
        <v>#N/A</v>
      </c>
      <c r="W13" s="3" t="e">
        <f>VLOOKUP($B13,baseline!$A:$AK,W$2,FALSE)</f>
        <v>#N/A</v>
      </c>
      <c r="X13" s="3" t="e">
        <f>VLOOKUP($B13,baseline!$A:$AK,X$2,FALSE)</f>
        <v>#N/A</v>
      </c>
      <c r="Y13" s="3" t="e">
        <f>VLOOKUP($B13,baseline!$A:$AK,Y$2,FALSE)</f>
        <v>#N/A</v>
      </c>
      <c r="Z13" s="3" t="e">
        <f>VLOOKUP($B13,baseline!$A:$AK,Z$2,FALSE)</f>
        <v>#N/A</v>
      </c>
      <c r="AA13" s="3" t="e">
        <f>VLOOKUP($B13,baseline!$A:$AK,AA$2,FALSE)</f>
        <v>#N/A</v>
      </c>
      <c r="AB13" s="3" t="e">
        <f>VLOOKUP($B13,baseline!$A:$AK,AB$2,FALSE)</f>
        <v>#N/A</v>
      </c>
      <c r="AC13" s="3" t="e">
        <f>VLOOKUP($B13,baseline!$A:$AK,AC$2,FALSE)</f>
        <v>#N/A</v>
      </c>
      <c r="AD13" s="3" t="e">
        <f>VLOOKUP($B13,baseline!$A:$AK,AD$2,FALSE)</f>
        <v>#N/A</v>
      </c>
      <c r="AE13" s="3" t="e">
        <f>VLOOKUP($B13,baseline!$A:$AK,AE$2,FALSE)</f>
        <v>#N/A</v>
      </c>
      <c r="AF13" s="3" t="e">
        <f>VLOOKUP($B13,baseline!$A:$AK,AF$2,FALSE)</f>
        <v>#N/A</v>
      </c>
      <c r="AG13" s="3" t="e">
        <f>VLOOKUP($B13,baseline!$A:$AK,AG$2,FALSE)</f>
        <v>#N/A</v>
      </c>
      <c r="AH13" s="3" t="e">
        <f>VLOOKUP($B13,baseline!$A:$AK,AH$2,FALSE)</f>
        <v>#N/A</v>
      </c>
      <c r="AI13" s="3" t="e">
        <f>VLOOKUP($B13,baseline!$A:$AK,AI$2,FALSE)</f>
        <v>#N/A</v>
      </c>
      <c r="AJ13" s="3" t="e">
        <f>VLOOKUP($B13,baseline!$A:$AK,AJ$2,FALSE)</f>
        <v>#N/A</v>
      </c>
      <c r="AK13" s="3" t="e">
        <f>VLOOKUP($B13,baseline!$A:$AK,AK$2,FALSE)</f>
        <v>#N/A</v>
      </c>
      <c r="AL13" s="3" t="e">
        <f>VLOOKUP($B13,baseline!$A:$AK,AL$2,FALSE)</f>
        <v>#N/A</v>
      </c>
      <c r="AM13" s="3" t="e">
        <f>VLOOKUP($B13,baseline!$A:$AK,AM$2,FALSE)</f>
        <v>#N/A</v>
      </c>
      <c r="AN13" s="3" t="e">
        <f>VLOOKUP($B13,baseline!$A:$AK,AN$2,FALSE)</f>
        <v>#N/A</v>
      </c>
      <c r="AP13" s="3" t="e">
        <f t="shared" si="1"/>
        <v>#N/A</v>
      </c>
    </row>
    <row r="14" spans="1:48" x14ac:dyDescent="0.3">
      <c r="B14" t="s">
        <v>106</v>
      </c>
      <c r="D14" s="15" t="s">
        <v>171</v>
      </c>
      <c r="E14" s="3" t="e">
        <f>VLOOKUP($B14,baseline!$A:$AK,E$2,FALSE)</f>
        <v>#N/A</v>
      </c>
      <c r="F14" s="3" t="e">
        <f>VLOOKUP($B14,baseline!$A:$AK,F$2,FALSE)</f>
        <v>#N/A</v>
      </c>
      <c r="G14" s="3" t="e">
        <f>VLOOKUP($B14,baseline!$A:$AK,G$2,FALSE)</f>
        <v>#N/A</v>
      </c>
      <c r="H14" s="3" t="e">
        <f>VLOOKUP($B14,baseline!$A:$AK,H$2,FALSE)</f>
        <v>#N/A</v>
      </c>
      <c r="I14" s="3" t="e">
        <f>VLOOKUP($B14,baseline!$A:$AK,I$2,FALSE)</f>
        <v>#N/A</v>
      </c>
      <c r="J14" s="3" t="e">
        <f>VLOOKUP($B14,baseline!$A:$AK,J$2,FALSE)</f>
        <v>#N/A</v>
      </c>
      <c r="K14" s="3" t="e">
        <f>VLOOKUP($B14,baseline!$A:$AK,K$2,FALSE)</f>
        <v>#N/A</v>
      </c>
      <c r="L14" s="3" t="e">
        <f>VLOOKUP($B14,baseline!$A:$AK,L$2,FALSE)</f>
        <v>#N/A</v>
      </c>
      <c r="M14" s="3" t="e">
        <f>VLOOKUP($B14,baseline!$A:$AK,M$2,FALSE)</f>
        <v>#N/A</v>
      </c>
      <c r="N14" s="3" t="e">
        <f>VLOOKUP($B14,baseline!$A:$AK,N$2,FALSE)</f>
        <v>#N/A</v>
      </c>
      <c r="O14" s="3" t="e">
        <f>VLOOKUP($B14,baseline!$A:$AK,O$2,FALSE)</f>
        <v>#N/A</v>
      </c>
      <c r="P14" s="3" t="e">
        <f>VLOOKUP($B14,baseline!$A:$AK,P$2,FALSE)</f>
        <v>#N/A</v>
      </c>
      <c r="Q14" s="3" t="e">
        <f>VLOOKUP($B14,baseline!$A:$AK,Q$2,FALSE)</f>
        <v>#N/A</v>
      </c>
      <c r="R14" s="3" t="e">
        <f>VLOOKUP($B14,baseline!$A:$AK,R$2,FALSE)</f>
        <v>#N/A</v>
      </c>
      <c r="S14" s="3" t="e">
        <f>VLOOKUP($B14,baseline!$A:$AK,S$2,FALSE)</f>
        <v>#N/A</v>
      </c>
      <c r="T14" s="3" t="e">
        <f>VLOOKUP($B14,baseline!$A:$AK,T$2,FALSE)</f>
        <v>#N/A</v>
      </c>
      <c r="U14" s="3" t="e">
        <f>VLOOKUP($B14,baseline!$A:$AK,U$2,FALSE)</f>
        <v>#N/A</v>
      </c>
      <c r="V14" s="3" t="e">
        <f>VLOOKUP($B14,baseline!$A:$AK,V$2,FALSE)</f>
        <v>#N/A</v>
      </c>
      <c r="W14" s="3" t="e">
        <f>VLOOKUP($B14,baseline!$A:$AK,W$2,FALSE)</f>
        <v>#N/A</v>
      </c>
      <c r="X14" s="3" t="e">
        <f>VLOOKUP($B14,baseline!$A:$AK,X$2,FALSE)</f>
        <v>#N/A</v>
      </c>
      <c r="Y14" s="3" t="e">
        <f>VLOOKUP($B14,baseline!$A:$AK,Y$2,FALSE)</f>
        <v>#N/A</v>
      </c>
      <c r="Z14" s="3" t="e">
        <f>VLOOKUP($B14,baseline!$A:$AK,Z$2,FALSE)</f>
        <v>#N/A</v>
      </c>
      <c r="AA14" s="3" t="e">
        <f>VLOOKUP($B14,baseline!$A:$AK,AA$2,FALSE)</f>
        <v>#N/A</v>
      </c>
      <c r="AB14" s="3" t="e">
        <f>VLOOKUP($B14,baseline!$A:$AK,AB$2,FALSE)</f>
        <v>#N/A</v>
      </c>
      <c r="AC14" s="3" t="e">
        <f>VLOOKUP($B14,baseline!$A:$AK,AC$2,FALSE)</f>
        <v>#N/A</v>
      </c>
      <c r="AD14" s="3" t="e">
        <f>VLOOKUP($B14,baseline!$A:$AK,AD$2,FALSE)</f>
        <v>#N/A</v>
      </c>
      <c r="AE14" s="3" t="e">
        <f>VLOOKUP($B14,baseline!$A:$AK,AE$2,FALSE)</f>
        <v>#N/A</v>
      </c>
      <c r="AF14" s="3" t="e">
        <f>VLOOKUP($B14,baseline!$A:$AK,AF$2,FALSE)</f>
        <v>#N/A</v>
      </c>
      <c r="AG14" s="3" t="e">
        <f>VLOOKUP($B14,baseline!$A:$AK,AG$2,FALSE)</f>
        <v>#N/A</v>
      </c>
      <c r="AH14" s="3" t="e">
        <f>VLOOKUP($B14,baseline!$A:$AK,AH$2,FALSE)</f>
        <v>#N/A</v>
      </c>
      <c r="AI14" s="3" t="e">
        <f>VLOOKUP($B14,baseline!$A:$AK,AI$2,FALSE)</f>
        <v>#N/A</v>
      </c>
      <c r="AJ14" s="3" t="e">
        <f>VLOOKUP($B14,baseline!$A:$AK,AJ$2,FALSE)</f>
        <v>#N/A</v>
      </c>
      <c r="AK14" s="3" t="e">
        <f>VLOOKUP($B14,baseline!$A:$AK,AK$2,FALSE)</f>
        <v>#N/A</v>
      </c>
      <c r="AL14" s="3" t="e">
        <f>VLOOKUP($B14,baseline!$A:$AK,AL$2,FALSE)</f>
        <v>#N/A</v>
      </c>
      <c r="AM14" s="3" t="e">
        <f>VLOOKUP($B14,baseline!$A:$AK,AM$2,FALSE)</f>
        <v>#N/A</v>
      </c>
      <c r="AN14" s="3" t="e">
        <f>VLOOKUP($B14,baseline!$A:$AK,AN$2,FALSE)</f>
        <v>#N/A</v>
      </c>
      <c r="AP14" s="3" t="e">
        <f t="shared" si="1"/>
        <v>#N/A</v>
      </c>
    </row>
    <row r="15" spans="1:48" x14ac:dyDescent="0.3">
      <c r="B15" t="s">
        <v>107</v>
      </c>
      <c r="D15" s="15" t="s">
        <v>171</v>
      </c>
      <c r="E15" s="3" t="e">
        <f>VLOOKUP($B15,baseline!$A:$AK,E$2,FALSE)</f>
        <v>#N/A</v>
      </c>
      <c r="F15" s="3" t="e">
        <f>VLOOKUP($B15,baseline!$A:$AK,F$2,FALSE)</f>
        <v>#N/A</v>
      </c>
      <c r="G15" s="3" t="e">
        <f>VLOOKUP($B15,baseline!$A:$AK,G$2,FALSE)</f>
        <v>#N/A</v>
      </c>
      <c r="H15" s="3" t="e">
        <f>VLOOKUP($B15,baseline!$A:$AK,H$2,FALSE)</f>
        <v>#N/A</v>
      </c>
      <c r="I15" s="3" t="e">
        <f>VLOOKUP($B15,baseline!$A:$AK,I$2,FALSE)</f>
        <v>#N/A</v>
      </c>
      <c r="J15" s="3" t="e">
        <f>VLOOKUP($B15,baseline!$A:$AK,J$2,FALSE)</f>
        <v>#N/A</v>
      </c>
      <c r="K15" s="3" t="e">
        <f>VLOOKUP($B15,baseline!$A:$AK,K$2,FALSE)</f>
        <v>#N/A</v>
      </c>
      <c r="L15" s="3" t="e">
        <f>VLOOKUP($B15,baseline!$A:$AK,L$2,FALSE)</f>
        <v>#N/A</v>
      </c>
      <c r="M15" s="3" t="e">
        <f>VLOOKUP($B15,baseline!$A:$AK,M$2,FALSE)</f>
        <v>#N/A</v>
      </c>
      <c r="N15" s="3" t="e">
        <f>VLOOKUP($B15,baseline!$A:$AK,N$2,FALSE)</f>
        <v>#N/A</v>
      </c>
      <c r="O15" s="3" t="e">
        <f>VLOOKUP($B15,baseline!$A:$AK,O$2,FALSE)</f>
        <v>#N/A</v>
      </c>
      <c r="P15" s="3" t="e">
        <f>VLOOKUP($B15,baseline!$A:$AK,P$2,FALSE)</f>
        <v>#N/A</v>
      </c>
      <c r="Q15" s="3" t="e">
        <f>VLOOKUP($B15,baseline!$A:$AK,Q$2,FALSE)</f>
        <v>#N/A</v>
      </c>
      <c r="R15" s="3" t="e">
        <f>VLOOKUP($B15,baseline!$A:$AK,R$2,FALSE)</f>
        <v>#N/A</v>
      </c>
      <c r="S15" s="3" t="e">
        <f>VLOOKUP($B15,baseline!$A:$AK,S$2,FALSE)</f>
        <v>#N/A</v>
      </c>
      <c r="T15" s="3" t="e">
        <f>VLOOKUP($B15,baseline!$A:$AK,T$2,FALSE)</f>
        <v>#N/A</v>
      </c>
      <c r="U15" s="3" t="e">
        <f>VLOOKUP($B15,baseline!$A:$AK,U$2,FALSE)</f>
        <v>#N/A</v>
      </c>
      <c r="V15" s="3" t="e">
        <f>VLOOKUP($B15,baseline!$A:$AK,V$2,FALSE)</f>
        <v>#N/A</v>
      </c>
      <c r="W15" s="3" t="e">
        <f>VLOOKUP($B15,baseline!$A:$AK,W$2,FALSE)</f>
        <v>#N/A</v>
      </c>
      <c r="X15" s="3" t="e">
        <f>VLOOKUP($B15,baseline!$A:$AK,X$2,FALSE)</f>
        <v>#N/A</v>
      </c>
      <c r="Y15" s="3" t="e">
        <f>VLOOKUP($B15,baseline!$A:$AK,Y$2,FALSE)</f>
        <v>#N/A</v>
      </c>
      <c r="Z15" s="3" t="e">
        <f>VLOOKUP($B15,baseline!$A:$AK,Z$2,FALSE)</f>
        <v>#N/A</v>
      </c>
      <c r="AA15" s="3" t="e">
        <f>VLOOKUP($B15,baseline!$A:$AK,AA$2,FALSE)</f>
        <v>#N/A</v>
      </c>
      <c r="AB15" s="3" t="e">
        <f>VLOOKUP($B15,baseline!$A:$AK,AB$2,FALSE)</f>
        <v>#N/A</v>
      </c>
      <c r="AC15" s="3" t="e">
        <f>VLOOKUP($B15,baseline!$A:$AK,AC$2,FALSE)</f>
        <v>#N/A</v>
      </c>
      <c r="AD15" s="3" t="e">
        <f>VLOOKUP($B15,baseline!$A:$AK,AD$2,FALSE)</f>
        <v>#N/A</v>
      </c>
      <c r="AE15" s="3" t="e">
        <f>VLOOKUP($B15,baseline!$A:$AK,AE$2,FALSE)</f>
        <v>#N/A</v>
      </c>
      <c r="AF15" s="3" t="e">
        <f>VLOOKUP($B15,baseline!$A:$AK,AF$2,FALSE)</f>
        <v>#N/A</v>
      </c>
      <c r="AG15" s="3" t="e">
        <f>VLOOKUP($B15,baseline!$A:$AK,AG$2,FALSE)</f>
        <v>#N/A</v>
      </c>
      <c r="AH15" s="3" t="e">
        <f>VLOOKUP($B15,baseline!$A:$AK,AH$2,FALSE)</f>
        <v>#N/A</v>
      </c>
      <c r="AI15" s="3" t="e">
        <f>VLOOKUP($B15,baseline!$A:$AK,AI$2,FALSE)</f>
        <v>#N/A</v>
      </c>
      <c r="AJ15" s="3" t="e">
        <f>VLOOKUP($B15,baseline!$A:$AK,AJ$2,FALSE)</f>
        <v>#N/A</v>
      </c>
      <c r="AK15" s="3" t="e">
        <f>VLOOKUP($B15,baseline!$A:$AK,AK$2,FALSE)</f>
        <v>#N/A</v>
      </c>
      <c r="AL15" s="3" t="e">
        <f>VLOOKUP($B15,baseline!$A:$AK,AL$2,FALSE)</f>
        <v>#N/A</v>
      </c>
      <c r="AM15" s="3" t="e">
        <f>VLOOKUP($B15,baseline!$A:$AK,AM$2,FALSE)</f>
        <v>#N/A</v>
      </c>
      <c r="AN15" s="3" t="e">
        <f>VLOOKUP($B15,baseline!$A:$AK,AN$2,FALSE)</f>
        <v>#N/A</v>
      </c>
      <c r="AP15" s="3" t="e">
        <f t="shared" si="1"/>
        <v>#N/A</v>
      </c>
    </row>
    <row r="16" spans="1:48" x14ac:dyDescent="0.3">
      <c r="B16" t="s">
        <v>108</v>
      </c>
      <c r="D16" s="15" t="s">
        <v>171</v>
      </c>
      <c r="E16" s="3" t="e">
        <f>VLOOKUP($B16,baseline!$A:$AK,E$2,FALSE)</f>
        <v>#N/A</v>
      </c>
      <c r="F16" s="3" t="e">
        <f>VLOOKUP($B16,baseline!$A:$AK,F$2,FALSE)</f>
        <v>#N/A</v>
      </c>
      <c r="G16" s="3" t="e">
        <f>VLOOKUP($B16,baseline!$A:$AK,G$2,FALSE)</f>
        <v>#N/A</v>
      </c>
      <c r="H16" s="3" t="e">
        <f>VLOOKUP($B16,baseline!$A:$AK,H$2,FALSE)</f>
        <v>#N/A</v>
      </c>
      <c r="I16" s="3" t="e">
        <f>VLOOKUP($B16,baseline!$A:$AK,I$2,FALSE)</f>
        <v>#N/A</v>
      </c>
      <c r="J16" s="3" t="e">
        <f>VLOOKUP($B16,baseline!$A:$AK,J$2,FALSE)</f>
        <v>#N/A</v>
      </c>
      <c r="K16" s="3" t="e">
        <f>VLOOKUP($B16,baseline!$A:$AK,K$2,FALSE)</f>
        <v>#N/A</v>
      </c>
      <c r="L16" s="3" t="e">
        <f>VLOOKUP($B16,baseline!$A:$AK,L$2,FALSE)</f>
        <v>#N/A</v>
      </c>
      <c r="M16" s="3" t="e">
        <f>VLOOKUP($B16,baseline!$A:$AK,M$2,FALSE)</f>
        <v>#N/A</v>
      </c>
      <c r="N16" s="3" t="e">
        <f>VLOOKUP($B16,baseline!$A:$AK,N$2,FALSE)</f>
        <v>#N/A</v>
      </c>
      <c r="O16" s="3" t="e">
        <f>VLOOKUP($B16,baseline!$A:$AK,O$2,FALSE)</f>
        <v>#N/A</v>
      </c>
      <c r="P16" s="3" t="e">
        <f>VLOOKUP($B16,baseline!$A:$AK,P$2,FALSE)</f>
        <v>#N/A</v>
      </c>
      <c r="Q16" s="3" t="e">
        <f>VLOOKUP($B16,baseline!$A:$AK,Q$2,FALSE)</f>
        <v>#N/A</v>
      </c>
      <c r="R16" s="3" t="e">
        <f>VLOOKUP($B16,baseline!$A:$AK,R$2,FALSE)</f>
        <v>#N/A</v>
      </c>
      <c r="S16" s="3" t="e">
        <f>VLOOKUP($B16,baseline!$A:$AK,S$2,FALSE)</f>
        <v>#N/A</v>
      </c>
      <c r="T16" s="3" t="e">
        <f>VLOOKUP($B16,baseline!$A:$AK,T$2,FALSE)</f>
        <v>#N/A</v>
      </c>
      <c r="U16" s="3" t="e">
        <f>VLOOKUP($B16,baseline!$A:$AK,U$2,FALSE)</f>
        <v>#N/A</v>
      </c>
      <c r="V16" s="3" t="e">
        <f>VLOOKUP($B16,baseline!$A:$AK,V$2,FALSE)</f>
        <v>#N/A</v>
      </c>
      <c r="W16" s="3" t="e">
        <f>VLOOKUP($B16,baseline!$A:$AK,W$2,FALSE)</f>
        <v>#N/A</v>
      </c>
      <c r="X16" s="3" t="e">
        <f>VLOOKUP($B16,baseline!$A:$AK,X$2,FALSE)</f>
        <v>#N/A</v>
      </c>
      <c r="Y16" s="3" t="e">
        <f>VLOOKUP($B16,baseline!$A:$AK,Y$2,FALSE)</f>
        <v>#N/A</v>
      </c>
      <c r="Z16" s="3" t="e">
        <f>VLOOKUP($B16,baseline!$A:$AK,Z$2,FALSE)</f>
        <v>#N/A</v>
      </c>
      <c r="AA16" s="3" t="e">
        <f>VLOOKUP($B16,baseline!$A:$AK,AA$2,FALSE)</f>
        <v>#N/A</v>
      </c>
      <c r="AB16" s="3" t="e">
        <f>VLOOKUP($B16,baseline!$A:$AK,AB$2,FALSE)</f>
        <v>#N/A</v>
      </c>
      <c r="AC16" s="3" t="e">
        <f>VLOOKUP($B16,baseline!$A:$AK,AC$2,FALSE)</f>
        <v>#N/A</v>
      </c>
      <c r="AD16" s="3" t="e">
        <f>VLOOKUP($B16,baseline!$A:$AK,AD$2,FALSE)</f>
        <v>#N/A</v>
      </c>
      <c r="AE16" s="3" t="e">
        <f>VLOOKUP($B16,baseline!$A:$AK,AE$2,FALSE)</f>
        <v>#N/A</v>
      </c>
      <c r="AF16" s="3" t="e">
        <f>VLOOKUP($B16,baseline!$A:$AK,AF$2,FALSE)</f>
        <v>#N/A</v>
      </c>
      <c r="AG16" s="3" t="e">
        <f>VLOOKUP($B16,baseline!$A:$AK,AG$2,FALSE)</f>
        <v>#N/A</v>
      </c>
      <c r="AH16" s="3" t="e">
        <f>VLOOKUP($B16,baseline!$A:$AK,AH$2,FALSE)</f>
        <v>#N/A</v>
      </c>
      <c r="AI16" s="3" t="e">
        <f>VLOOKUP($B16,baseline!$A:$AK,AI$2,FALSE)</f>
        <v>#N/A</v>
      </c>
      <c r="AJ16" s="3" t="e">
        <f>VLOOKUP($B16,baseline!$A:$AK,AJ$2,FALSE)</f>
        <v>#N/A</v>
      </c>
      <c r="AK16" s="3" t="e">
        <f>VLOOKUP($B16,baseline!$A:$AK,AK$2,FALSE)</f>
        <v>#N/A</v>
      </c>
      <c r="AL16" s="3" t="e">
        <f>VLOOKUP($B16,baseline!$A:$AK,AL$2,FALSE)</f>
        <v>#N/A</v>
      </c>
      <c r="AM16" s="3" t="e">
        <f>VLOOKUP($B16,baseline!$A:$AK,AM$2,FALSE)</f>
        <v>#N/A</v>
      </c>
      <c r="AN16" s="3" t="e">
        <f>VLOOKUP($B16,baseline!$A:$AK,AN$2,FALSE)</f>
        <v>#N/A</v>
      </c>
      <c r="AP16" s="3" t="e">
        <f t="shared" si="1"/>
        <v>#N/A</v>
      </c>
    </row>
    <row r="17" spans="2:42" x14ac:dyDescent="0.3">
      <c r="B17" t="s">
        <v>109</v>
      </c>
      <c r="D17" s="15" t="s">
        <v>171</v>
      </c>
      <c r="E17" s="3" t="e">
        <f>VLOOKUP($B17,baseline!$A:$AK,E$2,FALSE)</f>
        <v>#N/A</v>
      </c>
      <c r="F17" s="3" t="e">
        <f>VLOOKUP($B17,baseline!$A:$AK,F$2,FALSE)</f>
        <v>#N/A</v>
      </c>
      <c r="G17" s="3" t="e">
        <f>VLOOKUP($B17,baseline!$A:$AK,G$2,FALSE)</f>
        <v>#N/A</v>
      </c>
      <c r="H17" s="3" t="e">
        <f>VLOOKUP($B17,baseline!$A:$AK,H$2,FALSE)</f>
        <v>#N/A</v>
      </c>
      <c r="I17" s="3" t="e">
        <f>VLOOKUP($B17,baseline!$A:$AK,I$2,FALSE)</f>
        <v>#N/A</v>
      </c>
      <c r="J17" s="3" t="e">
        <f>VLOOKUP($B17,baseline!$A:$AK,J$2,FALSE)</f>
        <v>#N/A</v>
      </c>
      <c r="K17" s="3" t="e">
        <f>VLOOKUP($B17,baseline!$A:$AK,K$2,FALSE)</f>
        <v>#N/A</v>
      </c>
      <c r="L17" s="3" t="e">
        <f>VLOOKUP($B17,baseline!$A:$AK,L$2,FALSE)</f>
        <v>#N/A</v>
      </c>
      <c r="M17" s="3" t="e">
        <f>VLOOKUP($B17,baseline!$A:$AK,M$2,FALSE)</f>
        <v>#N/A</v>
      </c>
      <c r="N17" s="3" t="e">
        <f>VLOOKUP($B17,baseline!$A:$AK,N$2,FALSE)</f>
        <v>#N/A</v>
      </c>
      <c r="O17" s="3" t="e">
        <f>VLOOKUP($B17,baseline!$A:$AK,O$2,FALSE)</f>
        <v>#N/A</v>
      </c>
      <c r="P17" s="3" t="e">
        <f>VLOOKUP($B17,baseline!$A:$AK,P$2,FALSE)</f>
        <v>#N/A</v>
      </c>
      <c r="Q17" s="3" t="e">
        <f>VLOOKUP($B17,baseline!$A:$AK,Q$2,FALSE)</f>
        <v>#N/A</v>
      </c>
      <c r="R17" s="3" t="e">
        <f>VLOOKUP($B17,baseline!$A:$AK,R$2,FALSE)</f>
        <v>#N/A</v>
      </c>
      <c r="S17" s="3" t="e">
        <f>VLOOKUP($B17,baseline!$A:$AK,S$2,FALSE)</f>
        <v>#N/A</v>
      </c>
      <c r="T17" s="3" t="e">
        <f>VLOOKUP($B17,baseline!$A:$AK,T$2,FALSE)</f>
        <v>#N/A</v>
      </c>
      <c r="U17" s="3" t="e">
        <f>VLOOKUP($B17,baseline!$A:$AK,U$2,FALSE)</f>
        <v>#N/A</v>
      </c>
      <c r="V17" s="3" t="e">
        <f>VLOOKUP($B17,baseline!$A:$AK,V$2,FALSE)</f>
        <v>#N/A</v>
      </c>
      <c r="W17" s="3" t="e">
        <f>VLOOKUP($B17,baseline!$A:$AK,W$2,FALSE)</f>
        <v>#N/A</v>
      </c>
      <c r="X17" s="3" t="e">
        <f>VLOOKUP($B17,baseline!$A:$AK,X$2,FALSE)</f>
        <v>#N/A</v>
      </c>
      <c r="Y17" s="3" t="e">
        <f>VLOOKUP($B17,baseline!$A:$AK,Y$2,FALSE)</f>
        <v>#N/A</v>
      </c>
      <c r="Z17" s="3" t="e">
        <f>VLOOKUP($B17,baseline!$A:$AK,Z$2,FALSE)</f>
        <v>#N/A</v>
      </c>
      <c r="AA17" s="3" t="e">
        <f>VLOOKUP($B17,baseline!$A:$AK,AA$2,FALSE)</f>
        <v>#N/A</v>
      </c>
      <c r="AB17" s="3" t="e">
        <f>VLOOKUP($B17,baseline!$A:$AK,AB$2,FALSE)</f>
        <v>#N/A</v>
      </c>
      <c r="AC17" s="3" t="e">
        <f>VLOOKUP($B17,baseline!$A:$AK,AC$2,FALSE)</f>
        <v>#N/A</v>
      </c>
      <c r="AD17" s="3" t="e">
        <f>VLOOKUP($B17,baseline!$A:$AK,AD$2,FALSE)</f>
        <v>#N/A</v>
      </c>
      <c r="AE17" s="3" t="e">
        <f>VLOOKUP($B17,baseline!$A:$AK,AE$2,FALSE)</f>
        <v>#N/A</v>
      </c>
      <c r="AF17" s="3" t="e">
        <f>VLOOKUP($B17,baseline!$A:$AK,AF$2,FALSE)</f>
        <v>#N/A</v>
      </c>
      <c r="AG17" s="3" t="e">
        <f>VLOOKUP($B17,baseline!$A:$AK,AG$2,FALSE)</f>
        <v>#N/A</v>
      </c>
      <c r="AH17" s="3" t="e">
        <f>VLOOKUP($B17,baseline!$A:$AK,AH$2,FALSE)</f>
        <v>#N/A</v>
      </c>
      <c r="AI17" s="3" t="e">
        <f>VLOOKUP($B17,baseline!$A:$AK,AI$2,FALSE)</f>
        <v>#N/A</v>
      </c>
      <c r="AJ17" s="3" t="e">
        <f>VLOOKUP($B17,baseline!$A:$AK,AJ$2,FALSE)</f>
        <v>#N/A</v>
      </c>
      <c r="AK17" s="3" t="e">
        <f>VLOOKUP($B17,baseline!$A:$AK,AK$2,FALSE)</f>
        <v>#N/A</v>
      </c>
      <c r="AL17" s="3" t="e">
        <f>VLOOKUP($B17,baseline!$A:$AK,AL$2,FALSE)</f>
        <v>#N/A</v>
      </c>
      <c r="AM17" s="3" t="e">
        <f>VLOOKUP($B17,baseline!$A:$AK,AM$2,FALSE)</f>
        <v>#N/A</v>
      </c>
      <c r="AN17" s="3" t="e">
        <f>VLOOKUP($B17,baseline!$A:$AK,AN$2,FALSE)</f>
        <v>#N/A</v>
      </c>
      <c r="AP17" s="3" t="e">
        <f t="shared" si="1"/>
        <v>#N/A</v>
      </c>
    </row>
    <row r="18" spans="2:42" x14ac:dyDescent="0.3">
      <c r="B18" t="s">
        <v>110</v>
      </c>
      <c r="D18" s="15" t="s">
        <v>171</v>
      </c>
      <c r="E18" s="3" t="e">
        <f>VLOOKUP($B18,baseline!$A:$AK,E$2,FALSE)</f>
        <v>#N/A</v>
      </c>
      <c r="F18" s="3" t="e">
        <f>VLOOKUP($B18,baseline!$A:$AK,F$2,FALSE)</f>
        <v>#N/A</v>
      </c>
      <c r="G18" s="3" t="e">
        <f>VLOOKUP($B18,baseline!$A:$AK,G$2,FALSE)</f>
        <v>#N/A</v>
      </c>
      <c r="H18" s="3" t="e">
        <f>VLOOKUP($B18,baseline!$A:$AK,H$2,FALSE)</f>
        <v>#N/A</v>
      </c>
      <c r="I18" s="3" t="e">
        <f>VLOOKUP($B18,baseline!$A:$AK,I$2,FALSE)</f>
        <v>#N/A</v>
      </c>
      <c r="J18" s="3" t="e">
        <f>VLOOKUP($B18,baseline!$A:$AK,J$2,FALSE)</f>
        <v>#N/A</v>
      </c>
      <c r="K18" s="3" t="e">
        <f>VLOOKUP($B18,baseline!$A:$AK,K$2,FALSE)</f>
        <v>#N/A</v>
      </c>
      <c r="L18" s="3" t="e">
        <f>VLOOKUP($B18,baseline!$A:$AK,L$2,FALSE)</f>
        <v>#N/A</v>
      </c>
      <c r="M18" s="3" t="e">
        <f>VLOOKUP($B18,baseline!$A:$AK,M$2,FALSE)</f>
        <v>#N/A</v>
      </c>
      <c r="N18" s="3" t="e">
        <f>VLOOKUP($B18,baseline!$A:$AK,N$2,FALSE)</f>
        <v>#N/A</v>
      </c>
      <c r="O18" s="3" t="e">
        <f>VLOOKUP($B18,baseline!$A:$AK,O$2,FALSE)</f>
        <v>#N/A</v>
      </c>
      <c r="P18" s="3" t="e">
        <f>VLOOKUP($B18,baseline!$A:$AK,P$2,FALSE)</f>
        <v>#N/A</v>
      </c>
      <c r="Q18" s="3" t="e">
        <f>VLOOKUP($B18,baseline!$A:$AK,Q$2,FALSE)</f>
        <v>#N/A</v>
      </c>
      <c r="R18" s="3" t="e">
        <f>VLOOKUP($B18,baseline!$A:$AK,R$2,FALSE)</f>
        <v>#N/A</v>
      </c>
      <c r="S18" s="3" t="e">
        <f>VLOOKUP($B18,baseline!$A:$AK,S$2,FALSE)</f>
        <v>#N/A</v>
      </c>
      <c r="T18" s="3" t="e">
        <f>VLOOKUP($B18,baseline!$A:$AK,T$2,FALSE)</f>
        <v>#N/A</v>
      </c>
      <c r="U18" s="3" t="e">
        <f>VLOOKUP($B18,baseline!$A:$AK,U$2,FALSE)</f>
        <v>#N/A</v>
      </c>
      <c r="V18" s="3" t="e">
        <f>VLOOKUP($B18,baseline!$A:$AK,V$2,FALSE)</f>
        <v>#N/A</v>
      </c>
      <c r="W18" s="3" t="e">
        <f>VLOOKUP($B18,baseline!$A:$AK,W$2,FALSE)</f>
        <v>#N/A</v>
      </c>
      <c r="X18" s="3" t="e">
        <f>VLOOKUP($B18,baseline!$A:$AK,X$2,FALSE)</f>
        <v>#N/A</v>
      </c>
      <c r="Y18" s="3" t="e">
        <f>VLOOKUP($B18,baseline!$A:$AK,Y$2,FALSE)</f>
        <v>#N/A</v>
      </c>
      <c r="Z18" s="3" t="e">
        <f>VLOOKUP($B18,baseline!$A:$AK,Z$2,FALSE)</f>
        <v>#N/A</v>
      </c>
      <c r="AA18" s="3" t="e">
        <f>VLOOKUP($B18,baseline!$A:$AK,AA$2,FALSE)</f>
        <v>#N/A</v>
      </c>
      <c r="AB18" s="3" t="e">
        <f>VLOOKUP($B18,baseline!$A:$AK,AB$2,FALSE)</f>
        <v>#N/A</v>
      </c>
      <c r="AC18" s="3" t="e">
        <f>VLOOKUP($B18,baseline!$A:$AK,AC$2,FALSE)</f>
        <v>#N/A</v>
      </c>
      <c r="AD18" s="3" t="e">
        <f>VLOOKUP($B18,baseline!$A:$AK,AD$2,FALSE)</f>
        <v>#N/A</v>
      </c>
      <c r="AE18" s="3" t="e">
        <f>VLOOKUP($B18,baseline!$A:$AK,AE$2,FALSE)</f>
        <v>#N/A</v>
      </c>
      <c r="AF18" s="3" t="e">
        <f>VLOOKUP($B18,baseline!$A:$AK,AF$2,FALSE)</f>
        <v>#N/A</v>
      </c>
      <c r="AG18" s="3" t="e">
        <f>VLOOKUP($B18,baseline!$A:$AK,AG$2,FALSE)</f>
        <v>#N/A</v>
      </c>
      <c r="AH18" s="3" t="e">
        <f>VLOOKUP($B18,baseline!$A:$AK,AH$2,FALSE)</f>
        <v>#N/A</v>
      </c>
      <c r="AI18" s="3" t="e">
        <f>VLOOKUP($B18,baseline!$A:$AK,AI$2,FALSE)</f>
        <v>#N/A</v>
      </c>
      <c r="AJ18" s="3" t="e">
        <f>VLOOKUP($B18,baseline!$A:$AK,AJ$2,FALSE)</f>
        <v>#N/A</v>
      </c>
      <c r="AK18" s="3" t="e">
        <f>VLOOKUP($B18,baseline!$A:$AK,AK$2,FALSE)</f>
        <v>#N/A</v>
      </c>
      <c r="AL18" s="3" t="e">
        <f>VLOOKUP($B18,baseline!$A:$AK,AL$2,FALSE)</f>
        <v>#N/A</v>
      </c>
      <c r="AM18" s="3" t="e">
        <f>VLOOKUP($B18,baseline!$A:$AK,AM$2,FALSE)</f>
        <v>#N/A</v>
      </c>
      <c r="AN18" s="3" t="e">
        <f>VLOOKUP($B18,baseline!$A:$AK,AN$2,FALSE)</f>
        <v>#N/A</v>
      </c>
      <c r="AP18" s="3" t="e">
        <f t="shared" si="1"/>
        <v>#N/A</v>
      </c>
    </row>
    <row r="19" spans="2:42" x14ac:dyDescent="0.3">
      <c r="B19" t="s">
        <v>111</v>
      </c>
      <c r="D19" s="15" t="s">
        <v>171</v>
      </c>
      <c r="E19" s="3" t="e">
        <f>VLOOKUP($B19,baseline!$A:$AK,E$2,FALSE)</f>
        <v>#N/A</v>
      </c>
      <c r="F19" s="3" t="e">
        <f>VLOOKUP($B19,baseline!$A:$AK,F$2,FALSE)</f>
        <v>#N/A</v>
      </c>
      <c r="G19" s="3" t="e">
        <f>VLOOKUP($B19,baseline!$A:$AK,G$2,FALSE)</f>
        <v>#N/A</v>
      </c>
      <c r="H19" s="3" t="e">
        <f>VLOOKUP($B19,baseline!$A:$AK,H$2,FALSE)</f>
        <v>#N/A</v>
      </c>
      <c r="I19" s="3" t="e">
        <f>VLOOKUP($B19,baseline!$A:$AK,I$2,FALSE)</f>
        <v>#N/A</v>
      </c>
      <c r="J19" s="3" t="e">
        <f>VLOOKUP($B19,baseline!$A:$AK,J$2,FALSE)</f>
        <v>#N/A</v>
      </c>
      <c r="K19" s="3" t="e">
        <f>VLOOKUP($B19,baseline!$A:$AK,K$2,FALSE)</f>
        <v>#N/A</v>
      </c>
      <c r="L19" s="3" t="e">
        <f>VLOOKUP($B19,baseline!$A:$AK,L$2,FALSE)</f>
        <v>#N/A</v>
      </c>
      <c r="M19" s="3" t="e">
        <f>VLOOKUP($B19,baseline!$A:$AK,M$2,FALSE)</f>
        <v>#N/A</v>
      </c>
      <c r="N19" s="3" t="e">
        <f>VLOOKUP($B19,baseline!$A:$AK,N$2,FALSE)</f>
        <v>#N/A</v>
      </c>
      <c r="O19" s="3" t="e">
        <f>VLOOKUP($B19,baseline!$A:$AK,O$2,FALSE)</f>
        <v>#N/A</v>
      </c>
      <c r="P19" s="3" t="e">
        <f>VLOOKUP($B19,baseline!$A:$AK,P$2,FALSE)</f>
        <v>#N/A</v>
      </c>
      <c r="Q19" s="3" t="e">
        <f>VLOOKUP($B19,baseline!$A:$AK,Q$2,FALSE)</f>
        <v>#N/A</v>
      </c>
      <c r="R19" s="3" t="e">
        <f>VLOOKUP($B19,baseline!$A:$AK,R$2,FALSE)</f>
        <v>#N/A</v>
      </c>
      <c r="S19" s="3" t="e">
        <f>VLOOKUP($B19,baseline!$A:$AK,S$2,FALSE)</f>
        <v>#N/A</v>
      </c>
      <c r="T19" s="3" t="e">
        <f>VLOOKUP($B19,baseline!$A:$AK,T$2,FALSE)</f>
        <v>#N/A</v>
      </c>
      <c r="U19" s="3" t="e">
        <f>VLOOKUP($B19,baseline!$A:$AK,U$2,FALSE)</f>
        <v>#N/A</v>
      </c>
      <c r="V19" s="3" t="e">
        <f>VLOOKUP($B19,baseline!$A:$AK,V$2,FALSE)</f>
        <v>#N/A</v>
      </c>
      <c r="W19" s="3" t="e">
        <f>VLOOKUP($B19,baseline!$A:$AK,W$2,FALSE)</f>
        <v>#N/A</v>
      </c>
      <c r="X19" s="3" t="e">
        <f>VLOOKUP($B19,baseline!$A:$AK,X$2,FALSE)</f>
        <v>#N/A</v>
      </c>
      <c r="Y19" s="3" t="e">
        <f>VLOOKUP($B19,baseline!$A:$AK,Y$2,FALSE)</f>
        <v>#N/A</v>
      </c>
      <c r="Z19" s="3" t="e">
        <f>VLOOKUP($B19,baseline!$A:$AK,Z$2,FALSE)</f>
        <v>#N/A</v>
      </c>
      <c r="AA19" s="3" t="e">
        <f>VLOOKUP($B19,baseline!$A:$AK,AA$2,FALSE)</f>
        <v>#N/A</v>
      </c>
      <c r="AB19" s="3" t="e">
        <f>VLOOKUP($B19,baseline!$A:$AK,AB$2,FALSE)</f>
        <v>#N/A</v>
      </c>
      <c r="AC19" s="3" t="e">
        <f>VLOOKUP($B19,baseline!$A:$AK,AC$2,FALSE)</f>
        <v>#N/A</v>
      </c>
      <c r="AD19" s="3" t="e">
        <f>VLOOKUP($B19,baseline!$A:$AK,AD$2,FALSE)</f>
        <v>#N/A</v>
      </c>
      <c r="AE19" s="3" t="e">
        <f>VLOOKUP($B19,baseline!$A:$AK,AE$2,FALSE)</f>
        <v>#N/A</v>
      </c>
      <c r="AF19" s="3" t="e">
        <f>VLOOKUP($B19,baseline!$A:$AK,AF$2,FALSE)</f>
        <v>#N/A</v>
      </c>
      <c r="AG19" s="3" t="e">
        <f>VLOOKUP($B19,baseline!$A:$AK,AG$2,FALSE)</f>
        <v>#N/A</v>
      </c>
      <c r="AH19" s="3" t="e">
        <f>VLOOKUP($B19,baseline!$A:$AK,AH$2,FALSE)</f>
        <v>#N/A</v>
      </c>
      <c r="AI19" s="3" t="e">
        <f>VLOOKUP($B19,baseline!$A:$AK,AI$2,FALSE)</f>
        <v>#N/A</v>
      </c>
      <c r="AJ19" s="3" t="e">
        <f>VLOOKUP($B19,baseline!$A:$AK,AJ$2,FALSE)</f>
        <v>#N/A</v>
      </c>
      <c r="AK19" s="3" t="e">
        <f>VLOOKUP($B19,baseline!$A:$AK,AK$2,FALSE)</f>
        <v>#N/A</v>
      </c>
      <c r="AL19" s="3" t="e">
        <f>VLOOKUP($B19,baseline!$A:$AK,AL$2,FALSE)</f>
        <v>#N/A</v>
      </c>
      <c r="AM19" s="3" t="e">
        <f>VLOOKUP($B19,baseline!$A:$AK,AM$2,FALSE)</f>
        <v>#N/A</v>
      </c>
      <c r="AN19" s="3" t="e">
        <f>VLOOKUP($B19,baseline!$A:$AK,AN$2,FALSE)</f>
        <v>#N/A</v>
      </c>
      <c r="AP19" s="3" t="e">
        <f t="shared" si="1"/>
        <v>#N/A</v>
      </c>
    </row>
    <row r="20" spans="2:42" x14ac:dyDescent="0.3">
      <c r="B20" t="s">
        <v>112</v>
      </c>
      <c r="D20" s="15" t="s">
        <v>171</v>
      </c>
      <c r="E20" s="3" t="e">
        <f>VLOOKUP($B20,baseline!$A:$AK,E$2,FALSE)</f>
        <v>#N/A</v>
      </c>
      <c r="F20" s="3" t="e">
        <f>VLOOKUP($B20,baseline!$A:$AK,F$2,FALSE)</f>
        <v>#N/A</v>
      </c>
      <c r="G20" s="3" t="e">
        <f>VLOOKUP($B20,baseline!$A:$AK,G$2,FALSE)</f>
        <v>#N/A</v>
      </c>
      <c r="H20" s="3" t="e">
        <f>VLOOKUP($B20,baseline!$A:$AK,H$2,FALSE)</f>
        <v>#N/A</v>
      </c>
      <c r="I20" s="3" t="e">
        <f>VLOOKUP($B20,baseline!$A:$AK,I$2,FALSE)</f>
        <v>#N/A</v>
      </c>
      <c r="J20" s="3" t="e">
        <f>VLOOKUP($B20,baseline!$A:$AK,J$2,FALSE)</f>
        <v>#N/A</v>
      </c>
      <c r="K20" s="3" t="e">
        <f>VLOOKUP($B20,baseline!$A:$AK,K$2,FALSE)</f>
        <v>#N/A</v>
      </c>
      <c r="L20" s="3" t="e">
        <f>VLOOKUP($B20,baseline!$A:$AK,L$2,FALSE)</f>
        <v>#N/A</v>
      </c>
      <c r="M20" s="3" t="e">
        <f>VLOOKUP($B20,baseline!$A:$AK,M$2,FALSE)</f>
        <v>#N/A</v>
      </c>
      <c r="N20" s="3" t="e">
        <f>VLOOKUP($B20,baseline!$A:$AK,N$2,FALSE)</f>
        <v>#N/A</v>
      </c>
      <c r="O20" s="3" t="e">
        <f>VLOOKUP($B20,baseline!$A:$AK,O$2,FALSE)</f>
        <v>#N/A</v>
      </c>
      <c r="P20" s="3" t="e">
        <f>VLOOKUP($B20,baseline!$A:$AK,P$2,FALSE)</f>
        <v>#N/A</v>
      </c>
      <c r="Q20" s="3" t="e">
        <f>VLOOKUP($B20,baseline!$A:$AK,Q$2,FALSE)</f>
        <v>#N/A</v>
      </c>
      <c r="R20" s="3" t="e">
        <f>VLOOKUP($B20,baseline!$A:$AK,R$2,FALSE)</f>
        <v>#N/A</v>
      </c>
      <c r="S20" s="3" t="e">
        <f>VLOOKUP($B20,baseline!$A:$AK,S$2,FALSE)</f>
        <v>#N/A</v>
      </c>
      <c r="T20" s="3" t="e">
        <f>VLOOKUP($B20,baseline!$A:$AK,T$2,FALSE)</f>
        <v>#N/A</v>
      </c>
      <c r="U20" s="3" t="e">
        <f>VLOOKUP($B20,baseline!$A:$AK,U$2,FALSE)</f>
        <v>#N/A</v>
      </c>
      <c r="V20" s="3" t="e">
        <f>VLOOKUP($B20,baseline!$A:$AK,V$2,FALSE)</f>
        <v>#N/A</v>
      </c>
      <c r="W20" s="3" t="e">
        <f>VLOOKUP($B20,baseline!$A:$AK,W$2,FALSE)</f>
        <v>#N/A</v>
      </c>
      <c r="X20" s="3" t="e">
        <f>VLOOKUP($B20,baseline!$A:$AK,X$2,FALSE)</f>
        <v>#N/A</v>
      </c>
      <c r="Y20" s="3" t="e">
        <f>VLOOKUP($B20,baseline!$A:$AK,Y$2,FALSE)</f>
        <v>#N/A</v>
      </c>
      <c r="Z20" s="3" t="e">
        <f>VLOOKUP($B20,baseline!$A:$AK,Z$2,FALSE)</f>
        <v>#N/A</v>
      </c>
      <c r="AA20" s="3" t="e">
        <f>VLOOKUP($B20,baseline!$A:$AK,AA$2,FALSE)</f>
        <v>#N/A</v>
      </c>
      <c r="AB20" s="3" t="e">
        <f>VLOOKUP($B20,baseline!$A:$AK,AB$2,FALSE)</f>
        <v>#N/A</v>
      </c>
      <c r="AC20" s="3" t="e">
        <f>VLOOKUP($B20,baseline!$A:$AK,AC$2,FALSE)</f>
        <v>#N/A</v>
      </c>
      <c r="AD20" s="3" t="e">
        <f>VLOOKUP($B20,baseline!$A:$AK,AD$2,FALSE)</f>
        <v>#N/A</v>
      </c>
      <c r="AE20" s="3" t="e">
        <f>VLOOKUP($B20,baseline!$A:$AK,AE$2,FALSE)</f>
        <v>#N/A</v>
      </c>
      <c r="AF20" s="3" t="e">
        <f>VLOOKUP($B20,baseline!$A:$AK,AF$2,FALSE)</f>
        <v>#N/A</v>
      </c>
      <c r="AG20" s="3" t="e">
        <f>VLOOKUP($B20,baseline!$A:$AK,AG$2,FALSE)</f>
        <v>#N/A</v>
      </c>
      <c r="AH20" s="3" t="e">
        <f>VLOOKUP($B20,baseline!$A:$AK,AH$2,FALSE)</f>
        <v>#N/A</v>
      </c>
      <c r="AI20" s="3" t="e">
        <f>VLOOKUP($B20,baseline!$A:$AK,AI$2,FALSE)</f>
        <v>#N/A</v>
      </c>
      <c r="AJ20" s="3" t="e">
        <f>VLOOKUP($B20,baseline!$A:$AK,AJ$2,FALSE)</f>
        <v>#N/A</v>
      </c>
      <c r="AK20" s="3" t="e">
        <f>VLOOKUP($B20,baseline!$A:$AK,AK$2,FALSE)</f>
        <v>#N/A</v>
      </c>
      <c r="AL20" s="3" t="e">
        <f>VLOOKUP($B20,baseline!$A:$AK,AL$2,FALSE)</f>
        <v>#N/A</v>
      </c>
      <c r="AM20" s="3" t="e">
        <f>VLOOKUP($B20,baseline!$A:$AK,AM$2,FALSE)</f>
        <v>#N/A</v>
      </c>
      <c r="AN20" s="3" t="e">
        <f>VLOOKUP($B20,baseline!$A:$AK,AN$2,FALSE)</f>
        <v>#N/A</v>
      </c>
      <c r="AP20" s="3" t="e">
        <f t="shared" si="1"/>
        <v>#N/A</v>
      </c>
    </row>
    <row r="21" spans="2:42" x14ac:dyDescent="0.3">
      <c r="B21" t="s">
        <v>113</v>
      </c>
      <c r="D21" s="15" t="s">
        <v>171</v>
      </c>
      <c r="E21" s="3" t="e">
        <f>VLOOKUP($B21,baseline!$A:$AK,E$2,FALSE)</f>
        <v>#N/A</v>
      </c>
      <c r="F21" s="3" t="e">
        <f>VLOOKUP($B21,baseline!$A:$AK,F$2,FALSE)</f>
        <v>#N/A</v>
      </c>
      <c r="G21" s="3" t="e">
        <f>VLOOKUP($B21,baseline!$A:$AK,G$2,FALSE)</f>
        <v>#N/A</v>
      </c>
      <c r="H21" s="3" t="e">
        <f>VLOOKUP($B21,baseline!$A:$AK,H$2,FALSE)</f>
        <v>#N/A</v>
      </c>
      <c r="I21" s="3" t="e">
        <f>VLOOKUP($B21,baseline!$A:$AK,I$2,FALSE)</f>
        <v>#N/A</v>
      </c>
      <c r="J21" s="3" t="e">
        <f>VLOOKUP($B21,baseline!$A:$AK,J$2,FALSE)</f>
        <v>#N/A</v>
      </c>
      <c r="K21" s="3" t="e">
        <f>VLOOKUP($B21,baseline!$A:$AK,K$2,FALSE)</f>
        <v>#N/A</v>
      </c>
      <c r="L21" s="3" t="e">
        <f>VLOOKUP($B21,baseline!$A:$AK,L$2,FALSE)</f>
        <v>#N/A</v>
      </c>
      <c r="M21" s="3" t="e">
        <f>VLOOKUP($B21,baseline!$A:$AK,M$2,FALSE)</f>
        <v>#N/A</v>
      </c>
      <c r="N21" s="3" t="e">
        <f>VLOOKUP($B21,baseline!$A:$AK,N$2,FALSE)</f>
        <v>#N/A</v>
      </c>
      <c r="O21" s="3" t="e">
        <f>VLOOKUP($B21,baseline!$A:$AK,O$2,FALSE)</f>
        <v>#N/A</v>
      </c>
      <c r="P21" s="3" t="e">
        <f>VLOOKUP($B21,baseline!$A:$AK,P$2,FALSE)</f>
        <v>#N/A</v>
      </c>
      <c r="Q21" s="3" t="e">
        <f>VLOOKUP($B21,baseline!$A:$AK,Q$2,FALSE)</f>
        <v>#N/A</v>
      </c>
      <c r="R21" s="3" t="e">
        <f>VLOOKUP($B21,baseline!$A:$AK,R$2,FALSE)</f>
        <v>#N/A</v>
      </c>
      <c r="S21" s="3" t="e">
        <f>VLOOKUP($B21,baseline!$A:$AK,S$2,FALSE)</f>
        <v>#N/A</v>
      </c>
      <c r="T21" s="3" t="e">
        <f>VLOOKUP($B21,baseline!$A:$AK,T$2,FALSE)</f>
        <v>#N/A</v>
      </c>
      <c r="U21" s="3" t="e">
        <f>VLOOKUP($B21,baseline!$A:$AK,U$2,FALSE)</f>
        <v>#N/A</v>
      </c>
      <c r="V21" s="3" t="e">
        <f>VLOOKUP($B21,baseline!$A:$AK,V$2,FALSE)</f>
        <v>#N/A</v>
      </c>
      <c r="W21" s="3" t="e">
        <f>VLOOKUP($B21,baseline!$A:$AK,W$2,FALSE)</f>
        <v>#N/A</v>
      </c>
      <c r="X21" s="3" t="e">
        <f>VLOOKUP($B21,baseline!$A:$AK,X$2,FALSE)</f>
        <v>#N/A</v>
      </c>
      <c r="Y21" s="3" t="e">
        <f>VLOOKUP($B21,baseline!$A:$AK,Y$2,FALSE)</f>
        <v>#N/A</v>
      </c>
      <c r="Z21" s="3" t="e">
        <f>VLOOKUP($B21,baseline!$A:$AK,Z$2,FALSE)</f>
        <v>#N/A</v>
      </c>
      <c r="AA21" s="3" t="e">
        <f>VLOOKUP($B21,baseline!$A:$AK,AA$2,FALSE)</f>
        <v>#N/A</v>
      </c>
      <c r="AB21" s="3" t="e">
        <f>VLOOKUP($B21,baseline!$A:$AK,AB$2,FALSE)</f>
        <v>#N/A</v>
      </c>
      <c r="AC21" s="3" t="e">
        <f>VLOOKUP($B21,baseline!$A:$AK,AC$2,FALSE)</f>
        <v>#N/A</v>
      </c>
      <c r="AD21" s="3" t="e">
        <f>VLOOKUP($B21,baseline!$A:$AK,AD$2,FALSE)</f>
        <v>#N/A</v>
      </c>
      <c r="AE21" s="3" t="e">
        <f>VLOOKUP($B21,baseline!$A:$AK,AE$2,FALSE)</f>
        <v>#N/A</v>
      </c>
      <c r="AF21" s="3" t="e">
        <f>VLOOKUP($B21,baseline!$A:$AK,AF$2,FALSE)</f>
        <v>#N/A</v>
      </c>
      <c r="AG21" s="3" t="e">
        <f>VLOOKUP($B21,baseline!$A:$AK,AG$2,FALSE)</f>
        <v>#N/A</v>
      </c>
      <c r="AH21" s="3" t="e">
        <f>VLOOKUP($B21,baseline!$A:$AK,AH$2,FALSE)</f>
        <v>#N/A</v>
      </c>
      <c r="AI21" s="3" t="e">
        <f>VLOOKUP($B21,baseline!$A:$AK,AI$2,FALSE)</f>
        <v>#N/A</v>
      </c>
      <c r="AJ21" s="3" t="e">
        <f>VLOOKUP($B21,baseline!$A:$AK,AJ$2,FALSE)</f>
        <v>#N/A</v>
      </c>
      <c r="AK21" s="3" t="e">
        <f>VLOOKUP($B21,baseline!$A:$AK,AK$2,FALSE)</f>
        <v>#N/A</v>
      </c>
      <c r="AL21" s="3" t="e">
        <f>VLOOKUP($B21,baseline!$A:$AK,AL$2,FALSE)</f>
        <v>#N/A</v>
      </c>
      <c r="AM21" s="3" t="e">
        <f>VLOOKUP($B21,baseline!$A:$AK,AM$2,FALSE)</f>
        <v>#N/A</v>
      </c>
      <c r="AN21" s="3" t="e">
        <f>VLOOKUP($B21,baseline!$A:$AK,AN$2,FALSE)</f>
        <v>#N/A</v>
      </c>
      <c r="AP21" s="3" t="e">
        <f t="shared" si="1"/>
        <v>#N/A</v>
      </c>
    </row>
    <row r="22" spans="2:42" x14ac:dyDescent="0.3">
      <c r="B22" t="s">
        <v>114</v>
      </c>
      <c r="D22" s="15" t="s">
        <v>171</v>
      </c>
      <c r="E22" s="3" t="e">
        <f>VLOOKUP($B22,baseline!$A:$AK,E$2,FALSE)</f>
        <v>#N/A</v>
      </c>
      <c r="F22" s="3" t="e">
        <f>VLOOKUP($B22,baseline!$A:$AK,F$2,FALSE)</f>
        <v>#N/A</v>
      </c>
      <c r="G22" s="3" t="e">
        <f>VLOOKUP($B22,baseline!$A:$AK,G$2,FALSE)</f>
        <v>#N/A</v>
      </c>
      <c r="H22" s="3" t="e">
        <f>VLOOKUP($B22,baseline!$A:$AK,H$2,FALSE)</f>
        <v>#N/A</v>
      </c>
      <c r="I22" s="3" t="e">
        <f>VLOOKUP($B22,baseline!$A:$AK,I$2,FALSE)</f>
        <v>#N/A</v>
      </c>
      <c r="J22" s="3" t="e">
        <f>VLOOKUP($B22,baseline!$A:$AK,J$2,FALSE)</f>
        <v>#N/A</v>
      </c>
      <c r="K22" s="3" t="e">
        <f>VLOOKUP($B22,baseline!$A:$AK,K$2,FALSE)</f>
        <v>#N/A</v>
      </c>
      <c r="L22" s="3" t="e">
        <f>VLOOKUP($B22,baseline!$A:$AK,L$2,FALSE)</f>
        <v>#N/A</v>
      </c>
      <c r="M22" s="3" t="e">
        <f>VLOOKUP($B22,baseline!$A:$AK,M$2,FALSE)</f>
        <v>#N/A</v>
      </c>
      <c r="N22" s="3" t="e">
        <f>VLOOKUP($B22,baseline!$A:$AK,N$2,FALSE)</f>
        <v>#N/A</v>
      </c>
      <c r="O22" s="3" t="e">
        <f>VLOOKUP($B22,baseline!$A:$AK,O$2,FALSE)</f>
        <v>#N/A</v>
      </c>
      <c r="P22" s="3" t="e">
        <f>VLOOKUP($B22,baseline!$A:$AK,P$2,FALSE)</f>
        <v>#N/A</v>
      </c>
      <c r="Q22" s="3" t="e">
        <f>VLOOKUP($B22,baseline!$A:$AK,Q$2,FALSE)</f>
        <v>#N/A</v>
      </c>
      <c r="R22" s="3" t="e">
        <f>VLOOKUP($B22,baseline!$A:$AK,R$2,FALSE)</f>
        <v>#N/A</v>
      </c>
      <c r="S22" s="3" t="e">
        <f>VLOOKUP($B22,baseline!$A:$AK,S$2,FALSE)</f>
        <v>#N/A</v>
      </c>
      <c r="T22" s="3" t="e">
        <f>VLOOKUP($B22,baseline!$A:$AK,T$2,FALSE)</f>
        <v>#N/A</v>
      </c>
      <c r="U22" s="3" t="e">
        <f>VLOOKUP($B22,baseline!$A:$AK,U$2,FALSE)</f>
        <v>#N/A</v>
      </c>
      <c r="V22" s="3" t="e">
        <f>VLOOKUP($B22,baseline!$A:$AK,V$2,FALSE)</f>
        <v>#N/A</v>
      </c>
      <c r="W22" s="3" t="e">
        <f>VLOOKUP($B22,baseline!$A:$AK,W$2,FALSE)</f>
        <v>#N/A</v>
      </c>
      <c r="X22" s="3" t="e">
        <f>VLOOKUP($B22,baseline!$A:$AK,X$2,FALSE)</f>
        <v>#N/A</v>
      </c>
      <c r="Y22" s="3" t="e">
        <f>VLOOKUP($B22,baseline!$A:$AK,Y$2,FALSE)</f>
        <v>#N/A</v>
      </c>
      <c r="Z22" s="3" t="e">
        <f>VLOOKUP($B22,baseline!$A:$AK,Z$2,FALSE)</f>
        <v>#N/A</v>
      </c>
      <c r="AA22" s="3" t="e">
        <f>VLOOKUP($B22,baseline!$A:$AK,AA$2,FALSE)</f>
        <v>#N/A</v>
      </c>
      <c r="AB22" s="3" t="e">
        <f>VLOOKUP($B22,baseline!$A:$AK,AB$2,FALSE)</f>
        <v>#N/A</v>
      </c>
      <c r="AC22" s="3" t="e">
        <f>VLOOKUP($B22,baseline!$A:$AK,AC$2,FALSE)</f>
        <v>#N/A</v>
      </c>
      <c r="AD22" s="3" t="e">
        <f>VLOOKUP($B22,baseline!$A:$AK,AD$2,FALSE)</f>
        <v>#N/A</v>
      </c>
      <c r="AE22" s="3" t="e">
        <f>VLOOKUP($B22,baseline!$A:$AK,AE$2,FALSE)</f>
        <v>#N/A</v>
      </c>
      <c r="AF22" s="3" t="e">
        <f>VLOOKUP($B22,baseline!$A:$AK,AF$2,FALSE)</f>
        <v>#N/A</v>
      </c>
      <c r="AG22" s="3" t="e">
        <f>VLOOKUP($B22,baseline!$A:$AK,AG$2,FALSE)</f>
        <v>#N/A</v>
      </c>
      <c r="AH22" s="3" t="e">
        <f>VLOOKUP($B22,baseline!$A:$AK,AH$2,FALSE)</f>
        <v>#N/A</v>
      </c>
      <c r="AI22" s="3" t="e">
        <f>VLOOKUP($B22,baseline!$A:$AK,AI$2,FALSE)</f>
        <v>#N/A</v>
      </c>
      <c r="AJ22" s="3" t="e">
        <f>VLOOKUP($B22,baseline!$A:$AK,AJ$2,FALSE)</f>
        <v>#N/A</v>
      </c>
      <c r="AK22" s="3" t="e">
        <f>VLOOKUP($B22,baseline!$A:$AK,AK$2,FALSE)</f>
        <v>#N/A</v>
      </c>
      <c r="AL22" s="3" t="e">
        <f>VLOOKUP($B22,baseline!$A:$AK,AL$2,FALSE)</f>
        <v>#N/A</v>
      </c>
      <c r="AM22" s="3" t="e">
        <f>VLOOKUP($B22,baseline!$A:$AK,AM$2,FALSE)</f>
        <v>#N/A</v>
      </c>
      <c r="AN22" s="3" t="e">
        <f>VLOOKUP($B22,baseline!$A:$AK,AN$2,FALSE)</f>
        <v>#N/A</v>
      </c>
      <c r="AP22" s="3" t="e">
        <f t="shared" si="1"/>
        <v>#N/A</v>
      </c>
    </row>
    <row r="23" spans="2:42" x14ac:dyDescent="0.3">
      <c r="B23" t="s">
        <v>115</v>
      </c>
      <c r="D23" s="15" t="s">
        <v>171</v>
      </c>
      <c r="E23" s="3" t="e">
        <f>VLOOKUP($B23,baseline!$A:$AK,E$2,FALSE)</f>
        <v>#N/A</v>
      </c>
      <c r="F23" s="3" t="e">
        <f>VLOOKUP($B23,baseline!$A:$AK,F$2,FALSE)</f>
        <v>#N/A</v>
      </c>
      <c r="G23" s="3" t="e">
        <f>VLOOKUP($B23,baseline!$A:$AK,G$2,FALSE)</f>
        <v>#N/A</v>
      </c>
      <c r="H23" s="3" t="e">
        <f>VLOOKUP($B23,baseline!$A:$AK,H$2,FALSE)</f>
        <v>#N/A</v>
      </c>
      <c r="I23" s="3" t="e">
        <f>VLOOKUP($B23,baseline!$A:$AK,I$2,FALSE)</f>
        <v>#N/A</v>
      </c>
      <c r="J23" s="3" t="e">
        <f>VLOOKUP($B23,baseline!$A:$AK,J$2,FALSE)</f>
        <v>#N/A</v>
      </c>
      <c r="K23" s="3" t="e">
        <f>VLOOKUP($B23,baseline!$A:$AK,K$2,FALSE)</f>
        <v>#N/A</v>
      </c>
      <c r="L23" s="3" t="e">
        <f>VLOOKUP($B23,baseline!$A:$AK,L$2,FALSE)</f>
        <v>#N/A</v>
      </c>
      <c r="M23" s="3" t="e">
        <f>VLOOKUP($B23,baseline!$A:$AK,M$2,FALSE)</f>
        <v>#N/A</v>
      </c>
      <c r="N23" s="3" t="e">
        <f>VLOOKUP($B23,baseline!$A:$AK,N$2,FALSE)</f>
        <v>#N/A</v>
      </c>
      <c r="O23" s="3" t="e">
        <f>VLOOKUP($B23,baseline!$A:$AK,O$2,FALSE)</f>
        <v>#N/A</v>
      </c>
      <c r="P23" s="3" t="e">
        <f>VLOOKUP($B23,baseline!$A:$AK,P$2,FALSE)</f>
        <v>#N/A</v>
      </c>
      <c r="Q23" s="3" t="e">
        <f>VLOOKUP($B23,baseline!$A:$AK,Q$2,FALSE)</f>
        <v>#N/A</v>
      </c>
      <c r="R23" s="3" t="e">
        <f>VLOOKUP($B23,baseline!$A:$AK,R$2,FALSE)</f>
        <v>#N/A</v>
      </c>
      <c r="S23" s="3" t="e">
        <f>VLOOKUP($B23,baseline!$A:$AK,S$2,FALSE)</f>
        <v>#N/A</v>
      </c>
      <c r="T23" s="3" t="e">
        <f>VLOOKUP($B23,baseline!$A:$AK,T$2,FALSE)</f>
        <v>#N/A</v>
      </c>
      <c r="U23" s="3" t="e">
        <f>VLOOKUP($B23,baseline!$A:$AK,U$2,FALSE)</f>
        <v>#N/A</v>
      </c>
      <c r="V23" s="3" t="e">
        <f>VLOOKUP($B23,baseline!$A:$AK,V$2,FALSE)</f>
        <v>#N/A</v>
      </c>
      <c r="W23" s="3" t="e">
        <f>VLOOKUP($B23,baseline!$A:$AK,W$2,FALSE)</f>
        <v>#N/A</v>
      </c>
      <c r="X23" s="3" t="e">
        <f>VLOOKUP($B23,baseline!$A:$AK,X$2,FALSE)</f>
        <v>#N/A</v>
      </c>
      <c r="Y23" s="3" t="e">
        <f>VLOOKUP($B23,baseline!$A:$AK,Y$2,FALSE)</f>
        <v>#N/A</v>
      </c>
      <c r="Z23" s="3" t="e">
        <f>VLOOKUP($B23,baseline!$A:$AK,Z$2,FALSE)</f>
        <v>#N/A</v>
      </c>
      <c r="AA23" s="3" t="e">
        <f>VLOOKUP($B23,baseline!$A:$AK,AA$2,FALSE)</f>
        <v>#N/A</v>
      </c>
      <c r="AB23" s="3" t="e">
        <f>VLOOKUP($B23,baseline!$A:$AK,AB$2,FALSE)</f>
        <v>#N/A</v>
      </c>
      <c r="AC23" s="3" t="e">
        <f>VLOOKUP($B23,baseline!$A:$AK,AC$2,FALSE)</f>
        <v>#N/A</v>
      </c>
      <c r="AD23" s="3" t="e">
        <f>VLOOKUP($B23,baseline!$A:$AK,AD$2,FALSE)</f>
        <v>#N/A</v>
      </c>
      <c r="AE23" s="3" t="e">
        <f>VLOOKUP($B23,baseline!$A:$AK,AE$2,FALSE)</f>
        <v>#N/A</v>
      </c>
      <c r="AF23" s="3" t="e">
        <f>VLOOKUP($B23,baseline!$A:$AK,AF$2,FALSE)</f>
        <v>#N/A</v>
      </c>
      <c r="AG23" s="3" t="e">
        <f>VLOOKUP($B23,baseline!$A:$AK,AG$2,FALSE)</f>
        <v>#N/A</v>
      </c>
      <c r="AH23" s="3" t="e">
        <f>VLOOKUP($B23,baseline!$A:$AK,AH$2,FALSE)</f>
        <v>#N/A</v>
      </c>
      <c r="AI23" s="3" t="e">
        <f>VLOOKUP($B23,baseline!$A:$AK,AI$2,FALSE)</f>
        <v>#N/A</v>
      </c>
      <c r="AJ23" s="3" t="e">
        <f>VLOOKUP($B23,baseline!$A:$AK,AJ$2,FALSE)</f>
        <v>#N/A</v>
      </c>
      <c r="AK23" s="3" t="e">
        <f>VLOOKUP($B23,baseline!$A:$AK,AK$2,FALSE)</f>
        <v>#N/A</v>
      </c>
      <c r="AL23" s="3" t="e">
        <f>VLOOKUP($B23,baseline!$A:$AK,AL$2,FALSE)</f>
        <v>#N/A</v>
      </c>
      <c r="AM23" s="3" t="e">
        <f>VLOOKUP($B23,baseline!$A:$AK,AM$2,FALSE)</f>
        <v>#N/A</v>
      </c>
      <c r="AN23" s="3" t="e">
        <f>VLOOKUP($B23,baseline!$A:$AK,AN$2,FALSE)</f>
        <v>#N/A</v>
      </c>
      <c r="AP23" s="3" t="e">
        <f t="shared" si="1"/>
        <v>#N/A</v>
      </c>
    </row>
    <row r="24" spans="2:42" x14ac:dyDescent="0.3">
      <c r="B24" t="s">
        <v>116</v>
      </c>
      <c r="D24" s="15" t="s">
        <v>171</v>
      </c>
      <c r="E24" s="3" t="e">
        <f>VLOOKUP($B24,baseline!$A:$AK,E$2,FALSE)</f>
        <v>#N/A</v>
      </c>
      <c r="F24" s="3" t="e">
        <f>VLOOKUP($B24,baseline!$A:$AK,F$2,FALSE)</f>
        <v>#N/A</v>
      </c>
      <c r="G24" s="3" t="e">
        <f>VLOOKUP($B24,baseline!$A:$AK,G$2,FALSE)</f>
        <v>#N/A</v>
      </c>
      <c r="H24" s="3" t="e">
        <f>VLOOKUP($B24,baseline!$A:$AK,H$2,FALSE)</f>
        <v>#N/A</v>
      </c>
      <c r="I24" s="3" t="e">
        <f>VLOOKUP($B24,baseline!$A:$AK,I$2,FALSE)</f>
        <v>#N/A</v>
      </c>
      <c r="J24" s="3" t="e">
        <f>VLOOKUP($B24,baseline!$A:$AK,J$2,FALSE)</f>
        <v>#N/A</v>
      </c>
      <c r="K24" s="3" t="e">
        <f>VLOOKUP($B24,baseline!$A:$AK,K$2,FALSE)</f>
        <v>#N/A</v>
      </c>
      <c r="L24" s="3" t="e">
        <f>VLOOKUP($B24,baseline!$A:$AK,L$2,FALSE)</f>
        <v>#N/A</v>
      </c>
      <c r="M24" s="3" t="e">
        <f>VLOOKUP($B24,baseline!$A:$AK,M$2,FALSE)</f>
        <v>#N/A</v>
      </c>
      <c r="N24" s="3" t="e">
        <f>VLOOKUP($B24,baseline!$A:$AK,N$2,FALSE)</f>
        <v>#N/A</v>
      </c>
      <c r="O24" s="3" t="e">
        <f>VLOOKUP($B24,baseline!$A:$AK,O$2,FALSE)</f>
        <v>#N/A</v>
      </c>
      <c r="P24" s="3" t="e">
        <f>VLOOKUP($B24,baseline!$A:$AK,P$2,FALSE)</f>
        <v>#N/A</v>
      </c>
      <c r="Q24" s="3" t="e">
        <f>VLOOKUP($B24,baseline!$A:$AK,Q$2,FALSE)</f>
        <v>#N/A</v>
      </c>
      <c r="R24" s="3" t="e">
        <f>VLOOKUP($B24,baseline!$A:$AK,R$2,FALSE)</f>
        <v>#N/A</v>
      </c>
      <c r="S24" s="3" t="e">
        <f>VLOOKUP($B24,baseline!$A:$AK,S$2,FALSE)</f>
        <v>#N/A</v>
      </c>
      <c r="T24" s="3" t="e">
        <f>VLOOKUP($B24,baseline!$A:$AK,T$2,FALSE)</f>
        <v>#N/A</v>
      </c>
      <c r="U24" s="3" t="e">
        <f>VLOOKUP($B24,baseline!$A:$AK,U$2,FALSE)</f>
        <v>#N/A</v>
      </c>
      <c r="V24" s="3" t="e">
        <f>VLOOKUP($B24,baseline!$A:$AK,V$2,FALSE)</f>
        <v>#N/A</v>
      </c>
      <c r="W24" s="3" t="e">
        <f>VLOOKUP($B24,baseline!$A:$AK,W$2,FALSE)</f>
        <v>#N/A</v>
      </c>
      <c r="X24" s="3" t="e">
        <f>VLOOKUP($B24,baseline!$A:$AK,X$2,FALSE)</f>
        <v>#N/A</v>
      </c>
      <c r="Y24" s="3" t="e">
        <f>VLOOKUP($B24,baseline!$A:$AK,Y$2,FALSE)</f>
        <v>#N/A</v>
      </c>
      <c r="Z24" s="3" t="e">
        <f>VLOOKUP($B24,baseline!$A:$AK,Z$2,FALSE)</f>
        <v>#N/A</v>
      </c>
      <c r="AA24" s="3" t="e">
        <f>VLOOKUP($B24,baseline!$A:$AK,AA$2,FALSE)</f>
        <v>#N/A</v>
      </c>
      <c r="AB24" s="3" t="e">
        <f>VLOOKUP($B24,baseline!$A:$AK,AB$2,FALSE)</f>
        <v>#N/A</v>
      </c>
      <c r="AC24" s="3" t="e">
        <f>VLOOKUP($B24,baseline!$A:$AK,AC$2,FALSE)</f>
        <v>#N/A</v>
      </c>
      <c r="AD24" s="3" t="e">
        <f>VLOOKUP($B24,baseline!$A:$AK,AD$2,FALSE)</f>
        <v>#N/A</v>
      </c>
      <c r="AE24" s="3" t="e">
        <f>VLOOKUP($B24,baseline!$A:$AK,AE$2,FALSE)</f>
        <v>#N/A</v>
      </c>
      <c r="AF24" s="3" t="e">
        <f>VLOOKUP($B24,baseline!$A:$AK,AF$2,FALSE)</f>
        <v>#N/A</v>
      </c>
      <c r="AG24" s="3" t="e">
        <f>VLOOKUP($B24,baseline!$A:$AK,AG$2,FALSE)</f>
        <v>#N/A</v>
      </c>
      <c r="AH24" s="3" t="e">
        <f>VLOOKUP($B24,baseline!$A:$AK,AH$2,FALSE)</f>
        <v>#N/A</v>
      </c>
      <c r="AI24" s="3" t="e">
        <f>VLOOKUP($B24,baseline!$A:$AK,AI$2,FALSE)</f>
        <v>#N/A</v>
      </c>
      <c r="AJ24" s="3" t="e">
        <f>VLOOKUP($B24,baseline!$A:$AK,AJ$2,FALSE)</f>
        <v>#N/A</v>
      </c>
      <c r="AK24" s="3" t="e">
        <f>VLOOKUP($B24,baseline!$A:$AK,AK$2,FALSE)</f>
        <v>#N/A</v>
      </c>
      <c r="AL24" s="3" t="e">
        <f>VLOOKUP($B24,baseline!$A:$AK,AL$2,FALSE)</f>
        <v>#N/A</v>
      </c>
      <c r="AM24" s="3" t="e">
        <f>VLOOKUP($B24,baseline!$A:$AK,AM$2,FALSE)</f>
        <v>#N/A</v>
      </c>
      <c r="AN24" s="3" t="e">
        <f>VLOOKUP($B24,baseline!$A:$AK,AN$2,FALSE)</f>
        <v>#N/A</v>
      </c>
      <c r="AP24" s="3" t="e">
        <f t="shared" si="1"/>
        <v>#N/A</v>
      </c>
    </row>
    <row r="25" spans="2:42" x14ac:dyDescent="0.3">
      <c r="B25" t="s">
        <v>117</v>
      </c>
      <c r="D25" s="15" t="s">
        <v>171</v>
      </c>
      <c r="E25" s="3" t="e">
        <f>VLOOKUP($B25,baseline!$A:$AK,E$2,FALSE)</f>
        <v>#N/A</v>
      </c>
      <c r="F25" s="3" t="e">
        <f>VLOOKUP($B25,baseline!$A:$AK,F$2,FALSE)</f>
        <v>#N/A</v>
      </c>
      <c r="G25" s="3" t="e">
        <f>VLOOKUP($B25,baseline!$A:$AK,G$2,FALSE)</f>
        <v>#N/A</v>
      </c>
      <c r="H25" s="3" t="e">
        <f>VLOOKUP($B25,baseline!$A:$AK,H$2,FALSE)</f>
        <v>#N/A</v>
      </c>
      <c r="I25" s="3" t="e">
        <f>VLOOKUP($B25,baseline!$A:$AK,I$2,FALSE)</f>
        <v>#N/A</v>
      </c>
      <c r="J25" s="3" t="e">
        <f>VLOOKUP($B25,baseline!$A:$AK,J$2,FALSE)</f>
        <v>#N/A</v>
      </c>
      <c r="K25" s="3" t="e">
        <f>VLOOKUP($B25,baseline!$A:$AK,K$2,FALSE)</f>
        <v>#N/A</v>
      </c>
      <c r="L25" s="3" t="e">
        <f>VLOOKUP($B25,baseline!$A:$AK,L$2,FALSE)</f>
        <v>#N/A</v>
      </c>
      <c r="M25" s="3" t="e">
        <f>VLOOKUP($B25,baseline!$A:$AK,M$2,FALSE)</f>
        <v>#N/A</v>
      </c>
      <c r="N25" s="3" t="e">
        <f>VLOOKUP($B25,baseline!$A:$AK,N$2,FALSE)</f>
        <v>#N/A</v>
      </c>
      <c r="O25" s="3" t="e">
        <f>VLOOKUP($B25,baseline!$A:$AK,O$2,FALSE)</f>
        <v>#N/A</v>
      </c>
      <c r="P25" s="3" t="e">
        <f>VLOOKUP($B25,baseline!$A:$AK,P$2,FALSE)</f>
        <v>#N/A</v>
      </c>
      <c r="Q25" s="3" t="e">
        <f>VLOOKUP($B25,baseline!$A:$AK,Q$2,FALSE)</f>
        <v>#N/A</v>
      </c>
      <c r="R25" s="3" t="e">
        <f>VLOOKUP($B25,baseline!$A:$AK,R$2,FALSE)</f>
        <v>#N/A</v>
      </c>
      <c r="S25" s="3" t="e">
        <f>VLOOKUP($B25,baseline!$A:$AK,S$2,FALSE)</f>
        <v>#N/A</v>
      </c>
      <c r="T25" s="3" t="e">
        <f>VLOOKUP($B25,baseline!$A:$AK,T$2,FALSE)</f>
        <v>#N/A</v>
      </c>
      <c r="U25" s="3" t="e">
        <f>VLOOKUP($B25,baseline!$A:$AK,U$2,FALSE)</f>
        <v>#N/A</v>
      </c>
      <c r="V25" s="3" t="e">
        <f>VLOOKUP($B25,baseline!$A:$AK,V$2,FALSE)</f>
        <v>#N/A</v>
      </c>
      <c r="W25" s="3" t="e">
        <f>VLOOKUP($B25,baseline!$A:$AK,W$2,FALSE)</f>
        <v>#N/A</v>
      </c>
      <c r="X25" s="3" t="e">
        <f>VLOOKUP($B25,baseline!$A:$AK,X$2,FALSE)</f>
        <v>#N/A</v>
      </c>
      <c r="Y25" s="3" t="e">
        <f>VLOOKUP($B25,baseline!$A:$AK,Y$2,FALSE)</f>
        <v>#N/A</v>
      </c>
      <c r="Z25" s="3" t="e">
        <f>VLOOKUP($B25,baseline!$A:$AK,Z$2,FALSE)</f>
        <v>#N/A</v>
      </c>
      <c r="AA25" s="3" t="e">
        <f>VLOOKUP($B25,baseline!$A:$AK,AA$2,FALSE)</f>
        <v>#N/A</v>
      </c>
      <c r="AB25" s="3" t="e">
        <f>VLOOKUP($B25,baseline!$A:$AK,AB$2,FALSE)</f>
        <v>#N/A</v>
      </c>
      <c r="AC25" s="3" t="e">
        <f>VLOOKUP($B25,baseline!$A:$AK,AC$2,FALSE)</f>
        <v>#N/A</v>
      </c>
      <c r="AD25" s="3" t="e">
        <f>VLOOKUP($B25,baseline!$A:$AK,AD$2,FALSE)</f>
        <v>#N/A</v>
      </c>
      <c r="AE25" s="3" t="e">
        <f>VLOOKUP($B25,baseline!$A:$AK,AE$2,FALSE)</f>
        <v>#N/A</v>
      </c>
      <c r="AF25" s="3" t="e">
        <f>VLOOKUP($B25,baseline!$A:$AK,AF$2,FALSE)</f>
        <v>#N/A</v>
      </c>
      <c r="AG25" s="3" t="e">
        <f>VLOOKUP($B25,baseline!$A:$AK,AG$2,FALSE)</f>
        <v>#N/A</v>
      </c>
      <c r="AH25" s="3" t="e">
        <f>VLOOKUP($B25,baseline!$A:$AK,AH$2,FALSE)</f>
        <v>#N/A</v>
      </c>
      <c r="AI25" s="3" t="e">
        <f>VLOOKUP($B25,baseline!$A:$AK,AI$2,FALSE)</f>
        <v>#N/A</v>
      </c>
      <c r="AJ25" s="3" t="e">
        <f>VLOOKUP($B25,baseline!$A:$AK,AJ$2,FALSE)</f>
        <v>#N/A</v>
      </c>
      <c r="AK25" s="3" t="e">
        <f>VLOOKUP($B25,baseline!$A:$AK,AK$2,FALSE)</f>
        <v>#N/A</v>
      </c>
      <c r="AL25" s="3" t="e">
        <f>VLOOKUP($B25,baseline!$A:$AK,AL$2,FALSE)</f>
        <v>#N/A</v>
      </c>
      <c r="AM25" s="3" t="e">
        <f>VLOOKUP($B25,baseline!$A:$AK,AM$2,FALSE)</f>
        <v>#N/A</v>
      </c>
      <c r="AN25" s="3" t="e">
        <f>VLOOKUP($B25,baseline!$A:$AK,AN$2,FALSE)</f>
        <v>#N/A</v>
      </c>
      <c r="AP25" s="3" t="e">
        <f t="shared" si="1"/>
        <v>#N/A</v>
      </c>
    </row>
    <row r="26" spans="2:42" x14ac:dyDescent="0.3">
      <c r="B26" t="s">
        <v>118</v>
      </c>
      <c r="D26" s="15" t="s">
        <v>171</v>
      </c>
      <c r="E26" s="3" t="e">
        <f>VLOOKUP($B26,baseline!$A:$AK,E$2,FALSE)</f>
        <v>#N/A</v>
      </c>
      <c r="F26" s="3" t="e">
        <f>VLOOKUP($B26,baseline!$A:$AK,F$2,FALSE)</f>
        <v>#N/A</v>
      </c>
      <c r="G26" s="3" t="e">
        <f>VLOOKUP($B26,baseline!$A:$AK,G$2,FALSE)</f>
        <v>#N/A</v>
      </c>
      <c r="H26" s="3" t="e">
        <f>VLOOKUP($B26,baseline!$A:$AK,H$2,FALSE)</f>
        <v>#N/A</v>
      </c>
      <c r="I26" s="3" t="e">
        <f>VLOOKUP($B26,baseline!$A:$AK,I$2,FALSE)</f>
        <v>#N/A</v>
      </c>
      <c r="J26" s="3" t="e">
        <f>VLOOKUP($B26,baseline!$A:$AK,J$2,FALSE)</f>
        <v>#N/A</v>
      </c>
      <c r="K26" s="3" t="e">
        <f>VLOOKUP($B26,baseline!$A:$AK,K$2,FALSE)</f>
        <v>#N/A</v>
      </c>
      <c r="L26" s="3" t="e">
        <f>VLOOKUP($B26,baseline!$A:$AK,L$2,FALSE)</f>
        <v>#N/A</v>
      </c>
      <c r="M26" s="3" t="e">
        <f>VLOOKUP($B26,baseline!$A:$AK,M$2,FALSE)</f>
        <v>#N/A</v>
      </c>
      <c r="N26" s="3" t="e">
        <f>VLOOKUP($B26,baseline!$A:$AK,N$2,FALSE)</f>
        <v>#N/A</v>
      </c>
      <c r="O26" s="3" t="e">
        <f>VLOOKUP($B26,baseline!$A:$AK,O$2,FALSE)</f>
        <v>#N/A</v>
      </c>
      <c r="P26" s="3" t="e">
        <f>VLOOKUP($B26,baseline!$A:$AK,P$2,FALSE)</f>
        <v>#N/A</v>
      </c>
      <c r="Q26" s="3" t="e">
        <f>VLOOKUP($B26,baseline!$A:$AK,Q$2,FALSE)</f>
        <v>#N/A</v>
      </c>
      <c r="R26" s="3" t="e">
        <f>VLOOKUP($B26,baseline!$A:$AK,R$2,FALSE)</f>
        <v>#N/A</v>
      </c>
      <c r="S26" s="3" t="e">
        <f>VLOOKUP($B26,baseline!$A:$AK,S$2,FALSE)</f>
        <v>#N/A</v>
      </c>
      <c r="T26" s="3" t="e">
        <f>VLOOKUP($B26,baseline!$A:$AK,T$2,FALSE)</f>
        <v>#N/A</v>
      </c>
      <c r="U26" s="3" t="e">
        <f>VLOOKUP($B26,baseline!$A:$AK,U$2,FALSE)</f>
        <v>#N/A</v>
      </c>
      <c r="V26" s="3" t="e">
        <f>VLOOKUP($B26,baseline!$A:$AK,V$2,FALSE)</f>
        <v>#N/A</v>
      </c>
      <c r="W26" s="3" t="e">
        <f>VLOOKUP($B26,baseline!$A:$AK,W$2,FALSE)</f>
        <v>#N/A</v>
      </c>
      <c r="X26" s="3" t="e">
        <f>VLOOKUP($B26,baseline!$A:$AK,X$2,FALSE)</f>
        <v>#N/A</v>
      </c>
      <c r="Y26" s="3" t="e">
        <f>VLOOKUP($B26,baseline!$A:$AK,Y$2,FALSE)</f>
        <v>#N/A</v>
      </c>
      <c r="Z26" s="3" t="e">
        <f>VLOOKUP($B26,baseline!$A:$AK,Z$2,FALSE)</f>
        <v>#N/A</v>
      </c>
      <c r="AA26" s="3" t="e">
        <f>VLOOKUP($B26,baseline!$A:$AK,AA$2,FALSE)</f>
        <v>#N/A</v>
      </c>
      <c r="AB26" s="3" t="e">
        <f>VLOOKUP($B26,baseline!$A:$AK,AB$2,FALSE)</f>
        <v>#N/A</v>
      </c>
      <c r="AC26" s="3" t="e">
        <f>VLOOKUP($B26,baseline!$A:$AK,AC$2,FALSE)</f>
        <v>#N/A</v>
      </c>
      <c r="AD26" s="3" t="e">
        <f>VLOOKUP($B26,baseline!$A:$AK,AD$2,FALSE)</f>
        <v>#N/A</v>
      </c>
      <c r="AE26" s="3" t="e">
        <f>VLOOKUP($B26,baseline!$A:$AK,AE$2,FALSE)</f>
        <v>#N/A</v>
      </c>
      <c r="AF26" s="3" t="e">
        <f>VLOOKUP($B26,baseline!$A:$AK,AF$2,FALSE)</f>
        <v>#N/A</v>
      </c>
      <c r="AG26" s="3" t="e">
        <f>VLOOKUP($B26,baseline!$A:$AK,AG$2,FALSE)</f>
        <v>#N/A</v>
      </c>
      <c r="AH26" s="3" t="e">
        <f>VLOOKUP($B26,baseline!$A:$AK,AH$2,FALSE)</f>
        <v>#N/A</v>
      </c>
      <c r="AI26" s="3" t="e">
        <f>VLOOKUP($B26,baseline!$A:$AK,AI$2,FALSE)</f>
        <v>#N/A</v>
      </c>
      <c r="AJ26" s="3" t="e">
        <f>VLOOKUP($B26,baseline!$A:$AK,AJ$2,FALSE)</f>
        <v>#N/A</v>
      </c>
      <c r="AK26" s="3" t="e">
        <f>VLOOKUP($B26,baseline!$A:$AK,AK$2,FALSE)</f>
        <v>#N/A</v>
      </c>
      <c r="AL26" s="3" t="e">
        <f>VLOOKUP($B26,baseline!$A:$AK,AL$2,FALSE)</f>
        <v>#N/A</v>
      </c>
      <c r="AM26" s="3" t="e">
        <f>VLOOKUP($B26,baseline!$A:$AK,AM$2,FALSE)</f>
        <v>#N/A</v>
      </c>
      <c r="AN26" s="3" t="e">
        <f>VLOOKUP($B26,baseline!$A:$AK,AN$2,FALSE)</f>
        <v>#N/A</v>
      </c>
      <c r="AP26" s="3" t="e">
        <f t="shared" si="1"/>
        <v>#N/A</v>
      </c>
    </row>
    <row r="27" spans="2:42" x14ac:dyDescent="0.3">
      <c r="B27" t="s">
        <v>119</v>
      </c>
      <c r="D27" s="15" t="s">
        <v>171</v>
      </c>
      <c r="E27" s="3" t="e">
        <f>VLOOKUP($B27,baseline!$A:$AK,E$2,FALSE)</f>
        <v>#N/A</v>
      </c>
      <c r="F27" s="3" t="e">
        <f>VLOOKUP($B27,baseline!$A:$AK,F$2,FALSE)</f>
        <v>#N/A</v>
      </c>
      <c r="G27" s="3" t="e">
        <f>VLOOKUP($B27,baseline!$A:$AK,G$2,FALSE)</f>
        <v>#N/A</v>
      </c>
      <c r="H27" s="3" t="e">
        <f>VLOOKUP($B27,baseline!$A:$AK,H$2,FALSE)</f>
        <v>#N/A</v>
      </c>
      <c r="I27" s="3" t="e">
        <f>VLOOKUP($B27,baseline!$A:$AK,I$2,FALSE)</f>
        <v>#N/A</v>
      </c>
      <c r="J27" s="3" t="e">
        <f>VLOOKUP($B27,baseline!$A:$AK,J$2,FALSE)</f>
        <v>#N/A</v>
      </c>
      <c r="K27" s="3" t="e">
        <f>VLOOKUP($B27,baseline!$A:$AK,K$2,FALSE)</f>
        <v>#N/A</v>
      </c>
      <c r="L27" s="3" t="e">
        <f>VLOOKUP($B27,baseline!$A:$AK,L$2,FALSE)</f>
        <v>#N/A</v>
      </c>
      <c r="M27" s="3" t="e">
        <f>VLOOKUP($B27,baseline!$A:$AK,M$2,FALSE)</f>
        <v>#N/A</v>
      </c>
      <c r="N27" s="3" t="e">
        <f>VLOOKUP($B27,baseline!$A:$AK,N$2,FALSE)</f>
        <v>#N/A</v>
      </c>
      <c r="O27" s="3" t="e">
        <f>VLOOKUP($B27,baseline!$A:$AK,O$2,FALSE)</f>
        <v>#N/A</v>
      </c>
      <c r="P27" s="3" t="e">
        <f>VLOOKUP($B27,baseline!$A:$AK,P$2,FALSE)</f>
        <v>#N/A</v>
      </c>
      <c r="Q27" s="3" t="e">
        <f>VLOOKUP($B27,baseline!$A:$AK,Q$2,FALSE)</f>
        <v>#N/A</v>
      </c>
      <c r="R27" s="3" t="e">
        <f>VLOOKUP($B27,baseline!$A:$AK,R$2,FALSE)</f>
        <v>#N/A</v>
      </c>
      <c r="S27" s="3" t="e">
        <f>VLOOKUP($B27,baseline!$A:$AK,S$2,FALSE)</f>
        <v>#N/A</v>
      </c>
      <c r="T27" s="3" t="e">
        <f>VLOOKUP($B27,baseline!$A:$AK,T$2,FALSE)</f>
        <v>#N/A</v>
      </c>
      <c r="U27" s="3" t="e">
        <f>VLOOKUP($B27,baseline!$A:$AK,U$2,FALSE)</f>
        <v>#N/A</v>
      </c>
      <c r="V27" s="3" t="e">
        <f>VLOOKUP($B27,baseline!$A:$AK,V$2,FALSE)</f>
        <v>#N/A</v>
      </c>
      <c r="W27" s="3" t="e">
        <f>VLOOKUP($B27,baseline!$A:$AK,W$2,FALSE)</f>
        <v>#N/A</v>
      </c>
      <c r="X27" s="3" t="e">
        <f>VLOOKUP($B27,baseline!$A:$AK,X$2,FALSE)</f>
        <v>#N/A</v>
      </c>
      <c r="Y27" s="3" t="e">
        <f>VLOOKUP($B27,baseline!$A:$AK,Y$2,FALSE)</f>
        <v>#N/A</v>
      </c>
      <c r="Z27" s="3" t="e">
        <f>VLOOKUP($B27,baseline!$A:$AK,Z$2,FALSE)</f>
        <v>#N/A</v>
      </c>
      <c r="AA27" s="3" t="e">
        <f>VLOOKUP($B27,baseline!$A:$AK,AA$2,FALSE)</f>
        <v>#N/A</v>
      </c>
      <c r="AB27" s="3" t="e">
        <f>VLOOKUP($B27,baseline!$A:$AK,AB$2,FALSE)</f>
        <v>#N/A</v>
      </c>
      <c r="AC27" s="3" t="e">
        <f>VLOOKUP($B27,baseline!$A:$AK,AC$2,FALSE)</f>
        <v>#N/A</v>
      </c>
      <c r="AD27" s="3" t="e">
        <f>VLOOKUP($B27,baseline!$A:$AK,AD$2,FALSE)</f>
        <v>#N/A</v>
      </c>
      <c r="AE27" s="3" t="e">
        <f>VLOOKUP($B27,baseline!$A:$AK,AE$2,FALSE)</f>
        <v>#N/A</v>
      </c>
      <c r="AF27" s="3" t="e">
        <f>VLOOKUP($B27,baseline!$A:$AK,AF$2,FALSE)</f>
        <v>#N/A</v>
      </c>
      <c r="AG27" s="3" t="e">
        <f>VLOOKUP($B27,baseline!$A:$AK,AG$2,FALSE)</f>
        <v>#N/A</v>
      </c>
      <c r="AH27" s="3" t="e">
        <f>VLOOKUP($B27,baseline!$A:$AK,AH$2,FALSE)</f>
        <v>#N/A</v>
      </c>
      <c r="AI27" s="3" t="e">
        <f>VLOOKUP($B27,baseline!$A:$AK,AI$2,FALSE)</f>
        <v>#N/A</v>
      </c>
      <c r="AJ27" s="3" t="e">
        <f>VLOOKUP($B27,baseline!$A:$AK,AJ$2,FALSE)</f>
        <v>#N/A</v>
      </c>
      <c r="AK27" s="3" t="e">
        <f>VLOOKUP($B27,baseline!$A:$AK,AK$2,FALSE)</f>
        <v>#N/A</v>
      </c>
      <c r="AL27" s="3" t="e">
        <f>VLOOKUP($B27,baseline!$A:$AK,AL$2,FALSE)</f>
        <v>#N/A</v>
      </c>
      <c r="AM27" s="3" t="e">
        <f>VLOOKUP($B27,baseline!$A:$AK,AM$2,FALSE)</f>
        <v>#N/A</v>
      </c>
      <c r="AN27" s="3" t="e">
        <f>VLOOKUP($B27,baseline!$A:$AK,AN$2,FALSE)</f>
        <v>#N/A</v>
      </c>
      <c r="AP27" s="3" t="e">
        <f t="shared" si="1"/>
        <v>#N/A</v>
      </c>
    </row>
    <row r="28" spans="2:42" x14ac:dyDescent="0.3">
      <c r="B28" t="s">
        <v>120</v>
      </c>
      <c r="D28" s="15" t="s">
        <v>171</v>
      </c>
      <c r="E28" s="3" t="e">
        <f>VLOOKUP($B28,baseline!$A:$AK,E$2,FALSE)</f>
        <v>#N/A</v>
      </c>
      <c r="F28" s="3" t="e">
        <f>VLOOKUP($B28,baseline!$A:$AK,F$2,FALSE)</f>
        <v>#N/A</v>
      </c>
      <c r="G28" s="3" t="e">
        <f>VLOOKUP($B28,baseline!$A:$AK,G$2,FALSE)</f>
        <v>#N/A</v>
      </c>
      <c r="H28" s="3" t="e">
        <f>VLOOKUP($B28,baseline!$A:$AK,H$2,FALSE)</f>
        <v>#N/A</v>
      </c>
      <c r="I28" s="3" t="e">
        <f>VLOOKUP($B28,baseline!$A:$AK,I$2,FALSE)</f>
        <v>#N/A</v>
      </c>
      <c r="J28" s="3" t="e">
        <f>VLOOKUP($B28,baseline!$A:$AK,J$2,FALSE)</f>
        <v>#N/A</v>
      </c>
      <c r="K28" s="3" t="e">
        <f>VLOOKUP($B28,baseline!$A:$AK,K$2,FALSE)</f>
        <v>#N/A</v>
      </c>
      <c r="L28" s="3" t="e">
        <f>VLOOKUP($B28,baseline!$A:$AK,L$2,FALSE)</f>
        <v>#N/A</v>
      </c>
      <c r="M28" s="3" t="e">
        <f>VLOOKUP($B28,baseline!$A:$AK,M$2,FALSE)</f>
        <v>#N/A</v>
      </c>
      <c r="N28" s="3" t="e">
        <f>VLOOKUP($B28,baseline!$A:$AK,N$2,FALSE)</f>
        <v>#N/A</v>
      </c>
      <c r="O28" s="3" t="e">
        <f>VLOOKUP($B28,baseline!$A:$AK,O$2,FALSE)</f>
        <v>#N/A</v>
      </c>
      <c r="P28" s="3" t="e">
        <f>VLOOKUP($B28,baseline!$A:$AK,P$2,FALSE)</f>
        <v>#N/A</v>
      </c>
      <c r="Q28" s="3" t="e">
        <f>VLOOKUP($B28,baseline!$A:$AK,Q$2,FALSE)</f>
        <v>#N/A</v>
      </c>
      <c r="R28" s="3" t="e">
        <f>VLOOKUP($B28,baseline!$A:$AK,R$2,FALSE)</f>
        <v>#N/A</v>
      </c>
      <c r="S28" s="3" t="e">
        <f>VLOOKUP($B28,baseline!$A:$AK,S$2,FALSE)</f>
        <v>#N/A</v>
      </c>
      <c r="T28" s="3" t="e">
        <f>VLOOKUP($B28,baseline!$A:$AK,T$2,FALSE)</f>
        <v>#N/A</v>
      </c>
      <c r="U28" s="3" t="e">
        <f>VLOOKUP($B28,baseline!$A:$AK,U$2,FALSE)</f>
        <v>#N/A</v>
      </c>
      <c r="V28" s="3" t="e">
        <f>VLOOKUP($B28,baseline!$A:$AK,V$2,FALSE)</f>
        <v>#N/A</v>
      </c>
      <c r="W28" s="3" t="e">
        <f>VLOOKUP($B28,baseline!$A:$AK,W$2,FALSE)</f>
        <v>#N/A</v>
      </c>
      <c r="X28" s="3" t="e">
        <f>VLOOKUP($B28,baseline!$A:$AK,X$2,FALSE)</f>
        <v>#N/A</v>
      </c>
      <c r="Y28" s="3" t="e">
        <f>VLOOKUP($B28,baseline!$A:$AK,Y$2,FALSE)</f>
        <v>#N/A</v>
      </c>
      <c r="Z28" s="3" t="e">
        <f>VLOOKUP($B28,baseline!$A:$AK,Z$2,FALSE)</f>
        <v>#N/A</v>
      </c>
      <c r="AA28" s="3" t="e">
        <f>VLOOKUP($B28,baseline!$A:$AK,AA$2,FALSE)</f>
        <v>#N/A</v>
      </c>
      <c r="AB28" s="3" t="e">
        <f>VLOOKUP($B28,baseline!$A:$AK,AB$2,FALSE)</f>
        <v>#N/A</v>
      </c>
      <c r="AC28" s="3" t="e">
        <f>VLOOKUP($B28,baseline!$A:$AK,AC$2,FALSE)</f>
        <v>#N/A</v>
      </c>
      <c r="AD28" s="3" t="e">
        <f>VLOOKUP($B28,baseline!$A:$AK,AD$2,FALSE)</f>
        <v>#N/A</v>
      </c>
      <c r="AE28" s="3" t="e">
        <f>VLOOKUP($B28,baseline!$A:$AK,AE$2,FALSE)</f>
        <v>#N/A</v>
      </c>
      <c r="AF28" s="3" t="e">
        <f>VLOOKUP($B28,baseline!$A:$AK,AF$2,FALSE)</f>
        <v>#N/A</v>
      </c>
      <c r="AG28" s="3" t="e">
        <f>VLOOKUP($B28,baseline!$A:$AK,AG$2,FALSE)</f>
        <v>#N/A</v>
      </c>
      <c r="AH28" s="3" t="e">
        <f>VLOOKUP($B28,baseline!$A:$AK,AH$2,FALSE)</f>
        <v>#N/A</v>
      </c>
      <c r="AI28" s="3" t="e">
        <f>VLOOKUP($B28,baseline!$A:$AK,AI$2,FALSE)</f>
        <v>#N/A</v>
      </c>
      <c r="AJ28" s="3" t="e">
        <f>VLOOKUP($B28,baseline!$A:$AK,AJ$2,FALSE)</f>
        <v>#N/A</v>
      </c>
      <c r="AK28" s="3" t="e">
        <f>VLOOKUP($B28,baseline!$A:$AK,AK$2,FALSE)</f>
        <v>#N/A</v>
      </c>
      <c r="AL28" s="3" t="e">
        <f>VLOOKUP($B28,baseline!$A:$AK,AL$2,FALSE)</f>
        <v>#N/A</v>
      </c>
      <c r="AM28" s="3" t="e">
        <f>VLOOKUP($B28,baseline!$A:$AK,AM$2,FALSE)</f>
        <v>#N/A</v>
      </c>
      <c r="AN28" s="3" t="e">
        <f>VLOOKUP($B28,baseline!$A:$AK,AN$2,FALSE)</f>
        <v>#N/A</v>
      </c>
      <c r="AP28" s="3" t="e">
        <f t="shared" si="1"/>
        <v>#N/A</v>
      </c>
    </row>
    <row r="29" spans="2:42" x14ac:dyDescent="0.3">
      <c r="B29" t="s">
        <v>121</v>
      </c>
      <c r="D29" s="15" t="s">
        <v>171</v>
      </c>
      <c r="E29" s="3" t="e">
        <f>VLOOKUP($B29,baseline!$A:$AK,E$2,FALSE)</f>
        <v>#N/A</v>
      </c>
      <c r="F29" s="3" t="e">
        <f>VLOOKUP($B29,baseline!$A:$AK,F$2,FALSE)</f>
        <v>#N/A</v>
      </c>
      <c r="G29" s="3" t="e">
        <f>VLOOKUP($B29,baseline!$A:$AK,G$2,FALSE)</f>
        <v>#N/A</v>
      </c>
      <c r="H29" s="3" t="e">
        <f>VLOOKUP($B29,baseline!$A:$AK,H$2,FALSE)</f>
        <v>#N/A</v>
      </c>
      <c r="I29" s="3" t="e">
        <f>VLOOKUP($B29,baseline!$A:$AK,I$2,FALSE)</f>
        <v>#N/A</v>
      </c>
      <c r="J29" s="3" t="e">
        <f>VLOOKUP($B29,baseline!$A:$AK,J$2,FALSE)</f>
        <v>#N/A</v>
      </c>
      <c r="K29" s="3" t="e">
        <f>VLOOKUP($B29,baseline!$A:$AK,K$2,FALSE)</f>
        <v>#N/A</v>
      </c>
      <c r="L29" s="3" t="e">
        <f>VLOOKUP($B29,baseline!$A:$AK,L$2,FALSE)</f>
        <v>#N/A</v>
      </c>
      <c r="M29" s="3" t="e">
        <f>VLOOKUP($B29,baseline!$A:$AK,M$2,FALSE)</f>
        <v>#N/A</v>
      </c>
      <c r="N29" s="3" t="e">
        <f>VLOOKUP($B29,baseline!$A:$AK,N$2,FALSE)</f>
        <v>#N/A</v>
      </c>
      <c r="O29" s="3" t="e">
        <f>VLOOKUP($B29,baseline!$A:$AK,O$2,FALSE)</f>
        <v>#N/A</v>
      </c>
      <c r="P29" s="3" t="e">
        <f>VLOOKUP($B29,baseline!$A:$AK,P$2,FALSE)</f>
        <v>#N/A</v>
      </c>
      <c r="Q29" s="3" t="e">
        <f>VLOOKUP($B29,baseline!$A:$AK,Q$2,FALSE)</f>
        <v>#N/A</v>
      </c>
      <c r="R29" s="3" t="e">
        <f>VLOOKUP($B29,baseline!$A:$AK,R$2,FALSE)</f>
        <v>#N/A</v>
      </c>
      <c r="S29" s="3" t="e">
        <f>VLOOKUP($B29,baseline!$A:$AK,S$2,FALSE)</f>
        <v>#N/A</v>
      </c>
      <c r="T29" s="3" t="e">
        <f>VLOOKUP($B29,baseline!$A:$AK,T$2,FALSE)</f>
        <v>#N/A</v>
      </c>
      <c r="U29" s="3" t="e">
        <f>VLOOKUP($B29,baseline!$A:$AK,U$2,FALSE)</f>
        <v>#N/A</v>
      </c>
      <c r="V29" s="3" t="e">
        <f>VLOOKUP($B29,baseline!$A:$AK,V$2,FALSE)</f>
        <v>#N/A</v>
      </c>
      <c r="W29" s="3" t="e">
        <f>VLOOKUP($B29,baseline!$A:$AK,W$2,FALSE)</f>
        <v>#N/A</v>
      </c>
      <c r="X29" s="3" t="e">
        <f>VLOOKUP($B29,baseline!$A:$AK,X$2,FALSE)</f>
        <v>#N/A</v>
      </c>
      <c r="Y29" s="3" t="e">
        <f>VLOOKUP($B29,baseline!$A:$AK,Y$2,FALSE)</f>
        <v>#N/A</v>
      </c>
      <c r="Z29" s="3" t="e">
        <f>VLOOKUP($B29,baseline!$A:$AK,Z$2,FALSE)</f>
        <v>#N/A</v>
      </c>
      <c r="AA29" s="3" t="e">
        <f>VLOOKUP($B29,baseline!$A:$AK,AA$2,FALSE)</f>
        <v>#N/A</v>
      </c>
      <c r="AB29" s="3" t="e">
        <f>VLOOKUP($B29,baseline!$A:$AK,AB$2,FALSE)</f>
        <v>#N/A</v>
      </c>
      <c r="AC29" s="3" t="e">
        <f>VLOOKUP($B29,baseline!$A:$AK,AC$2,FALSE)</f>
        <v>#N/A</v>
      </c>
      <c r="AD29" s="3" t="e">
        <f>VLOOKUP($B29,baseline!$A:$AK,AD$2,FALSE)</f>
        <v>#N/A</v>
      </c>
      <c r="AE29" s="3" t="e">
        <f>VLOOKUP($B29,baseline!$A:$AK,AE$2,FALSE)</f>
        <v>#N/A</v>
      </c>
      <c r="AF29" s="3" t="e">
        <f>VLOOKUP($B29,baseline!$A:$AK,AF$2,FALSE)</f>
        <v>#N/A</v>
      </c>
      <c r="AG29" s="3" t="e">
        <f>VLOOKUP($B29,baseline!$A:$AK,AG$2,FALSE)</f>
        <v>#N/A</v>
      </c>
      <c r="AH29" s="3" t="e">
        <f>VLOOKUP($B29,baseline!$A:$AK,AH$2,FALSE)</f>
        <v>#N/A</v>
      </c>
      <c r="AI29" s="3" t="e">
        <f>VLOOKUP($B29,baseline!$A:$AK,AI$2,FALSE)</f>
        <v>#N/A</v>
      </c>
      <c r="AJ29" s="3" t="e">
        <f>VLOOKUP($B29,baseline!$A:$AK,AJ$2,FALSE)</f>
        <v>#N/A</v>
      </c>
      <c r="AK29" s="3" t="e">
        <f>VLOOKUP($B29,baseline!$A:$AK,AK$2,FALSE)</f>
        <v>#N/A</v>
      </c>
      <c r="AL29" s="3" t="e">
        <f>VLOOKUP($B29,baseline!$A:$AK,AL$2,FALSE)</f>
        <v>#N/A</v>
      </c>
      <c r="AM29" s="3" t="e">
        <f>VLOOKUP($B29,baseline!$A:$AK,AM$2,FALSE)</f>
        <v>#N/A</v>
      </c>
      <c r="AN29" s="3" t="e">
        <f>VLOOKUP($B29,baseline!$A:$AK,AN$2,FALSE)</f>
        <v>#N/A</v>
      </c>
      <c r="AP29" s="3" t="e">
        <f t="shared" si="1"/>
        <v>#N/A</v>
      </c>
    </row>
    <row r="30" spans="2:42" x14ac:dyDescent="0.3">
      <c r="B30" t="s">
        <v>122</v>
      </c>
      <c r="D30" s="15" t="s">
        <v>171</v>
      </c>
      <c r="E30" s="3" t="e">
        <f>VLOOKUP($B30,baseline!$A:$AK,E$2,FALSE)</f>
        <v>#N/A</v>
      </c>
      <c r="F30" s="3" t="e">
        <f>VLOOKUP($B30,baseline!$A:$AK,F$2,FALSE)</f>
        <v>#N/A</v>
      </c>
      <c r="G30" s="3" t="e">
        <f>VLOOKUP($B30,baseline!$A:$AK,G$2,FALSE)</f>
        <v>#N/A</v>
      </c>
      <c r="H30" s="3" t="e">
        <f>VLOOKUP($B30,baseline!$A:$AK,H$2,FALSE)</f>
        <v>#N/A</v>
      </c>
      <c r="I30" s="3" t="e">
        <f>VLOOKUP($B30,baseline!$A:$AK,I$2,FALSE)</f>
        <v>#N/A</v>
      </c>
      <c r="J30" s="3" t="e">
        <f>VLOOKUP($B30,baseline!$A:$AK,J$2,FALSE)</f>
        <v>#N/A</v>
      </c>
      <c r="K30" s="3" t="e">
        <f>VLOOKUP($B30,baseline!$A:$AK,K$2,FALSE)</f>
        <v>#N/A</v>
      </c>
      <c r="L30" s="3" t="e">
        <f>VLOOKUP($B30,baseline!$A:$AK,L$2,FALSE)</f>
        <v>#N/A</v>
      </c>
      <c r="M30" s="3" t="e">
        <f>VLOOKUP($B30,baseline!$A:$AK,M$2,FALSE)</f>
        <v>#N/A</v>
      </c>
      <c r="N30" s="3" t="e">
        <f>VLOOKUP($B30,baseline!$A:$AK,N$2,FALSE)</f>
        <v>#N/A</v>
      </c>
      <c r="O30" s="3" t="e">
        <f>VLOOKUP($B30,baseline!$A:$AK,O$2,FALSE)</f>
        <v>#N/A</v>
      </c>
      <c r="P30" s="3" t="e">
        <f>VLOOKUP($B30,baseline!$A:$AK,P$2,FALSE)</f>
        <v>#N/A</v>
      </c>
      <c r="Q30" s="3" t="e">
        <f>VLOOKUP($B30,baseline!$A:$AK,Q$2,FALSE)</f>
        <v>#N/A</v>
      </c>
      <c r="R30" s="3" t="e">
        <f>VLOOKUP($B30,baseline!$A:$AK,R$2,FALSE)</f>
        <v>#N/A</v>
      </c>
      <c r="S30" s="3" t="e">
        <f>VLOOKUP($B30,baseline!$A:$AK,S$2,FALSE)</f>
        <v>#N/A</v>
      </c>
      <c r="T30" s="3" t="e">
        <f>VLOOKUP($B30,baseline!$A:$AK,T$2,FALSE)</f>
        <v>#N/A</v>
      </c>
      <c r="U30" s="3" t="e">
        <f>VLOOKUP($B30,baseline!$A:$AK,U$2,FALSE)</f>
        <v>#N/A</v>
      </c>
      <c r="V30" s="3" t="e">
        <f>VLOOKUP($B30,baseline!$A:$AK,V$2,FALSE)</f>
        <v>#N/A</v>
      </c>
      <c r="W30" s="3" t="e">
        <f>VLOOKUP($B30,baseline!$A:$AK,W$2,FALSE)</f>
        <v>#N/A</v>
      </c>
      <c r="X30" s="3" t="e">
        <f>VLOOKUP($B30,baseline!$A:$AK,X$2,FALSE)</f>
        <v>#N/A</v>
      </c>
      <c r="Y30" s="3" t="e">
        <f>VLOOKUP($B30,baseline!$A:$AK,Y$2,FALSE)</f>
        <v>#N/A</v>
      </c>
      <c r="Z30" s="3" t="e">
        <f>VLOOKUP($B30,baseline!$A:$AK,Z$2,FALSE)</f>
        <v>#N/A</v>
      </c>
      <c r="AA30" s="3" t="e">
        <f>VLOOKUP($B30,baseline!$A:$AK,AA$2,FALSE)</f>
        <v>#N/A</v>
      </c>
      <c r="AB30" s="3" t="e">
        <f>VLOOKUP($B30,baseline!$A:$AK,AB$2,FALSE)</f>
        <v>#N/A</v>
      </c>
      <c r="AC30" s="3" t="e">
        <f>VLOOKUP($B30,baseline!$A:$AK,AC$2,FALSE)</f>
        <v>#N/A</v>
      </c>
      <c r="AD30" s="3" t="e">
        <f>VLOOKUP($B30,baseline!$A:$AK,AD$2,FALSE)</f>
        <v>#N/A</v>
      </c>
      <c r="AE30" s="3" t="e">
        <f>VLOOKUP($B30,baseline!$A:$AK,AE$2,FALSE)</f>
        <v>#N/A</v>
      </c>
      <c r="AF30" s="3" t="e">
        <f>VLOOKUP($B30,baseline!$A:$AK,AF$2,FALSE)</f>
        <v>#N/A</v>
      </c>
      <c r="AG30" s="3" t="e">
        <f>VLOOKUP($B30,baseline!$A:$AK,AG$2,FALSE)</f>
        <v>#N/A</v>
      </c>
      <c r="AH30" s="3" t="e">
        <f>VLOOKUP($B30,baseline!$A:$AK,AH$2,FALSE)</f>
        <v>#N/A</v>
      </c>
      <c r="AI30" s="3" t="e">
        <f>VLOOKUP($B30,baseline!$A:$AK,AI$2,FALSE)</f>
        <v>#N/A</v>
      </c>
      <c r="AJ30" s="3" t="e">
        <f>VLOOKUP($B30,baseline!$A:$AK,AJ$2,FALSE)</f>
        <v>#N/A</v>
      </c>
      <c r="AK30" s="3" t="e">
        <f>VLOOKUP($B30,baseline!$A:$AK,AK$2,FALSE)</f>
        <v>#N/A</v>
      </c>
      <c r="AL30" s="3" t="e">
        <f>VLOOKUP($B30,baseline!$A:$AK,AL$2,FALSE)</f>
        <v>#N/A</v>
      </c>
      <c r="AM30" s="3" t="e">
        <f>VLOOKUP($B30,baseline!$A:$AK,AM$2,FALSE)</f>
        <v>#N/A</v>
      </c>
      <c r="AN30" s="3" t="e">
        <f>VLOOKUP($B30,baseline!$A:$AK,AN$2,FALSE)</f>
        <v>#N/A</v>
      </c>
      <c r="AP30" s="3" t="e">
        <f t="shared" si="1"/>
        <v>#N/A</v>
      </c>
    </row>
    <row r="31" spans="2:42" x14ac:dyDescent="0.3">
      <c r="B31" t="s">
        <v>123</v>
      </c>
      <c r="D31" s="15" t="s">
        <v>171</v>
      </c>
      <c r="E31" s="3" t="e">
        <f>VLOOKUP($B31,baseline!$A:$AK,E$2,FALSE)</f>
        <v>#N/A</v>
      </c>
      <c r="F31" s="3" t="e">
        <f>VLOOKUP($B31,baseline!$A:$AK,F$2,FALSE)</f>
        <v>#N/A</v>
      </c>
      <c r="G31" s="3" t="e">
        <f>VLOOKUP($B31,baseline!$A:$AK,G$2,FALSE)</f>
        <v>#N/A</v>
      </c>
      <c r="H31" s="3" t="e">
        <f>VLOOKUP($B31,baseline!$A:$AK,H$2,FALSE)</f>
        <v>#N/A</v>
      </c>
      <c r="I31" s="3" t="e">
        <f>VLOOKUP($B31,baseline!$A:$AK,I$2,FALSE)</f>
        <v>#N/A</v>
      </c>
      <c r="J31" s="3" t="e">
        <f>VLOOKUP($B31,baseline!$A:$AK,J$2,FALSE)</f>
        <v>#N/A</v>
      </c>
      <c r="K31" s="3" t="e">
        <f>VLOOKUP($B31,baseline!$A:$AK,K$2,FALSE)</f>
        <v>#N/A</v>
      </c>
      <c r="L31" s="3" t="e">
        <f>VLOOKUP($B31,baseline!$A:$AK,L$2,FALSE)</f>
        <v>#N/A</v>
      </c>
      <c r="M31" s="3" t="e">
        <f>VLOOKUP($B31,baseline!$A:$AK,M$2,FALSE)</f>
        <v>#N/A</v>
      </c>
      <c r="N31" s="3" t="e">
        <f>VLOOKUP($B31,baseline!$A:$AK,N$2,FALSE)</f>
        <v>#N/A</v>
      </c>
      <c r="O31" s="3" t="e">
        <f>VLOOKUP($B31,baseline!$A:$AK,O$2,FALSE)</f>
        <v>#N/A</v>
      </c>
      <c r="P31" s="3" t="e">
        <f>VLOOKUP($B31,baseline!$A:$AK,P$2,FALSE)</f>
        <v>#N/A</v>
      </c>
      <c r="Q31" s="3" t="e">
        <f>VLOOKUP($B31,baseline!$A:$AK,Q$2,FALSE)</f>
        <v>#N/A</v>
      </c>
      <c r="R31" s="3" t="e">
        <f>VLOOKUP($B31,baseline!$A:$AK,R$2,FALSE)</f>
        <v>#N/A</v>
      </c>
      <c r="S31" s="3" t="e">
        <f>VLOOKUP($B31,baseline!$A:$AK,S$2,FALSE)</f>
        <v>#N/A</v>
      </c>
      <c r="T31" s="3" t="e">
        <f>VLOOKUP($B31,baseline!$A:$AK,T$2,FALSE)</f>
        <v>#N/A</v>
      </c>
      <c r="U31" s="3" t="e">
        <f>VLOOKUP($B31,baseline!$A:$AK,U$2,FALSE)</f>
        <v>#N/A</v>
      </c>
      <c r="V31" s="3" t="e">
        <f>VLOOKUP($B31,baseline!$A:$AK,V$2,FALSE)</f>
        <v>#N/A</v>
      </c>
      <c r="W31" s="3" t="e">
        <f>VLOOKUP($B31,baseline!$A:$AK,W$2,FALSE)</f>
        <v>#N/A</v>
      </c>
      <c r="X31" s="3" t="e">
        <f>VLOOKUP($B31,baseline!$A:$AK,X$2,FALSE)</f>
        <v>#N/A</v>
      </c>
      <c r="Y31" s="3" t="e">
        <f>VLOOKUP($B31,baseline!$A:$AK,Y$2,FALSE)</f>
        <v>#N/A</v>
      </c>
      <c r="Z31" s="3" t="e">
        <f>VLOOKUP($B31,baseline!$A:$AK,Z$2,FALSE)</f>
        <v>#N/A</v>
      </c>
      <c r="AA31" s="3" t="e">
        <f>VLOOKUP($B31,baseline!$A:$AK,AA$2,FALSE)</f>
        <v>#N/A</v>
      </c>
      <c r="AB31" s="3" t="e">
        <f>VLOOKUP($B31,baseline!$A:$AK,AB$2,FALSE)</f>
        <v>#N/A</v>
      </c>
      <c r="AC31" s="3" t="e">
        <f>VLOOKUP($B31,baseline!$A:$AK,AC$2,FALSE)</f>
        <v>#N/A</v>
      </c>
      <c r="AD31" s="3" t="e">
        <f>VLOOKUP($B31,baseline!$A:$AK,AD$2,FALSE)</f>
        <v>#N/A</v>
      </c>
      <c r="AE31" s="3" t="e">
        <f>VLOOKUP($B31,baseline!$A:$AK,AE$2,FALSE)</f>
        <v>#N/A</v>
      </c>
      <c r="AF31" s="3" t="e">
        <f>VLOOKUP($B31,baseline!$A:$AK,AF$2,FALSE)</f>
        <v>#N/A</v>
      </c>
      <c r="AG31" s="3" t="e">
        <f>VLOOKUP($B31,baseline!$A:$AK,AG$2,FALSE)</f>
        <v>#N/A</v>
      </c>
      <c r="AH31" s="3" t="e">
        <f>VLOOKUP($B31,baseline!$A:$AK,AH$2,FALSE)</f>
        <v>#N/A</v>
      </c>
      <c r="AI31" s="3" t="e">
        <f>VLOOKUP($B31,baseline!$A:$AK,AI$2,FALSE)</f>
        <v>#N/A</v>
      </c>
      <c r="AJ31" s="3" t="e">
        <f>VLOOKUP($B31,baseline!$A:$AK,AJ$2,FALSE)</f>
        <v>#N/A</v>
      </c>
      <c r="AK31" s="3" t="e">
        <f>VLOOKUP($B31,baseline!$A:$AK,AK$2,FALSE)</f>
        <v>#N/A</v>
      </c>
      <c r="AL31" s="3" t="e">
        <f>VLOOKUP($B31,baseline!$A:$AK,AL$2,FALSE)</f>
        <v>#N/A</v>
      </c>
      <c r="AM31" s="3" t="e">
        <f>VLOOKUP($B31,baseline!$A:$AK,AM$2,FALSE)</f>
        <v>#N/A</v>
      </c>
      <c r="AN31" s="3" t="e">
        <f>VLOOKUP($B31,baseline!$A:$AK,AN$2,FALSE)</f>
        <v>#N/A</v>
      </c>
      <c r="AP31" s="3" t="e">
        <f t="shared" si="1"/>
        <v>#N/A</v>
      </c>
    </row>
    <row r="32" spans="2:42" x14ac:dyDescent="0.3">
      <c r="B32" t="s">
        <v>124</v>
      </c>
      <c r="D32" s="15" t="s">
        <v>171</v>
      </c>
      <c r="E32" s="3" t="e">
        <f>VLOOKUP($B32,baseline!$A:$AK,E$2,FALSE)</f>
        <v>#N/A</v>
      </c>
      <c r="F32" s="3" t="e">
        <f>VLOOKUP($B32,baseline!$A:$AK,F$2,FALSE)</f>
        <v>#N/A</v>
      </c>
      <c r="G32" s="3" t="e">
        <f>VLOOKUP($B32,baseline!$A:$AK,G$2,FALSE)</f>
        <v>#N/A</v>
      </c>
      <c r="H32" s="3" t="e">
        <f>VLOOKUP($B32,baseline!$A:$AK,H$2,FALSE)</f>
        <v>#N/A</v>
      </c>
      <c r="I32" s="3" t="e">
        <f>VLOOKUP($B32,baseline!$A:$AK,I$2,FALSE)</f>
        <v>#N/A</v>
      </c>
      <c r="J32" s="3" t="e">
        <f>VLOOKUP($B32,baseline!$A:$AK,J$2,FALSE)</f>
        <v>#N/A</v>
      </c>
      <c r="K32" s="3" t="e">
        <f>VLOOKUP($B32,baseline!$A:$AK,K$2,FALSE)</f>
        <v>#N/A</v>
      </c>
      <c r="L32" s="3" t="e">
        <f>VLOOKUP($B32,baseline!$A:$AK,L$2,FALSE)</f>
        <v>#N/A</v>
      </c>
      <c r="M32" s="3" t="e">
        <f>VLOOKUP($B32,baseline!$A:$AK,M$2,FALSE)</f>
        <v>#N/A</v>
      </c>
      <c r="N32" s="3" t="e">
        <f>VLOOKUP($B32,baseline!$A:$AK,N$2,FALSE)</f>
        <v>#N/A</v>
      </c>
      <c r="O32" s="3" t="e">
        <f>VLOOKUP($B32,baseline!$A:$AK,O$2,FALSE)</f>
        <v>#N/A</v>
      </c>
      <c r="P32" s="3" t="e">
        <f>VLOOKUP($B32,baseline!$A:$AK,P$2,FALSE)</f>
        <v>#N/A</v>
      </c>
      <c r="Q32" s="3" t="e">
        <f>VLOOKUP($B32,baseline!$A:$AK,Q$2,FALSE)</f>
        <v>#N/A</v>
      </c>
      <c r="R32" s="3" t="e">
        <f>VLOOKUP($B32,baseline!$A:$AK,R$2,FALSE)</f>
        <v>#N/A</v>
      </c>
      <c r="S32" s="3" t="e">
        <f>VLOOKUP($B32,baseline!$A:$AK,S$2,FALSE)</f>
        <v>#N/A</v>
      </c>
      <c r="T32" s="3" t="e">
        <f>VLOOKUP($B32,baseline!$A:$AK,T$2,FALSE)</f>
        <v>#N/A</v>
      </c>
      <c r="U32" s="3" t="e">
        <f>VLOOKUP($B32,baseline!$A:$AK,U$2,FALSE)</f>
        <v>#N/A</v>
      </c>
      <c r="V32" s="3" t="e">
        <f>VLOOKUP($B32,baseline!$A:$AK,V$2,FALSE)</f>
        <v>#N/A</v>
      </c>
      <c r="W32" s="3" t="e">
        <f>VLOOKUP($B32,baseline!$A:$AK,W$2,FALSE)</f>
        <v>#N/A</v>
      </c>
      <c r="X32" s="3" t="e">
        <f>VLOOKUP($B32,baseline!$A:$AK,X$2,FALSE)</f>
        <v>#N/A</v>
      </c>
      <c r="Y32" s="3" t="e">
        <f>VLOOKUP($B32,baseline!$A:$AK,Y$2,FALSE)</f>
        <v>#N/A</v>
      </c>
      <c r="Z32" s="3" t="e">
        <f>VLOOKUP($B32,baseline!$A:$AK,Z$2,FALSE)</f>
        <v>#N/A</v>
      </c>
      <c r="AA32" s="3" t="e">
        <f>VLOOKUP($B32,baseline!$A:$AK,AA$2,FALSE)</f>
        <v>#N/A</v>
      </c>
      <c r="AB32" s="3" t="e">
        <f>VLOOKUP($B32,baseline!$A:$AK,AB$2,FALSE)</f>
        <v>#N/A</v>
      </c>
      <c r="AC32" s="3" t="e">
        <f>VLOOKUP($B32,baseline!$A:$AK,AC$2,FALSE)</f>
        <v>#N/A</v>
      </c>
      <c r="AD32" s="3" t="e">
        <f>VLOOKUP($B32,baseline!$A:$AK,AD$2,FALSE)</f>
        <v>#N/A</v>
      </c>
      <c r="AE32" s="3" t="e">
        <f>VLOOKUP($B32,baseline!$A:$AK,AE$2,FALSE)</f>
        <v>#N/A</v>
      </c>
      <c r="AF32" s="3" t="e">
        <f>VLOOKUP($B32,baseline!$A:$AK,AF$2,FALSE)</f>
        <v>#N/A</v>
      </c>
      <c r="AG32" s="3" t="e">
        <f>VLOOKUP($B32,baseline!$A:$AK,AG$2,FALSE)</f>
        <v>#N/A</v>
      </c>
      <c r="AH32" s="3" t="e">
        <f>VLOOKUP($B32,baseline!$A:$AK,AH$2,FALSE)</f>
        <v>#N/A</v>
      </c>
      <c r="AI32" s="3" t="e">
        <f>VLOOKUP($B32,baseline!$A:$AK,AI$2,FALSE)</f>
        <v>#N/A</v>
      </c>
      <c r="AJ32" s="3" t="e">
        <f>VLOOKUP($B32,baseline!$A:$AK,AJ$2,FALSE)</f>
        <v>#N/A</v>
      </c>
      <c r="AK32" s="3" t="e">
        <f>VLOOKUP($B32,baseline!$A:$AK,AK$2,FALSE)</f>
        <v>#N/A</v>
      </c>
      <c r="AL32" s="3" t="e">
        <f>VLOOKUP($B32,baseline!$A:$AK,AL$2,FALSE)</f>
        <v>#N/A</v>
      </c>
      <c r="AM32" s="3" t="e">
        <f>VLOOKUP($B32,baseline!$A:$AK,AM$2,FALSE)</f>
        <v>#N/A</v>
      </c>
      <c r="AN32" s="3" t="e">
        <f>VLOOKUP($B32,baseline!$A:$AK,AN$2,FALSE)</f>
        <v>#N/A</v>
      </c>
      <c r="AP32" s="3" t="e">
        <f t="shared" si="1"/>
        <v>#N/A</v>
      </c>
    </row>
    <row r="33" spans="1:48" x14ac:dyDescent="0.3">
      <c r="B33" t="s">
        <v>125</v>
      </c>
      <c r="D33" s="15" t="s">
        <v>171</v>
      </c>
      <c r="E33" s="3" t="e">
        <f>VLOOKUP($B33,baseline!$A:$AK,E$2,FALSE)</f>
        <v>#N/A</v>
      </c>
      <c r="F33" s="3" t="e">
        <f>VLOOKUP($B33,baseline!$A:$AK,F$2,FALSE)</f>
        <v>#N/A</v>
      </c>
      <c r="G33" s="3" t="e">
        <f>VLOOKUP($B33,baseline!$A:$AK,G$2,FALSE)</f>
        <v>#N/A</v>
      </c>
      <c r="H33" s="3" t="e">
        <f>VLOOKUP($B33,baseline!$A:$AK,H$2,FALSE)</f>
        <v>#N/A</v>
      </c>
      <c r="I33" s="3" t="e">
        <f>VLOOKUP($B33,baseline!$A:$AK,I$2,FALSE)</f>
        <v>#N/A</v>
      </c>
      <c r="J33" s="3" t="e">
        <f>VLOOKUP($B33,baseline!$A:$AK,J$2,FALSE)</f>
        <v>#N/A</v>
      </c>
      <c r="K33" s="3" t="e">
        <f>VLOOKUP($B33,baseline!$A:$AK,K$2,FALSE)</f>
        <v>#N/A</v>
      </c>
      <c r="L33" s="3" t="e">
        <f>VLOOKUP($B33,baseline!$A:$AK,L$2,FALSE)</f>
        <v>#N/A</v>
      </c>
      <c r="M33" s="3" t="e">
        <f>VLOOKUP($B33,baseline!$A:$AK,M$2,FALSE)</f>
        <v>#N/A</v>
      </c>
      <c r="N33" s="3" t="e">
        <f>VLOOKUP($B33,baseline!$A:$AK,N$2,FALSE)</f>
        <v>#N/A</v>
      </c>
      <c r="O33" s="3" t="e">
        <f>VLOOKUP($B33,baseline!$A:$AK,O$2,FALSE)</f>
        <v>#N/A</v>
      </c>
      <c r="P33" s="3" t="e">
        <f>VLOOKUP($B33,baseline!$A:$AK,P$2,FALSE)</f>
        <v>#N/A</v>
      </c>
      <c r="Q33" s="3" t="e">
        <f>VLOOKUP($B33,baseline!$A:$AK,Q$2,FALSE)</f>
        <v>#N/A</v>
      </c>
      <c r="R33" s="3" t="e">
        <f>VLOOKUP($B33,baseline!$A:$AK,R$2,FALSE)</f>
        <v>#N/A</v>
      </c>
      <c r="S33" s="3" t="e">
        <f>VLOOKUP($B33,baseline!$A:$AK,S$2,FALSE)</f>
        <v>#N/A</v>
      </c>
      <c r="T33" s="3" t="e">
        <f>VLOOKUP($B33,baseline!$A:$AK,T$2,FALSE)</f>
        <v>#N/A</v>
      </c>
      <c r="U33" s="3" t="e">
        <f>VLOOKUP($B33,baseline!$A:$AK,U$2,FALSE)</f>
        <v>#N/A</v>
      </c>
      <c r="V33" s="3" t="e">
        <f>VLOOKUP($B33,baseline!$A:$AK,V$2,FALSE)</f>
        <v>#N/A</v>
      </c>
      <c r="W33" s="3" t="e">
        <f>VLOOKUP($B33,baseline!$A:$AK,W$2,FALSE)</f>
        <v>#N/A</v>
      </c>
      <c r="X33" s="3" t="e">
        <f>VLOOKUP($B33,baseline!$A:$AK,X$2,FALSE)</f>
        <v>#N/A</v>
      </c>
      <c r="Y33" s="3" t="e">
        <f>VLOOKUP($B33,baseline!$A:$AK,Y$2,FALSE)</f>
        <v>#N/A</v>
      </c>
      <c r="Z33" s="3" t="e">
        <f>VLOOKUP($B33,baseline!$A:$AK,Z$2,FALSE)</f>
        <v>#N/A</v>
      </c>
      <c r="AA33" s="3" t="e">
        <f>VLOOKUP($B33,baseline!$A:$AK,AA$2,FALSE)</f>
        <v>#N/A</v>
      </c>
      <c r="AB33" s="3" t="e">
        <f>VLOOKUP($B33,baseline!$A:$AK,AB$2,FALSE)</f>
        <v>#N/A</v>
      </c>
      <c r="AC33" s="3" t="e">
        <f>VLOOKUP($B33,baseline!$A:$AK,AC$2,FALSE)</f>
        <v>#N/A</v>
      </c>
      <c r="AD33" s="3" t="e">
        <f>VLOOKUP($B33,baseline!$A:$AK,AD$2,FALSE)</f>
        <v>#N/A</v>
      </c>
      <c r="AE33" s="3" t="e">
        <f>VLOOKUP($B33,baseline!$A:$AK,AE$2,FALSE)</f>
        <v>#N/A</v>
      </c>
      <c r="AF33" s="3" t="e">
        <f>VLOOKUP($B33,baseline!$A:$AK,AF$2,FALSE)</f>
        <v>#N/A</v>
      </c>
      <c r="AG33" s="3" t="e">
        <f>VLOOKUP($B33,baseline!$A:$AK,AG$2,FALSE)</f>
        <v>#N/A</v>
      </c>
      <c r="AH33" s="3" t="e">
        <f>VLOOKUP($B33,baseline!$A:$AK,AH$2,FALSE)</f>
        <v>#N/A</v>
      </c>
      <c r="AI33" s="3" t="e">
        <f>VLOOKUP($B33,baseline!$A:$AK,AI$2,FALSE)</f>
        <v>#N/A</v>
      </c>
      <c r="AJ33" s="3" t="e">
        <f>VLOOKUP($B33,baseline!$A:$AK,AJ$2,FALSE)</f>
        <v>#N/A</v>
      </c>
      <c r="AK33" s="3" t="e">
        <f>VLOOKUP($B33,baseline!$A:$AK,AK$2,FALSE)</f>
        <v>#N/A</v>
      </c>
      <c r="AL33" s="3" t="e">
        <f>VLOOKUP($B33,baseline!$A:$AK,AL$2,FALSE)</f>
        <v>#N/A</v>
      </c>
      <c r="AM33" s="3" t="e">
        <f>VLOOKUP($B33,baseline!$A:$AK,AM$2,FALSE)</f>
        <v>#N/A</v>
      </c>
      <c r="AN33" s="3" t="e">
        <f>VLOOKUP($B33,baseline!$A:$AK,AN$2,FALSE)</f>
        <v>#N/A</v>
      </c>
      <c r="AP33" s="3" t="e">
        <f t="shared" si="1"/>
        <v>#N/A</v>
      </c>
    </row>
    <row r="34" spans="1:48" x14ac:dyDescent="0.3">
      <c r="B34" t="s">
        <v>126</v>
      </c>
      <c r="D34" s="15" t="s">
        <v>171</v>
      </c>
      <c r="E34" s="3" t="e">
        <f>VLOOKUP($B34,baseline!$A:$AK,E$2,FALSE)</f>
        <v>#N/A</v>
      </c>
      <c r="F34" s="3" t="e">
        <f>VLOOKUP($B34,baseline!$A:$AK,F$2,FALSE)</f>
        <v>#N/A</v>
      </c>
      <c r="G34" s="3" t="e">
        <f>VLOOKUP($B34,baseline!$A:$AK,G$2,FALSE)</f>
        <v>#N/A</v>
      </c>
      <c r="H34" s="3" t="e">
        <f>VLOOKUP($B34,baseline!$A:$AK,H$2,FALSE)</f>
        <v>#N/A</v>
      </c>
      <c r="I34" s="3" t="e">
        <f>VLOOKUP($B34,baseline!$A:$AK,I$2,FALSE)</f>
        <v>#N/A</v>
      </c>
      <c r="J34" s="3" t="e">
        <f>VLOOKUP($B34,baseline!$A:$AK,J$2,FALSE)</f>
        <v>#N/A</v>
      </c>
      <c r="K34" s="3" t="e">
        <f>VLOOKUP($B34,baseline!$A:$AK,K$2,FALSE)</f>
        <v>#N/A</v>
      </c>
      <c r="L34" s="3" t="e">
        <f>VLOOKUP($B34,baseline!$A:$AK,L$2,FALSE)</f>
        <v>#N/A</v>
      </c>
      <c r="M34" s="3" t="e">
        <f>VLOOKUP($B34,baseline!$A:$AK,M$2,FALSE)</f>
        <v>#N/A</v>
      </c>
      <c r="N34" s="3" t="e">
        <f>VLOOKUP($B34,baseline!$A:$AK,N$2,FALSE)</f>
        <v>#N/A</v>
      </c>
      <c r="O34" s="3" t="e">
        <f>VLOOKUP($B34,baseline!$A:$AK,O$2,FALSE)</f>
        <v>#N/A</v>
      </c>
      <c r="P34" s="3" t="e">
        <f>VLOOKUP($B34,baseline!$A:$AK,P$2,FALSE)</f>
        <v>#N/A</v>
      </c>
      <c r="Q34" s="3" t="e">
        <f>VLOOKUP($B34,baseline!$A:$AK,Q$2,FALSE)</f>
        <v>#N/A</v>
      </c>
      <c r="R34" s="3" t="e">
        <f>VLOOKUP($B34,baseline!$A:$AK,R$2,FALSE)</f>
        <v>#N/A</v>
      </c>
      <c r="S34" s="3" t="e">
        <f>VLOOKUP($B34,baseline!$A:$AK,S$2,FALSE)</f>
        <v>#N/A</v>
      </c>
      <c r="T34" s="3" t="e">
        <f>VLOOKUP($B34,baseline!$A:$AK,T$2,FALSE)</f>
        <v>#N/A</v>
      </c>
      <c r="U34" s="3" t="e">
        <f>VLOOKUP($B34,baseline!$A:$AK,U$2,FALSE)</f>
        <v>#N/A</v>
      </c>
      <c r="V34" s="3" t="e">
        <f>VLOOKUP($B34,baseline!$A:$AK,V$2,FALSE)</f>
        <v>#N/A</v>
      </c>
      <c r="W34" s="3" t="e">
        <f>VLOOKUP($B34,baseline!$A:$AK,W$2,FALSE)</f>
        <v>#N/A</v>
      </c>
      <c r="X34" s="3" t="e">
        <f>VLOOKUP($B34,baseline!$A:$AK,X$2,FALSE)</f>
        <v>#N/A</v>
      </c>
      <c r="Y34" s="3" t="e">
        <f>VLOOKUP($B34,baseline!$A:$AK,Y$2,FALSE)</f>
        <v>#N/A</v>
      </c>
      <c r="Z34" s="3" t="e">
        <f>VLOOKUP($B34,baseline!$A:$AK,Z$2,FALSE)</f>
        <v>#N/A</v>
      </c>
      <c r="AA34" s="3" t="e">
        <f>VLOOKUP($B34,baseline!$A:$AK,AA$2,FALSE)</f>
        <v>#N/A</v>
      </c>
      <c r="AB34" s="3" t="e">
        <f>VLOOKUP($B34,baseline!$A:$AK,AB$2,FALSE)</f>
        <v>#N/A</v>
      </c>
      <c r="AC34" s="3" t="e">
        <f>VLOOKUP($B34,baseline!$A:$AK,AC$2,FALSE)</f>
        <v>#N/A</v>
      </c>
      <c r="AD34" s="3" t="e">
        <f>VLOOKUP($B34,baseline!$A:$AK,AD$2,FALSE)</f>
        <v>#N/A</v>
      </c>
      <c r="AE34" s="3" t="e">
        <f>VLOOKUP($B34,baseline!$A:$AK,AE$2,FALSE)</f>
        <v>#N/A</v>
      </c>
      <c r="AF34" s="3" t="e">
        <f>VLOOKUP($B34,baseline!$A:$AK,AF$2,FALSE)</f>
        <v>#N/A</v>
      </c>
      <c r="AG34" s="3" t="e">
        <f>VLOOKUP($B34,baseline!$A:$AK,AG$2,FALSE)</f>
        <v>#N/A</v>
      </c>
      <c r="AH34" s="3" t="e">
        <f>VLOOKUP($B34,baseline!$A:$AK,AH$2,FALSE)</f>
        <v>#N/A</v>
      </c>
      <c r="AI34" s="3" t="e">
        <f>VLOOKUP($B34,baseline!$A:$AK,AI$2,FALSE)</f>
        <v>#N/A</v>
      </c>
      <c r="AJ34" s="3" t="e">
        <f>VLOOKUP($B34,baseline!$A:$AK,AJ$2,FALSE)</f>
        <v>#N/A</v>
      </c>
      <c r="AK34" s="3" t="e">
        <f>VLOOKUP($B34,baseline!$A:$AK,AK$2,FALSE)</f>
        <v>#N/A</v>
      </c>
      <c r="AL34" s="3" t="e">
        <f>VLOOKUP($B34,baseline!$A:$AK,AL$2,FALSE)</f>
        <v>#N/A</v>
      </c>
      <c r="AM34" s="3" t="e">
        <f>VLOOKUP($B34,baseline!$A:$AK,AM$2,FALSE)</f>
        <v>#N/A</v>
      </c>
      <c r="AN34" s="3" t="e">
        <f>VLOOKUP($B34,baseline!$A:$AK,AN$2,FALSE)</f>
        <v>#N/A</v>
      </c>
      <c r="AP34" s="3" t="e">
        <f t="shared" si="1"/>
        <v>#N/A</v>
      </c>
    </row>
    <row r="35" spans="1:48" x14ac:dyDescent="0.3">
      <c r="B35" t="s">
        <v>127</v>
      </c>
      <c r="D35" s="15" t="s">
        <v>171</v>
      </c>
      <c r="E35" s="3" t="e">
        <f>VLOOKUP($B35,baseline!$A:$AK,E$2,FALSE)</f>
        <v>#N/A</v>
      </c>
      <c r="F35" s="3" t="e">
        <f>VLOOKUP($B35,baseline!$A:$AK,F$2,FALSE)</f>
        <v>#N/A</v>
      </c>
      <c r="G35" s="3" t="e">
        <f>VLOOKUP($B35,baseline!$A:$AK,G$2,FALSE)</f>
        <v>#N/A</v>
      </c>
      <c r="H35" s="3" t="e">
        <f>VLOOKUP($B35,baseline!$A:$AK,H$2,FALSE)</f>
        <v>#N/A</v>
      </c>
      <c r="I35" s="3" t="e">
        <f>VLOOKUP($B35,baseline!$A:$AK,I$2,FALSE)</f>
        <v>#N/A</v>
      </c>
      <c r="J35" s="3" t="e">
        <f>VLOOKUP($B35,baseline!$A:$AK,J$2,FALSE)</f>
        <v>#N/A</v>
      </c>
      <c r="K35" s="3" t="e">
        <f>VLOOKUP($B35,baseline!$A:$AK,K$2,FALSE)</f>
        <v>#N/A</v>
      </c>
      <c r="L35" s="3" t="e">
        <f>VLOOKUP($B35,baseline!$A:$AK,L$2,FALSE)</f>
        <v>#N/A</v>
      </c>
      <c r="M35" s="3" t="e">
        <f>VLOOKUP($B35,baseline!$A:$AK,M$2,FALSE)</f>
        <v>#N/A</v>
      </c>
      <c r="N35" s="3" t="e">
        <f>VLOOKUP($B35,baseline!$A:$AK,N$2,FALSE)</f>
        <v>#N/A</v>
      </c>
      <c r="O35" s="3" t="e">
        <f>VLOOKUP($B35,baseline!$A:$AK,O$2,FALSE)</f>
        <v>#N/A</v>
      </c>
      <c r="P35" s="3" t="e">
        <f>VLOOKUP($B35,baseline!$A:$AK,P$2,FALSE)</f>
        <v>#N/A</v>
      </c>
      <c r="Q35" s="3" t="e">
        <f>VLOOKUP($B35,baseline!$A:$AK,Q$2,FALSE)</f>
        <v>#N/A</v>
      </c>
      <c r="R35" s="3" t="e">
        <f>VLOOKUP($B35,baseline!$A:$AK,R$2,FALSE)</f>
        <v>#N/A</v>
      </c>
      <c r="S35" s="3" t="e">
        <f>VLOOKUP($B35,baseline!$A:$AK,S$2,FALSE)</f>
        <v>#N/A</v>
      </c>
      <c r="T35" s="3" t="e">
        <f>VLOOKUP($B35,baseline!$A:$AK,T$2,FALSE)</f>
        <v>#N/A</v>
      </c>
      <c r="U35" s="3" t="e">
        <f>VLOOKUP($B35,baseline!$A:$AK,U$2,FALSE)</f>
        <v>#N/A</v>
      </c>
      <c r="V35" s="3" t="e">
        <f>VLOOKUP($B35,baseline!$A:$AK,V$2,FALSE)</f>
        <v>#N/A</v>
      </c>
      <c r="W35" s="3" t="e">
        <f>VLOOKUP($B35,baseline!$A:$AK,W$2,FALSE)</f>
        <v>#N/A</v>
      </c>
      <c r="X35" s="3" t="e">
        <f>VLOOKUP($B35,baseline!$A:$AK,X$2,FALSE)</f>
        <v>#N/A</v>
      </c>
      <c r="Y35" s="3" t="e">
        <f>VLOOKUP($B35,baseline!$A:$AK,Y$2,FALSE)</f>
        <v>#N/A</v>
      </c>
      <c r="Z35" s="3" t="e">
        <f>VLOOKUP($B35,baseline!$A:$AK,Z$2,FALSE)</f>
        <v>#N/A</v>
      </c>
      <c r="AA35" s="3" t="e">
        <f>VLOOKUP($B35,baseline!$A:$AK,AA$2,FALSE)</f>
        <v>#N/A</v>
      </c>
      <c r="AB35" s="3" t="e">
        <f>VLOOKUP($B35,baseline!$A:$AK,AB$2,FALSE)</f>
        <v>#N/A</v>
      </c>
      <c r="AC35" s="3" t="e">
        <f>VLOOKUP($B35,baseline!$A:$AK,AC$2,FALSE)</f>
        <v>#N/A</v>
      </c>
      <c r="AD35" s="3" t="e">
        <f>VLOOKUP($B35,baseline!$A:$AK,AD$2,FALSE)</f>
        <v>#N/A</v>
      </c>
      <c r="AE35" s="3" t="e">
        <f>VLOOKUP($B35,baseline!$A:$AK,AE$2,FALSE)</f>
        <v>#N/A</v>
      </c>
      <c r="AF35" s="3" t="e">
        <f>VLOOKUP($B35,baseline!$A:$AK,AF$2,FALSE)</f>
        <v>#N/A</v>
      </c>
      <c r="AG35" s="3" t="e">
        <f>VLOOKUP($B35,baseline!$A:$AK,AG$2,FALSE)</f>
        <v>#N/A</v>
      </c>
      <c r="AH35" s="3" t="e">
        <f>VLOOKUP($B35,baseline!$A:$AK,AH$2,FALSE)</f>
        <v>#N/A</v>
      </c>
      <c r="AI35" s="3" t="e">
        <f>VLOOKUP($B35,baseline!$A:$AK,AI$2,FALSE)</f>
        <v>#N/A</v>
      </c>
      <c r="AJ35" s="3" t="e">
        <f>VLOOKUP($B35,baseline!$A:$AK,AJ$2,FALSE)</f>
        <v>#N/A</v>
      </c>
      <c r="AK35" s="3" t="e">
        <f>VLOOKUP($B35,baseline!$A:$AK,AK$2,FALSE)</f>
        <v>#N/A</v>
      </c>
      <c r="AL35" s="3" t="e">
        <f>VLOOKUP($B35,baseline!$A:$AK,AL$2,FALSE)</f>
        <v>#N/A</v>
      </c>
      <c r="AM35" s="3" t="e">
        <f>VLOOKUP($B35,baseline!$A:$AK,AM$2,FALSE)</f>
        <v>#N/A</v>
      </c>
      <c r="AN35" s="3" t="e">
        <f>VLOOKUP($B35,baseline!$A:$AK,AN$2,FALSE)</f>
        <v>#N/A</v>
      </c>
      <c r="AP35" s="3" t="e">
        <f t="shared" si="1"/>
        <v>#N/A</v>
      </c>
    </row>
    <row r="36" spans="1:48" x14ac:dyDescent="0.3">
      <c r="B36" t="s">
        <v>128</v>
      </c>
      <c r="D36" s="15" t="s">
        <v>171</v>
      </c>
      <c r="E36" s="3" t="e">
        <f>VLOOKUP($B36,baseline!$A:$AK,E$2,FALSE)</f>
        <v>#N/A</v>
      </c>
      <c r="F36" s="3" t="e">
        <f>VLOOKUP($B36,baseline!$A:$AK,F$2,FALSE)</f>
        <v>#N/A</v>
      </c>
      <c r="G36" s="3" t="e">
        <f>VLOOKUP($B36,baseline!$A:$AK,G$2,FALSE)</f>
        <v>#N/A</v>
      </c>
      <c r="H36" s="3" t="e">
        <f>VLOOKUP($B36,baseline!$A:$AK,H$2,FALSE)</f>
        <v>#N/A</v>
      </c>
      <c r="I36" s="3" t="e">
        <f>VLOOKUP($B36,baseline!$A:$AK,I$2,FALSE)</f>
        <v>#N/A</v>
      </c>
      <c r="J36" s="3" t="e">
        <f>VLOOKUP($B36,baseline!$A:$AK,J$2,FALSE)</f>
        <v>#N/A</v>
      </c>
      <c r="K36" s="3" t="e">
        <f>VLOOKUP($B36,baseline!$A:$AK,K$2,FALSE)</f>
        <v>#N/A</v>
      </c>
      <c r="L36" s="3" t="e">
        <f>VLOOKUP($B36,baseline!$A:$AK,L$2,FALSE)</f>
        <v>#N/A</v>
      </c>
      <c r="M36" s="3" t="e">
        <f>VLOOKUP($B36,baseline!$A:$AK,M$2,FALSE)</f>
        <v>#N/A</v>
      </c>
      <c r="N36" s="3" t="e">
        <f>VLOOKUP($B36,baseline!$A:$AK,N$2,FALSE)</f>
        <v>#N/A</v>
      </c>
      <c r="O36" s="3" t="e">
        <f>VLOOKUP($B36,baseline!$A:$AK,O$2,FALSE)</f>
        <v>#N/A</v>
      </c>
      <c r="P36" s="3" t="e">
        <f>VLOOKUP($B36,baseline!$A:$AK,P$2,FALSE)</f>
        <v>#N/A</v>
      </c>
      <c r="Q36" s="3" t="e">
        <f>VLOOKUP($B36,baseline!$A:$AK,Q$2,FALSE)</f>
        <v>#N/A</v>
      </c>
      <c r="R36" s="3" t="e">
        <f>VLOOKUP($B36,baseline!$A:$AK,R$2,FALSE)</f>
        <v>#N/A</v>
      </c>
      <c r="S36" s="3" t="e">
        <f>VLOOKUP($B36,baseline!$A:$AK,S$2,FALSE)</f>
        <v>#N/A</v>
      </c>
      <c r="T36" s="3" t="e">
        <f>VLOOKUP($B36,baseline!$A:$AK,T$2,FALSE)</f>
        <v>#N/A</v>
      </c>
      <c r="U36" s="3" t="e">
        <f>VLOOKUP($B36,baseline!$A:$AK,U$2,FALSE)</f>
        <v>#N/A</v>
      </c>
      <c r="V36" s="3" t="e">
        <f>VLOOKUP($B36,baseline!$A:$AK,V$2,FALSE)</f>
        <v>#N/A</v>
      </c>
      <c r="W36" s="3" t="e">
        <f>VLOOKUP($B36,baseline!$A:$AK,W$2,FALSE)</f>
        <v>#N/A</v>
      </c>
      <c r="X36" s="3" t="e">
        <f>VLOOKUP($B36,baseline!$A:$AK,X$2,FALSE)</f>
        <v>#N/A</v>
      </c>
      <c r="Y36" s="3" t="e">
        <f>VLOOKUP($B36,baseline!$A:$AK,Y$2,FALSE)</f>
        <v>#N/A</v>
      </c>
      <c r="Z36" s="3" t="e">
        <f>VLOOKUP($B36,baseline!$A:$AK,Z$2,FALSE)</f>
        <v>#N/A</v>
      </c>
      <c r="AA36" s="3" t="e">
        <f>VLOOKUP($B36,baseline!$A:$AK,AA$2,FALSE)</f>
        <v>#N/A</v>
      </c>
      <c r="AB36" s="3" t="e">
        <f>VLOOKUP($B36,baseline!$A:$AK,AB$2,FALSE)</f>
        <v>#N/A</v>
      </c>
      <c r="AC36" s="3" t="e">
        <f>VLOOKUP($B36,baseline!$A:$AK,AC$2,FALSE)</f>
        <v>#N/A</v>
      </c>
      <c r="AD36" s="3" t="e">
        <f>VLOOKUP($B36,baseline!$A:$AK,AD$2,FALSE)</f>
        <v>#N/A</v>
      </c>
      <c r="AE36" s="3" t="e">
        <f>VLOOKUP($B36,baseline!$A:$AK,AE$2,FALSE)</f>
        <v>#N/A</v>
      </c>
      <c r="AF36" s="3" t="e">
        <f>VLOOKUP($B36,baseline!$A:$AK,AF$2,FALSE)</f>
        <v>#N/A</v>
      </c>
      <c r="AG36" s="3" t="e">
        <f>VLOOKUP($B36,baseline!$A:$AK,AG$2,FALSE)</f>
        <v>#N/A</v>
      </c>
      <c r="AH36" s="3" t="e">
        <f>VLOOKUP($B36,baseline!$A:$AK,AH$2,FALSE)</f>
        <v>#N/A</v>
      </c>
      <c r="AI36" s="3" t="e">
        <f>VLOOKUP($B36,baseline!$A:$AK,AI$2,FALSE)</f>
        <v>#N/A</v>
      </c>
      <c r="AJ36" s="3" t="e">
        <f>VLOOKUP($B36,baseline!$A:$AK,AJ$2,FALSE)</f>
        <v>#N/A</v>
      </c>
      <c r="AK36" s="3" t="e">
        <f>VLOOKUP($B36,baseline!$A:$AK,AK$2,FALSE)</f>
        <v>#N/A</v>
      </c>
      <c r="AL36" s="3" t="e">
        <f>VLOOKUP($B36,baseline!$A:$AK,AL$2,FALSE)</f>
        <v>#N/A</v>
      </c>
      <c r="AM36" s="3" t="e">
        <f>VLOOKUP($B36,baseline!$A:$AK,AM$2,FALSE)</f>
        <v>#N/A</v>
      </c>
      <c r="AN36" s="3" t="e">
        <f>VLOOKUP($B36,baseline!$A:$AK,AN$2,FALSE)</f>
        <v>#N/A</v>
      </c>
      <c r="AP36" s="3" t="e">
        <f t="shared" si="1"/>
        <v>#N/A</v>
      </c>
    </row>
    <row r="37" spans="1:48" x14ac:dyDescent="0.3">
      <c r="B37" t="s">
        <v>129</v>
      </c>
      <c r="D37" s="15" t="s">
        <v>171</v>
      </c>
      <c r="E37" s="3" t="e">
        <f>VLOOKUP($B37,baseline!$A:$AK,E$2,FALSE)</f>
        <v>#N/A</v>
      </c>
      <c r="F37" s="3" t="e">
        <f>VLOOKUP($B37,baseline!$A:$AK,F$2,FALSE)</f>
        <v>#N/A</v>
      </c>
      <c r="G37" s="3" t="e">
        <f>VLOOKUP($B37,baseline!$A:$AK,G$2,FALSE)</f>
        <v>#N/A</v>
      </c>
      <c r="H37" s="3" t="e">
        <f>VLOOKUP($B37,baseline!$A:$AK,H$2,FALSE)</f>
        <v>#N/A</v>
      </c>
      <c r="I37" s="3" t="e">
        <f>VLOOKUP($B37,baseline!$A:$AK,I$2,FALSE)</f>
        <v>#N/A</v>
      </c>
      <c r="J37" s="3" t="e">
        <f>VLOOKUP($B37,baseline!$A:$AK,J$2,FALSE)</f>
        <v>#N/A</v>
      </c>
      <c r="K37" s="3" t="e">
        <f>VLOOKUP($B37,baseline!$A:$AK,K$2,FALSE)</f>
        <v>#N/A</v>
      </c>
      <c r="L37" s="3" t="e">
        <f>VLOOKUP($B37,baseline!$A:$AK,L$2,FALSE)</f>
        <v>#N/A</v>
      </c>
      <c r="M37" s="3" t="e">
        <f>VLOOKUP($B37,baseline!$A:$AK,M$2,FALSE)</f>
        <v>#N/A</v>
      </c>
      <c r="N37" s="3" t="e">
        <f>VLOOKUP($B37,baseline!$A:$AK,N$2,FALSE)</f>
        <v>#N/A</v>
      </c>
      <c r="O37" s="3" t="e">
        <f>VLOOKUP($B37,baseline!$A:$AK,O$2,FALSE)</f>
        <v>#N/A</v>
      </c>
      <c r="P37" s="3" t="e">
        <f>VLOOKUP($B37,baseline!$A:$AK,P$2,FALSE)</f>
        <v>#N/A</v>
      </c>
      <c r="Q37" s="3" t="e">
        <f>VLOOKUP($B37,baseline!$A:$AK,Q$2,FALSE)</f>
        <v>#N/A</v>
      </c>
      <c r="R37" s="3" t="e">
        <f>VLOOKUP($B37,baseline!$A:$AK,R$2,FALSE)</f>
        <v>#N/A</v>
      </c>
      <c r="S37" s="3" t="e">
        <f>VLOOKUP($B37,baseline!$A:$AK,S$2,FALSE)</f>
        <v>#N/A</v>
      </c>
      <c r="T37" s="3" t="e">
        <f>VLOOKUP($B37,baseline!$A:$AK,T$2,FALSE)</f>
        <v>#N/A</v>
      </c>
      <c r="U37" s="3" t="e">
        <f>VLOOKUP($B37,baseline!$A:$AK,U$2,FALSE)</f>
        <v>#N/A</v>
      </c>
      <c r="V37" s="3" t="e">
        <f>VLOOKUP($B37,baseline!$A:$AK,V$2,FALSE)</f>
        <v>#N/A</v>
      </c>
      <c r="W37" s="3" t="e">
        <f>VLOOKUP($B37,baseline!$A:$AK,W$2,FALSE)</f>
        <v>#N/A</v>
      </c>
      <c r="X37" s="3" t="e">
        <f>VLOOKUP($B37,baseline!$A:$AK,X$2,FALSE)</f>
        <v>#N/A</v>
      </c>
      <c r="Y37" s="3" t="e">
        <f>VLOOKUP($B37,baseline!$A:$AK,Y$2,FALSE)</f>
        <v>#N/A</v>
      </c>
      <c r="Z37" s="3" t="e">
        <f>VLOOKUP($B37,baseline!$A:$AK,Z$2,FALSE)</f>
        <v>#N/A</v>
      </c>
      <c r="AA37" s="3" t="e">
        <f>VLOOKUP($B37,baseline!$A:$AK,AA$2,FALSE)</f>
        <v>#N/A</v>
      </c>
      <c r="AB37" s="3" t="e">
        <f>VLOOKUP($B37,baseline!$A:$AK,AB$2,FALSE)</f>
        <v>#N/A</v>
      </c>
      <c r="AC37" s="3" t="e">
        <f>VLOOKUP($B37,baseline!$A:$AK,AC$2,FALSE)</f>
        <v>#N/A</v>
      </c>
      <c r="AD37" s="3" t="e">
        <f>VLOOKUP($B37,baseline!$A:$AK,AD$2,FALSE)</f>
        <v>#N/A</v>
      </c>
      <c r="AE37" s="3" t="e">
        <f>VLOOKUP($B37,baseline!$A:$AK,AE$2,FALSE)</f>
        <v>#N/A</v>
      </c>
      <c r="AF37" s="3" t="e">
        <f>VLOOKUP($B37,baseline!$A:$AK,AF$2,FALSE)</f>
        <v>#N/A</v>
      </c>
      <c r="AG37" s="3" t="e">
        <f>VLOOKUP($B37,baseline!$A:$AK,AG$2,FALSE)</f>
        <v>#N/A</v>
      </c>
      <c r="AH37" s="3" t="e">
        <f>VLOOKUP($B37,baseline!$A:$AK,AH$2,FALSE)</f>
        <v>#N/A</v>
      </c>
      <c r="AI37" s="3" t="e">
        <f>VLOOKUP($B37,baseline!$A:$AK,AI$2,FALSE)</f>
        <v>#N/A</v>
      </c>
      <c r="AJ37" s="3" t="e">
        <f>VLOOKUP($B37,baseline!$A:$AK,AJ$2,FALSE)</f>
        <v>#N/A</v>
      </c>
      <c r="AK37" s="3" t="e">
        <f>VLOOKUP($B37,baseline!$A:$AK,AK$2,FALSE)</f>
        <v>#N/A</v>
      </c>
      <c r="AL37" s="3" t="e">
        <f>VLOOKUP($B37,baseline!$A:$AK,AL$2,FALSE)</f>
        <v>#N/A</v>
      </c>
      <c r="AM37" s="3" t="e">
        <f>VLOOKUP($B37,baseline!$A:$AK,AM$2,FALSE)</f>
        <v>#N/A</v>
      </c>
      <c r="AN37" s="3" t="e">
        <f>VLOOKUP($B37,baseline!$A:$AK,AN$2,FALSE)</f>
        <v>#N/A</v>
      </c>
      <c r="AP37" s="3" t="e">
        <f t="shared" si="1"/>
        <v>#N/A</v>
      </c>
    </row>
    <row r="38" spans="1:48" x14ac:dyDescent="0.3">
      <c r="B38" t="s">
        <v>130</v>
      </c>
      <c r="D38" s="15" t="s">
        <v>171</v>
      </c>
      <c r="E38" s="3" t="e">
        <f>VLOOKUP($B38,baseline!$A:$AK,E$2,FALSE)</f>
        <v>#N/A</v>
      </c>
      <c r="F38" s="3" t="e">
        <f>VLOOKUP($B38,baseline!$A:$AK,F$2,FALSE)</f>
        <v>#N/A</v>
      </c>
      <c r="G38" s="3" t="e">
        <f>VLOOKUP($B38,baseline!$A:$AK,G$2,FALSE)</f>
        <v>#N/A</v>
      </c>
      <c r="H38" s="3" t="e">
        <f>VLOOKUP($B38,baseline!$A:$AK,H$2,FALSE)</f>
        <v>#N/A</v>
      </c>
      <c r="I38" s="3" t="e">
        <f>VLOOKUP($B38,baseline!$A:$AK,I$2,FALSE)</f>
        <v>#N/A</v>
      </c>
      <c r="J38" s="3" t="e">
        <f>VLOOKUP($B38,baseline!$A:$AK,J$2,FALSE)</f>
        <v>#N/A</v>
      </c>
      <c r="K38" s="3" t="e">
        <f>VLOOKUP($B38,baseline!$A:$AK,K$2,FALSE)</f>
        <v>#N/A</v>
      </c>
      <c r="L38" s="3" t="e">
        <f>VLOOKUP($B38,baseline!$A:$AK,L$2,FALSE)</f>
        <v>#N/A</v>
      </c>
      <c r="M38" s="3" t="e">
        <f>VLOOKUP($B38,baseline!$A:$AK,M$2,FALSE)</f>
        <v>#N/A</v>
      </c>
      <c r="N38" s="3" t="e">
        <f>VLOOKUP($B38,baseline!$A:$AK,N$2,FALSE)</f>
        <v>#N/A</v>
      </c>
      <c r="O38" s="3" t="e">
        <f>VLOOKUP($B38,baseline!$A:$AK,O$2,FALSE)</f>
        <v>#N/A</v>
      </c>
      <c r="P38" s="3" t="e">
        <f>VLOOKUP($B38,baseline!$A:$AK,P$2,FALSE)</f>
        <v>#N/A</v>
      </c>
      <c r="Q38" s="3" t="e">
        <f>VLOOKUP($B38,baseline!$A:$AK,Q$2,FALSE)</f>
        <v>#N/A</v>
      </c>
      <c r="R38" s="3" t="e">
        <f>VLOOKUP($B38,baseline!$A:$AK,R$2,FALSE)</f>
        <v>#N/A</v>
      </c>
      <c r="S38" s="3" t="e">
        <f>VLOOKUP($B38,baseline!$A:$AK,S$2,FALSE)</f>
        <v>#N/A</v>
      </c>
      <c r="T38" s="3" t="e">
        <f>VLOOKUP($B38,baseline!$A:$AK,T$2,FALSE)</f>
        <v>#N/A</v>
      </c>
      <c r="U38" s="3" t="e">
        <f>VLOOKUP($B38,baseline!$A:$AK,U$2,FALSE)</f>
        <v>#N/A</v>
      </c>
      <c r="V38" s="3" t="e">
        <f>VLOOKUP($B38,baseline!$A:$AK,V$2,FALSE)</f>
        <v>#N/A</v>
      </c>
      <c r="W38" s="3" t="e">
        <f>VLOOKUP($B38,baseline!$A:$AK,W$2,FALSE)</f>
        <v>#N/A</v>
      </c>
      <c r="X38" s="3" t="e">
        <f>VLOOKUP($B38,baseline!$A:$AK,X$2,FALSE)</f>
        <v>#N/A</v>
      </c>
      <c r="Y38" s="3" t="e">
        <f>VLOOKUP($B38,baseline!$A:$AK,Y$2,FALSE)</f>
        <v>#N/A</v>
      </c>
      <c r="Z38" s="3" t="e">
        <f>VLOOKUP($B38,baseline!$A:$AK,Z$2,FALSE)</f>
        <v>#N/A</v>
      </c>
      <c r="AA38" s="3" t="e">
        <f>VLOOKUP($B38,baseline!$A:$AK,AA$2,FALSE)</f>
        <v>#N/A</v>
      </c>
      <c r="AB38" s="3" t="e">
        <f>VLOOKUP($B38,baseline!$A:$AK,AB$2,FALSE)</f>
        <v>#N/A</v>
      </c>
      <c r="AC38" s="3" t="e">
        <f>VLOOKUP($B38,baseline!$A:$AK,AC$2,FALSE)</f>
        <v>#N/A</v>
      </c>
      <c r="AD38" s="3" t="e">
        <f>VLOOKUP($B38,baseline!$A:$AK,AD$2,FALSE)</f>
        <v>#N/A</v>
      </c>
      <c r="AE38" s="3" t="e">
        <f>VLOOKUP($B38,baseline!$A:$AK,AE$2,FALSE)</f>
        <v>#N/A</v>
      </c>
      <c r="AF38" s="3" t="e">
        <f>VLOOKUP($B38,baseline!$A:$AK,AF$2,FALSE)</f>
        <v>#N/A</v>
      </c>
      <c r="AG38" s="3" t="e">
        <f>VLOOKUP($B38,baseline!$A:$AK,AG$2,FALSE)</f>
        <v>#N/A</v>
      </c>
      <c r="AH38" s="3" t="e">
        <f>VLOOKUP($B38,baseline!$A:$AK,AH$2,FALSE)</f>
        <v>#N/A</v>
      </c>
      <c r="AI38" s="3" t="e">
        <f>VLOOKUP($B38,baseline!$A:$AK,AI$2,FALSE)</f>
        <v>#N/A</v>
      </c>
      <c r="AJ38" s="3" t="e">
        <f>VLOOKUP($B38,baseline!$A:$AK,AJ$2,FALSE)</f>
        <v>#N/A</v>
      </c>
      <c r="AK38" s="3" t="e">
        <f>VLOOKUP($B38,baseline!$A:$AK,AK$2,FALSE)</f>
        <v>#N/A</v>
      </c>
      <c r="AL38" s="3" t="e">
        <f>VLOOKUP($B38,baseline!$A:$AK,AL$2,FALSE)</f>
        <v>#N/A</v>
      </c>
      <c r="AM38" s="3" t="e">
        <f>VLOOKUP($B38,baseline!$A:$AK,AM$2,FALSE)</f>
        <v>#N/A</v>
      </c>
      <c r="AN38" s="3" t="e">
        <f>VLOOKUP($B38,baseline!$A:$AK,AN$2,FALSE)</f>
        <v>#N/A</v>
      </c>
      <c r="AP38" s="3" t="e">
        <f t="shared" si="1"/>
        <v>#N/A</v>
      </c>
    </row>
    <row r="39" spans="1:48" x14ac:dyDescent="0.3">
      <c r="D39" s="15"/>
    </row>
    <row r="40" spans="1:48" s="12" customFormat="1" ht="19.8" x14ac:dyDescent="0.4">
      <c r="A40" s="11" t="s">
        <v>169</v>
      </c>
      <c r="C40" s="11"/>
      <c r="D40" s="16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</row>
    <row r="42" spans="1:48" x14ac:dyDescent="0.3">
      <c r="B42" t="s">
        <v>1</v>
      </c>
      <c r="D42" t="s">
        <v>172</v>
      </c>
      <c r="E42" s="13" t="e">
        <f>VLOOKUP($B42,baseline!$A:$AK,E$2,FALSE)</f>
        <v>#N/A</v>
      </c>
      <c r="F42" s="13" t="e">
        <f>VLOOKUP($B42,baseline!$A:$AK,F$2,FALSE)</f>
        <v>#N/A</v>
      </c>
      <c r="G42" s="13" t="e">
        <f>VLOOKUP($B42,baseline!$A:$AK,G$2,FALSE)</f>
        <v>#N/A</v>
      </c>
      <c r="H42" s="13" t="e">
        <f>VLOOKUP($B42,baseline!$A:$AK,H$2,FALSE)</f>
        <v>#N/A</v>
      </c>
      <c r="I42" s="13" t="e">
        <f>VLOOKUP($B42,baseline!$A:$AK,I$2,FALSE)</f>
        <v>#N/A</v>
      </c>
      <c r="J42" s="13" t="e">
        <f>VLOOKUP($B42,baseline!$A:$AK,J$2,FALSE)</f>
        <v>#N/A</v>
      </c>
      <c r="K42" s="13" t="e">
        <f>VLOOKUP($B42,baseline!$A:$AK,K$2,FALSE)</f>
        <v>#N/A</v>
      </c>
      <c r="L42" s="13" t="e">
        <f>VLOOKUP($B42,baseline!$A:$AK,L$2,FALSE)</f>
        <v>#N/A</v>
      </c>
      <c r="M42" s="13" t="e">
        <f>VLOOKUP($B42,baseline!$A:$AK,M$2,FALSE)</f>
        <v>#N/A</v>
      </c>
      <c r="N42" s="13" t="e">
        <f>VLOOKUP($B42,baseline!$A:$AK,N$2,FALSE)</f>
        <v>#N/A</v>
      </c>
      <c r="O42" s="13" t="e">
        <f>VLOOKUP($B42,baseline!$A:$AK,O$2,FALSE)</f>
        <v>#N/A</v>
      </c>
      <c r="P42" s="13" t="e">
        <f>VLOOKUP($B42,baseline!$A:$AK,P$2,FALSE)</f>
        <v>#N/A</v>
      </c>
      <c r="Q42" s="13" t="e">
        <f>VLOOKUP($B42,baseline!$A:$AK,Q$2,FALSE)</f>
        <v>#N/A</v>
      </c>
      <c r="R42" s="13" t="e">
        <f>VLOOKUP($B42,baseline!$A:$AK,R$2,FALSE)</f>
        <v>#N/A</v>
      </c>
      <c r="S42" s="13" t="e">
        <f>VLOOKUP($B42,baseline!$A:$AK,S$2,FALSE)</f>
        <v>#N/A</v>
      </c>
      <c r="T42" s="13" t="e">
        <f>VLOOKUP($B42,baseline!$A:$AK,T$2,FALSE)</f>
        <v>#N/A</v>
      </c>
      <c r="U42" s="13" t="e">
        <f>VLOOKUP($B42,baseline!$A:$AK,U$2,FALSE)</f>
        <v>#N/A</v>
      </c>
      <c r="V42" s="13" t="e">
        <f>VLOOKUP($B42,baseline!$A:$AK,V$2,FALSE)</f>
        <v>#N/A</v>
      </c>
      <c r="W42" s="13" t="e">
        <f>VLOOKUP($B42,baseline!$A:$AK,W$2,FALSE)</f>
        <v>#N/A</v>
      </c>
      <c r="X42" s="13" t="e">
        <f>VLOOKUP($B42,baseline!$A:$AK,X$2,FALSE)</f>
        <v>#N/A</v>
      </c>
      <c r="Y42" s="13" t="e">
        <f>VLOOKUP($B42,baseline!$A:$AK,Y$2,FALSE)</f>
        <v>#N/A</v>
      </c>
      <c r="Z42" s="13" t="e">
        <f>VLOOKUP($B42,baseline!$A:$AK,Z$2,FALSE)</f>
        <v>#N/A</v>
      </c>
      <c r="AA42" s="13" t="e">
        <f>VLOOKUP($B42,baseline!$A:$AK,AA$2,FALSE)</f>
        <v>#N/A</v>
      </c>
      <c r="AB42" s="13" t="e">
        <f>VLOOKUP($B42,baseline!$A:$AK,AB$2,FALSE)</f>
        <v>#N/A</v>
      </c>
      <c r="AC42" s="13" t="e">
        <f>VLOOKUP($B42,baseline!$A:$AK,AC$2,FALSE)</f>
        <v>#N/A</v>
      </c>
      <c r="AD42" s="13" t="e">
        <f>VLOOKUP($B42,baseline!$A:$AK,AD$2,FALSE)</f>
        <v>#N/A</v>
      </c>
      <c r="AE42" s="13" t="e">
        <f>VLOOKUP($B42,baseline!$A:$AK,AE$2,FALSE)</f>
        <v>#N/A</v>
      </c>
      <c r="AF42" s="13" t="e">
        <f>VLOOKUP($B42,baseline!$A:$AK,AF$2,FALSE)</f>
        <v>#N/A</v>
      </c>
      <c r="AG42" s="13" t="e">
        <f>VLOOKUP($B42,baseline!$A:$AK,AG$2,FALSE)</f>
        <v>#N/A</v>
      </c>
      <c r="AH42" s="13" t="e">
        <f>VLOOKUP($B42,baseline!$A:$AK,AH$2,FALSE)</f>
        <v>#N/A</v>
      </c>
      <c r="AI42" s="13" t="e">
        <f>VLOOKUP($B42,baseline!$A:$AK,AI$2,FALSE)</f>
        <v>#N/A</v>
      </c>
      <c r="AJ42" s="13" t="e">
        <f>VLOOKUP($B42,baseline!$A:$AK,AJ$2,FALSE)</f>
        <v>#N/A</v>
      </c>
      <c r="AK42" s="13" t="e">
        <f>VLOOKUP($B42,baseline!$A:$AK,AK$2,FALSE)</f>
        <v>#N/A</v>
      </c>
      <c r="AL42" s="13" t="e">
        <f>VLOOKUP($B42,baseline!$A:$AK,AL$2,FALSE)</f>
        <v>#N/A</v>
      </c>
      <c r="AM42" s="13" t="e">
        <f>VLOOKUP($B42,baseline!$A:$AK,AM$2,FALSE)</f>
        <v>#N/A</v>
      </c>
      <c r="AN42" s="13" t="e">
        <f>VLOOKUP($B42,baseline!$A:$AK,AN$2,FALSE)</f>
        <v>#N/A</v>
      </c>
      <c r="AP42" s="3" t="e">
        <f t="shared" ref="AP42:AP97" si="3">AN42/E42</f>
        <v>#N/A</v>
      </c>
    </row>
    <row r="43" spans="1:48" x14ac:dyDescent="0.3">
      <c r="B43" t="s">
        <v>2</v>
      </c>
      <c r="D43" t="s">
        <v>172</v>
      </c>
      <c r="E43" s="13" t="e">
        <f>VLOOKUP($B43,baseline!$A:$AK,E$2,FALSE)</f>
        <v>#N/A</v>
      </c>
      <c r="F43" s="13" t="e">
        <f>VLOOKUP($B43,baseline!$A:$AK,F$2,FALSE)</f>
        <v>#N/A</v>
      </c>
      <c r="G43" s="13" t="e">
        <f>VLOOKUP($B43,baseline!$A:$AK,G$2,FALSE)</f>
        <v>#N/A</v>
      </c>
      <c r="H43" s="13" t="e">
        <f>VLOOKUP($B43,baseline!$A:$AK,H$2,FALSE)</f>
        <v>#N/A</v>
      </c>
      <c r="I43" s="13" t="e">
        <f>VLOOKUP($B43,baseline!$A:$AK,I$2,FALSE)</f>
        <v>#N/A</v>
      </c>
      <c r="J43" s="13" t="e">
        <f>VLOOKUP($B43,baseline!$A:$AK,J$2,FALSE)</f>
        <v>#N/A</v>
      </c>
      <c r="K43" s="13" t="e">
        <f>VLOOKUP($B43,baseline!$A:$AK,K$2,FALSE)</f>
        <v>#N/A</v>
      </c>
      <c r="L43" s="13" t="e">
        <f>VLOOKUP($B43,baseline!$A:$AK,L$2,FALSE)</f>
        <v>#N/A</v>
      </c>
      <c r="M43" s="13" t="e">
        <f>VLOOKUP($B43,baseline!$A:$AK,M$2,FALSE)</f>
        <v>#N/A</v>
      </c>
      <c r="N43" s="13" t="e">
        <f>VLOOKUP($B43,baseline!$A:$AK,N$2,FALSE)</f>
        <v>#N/A</v>
      </c>
      <c r="O43" s="13" t="e">
        <f>VLOOKUP($B43,baseline!$A:$AK,O$2,FALSE)</f>
        <v>#N/A</v>
      </c>
      <c r="P43" s="13" t="e">
        <f>VLOOKUP($B43,baseline!$A:$AK,P$2,FALSE)</f>
        <v>#N/A</v>
      </c>
      <c r="Q43" s="13" t="e">
        <f>VLOOKUP($B43,baseline!$A:$AK,Q$2,FALSE)</f>
        <v>#N/A</v>
      </c>
      <c r="R43" s="13" t="e">
        <f>VLOOKUP($B43,baseline!$A:$AK,R$2,FALSE)</f>
        <v>#N/A</v>
      </c>
      <c r="S43" s="13" t="e">
        <f>VLOOKUP($B43,baseline!$A:$AK,S$2,FALSE)</f>
        <v>#N/A</v>
      </c>
      <c r="T43" s="13" t="e">
        <f>VLOOKUP($B43,baseline!$A:$AK,T$2,FALSE)</f>
        <v>#N/A</v>
      </c>
      <c r="U43" s="13" t="e">
        <f>VLOOKUP($B43,baseline!$A:$AK,U$2,FALSE)</f>
        <v>#N/A</v>
      </c>
      <c r="V43" s="13" t="e">
        <f>VLOOKUP($B43,baseline!$A:$AK,V$2,FALSE)</f>
        <v>#N/A</v>
      </c>
      <c r="W43" s="13" t="e">
        <f>VLOOKUP($B43,baseline!$A:$AK,W$2,FALSE)</f>
        <v>#N/A</v>
      </c>
      <c r="X43" s="13" t="e">
        <f>VLOOKUP($B43,baseline!$A:$AK,X$2,FALSE)</f>
        <v>#N/A</v>
      </c>
      <c r="Y43" s="13" t="e">
        <f>VLOOKUP($B43,baseline!$A:$AK,Y$2,FALSE)</f>
        <v>#N/A</v>
      </c>
      <c r="Z43" s="13" t="e">
        <f>VLOOKUP($B43,baseline!$A:$AK,Z$2,FALSE)</f>
        <v>#N/A</v>
      </c>
      <c r="AA43" s="13" t="e">
        <f>VLOOKUP($B43,baseline!$A:$AK,AA$2,FALSE)</f>
        <v>#N/A</v>
      </c>
      <c r="AB43" s="13" t="e">
        <f>VLOOKUP($B43,baseline!$A:$AK,AB$2,FALSE)</f>
        <v>#N/A</v>
      </c>
      <c r="AC43" s="13" t="e">
        <f>VLOOKUP($B43,baseline!$A:$AK,AC$2,FALSE)</f>
        <v>#N/A</v>
      </c>
      <c r="AD43" s="13" t="e">
        <f>VLOOKUP($B43,baseline!$A:$AK,AD$2,FALSE)</f>
        <v>#N/A</v>
      </c>
      <c r="AE43" s="13" t="e">
        <f>VLOOKUP($B43,baseline!$A:$AK,AE$2,FALSE)</f>
        <v>#N/A</v>
      </c>
      <c r="AF43" s="13" t="e">
        <f>VLOOKUP($B43,baseline!$A:$AK,AF$2,FALSE)</f>
        <v>#N/A</v>
      </c>
      <c r="AG43" s="13" t="e">
        <f>VLOOKUP($B43,baseline!$A:$AK,AG$2,FALSE)</f>
        <v>#N/A</v>
      </c>
      <c r="AH43" s="13" t="e">
        <f>VLOOKUP($B43,baseline!$A:$AK,AH$2,FALSE)</f>
        <v>#N/A</v>
      </c>
      <c r="AI43" s="13" t="e">
        <f>VLOOKUP($B43,baseline!$A:$AK,AI$2,FALSE)</f>
        <v>#N/A</v>
      </c>
      <c r="AJ43" s="13" t="e">
        <f>VLOOKUP($B43,baseline!$A:$AK,AJ$2,FALSE)</f>
        <v>#N/A</v>
      </c>
      <c r="AK43" s="13" t="e">
        <f>VLOOKUP($B43,baseline!$A:$AK,AK$2,FALSE)</f>
        <v>#N/A</v>
      </c>
      <c r="AL43" s="13" t="e">
        <f>VLOOKUP($B43,baseline!$A:$AK,AL$2,FALSE)</f>
        <v>#N/A</v>
      </c>
      <c r="AM43" s="13" t="e">
        <f>VLOOKUP($B43,baseline!$A:$AK,AM$2,FALSE)</f>
        <v>#N/A</v>
      </c>
      <c r="AN43" s="13" t="e">
        <f>VLOOKUP($B43,baseline!$A:$AK,AN$2,FALSE)</f>
        <v>#N/A</v>
      </c>
      <c r="AP43" s="3" t="e">
        <f t="shared" si="3"/>
        <v>#N/A</v>
      </c>
    </row>
    <row r="44" spans="1:48" x14ac:dyDescent="0.3">
      <c r="B44" t="s">
        <v>3</v>
      </c>
      <c r="D44" t="s">
        <v>172</v>
      </c>
      <c r="E44" s="13" t="e">
        <f>VLOOKUP($B44,baseline!$A:$AK,E$2,FALSE)</f>
        <v>#N/A</v>
      </c>
      <c r="F44" s="13" t="e">
        <f>VLOOKUP($B44,baseline!$A:$AK,F$2,FALSE)</f>
        <v>#N/A</v>
      </c>
      <c r="G44" s="13" t="e">
        <f>VLOOKUP($B44,baseline!$A:$AK,G$2,FALSE)</f>
        <v>#N/A</v>
      </c>
      <c r="H44" s="13" t="e">
        <f>VLOOKUP($B44,baseline!$A:$AK,H$2,FALSE)</f>
        <v>#N/A</v>
      </c>
      <c r="I44" s="13" t="e">
        <f>VLOOKUP($B44,baseline!$A:$AK,I$2,FALSE)</f>
        <v>#N/A</v>
      </c>
      <c r="J44" s="13" t="e">
        <f>VLOOKUP($B44,baseline!$A:$AK,J$2,FALSE)</f>
        <v>#N/A</v>
      </c>
      <c r="K44" s="13" t="e">
        <f>VLOOKUP($B44,baseline!$A:$AK,K$2,FALSE)</f>
        <v>#N/A</v>
      </c>
      <c r="L44" s="13" t="e">
        <f>VLOOKUP($B44,baseline!$A:$AK,L$2,FALSE)</f>
        <v>#N/A</v>
      </c>
      <c r="M44" s="13" t="e">
        <f>VLOOKUP($B44,baseline!$A:$AK,M$2,FALSE)</f>
        <v>#N/A</v>
      </c>
      <c r="N44" s="13" t="e">
        <f>VLOOKUP($B44,baseline!$A:$AK,N$2,FALSE)</f>
        <v>#N/A</v>
      </c>
      <c r="O44" s="13" t="e">
        <f>VLOOKUP($B44,baseline!$A:$AK,O$2,FALSE)</f>
        <v>#N/A</v>
      </c>
      <c r="P44" s="13" t="e">
        <f>VLOOKUP($B44,baseline!$A:$AK,P$2,FALSE)</f>
        <v>#N/A</v>
      </c>
      <c r="Q44" s="13" t="e">
        <f>VLOOKUP($B44,baseline!$A:$AK,Q$2,FALSE)</f>
        <v>#N/A</v>
      </c>
      <c r="R44" s="13" t="e">
        <f>VLOOKUP($B44,baseline!$A:$AK,R$2,FALSE)</f>
        <v>#N/A</v>
      </c>
      <c r="S44" s="13" t="e">
        <f>VLOOKUP($B44,baseline!$A:$AK,S$2,FALSE)</f>
        <v>#N/A</v>
      </c>
      <c r="T44" s="13" t="e">
        <f>VLOOKUP($B44,baseline!$A:$AK,T$2,FALSE)</f>
        <v>#N/A</v>
      </c>
      <c r="U44" s="13" t="e">
        <f>VLOOKUP($B44,baseline!$A:$AK,U$2,FALSE)</f>
        <v>#N/A</v>
      </c>
      <c r="V44" s="13" t="e">
        <f>VLOOKUP($B44,baseline!$A:$AK,V$2,FALSE)</f>
        <v>#N/A</v>
      </c>
      <c r="W44" s="13" t="e">
        <f>VLOOKUP($B44,baseline!$A:$AK,W$2,FALSE)</f>
        <v>#N/A</v>
      </c>
      <c r="X44" s="13" t="e">
        <f>VLOOKUP($B44,baseline!$A:$AK,X$2,FALSE)</f>
        <v>#N/A</v>
      </c>
      <c r="Y44" s="13" t="e">
        <f>VLOOKUP($B44,baseline!$A:$AK,Y$2,FALSE)</f>
        <v>#N/A</v>
      </c>
      <c r="Z44" s="13" t="e">
        <f>VLOOKUP($B44,baseline!$A:$AK,Z$2,FALSE)</f>
        <v>#N/A</v>
      </c>
      <c r="AA44" s="13" t="e">
        <f>VLOOKUP($B44,baseline!$A:$AK,AA$2,FALSE)</f>
        <v>#N/A</v>
      </c>
      <c r="AB44" s="13" t="e">
        <f>VLOOKUP($B44,baseline!$A:$AK,AB$2,FALSE)</f>
        <v>#N/A</v>
      </c>
      <c r="AC44" s="13" t="e">
        <f>VLOOKUP($B44,baseline!$A:$AK,AC$2,FALSE)</f>
        <v>#N/A</v>
      </c>
      <c r="AD44" s="13" t="e">
        <f>VLOOKUP($B44,baseline!$A:$AK,AD$2,FALSE)</f>
        <v>#N/A</v>
      </c>
      <c r="AE44" s="13" t="e">
        <f>VLOOKUP($B44,baseline!$A:$AK,AE$2,FALSE)</f>
        <v>#N/A</v>
      </c>
      <c r="AF44" s="13" t="e">
        <f>VLOOKUP($B44,baseline!$A:$AK,AF$2,FALSE)</f>
        <v>#N/A</v>
      </c>
      <c r="AG44" s="13" t="e">
        <f>VLOOKUP($B44,baseline!$A:$AK,AG$2,FALSE)</f>
        <v>#N/A</v>
      </c>
      <c r="AH44" s="13" t="e">
        <f>VLOOKUP($B44,baseline!$A:$AK,AH$2,FALSE)</f>
        <v>#N/A</v>
      </c>
      <c r="AI44" s="13" t="e">
        <f>VLOOKUP($B44,baseline!$A:$AK,AI$2,FALSE)</f>
        <v>#N/A</v>
      </c>
      <c r="AJ44" s="13" t="e">
        <f>VLOOKUP($B44,baseline!$A:$AK,AJ$2,FALSE)</f>
        <v>#N/A</v>
      </c>
      <c r="AK44" s="13" t="e">
        <f>VLOOKUP($B44,baseline!$A:$AK,AK$2,FALSE)</f>
        <v>#N/A</v>
      </c>
      <c r="AL44" s="13" t="e">
        <f>VLOOKUP($B44,baseline!$A:$AK,AL$2,FALSE)</f>
        <v>#N/A</v>
      </c>
      <c r="AM44" s="13" t="e">
        <f>VLOOKUP($B44,baseline!$A:$AK,AM$2,FALSE)</f>
        <v>#N/A</v>
      </c>
      <c r="AN44" s="13" t="e">
        <f>VLOOKUP($B44,baseline!$A:$AK,AN$2,FALSE)</f>
        <v>#N/A</v>
      </c>
      <c r="AP44" s="3" t="e">
        <f t="shared" si="3"/>
        <v>#N/A</v>
      </c>
    </row>
    <row r="45" spans="1:48" x14ac:dyDescent="0.3">
      <c r="B45" t="s">
        <v>4</v>
      </c>
      <c r="D45" t="s">
        <v>172</v>
      </c>
      <c r="E45" s="13" t="e">
        <f>VLOOKUP($B45,baseline!$A:$AK,E$2,FALSE)</f>
        <v>#N/A</v>
      </c>
      <c r="F45" s="13" t="e">
        <f>VLOOKUP($B45,baseline!$A:$AK,F$2,FALSE)</f>
        <v>#N/A</v>
      </c>
      <c r="G45" s="13" t="e">
        <f>VLOOKUP($B45,baseline!$A:$AK,G$2,FALSE)</f>
        <v>#N/A</v>
      </c>
      <c r="H45" s="13" t="e">
        <f>VLOOKUP($B45,baseline!$A:$AK,H$2,FALSE)</f>
        <v>#N/A</v>
      </c>
      <c r="I45" s="13" t="e">
        <f>VLOOKUP($B45,baseline!$A:$AK,I$2,FALSE)</f>
        <v>#N/A</v>
      </c>
      <c r="J45" s="13" t="e">
        <f>VLOOKUP($B45,baseline!$A:$AK,J$2,FALSE)</f>
        <v>#N/A</v>
      </c>
      <c r="K45" s="13" t="e">
        <f>VLOOKUP($B45,baseline!$A:$AK,K$2,FALSE)</f>
        <v>#N/A</v>
      </c>
      <c r="L45" s="13" t="e">
        <f>VLOOKUP($B45,baseline!$A:$AK,L$2,FALSE)</f>
        <v>#N/A</v>
      </c>
      <c r="M45" s="13" t="e">
        <f>VLOOKUP($B45,baseline!$A:$AK,M$2,FALSE)</f>
        <v>#N/A</v>
      </c>
      <c r="N45" s="13" t="e">
        <f>VLOOKUP($B45,baseline!$A:$AK,N$2,FALSE)</f>
        <v>#N/A</v>
      </c>
      <c r="O45" s="13" t="e">
        <f>VLOOKUP($B45,baseline!$A:$AK,O$2,FALSE)</f>
        <v>#N/A</v>
      </c>
      <c r="P45" s="13" t="e">
        <f>VLOOKUP($B45,baseline!$A:$AK,P$2,FALSE)</f>
        <v>#N/A</v>
      </c>
      <c r="Q45" s="13" t="e">
        <f>VLOOKUP($B45,baseline!$A:$AK,Q$2,FALSE)</f>
        <v>#N/A</v>
      </c>
      <c r="R45" s="13" t="e">
        <f>VLOOKUP($B45,baseline!$A:$AK,R$2,FALSE)</f>
        <v>#N/A</v>
      </c>
      <c r="S45" s="13" t="e">
        <f>VLOOKUP($B45,baseline!$A:$AK,S$2,FALSE)</f>
        <v>#N/A</v>
      </c>
      <c r="T45" s="13" t="e">
        <f>VLOOKUP($B45,baseline!$A:$AK,T$2,FALSE)</f>
        <v>#N/A</v>
      </c>
      <c r="U45" s="13" t="e">
        <f>VLOOKUP($B45,baseline!$A:$AK,U$2,FALSE)</f>
        <v>#N/A</v>
      </c>
      <c r="V45" s="13" t="e">
        <f>VLOOKUP($B45,baseline!$A:$AK,V$2,FALSE)</f>
        <v>#N/A</v>
      </c>
      <c r="W45" s="13" t="e">
        <f>VLOOKUP($B45,baseline!$A:$AK,W$2,FALSE)</f>
        <v>#N/A</v>
      </c>
      <c r="X45" s="13" t="e">
        <f>VLOOKUP($B45,baseline!$A:$AK,X$2,FALSE)</f>
        <v>#N/A</v>
      </c>
      <c r="Y45" s="13" t="e">
        <f>VLOOKUP($B45,baseline!$A:$AK,Y$2,FALSE)</f>
        <v>#N/A</v>
      </c>
      <c r="Z45" s="13" t="e">
        <f>VLOOKUP($B45,baseline!$A:$AK,Z$2,FALSE)</f>
        <v>#N/A</v>
      </c>
      <c r="AA45" s="13" t="e">
        <f>VLOOKUP($B45,baseline!$A:$AK,AA$2,FALSE)</f>
        <v>#N/A</v>
      </c>
      <c r="AB45" s="13" t="e">
        <f>VLOOKUP($B45,baseline!$A:$AK,AB$2,FALSE)</f>
        <v>#N/A</v>
      </c>
      <c r="AC45" s="13" t="e">
        <f>VLOOKUP($B45,baseline!$A:$AK,AC$2,FALSE)</f>
        <v>#N/A</v>
      </c>
      <c r="AD45" s="13" t="e">
        <f>VLOOKUP($B45,baseline!$A:$AK,AD$2,FALSE)</f>
        <v>#N/A</v>
      </c>
      <c r="AE45" s="13" t="e">
        <f>VLOOKUP($B45,baseline!$A:$AK,AE$2,FALSE)</f>
        <v>#N/A</v>
      </c>
      <c r="AF45" s="13" t="e">
        <f>VLOOKUP($B45,baseline!$A:$AK,AF$2,FALSE)</f>
        <v>#N/A</v>
      </c>
      <c r="AG45" s="13" t="e">
        <f>VLOOKUP($B45,baseline!$A:$AK,AG$2,FALSE)</f>
        <v>#N/A</v>
      </c>
      <c r="AH45" s="13" t="e">
        <f>VLOOKUP($B45,baseline!$A:$AK,AH$2,FALSE)</f>
        <v>#N/A</v>
      </c>
      <c r="AI45" s="13" t="e">
        <f>VLOOKUP($B45,baseline!$A:$AK,AI$2,FALSE)</f>
        <v>#N/A</v>
      </c>
      <c r="AJ45" s="13" t="e">
        <f>VLOOKUP($B45,baseline!$A:$AK,AJ$2,FALSE)</f>
        <v>#N/A</v>
      </c>
      <c r="AK45" s="13" t="e">
        <f>VLOOKUP($B45,baseline!$A:$AK,AK$2,FALSE)</f>
        <v>#N/A</v>
      </c>
      <c r="AL45" s="13" t="e">
        <f>VLOOKUP($B45,baseline!$A:$AK,AL$2,FALSE)</f>
        <v>#N/A</v>
      </c>
      <c r="AM45" s="13" t="e">
        <f>VLOOKUP($B45,baseline!$A:$AK,AM$2,FALSE)</f>
        <v>#N/A</v>
      </c>
      <c r="AN45" s="13" t="e">
        <f>VLOOKUP($B45,baseline!$A:$AK,AN$2,FALSE)</f>
        <v>#N/A</v>
      </c>
      <c r="AP45" s="3" t="e">
        <f t="shared" si="3"/>
        <v>#N/A</v>
      </c>
    </row>
    <row r="46" spans="1:48" x14ac:dyDescent="0.3">
      <c r="B46" t="s">
        <v>5</v>
      </c>
      <c r="D46" t="s">
        <v>172</v>
      </c>
      <c r="E46" s="13" t="e">
        <f>VLOOKUP($B46,baseline!$A:$AK,E$2,FALSE)</f>
        <v>#N/A</v>
      </c>
      <c r="F46" s="13" t="e">
        <f>VLOOKUP($B46,baseline!$A:$AK,F$2,FALSE)</f>
        <v>#N/A</v>
      </c>
      <c r="G46" s="13" t="e">
        <f>VLOOKUP($B46,baseline!$A:$AK,G$2,FALSE)</f>
        <v>#N/A</v>
      </c>
      <c r="H46" s="13" t="e">
        <f>VLOOKUP($B46,baseline!$A:$AK,H$2,FALSE)</f>
        <v>#N/A</v>
      </c>
      <c r="I46" s="13" t="e">
        <f>VLOOKUP($B46,baseline!$A:$AK,I$2,FALSE)</f>
        <v>#N/A</v>
      </c>
      <c r="J46" s="13" t="e">
        <f>VLOOKUP($B46,baseline!$A:$AK,J$2,FALSE)</f>
        <v>#N/A</v>
      </c>
      <c r="K46" s="13" t="e">
        <f>VLOOKUP($B46,baseline!$A:$AK,K$2,FALSE)</f>
        <v>#N/A</v>
      </c>
      <c r="L46" s="13" t="e">
        <f>VLOOKUP($B46,baseline!$A:$AK,L$2,FALSE)</f>
        <v>#N/A</v>
      </c>
      <c r="M46" s="13" t="e">
        <f>VLOOKUP($B46,baseline!$A:$AK,M$2,FALSE)</f>
        <v>#N/A</v>
      </c>
      <c r="N46" s="13" t="e">
        <f>VLOOKUP($B46,baseline!$A:$AK,N$2,FALSE)</f>
        <v>#N/A</v>
      </c>
      <c r="O46" s="13" t="e">
        <f>VLOOKUP($B46,baseline!$A:$AK,O$2,FALSE)</f>
        <v>#N/A</v>
      </c>
      <c r="P46" s="13" t="e">
        <f>VLOOKUP($B46,baseline!$A:$AK,P$2,FALSE)</f>
        <v>#N/A</v>
      </c>
      <c r="Q46" s="13" t="e">
        <f>VLOOKUP($B46,baseline!$A:$AK,Q$2,FALSE)</f>
        <v>#N/A</v>
      </c>
      <c r="R46" s="13" t="e">
        <f>VLOOKUP($B46,baseline!$A:$AK,R$2,FALSE)</f>
        <v>#N/A</v>
      </c>
      <c r="S46" s="13" t="e">
        <f>VLOOKUP($B46,baseline!$A:$AK,S$2,FALSE)</f>
        <v>#N/A</v>
      </c>
      <c r="T46" s="13" t="e">
        <f>VLOOKUP($B46,baseline!$A:$AK,T$2,FALSE)</f>
        <v>#N/A</v>
      </c>
      <c r="U46" s="13" t="e">
        <f>VLOOKUP($B46,baseline!$A:$AK,U$2,FALSE)</f>
        <v>#N/A</v>
      </c>
      <c r="V46" s="13" t="e">
        <f>VLOOKUP($B46,baseline!$A:$AK,V$2,FALSE)</f>
        <v>#N/A</v>
      </c>
      <c r="W46" s="13" t="e">
        <f>VLOOKUP($B46,baseline!$A:$AK,W$2,FALSE)</f>
        <v>#N/A</v>
      </c>
      <c r="X46" s="13" t="e">
        <f>VLOOKUP($B46,baseline!$A:$AK,X$2,FALSE)</f>
        <v>#N/A</v>
      </c>
      <c r="Y46" s="13" t="e">
        <f>VLOOKUP($B46,baseline!$A:$AK,Y$2,FALSE)</f>
        <v>#N/A</v>
      </c>
      <c r="Z46" s="13" t="e">
        <f>VLOOKUP($B46,baseline!$A:$AK,Z$2,FALSE)</f>
        <v>#N/A</v>
      </c>
      <c r="AA46" s="13" t="e">
        <f>VLOOKUP($B46,baseline!$A:$AK,AA$2,FALSE)</f>
        <v>#N/A</v>
      </c>
      <c r="AB46" s="13" t="e">
        <f>VLOOKUP($B46,baseline!$A:$AK,AB$2,FALSE)</f>
        <v>#N/A</v>
      </c>
      <c r="AC46" s="13" t="e">
        <f>VLOOKUP($B46,baseline!$A:$AK,AC$2,FALSE)</f>
        <v>#N/A</v>
      </c>
      <c r="AD46" s="13" t="e">
        <f>VLOOKUP($B46,baseline!$A:$AK,AD$2,FALSE)</f>
        <v>#N/A</v>
      </c>
      <c r="AE46" s="13" t="e">
        <f>VLOOKUP($B46,baseline!$A:$AK,AE$2,FALSE)</f>
        <v>#N/A</v>
      </c>
      <c r="AF46" s="13" t="e">
        <f>VLOOKUP($B46,baseline!$A:$AK,AF$2,FALSE)</f>
        <v>#N/A</v>
      </c>
      <c r="AG46" s="13" t="e">
        <f>VLOOKUP($B46,baseline!$A:$AK,AG$2,FALSE)</f>
        <v>#N/A</v>
      </c>
      <c r="AH46" s="13" t="e">
        <f>VLOOKUP($B46,baseline!$A:$AK,AH$2,FALSE)</f>
        <v>#N/A</v>
      </c>
      <c r="AI46" s="13" t="e">
        <f>VLOOKUP($B46,baseline!$A:$AK,AI$2,FALSE)</f>
        <v>#N/A</v>
      </c>
      <c r="AJ46" s="13" t="e">
        <f>VLOOKUP($B46,baseline!$A:$AK,AJ$2,FALSE)</f>
        <v>#N/A</v>
      </c>
      <c r="AK46" s="13" t="e">
        <f>VLOOKUP($B46,baseline!$A:$AK,AK$2,FALSE)</f>
        <v>#N/A</v>
      </c>
      <c r="AL46" s="13" t="e">
        <f>VLOOKUP($B46,baseline!$A:$AK,AL$2,FALSE)</f>
        <v>#N/A</v>
      </c>
      <c r="AM46" s="13" t="e">
        <f>VLOOKUP($B46,baseline!$A:$AK,AM$2,FALSE)</f>
        <v>#N/A</v>
      </c>
      <c r="AN46" s="13" t="e">
        <f>VLOOKUP($B46,baseline!$A:$AK,AN$2,FALSE)</f>
        <v>#N/A</v>
      </c>
      <c r="AP46" s="3" t="e">
        <f t="shared" si="3"/>
        <v>#N/A</v>
      </c>
    </row>
    <row r="47" spans="1:48" x14ac:dyDescent="0.3">
      <c r="B47" t="s">
        <v>6</v>
      </c>
      <c r="D47" t="s">
        <v>172</v>
      </c>
      <c r="E47" s="13" t="e">
        <f>VLOOKUP($B47,baseline!$A:$AK,E$2,FALSE)</f>
        <v>#N/A</v>
      </c>
      <c r="F47" s="13" t="e">
        <f>VLOOKUP($B47,baseline!$A:$AK,F$2,FALSE)</f>
        <v>#N/A</v>
      </c>
      <c r="G47" s="13" t="e">
        <f>VLOOKUP($B47,baseline!$A:$AK,G$2,FALSE)</f>
        <v>#N/A</v>
      </c>
      <c r="H47" s="13" t="e">
        <f>VLOOKUP($B47,baseline!$A:$AK,H$2,FALSE)</f>
        <v>#N/A</v>
      </c>
      <c r="I47" s="13" t="e">
        <f>VLOOKUP($B47,baseline!$A:$AK,I$2,FALSE)</f>
        <v>#N/A</v>
      </c>
      <c r="J47" s="13" t="e">
        <f>VLOOKUP($B47,baseline!$A:$AK,J$2,FALSE)</f>
        <v>#N/A</v>
      </c>
      <c r="K47" s="13" t="e">
        <f>VLOOKUP($B47,baseline!$A:$AK,K$2,FALSE)</f>
        <v>#N/A</v>
      </c>
      <c r="L47" s="13" t="e">
        <f>VLOOKUP($B47,baseline!$A:$AK,L$2,FALSE)</f>
        <v>#N/A</v>
      </c>
      <c r="M47" s="13" t="e">
        <f>VLOOKUP($B47,baseline!$A:$AK,M$2,FALSE)</f>
        <v>#N/A</v>
      </c>
      <c r="N47" s="13" t="e">
        <f>VLOOKUP($B47,baseline!$A:$AK,N$2,FALSE)</f>
        <v>#N/A</v>
      </c>
      <c r="O47" s="13" t="e">
        <f>VLOOKUP($B47,baseline!$A:$AK,O$2,FALSE)</f>
        <v>#N/A</v>
      </c>
      <c r="P47" s="13" t="e">
        <f>VLOOKUP($B47,baseline!$A:$AK,P$2,FALSE)</f>
        <v>#N/A</v>
      </c>
      <c r="Q47" s="13" t="e">
        <f>VLOOKUP($B47,baseline!$A:$AK,Q$2,FALSE)</f>
        <v>#N/A</v>
      </c>
      <c r="R47" s="13" t="e">
        <f>VLOOKUP($B47,baseline!$A:$AK,R$2,FALSE)</f>
        <v>#N/A</v>
      </c>
      <c r="S47" s="13" t="e">
        <f>VLOOKUP($B47,baseline!$A:$AK,S$2,FALSE)</f>
        <v>#N/A</v>
      </c>
      <c r="T47" s="13" t="e">
        <f>VLOOKUP($B47,baseline!$A:$AK,T$2,FALSE)</f>
        <v>#N/A</v>
      </c>
      <c r="U47" s="13" t="e">
        <f>VLOOKUP($B47,baseline!$A:$AK,U$2,FALSE)</f>
        <v>#N/A</v>
      </c>
      <c r="V47" s="13" t="e">
        <f>VLOOKUP($B47,baseline!$A:$AK,V$2,FALSE)</f>
        <v>#N/A</v>
      </c>
      <c r="W47" s="13" t="e">
        <f>VLOOKUP($B47,baseline!$A:$AK,W$2,FALSE)</f>
        <v>#N/A</v>
      </c>
      <c r="X47" s="13" t="e">
        <f>VLOOKUP($B47,baseline!$A:$AK,X$2,FALSE)</f>
        <v>#N/A</v>
      </c>
      <c r="Y47" s="13" t="e">
        <f>VLOOKUP($B47,baseline!$A:$AK,Y$2,FALSE)</f>
        <v>#N/A</v>
      </c>
      <c r="Z47" s="13" t="e">
        <f>VLOOKUP($B47,baseline!$A:$AK,Z$2,FALSE)</f>
        <v>#N/A</v>
      </c>
      <c r="AA47" s="13" t="e">
        <f>VLOOKUP($B47,baseline!$A:$AK,AA$2,FALSE)</f>
        <v>#N/A</v>
      </c>
      <c r="AB47" s="13" t="e">
        <f>VLOOKUP($B47,baseline!$A:$AK,AB$2,FALSE)</f>
        <v>#N/A</v>
      </c>
      <c r="AC47" s="13" t="e">
        <f>VLOOKUP($B47,baseline!$A:$AK,AC$2,FALSE)</f>
        <v>#N/A</v>
      </c>
      <c r="AD47" s="13" t="e">
        <f>VLOOKUP($B47,baseline!$A:$AK,AD$2,FALSE)</f>
        <v>#N/A</v>
      </c>
      <c r="AE47" s="13" t="e">
        <f>VLOOKUP($B47,baseline!$A:$AK,AE$2,FALSE)</f>
        <v>#N/A</v>
      </c>
      <c r="AF47" s="13" t="e">
        <f>VLOOKUP($B47,baseline!$A:$AK,AF$2,FALSE)</f>
        <v>#N/A</v>
      </c>
      <c r="AG47" s="13" t="e">
        <f>VLOOKUP($B47,baseline!$A:$AK,AG$2,FALSE)</f>
        <v>#N/A</v>
      </c>
      <c r="AH47" s="13" t="e">
        <f>VLOOKUP($B47,baseline!$A:$AK,AH$2,FALSE)</f>
        <v>#N/A</v>
      </c>
      <c r="AI47" s="13" t="e">
        <f>VLOOKUP($B47,baseline!$A:$AK,AI$2,FALSE)</f>
        <v>#N/A</v>
      </c>
      <c r="AJ47" s="13" t="e">
        <f>VLOOKUP($B47,baseline!$A:$AK,AJ$2,FALSE)</f>
        <v>#N/A</v>
      </c>
      <c r="AK47" s="13" t="e">
        <f>VLOOKUP($B47,baseline!$A:$AK,AK$2,FALSE)</f>
        <v>#N/A</v>
      </c>
      <c r="AL47" s="13" t="e">
        <f>VLOOKUP($B47,baseline!$A:$AK,AL$2,FALSE)</f>
        <v>#N/A</v>
      </c>
      <c r="AM47" s="13" t="e">
        <f>VLOOKUP($B47,baseline!$A:$AK,AM$2,FALSE)</f>
        <v>#N/A</v>
      </c>
      <c r="AN47" s="13" t="e">
        <f>VLOOKUP($B47,baseline!$A:$AK,AN$2,FALSE)</f>
        <v>#N/A</v>
      </c>
      <c r="AP47" s="3" t="e">
        <f t="shared" si="3"/>
        <v>#N/A</v>
      </c>
    </row>
    <row r="48" spans="1:48" x14ac:dyDescent="0.3">
      <c r="B48" t="s">
        <v>7</v>
      </c>
      <c r="D48" t="s">
        <v>172</v>
      </c>
      <c r="E48" s="13" t="e">
        <f>VLOOKUP($B48,baseline!$A:$AK,E$2,FALSE)</f>
        <v>#N/A</v>
      </c>
      <c r="F48" s="13" t="e">
        <f>VLOOKUP($B48,baseline!$A:$AK,F$2,FALSE)</f>
        <v>#N/A</v>
      </c>
      <c r="G48" s="13" t="e">
        <f>VLOOKUP($B48,baseline!$A:$AK,G$2,FALSE)</f>
        <v>#N/A</v>
      </c>
      <c r="H48" s="13" t="e">
        <f>VLOOKUP($B48,baseline!$A:$AK,H$2,FALSE)</f>
        <v>#N/A</v>
      </c>
      <c r="I48" s="13" t="e">
        <f>VLOOKUP($B48,baseline!$A:$AK,I$2,FALSE)</f>
        <v>#N/A</v>
      </c>
      <c r="J48" s="13" t="e">
        <f>VLOOKUP($B48,baseline!$A:$AK,J$2,FALSE)</f>
        <v>#N/A</v>
      </c>
      <c r="K48" s="13" t="e">
        <f>VLOOKUP($B48,baseline!$A:$AK,K$2,FALSE)</f>
        <v>#N/A</v>
      </c>
      <c r="L48" s="13" t="e">
        <f>VLOOKUP($B48,baseline!$A:$AK,L$2,FALSE)</f>
        <v>#N/A</v>
      </c>
      <c r="M48" s="13" t="e">
        <f>VLOOKUP($B48,baseline!$A:$AK,M$2,FALSE)</f>
        <v>#N/A</v>
      </c>
      <c r="N48" s="13" t="e">
        <f>VLOOKUP($B48,baseline!$A:$AK,N$2,FALSE)</f>
        <v>#N/A</v>
      </c>
      <c r="O48" s="13" t="e">
        <f>VLOOKUP($B48,baseline!$A:$AK,O$2,FALSE)</f>
        <v>#N/A</v>
      </c>
      <c r="P48" s="13" t="e">
        <f>VLOOKUP($B48,baseline!$A:$AK,P$2,FALSE)</f>
        <v>#N/A</v>
      </c>
      <c r="Q48" s="13" t="e">
        <f>VLOOKUP($B48,baseline!$A:$AK,Q$2,FALSE)</f>
        <v>#N/A</v>
      </c>
      <c r="R48" s="13" t="e">
        <f>VLOOKUP($B48,baseline!$A:$AK,R$2,FALSE)</f>
        <v>#N/A</v>
      </c>
      <c r="S48" s="13" t="e">
        <f>VLOOKUP($B48,baseline!$A:$AK,S$2,FALSE)</f>
        <v>#N/A</v>
      </c>
      <c r="T48" s="13" t="e">
        <f>VLOOKUP($B48,baseline!$A:$AK,T$2,FALSE)</f>
        <v>#N/A</v>
      </c>
      <c r="U48" s="13" t="e">
        <f>VLOOKUP($B48,baseline!$A:$AK,U$2,FALSE)</f>
        <v>#N/A</v>
      </c>
      <c r="V48" s="13" t="e">
        <f>VLOOKUP($B48,baseline!$A:$AK,V$2,FALSE)</f>
        <v>#N/A</v>
      </c>
      <c r="W48" s="13" t="e">
        <f>VLOOKUP($B48,baseline!$A:$AK,W$2,FALSE)</f>
        <v>#N/A</v>
      </c>
      <c r="X48" s="13" t="e">
        <f>VLOOKUP($B48,baseline!$A:$AK,X$2,FALSE)</f>
        <v>#N/A</v>
      </c>
      <c r="Y48" s="13" t="e">
        <f>VLOOKUP($B48,baseline!$A:$AK,Y$2,FALSE)</f>
        <v>#N/A</v>
      </c>
      <c r="Z48" s="13" t="e">
        <f>VLOOKUP($B48,baseline!$A:$AK,Z$2,FALSE)</f>
        <v>#N/A</v>
      </c>
      <c r="AA48" s="13" t="e">
        <f>VLOOKUP($B48,baseline!$A:$AK,AA$2,FALSE)</f>
        <v>#N/A</v>
      </c>
      <c r="AB48" s="13" t="e">
        <f>VLOOKUP($B48,baseline!$A:$AK,AB$2,FALSE)</f>
        <v>#N/A</v>
      </c>
      <c r="AC48" s="13" t="e">
        <f>VLOOKUP($B48,baseline!$A:$AK,AC$2,FALSE)</f>
        <v>#N/A</v>
      </c>
      <c r="AD48" s="13" t="e">
        <f>VLOOKUP($B48,baseline!$A:$AK,AD$2,FALSE)</f>
        <v>#N/A</v>
      </c>
      <c r="AE48" s="13" t="e">
        <f>VLOOKUP($B48,baseline!$A:$AK,AE$2,FALSE)</f>
        <v>#N/A</v>
      </c>
      <c r="AF48" s="13" t="e">
        <f>VLOOKUP($B48,baseline!$A:$AK,AF$2,FALSE)</f>
        <v>#N/A</v>
      </c>
      <c r="AG48" s="13" t="e">
        <f>VLOOKUP($B48,baseline!$A:$AK,AG$2,FALSE)</f>
        <v>#N/A</v>
      </c>
      <c r="AH48" s="13" t="e">
        <f>VLOOKUP($B48,baseline!$A:$AK,AH$2,FALSE)</f>
        <v>#N/A</v>
      </c>
      <c r="AI48" s="13" t="e">
        <f>VLOOKUP($B48,baseline!$A:$AK,AI$2,FALSE)</f>
        <v>#N/A</v>
      </c>
      <c r="AJ48" s="13" t="e">
        <f>VLOOKUP($B48,baseline!$A:$AK,AJ$2,FALSE)</f>
        <v>#N/A</v>
      </c>
      <c r="AK48" s="13" t="e">
        <f>VLOOKUP($B48,baseline!$A:$AK,AK$2,FALSE)</f>
        <v>#N/A</v>
      </c>
      <c r="AL48" s="13" t="e">
        <f>VLOOKUP($B48,baseline!$A:$AK,AL$2,FALSE)</f>
        <v>#N/A</v>
      </c>
      <c r="AM48" s="13" t="e">
        <f>VLOOKUP($B48,baseline!$A:$AK,AM$2,FALSE)</f>
        <v>#N/A</v>
      </c>
      <c r="AN48" s="13" t="e">
        <f>VLOOKUP($B48,baseline!$A:$AK,AN$2,FALSE)</f>
        <v>#N/A</v>
      </c>
      <c r="AP48" s="3" t="e">
        <f t="shared" si="3"/>
        <v>#N/A</v>
      </c>
    </row>
    <row r="49" spans="2:42" x14ac:dyDescent="0.3">
      <c r="B49" t="s">
        <v>8</v>
      </c>
      <c r="D49" t="s">
        <v>172</v>
      </c>
      <c r="E49" s="13" t="e">
        <f>VLOOKUP($B49,baseline!$A:$AK,E$2,FALSE)</f>
        <v>#N/A</v>
      </c>
      <c r="F49" s="13" t="e">
        <f>VLOOKUP($B49,baseline!$A:$AK,F$2,FALSE)</f>
        <v>#N/A</v>
      </c>
      <c r="G49" s="13" t="e">
        <f>VLOOKUP($B49,baseline!$A:$AK,G$2,FALSE)</f>
        <v>#N/A</v>
      </c>
      <c r="H49" s="13" t="e">
        <f>VLOOKUP($B49,baseline!$A:$AK,H$2,FALSE)</f>
        <v>#N/A</v>
      </c>
      <c r="I49" s="13" t="e">
        <f>VLOOKUP($B49,baseline!$A:$AK,I$2,FALSE)</f>
        <v>#N/A</v>
      </c>
      <c r="J49" s="13" t="e">
        <f>VLOOKUP($B49,baseline!$A:$AK,J$2,FALSE)</f>
        <v>#N/A</v>
      </c>
      <c r="K49" s="13" t="e">
        <f>VLOOKUP($B49,baseline!$A:$AK,K$2,FALSE)</f>
        <v>#N/A</v>
      </c>
      <c r="L49" s="13" t="e">
        <f>VLOOKUP($B49,baseline!$A:$AK,L$2,FALSE)</f>
        <v>#N/A</v>
      </c>
      <c r="M49" s="13" t="e">
        <f>VLOOKUP($B49,baseline!$A:$AK,M$2,FALSE)</f>
        <v>#N/A</v>
      </c>
      <c r="N49" s="13" t="e">
        <f>VLOOKUP($B49,baseline!$A:$AK,N$2,FALSE)</f>
        <v>#N/A</v>
      </c>
      <c r="O49" s="13" t="e">
        <f>VLOOKUP($B49,baseline!$A:$AK,O$2,FALSE)</f>
        <v>#N/A</v>
      </c>
      <c r="P49" s="13" t="e">
        <f>VLOOKUP($B49,baseline!$A:$AK,P$2,FALSE)</f>
        <v>#N/A</v>
      </c>
      <c r="Q49" s="13" t="e">
        <f>VLOOKUP($B49,baseline!$A:$AK,Q$2,FALSE)</f>
        <v>#N/A</v>
      </c>
      <c r="R49" s="13" t="e">
        <f>VLOOKUP($B49,baseline!$A:$AK,R$2,FALSE)</f>
        <v>#N/A</v>
      </c>
      <c r="S49" s="13" t="e">
        <f>VLOOKUP($B49,baseline!$A:$AK,S$2,FALSE)</f>
        <v>#N/A</v>
      </c>
      <c r="T49" s="13" t="e">
        <f>VLOOKUP($B49,baseline!$A:$AK,T$2,FALSE)</f>
        <v>#N/A</v>
      </c>
      <c r="U49" s="13" t="e">
        <f>VLOOKUP($B49,baseline!$A:$AK,U$2,FALSE)</f>
        <v>#N/A</v>
      </c>
      <c r="V49" s="13" t="e">
        <f>VLOOKUP($B49,baseline!$A:$AK,V$2,FALSE)</f>
        <v>#N/A</v>
      </c>
      <c r="W49" s="13" t="e">
        <f>VLOOKUP($B49,baseline!$A:$AK,W$2,FALSE)</f>
        <v>#N/A</v>
      </c>
      <c r="X49" s="13" t="e">
        <f>VLOOKUP($B49,baseline!$A:$AK,X$2,FALSE)</f>
        <v>#N/A</v>
      </c>
      <c r="Y49" s="13" t="e">
        <f>VLOOKUP($B49,baseline!$A:$AK,Y$2,FALSE)</f>
        <v>#N/A</v>
      </c>
      <c r="Z49" s="13" t="e">
        <f>VLOOKUP($B49,baseline!$A:$AK,Z$2,FALSE)</f>
        <v>#N/A</v>
      </c>
      <c r="AA49" s="13" t="e">
        <f>VLOOKUP($B49,baseline!$A:$AK,AA$2,FALSE)</f>
        <v>#N/A</v>
      </c>
      <c r="AB49" s="13" t="e">
        <f>VLOOKUP($B49,baseline!$A:$AK,AB$2,FALSE)</f>
        <v>#N/A</v>
      </c>
      <c r="AC49" s="13" t="e">
        <f>VLOOKUP($B49,baseline!$A:$AK,AC$2,FALSE)</f>
        <v>#N/A</v>
      </c>
      <c r="AD49" s="13" t="e">
        <f>VLOOKUP($B49,baseline!$A:$AK,AD$2,FALSE)</f>
        <v>#N/A</v>
      </c>
      <c r="AE49" s="13" t="e">
        <f>VLOOKUP($B49,baseline!$A:$AK,AE$2,FALSE)</f>
        <v>#N/A</v>
      </c>
      <c r="AF49" s="13" t="e">
        <f>VLOOKUP($B49,baseline!$A:$AK,AF$2,FALSE)</f>
        <v>#N/A</v>
      </c>
      <c r="AG49" s="13" t="e">
        <f>VLOOKUP($B49,baseline!$A:$AK,AG$2,FALSE)</f>
        <v>#N/A</v>
      </c>
      <c r="AH49" s="13" t="e">
        <f>VLOOKUP($B49,baseline!$A:$AK,AH$2,FALSE)</f>
        <v>#N/A</v>
      </c>
      <c r="AI49" s="13" t="e">
        <f>VLOOKUP($B49,baseline!$A:$AK,AI$2,FALSE)</f>
        <v>#N/A</v>
      </c>
      <c r="AJ49" s="13" t="e">
        <f>VLOOKUP($B49,baseline!$A:$AK,AJ$2,FALSE)</f>
        <v>#N/A</v>
      </c>
      <c r="AK49" s="13" t="e">
        <f>VLOOKUP($B49,baseline!$A:$AK,AK$2,FALSE)</f>
        <v>#N/A</v>
      </c>
      <c r="AL49" s="13" t="e">
        <f>VLOOKUP($B49,baseline!$A:$AK,AL$2,FALSE)</f>
        <v>#N/A</v>
      </c>
      <c r="AM49" s="13" t="e">
        <f>VLOOKUP($B49,baseline!$A:$AK,AM$2,FALSE)</f>
        <v>#N/A</v>
      </c>
      <c r="AN49" s="13" t="e">
        <f>VLOOKUP($B49,baseline!$A:$AK,AN$2,FALSE)</f>
        <v>#N/A</v>
      </c>
      <c r="AP49" s="3" t="e">
        <f t="shared" si="3"/>
        <v>#N/A</v>
      </c>
    </row>
    <row r="50" spans="2:42" x14ac:dyDescent="0.3">
      <c r="B50" t="s">
        <v>9</v>
      </c>
      <c r="D50" t="s">
        <v>172</v>
      </c>
      <c r="E50" s="13" t="e">
        <f>VLOOKUP($B50,baseline!$A:$AK,E$2,FALSE)</f>
        <v>#N/A</v>
      </c>
      <c r="F50" s="13" t="e">
        <f>VLOOKUP($B50,baseline!$A:$AK,F$2,FALSE)</f>
        <v>#N/A</v>
      </c>
      <c r="G50" s="13" t="e">
        <f>VLOOKUP($B50,baseline!$A:$AK,G$2,FALSE)</f>
        <v>#N/A</v>
      </c>
      <c r="H50" s="13" t="e">
        <f>VLOOKUP($B50,baseline!$A:$AK,H$2,FALSE)</f>
        <v>#N/A</v>
      </c>
      <c r="I50" s="13" t="e">
        <f>VLOOKUP($B50,baseline!$A:$AK,I$2,FALSE)</f>
        <v>#N/A</v>
      </c>
      <c r="J50" s="13" t="e">
        <f>VLOOKUP($B50,baseline!$A:$AK,J$2,FALSE)</f>
        <v>#N/A</v>
      </c>
      <c r="K50" s="13" t="e">
        <f>VLOOKUP($B50,baseline!$A:$AK,K$2,FALSE)</f>
        <v>#N/A</v>
      </c>
      <c r="L50" s="13" t="e">
        <f>VLOOKUP($B50,baseline!$A:$AK,L$2,FALSE)</f>
        <v>#N/A</v>
      </c>
      <c r="M50" s="13" t="e">
        <f>VLOOKUP($B50,baseline!$A:$AK,M$2,FALSE)</f>
        <v>#N/A</v>
      </c>
      <c r="N50" s="13" t="e">
        <f>VLOOKUP($B50,baseline!$A:$AK,N$2,FALSE)</f>
        <v>#N/A</v>
      </c>
      <c r="O50" s="13" t="e">
        <f>VLOOKUP($B50,baseline!$A:$AK,O$2,FALSE)</f>
        <v>#N/A</v>
      </c>
      <c r="P50" s="13" t="e">
        <f>VLOOKUP($B50,baseline!$A:$AK,P$2,FALSE)</f>
        <v>#N/A</v>
      </c>
      <c r="Q50" s="13" t="e">
        <f>VLOOKUP($B50,baseline!$A:$AK,Q$2,FALSE)</f>
        <v>#N/A</v>
      </c>
      <c r="R50" s="13" t="e">
        <f>VLOOKUP($B50,baseline!$A:$AK,R$2,FALSE)</f>
        <v>#N/A</v>
      </c>
      <c r="S50" s="13" t="e">
        <f>VLOOKUP($B50,baseline!$A:$AK,S$2,FALSE)</f>
        <v>#N/A</v>
      </c>
      <c r="T50" s="13" t="e">
        <f>VLOOKUP($B50,baseline!$A:$AK,T$2,FALSE)</f>
        <v>#N/A</v>
      </c>
      <c r="U50" s="13" t="e">
        <f>VLOOKUP($B50,baseline!$A:$AK,U$2,FALSE)</f>
        <v>#N/A</v>
      </c>
      <c r="V50" s="13" t="e">
        <f>VLOOKUP($B50,baseline!$A:$AK,V$2,FALSE)</f>
        <v>#N/A</v>
      </c>
      <c r="W50" s="13" t="e">
        <f>VLOOKUP($B50,baseline!$A:$AK,W$2,FALSE)</f>
        <v>#N/A</v>
      </c>
      <c r="X50" s="13" t="e">
        <f>VLOOKUP($B50,baseline!$A:$AK,X$2,FALSE)</f>
        <v>#N/A</v>
      </c>
      <c r="Y50" s="13" t="e">
        <f>VLOOKUP($B50,baseline!$A:$AK,Y$2,FALSE)</f>
        <v>#N/A</v>
      </c>
      <c r="Z50" s="13" t="e">
        <f>VLOOKUP($B50,baseline!$A:$AK,Z$2,FALSE)</f>
        <v>#N/A</v>
      </c>
      <c r="AA50" s="13" t="e">
        <f>VLOOKUP($B50,baseline!$A:$AK,AA$2,FALSE)</f>
        <v>#N/A</v>
      </c>
      <c r="AB50" s="13" t="e">
        <f>VLOOKUP($B50,baseline!$A:$AK,AB$2,FALSE)</f>
        <v>#N/A</v>
      </c>
      <c r="AC50" s="13" t="e">
        <f>VLOOKUP($B50,baseline!$A:$AK,AC$2,FALSE)</f>
        <v>#N/A</v>
      </c>
      <c r="AD50" s="13" t="e">
        <f>VLOOKUP($B50,baseline!$A:$AK,AD$2,FALSE)</f>
        <v>#N/A</v>
      </c>
      <c r="AE50" s="13" t="e">
        <f>VLOOKUP($B50,baseline!$A:$AK,AE$2,FALSE)</f>
        <v>#N/A</v>
      </c>
      <c r="AF50" s="13" t="e">
        <f>VLOOKUP($B50,baseline!$A:$AK,AF$2,FALSE)</f>
        <v>#N/A</v>
      </c>
      <c r="AG50" s="13" t="e">
        <f>VLOOKUP($B50,baseline!$A:$AK,AG$2,FALSE)</f>
        <v>#N/A</v>
      </c>
      <c r="AH50" s="13" t="e">
        <f>VLOOKUP($B50,baseline!$A:$AK,AH$2,FALSE)</f>
        <v>#N/A</v>
      </c>
      <c r="AI50" s="13" t="e">
        <f>VLOOKUP($B50,baseline!$A:$AK,AI$2,FALSE)</f>
        <v>#N/A</v>
      </c>
      <c r="AJ50" s="13" t="e">
        <f>VLOOKUP($B50,baseline!$A:$AK,AJ$2,FALSE)</f>
        <v>#N/A</v>
      </c>
      <c r="AK50" s="13" t="e">
        <f>VLOOKUP($B50,baseline!$A:$AK,AK$2,FALSE)</f>
        <v>#N/A</v>
      </c>
      <c r="AL50" s="13" t="e">
        <f>VLOOKUP($B50,baseline!$A:$AK,AL$2,FALSE)</f>
        <v>#N/A</v>
      </c>
      <c r="AM50" s="13" t="e">
        <f>VLOOKUP($B50,baseline!$A:$AK,AM$2,FALSE)</f>
        <v>#N/A</v>
      </c>
      <c r="AN50" s="13" t="e">
        <f>VLOOKUP($B50,baseline!$A:$AK,AN$2,FALSE)</f>
        <v>#N/A</v>
      </c>
      <c r="AP50" s="3" t="e">
        <f t="shared" si="3"/>
        <v>#N/A</v>
      </c>
    </row>
    <row r="51" spans="2:42" x14ac:dyDescent="0.3">
      <c r="B51" t="s">
        <v>10</v>
      </c>
      <c r="D51" t="s">
        <v>172</v>
      </c>
      <c r="E51" s="13" t="e">
        <f>VLOOKUP($B51,baseline!$A:$AK,E$2,FALSE)</f>
        <v>#N/A</v>
      </c>
      <c r="F51" s="13" t="e">
        <f>VLOOKUP($B51,baseline!$A:$AK,F$2,FALSE)</f>
        <v>#N/A</v>
      </c>
      <c r="G51" s="13" t="e">
        <f>VLOOKUP($B51,baseline!$A:$AK,G$2,FALSE)</f>
        <v>#N/A</v>
      </c>
      <c r="H51" s="13" t="e">
        <f>VLOOKUP($B51,baseline!$A:$AK,H$2,FALSE)</f>
        <v>#N/A</v>
      </c>
      <c r="I51" s="13" t="e">
        <f>VLOOKUP($B51,baseline!$A:$AK,I$2,FALSE)</f>
        <v>#N/A</v>
      </c>
      <c r="J51" s="13" t="e">
        <f>VLOOKUP($B51,baseline!$A:$AK,J$2,FALSE)</f>
        <v>#N/A</v>
      </c>
      <c r="K51" s="13" t="e">
        <f>VLOOKUP($B51,baseline!$A:$AK,K$2,FALSE)</f>
        <v>#N/A</v>
      </c>
      <c r="L51" s="13" t="e">
        <f>VLOOKUP($B51,baseline!$A:$AK,L$2,FALSE)</f>
        <v>#N/A</v>
      </c>
      <c r="M51" s="13" t="e">
        <f>VLOOKUP($B51,baseline!$A:$AK,M$2,FALSE)</f>
        <v>#N/A</v>
      </c>
      <c r="N51" s="13" t="e">
        <f>VLOOKUP($B51,baseline!$A:$AK,N$2,FALSE)</f>
        <v>#N/A</v>
      </c>
      <c r="O51" s="13" t="e">
        <f>VLOOKUP($B51,baseline!$A:$AK,O$2,FALSE)</f>
        <v>#N/A</v>
      </c>
      <c r="P51" s="13" t="e">
        <f>VLOOKUP($B51,baseline!$A:$AK,P$2,FALSE)</f>
        <v>#N/A</v>
      </c>
      <c r="Q51" s="13" t="e">
        <f>VLOOKUP($B51,baseline!$A:$AK,Q$2,FALSE)</f>
        <v>#N/A</v>
      </c>
      <c r="R51" s="13" t="e">
        <f>VLOOKUP($B51,baseline!$A:$AK,R$2,FALSE)</f>
        <v>#N/A</v>
      </c>
      <c r="S51" s="13" t="e">
        <f>VLOOKUP($B51,baseline!$A:$AK,S$2,FALSE)</f>
        <v>#N/A</v>
      </c>
      <c r="T51" s="13" t="e">
        <f>VLOOKUP($B51,baseline!$A:$AK,T$2,FALSE)</f>
        <v>#N/A</v>
      </c>
      <c r="U51" s="13" t="e">
        <f>VLOOKUP($B51,baseline!$A:$AK,U$2,FALSE)</f>
        <v>#N/A</v>
      </c>
      <c r="V51" s="13" t="e">
        <f>VLOOKUP($B51,baseline!$A:$AK,V$2,FALSE)</f>
        <v>#N/A</v>
      </c>
      <c r="W51" s="13" t="e">
        <f>VLOOKUP($B51,baseline!$A:$AK,W$2,FALSE)</f>
        <v>#N/A</v>
      </c>
      <c r="X51" s="13" t="e">
        <f>VLOOKUP($B51,baseline!$A:$AK,X$2,FALSE)</f>
        <v>#N/A</v>
      </c>
      <c r="Y51" s="13" t="e">
        <f>VLOOKUP($B51,baseline!$A:$AK,Y$2,FALSE)</f>
        <v>#N/A</v>
      </c>
      <c r="Z51" s="13" t="e">
        <f>VLOOKUP($B51,baseline!$A:$AK,Z$2,FALSE)</f>
        <v>#N/A</v>
      </c>
      <c r="AA51" s="13" t="e">
        <f>VLOOKUP($B51,baseline!$A:$AK,AA$2,FALSE)</f>
        <v>#N/A</v>
      </c>
      <c r="AB51" s="13" t="e">
        <f>VLOOKUP($B51,baseline!$A:$AK,AB$2,FALSE)</f>
        <v>#N/A</v>
      </c>
      <c r="AC51" s="13" t="e">
        <f>VLOOKUP($B51,baseline!$A:$AK,AC$2,FALSE)</f>
        <v>#N/A</v>
      </c>
      <c r="AD51" s="13" t="e">
        <f>VLOOKUP($B51,baseline!$A:$AK,AD$2,FALSE)</f>
        <v>#N/A</v>
      </c>
      <c r="AE51" s="13" t="e">
        <f>VLOOKUP($B51,baseline!$A:$AK,AE$2,FALSE)</f>
        <v>#N/A</v>
      </c>
      <c r="AF51" s="13" t="e">
        <f>VLOOKUP($B51,baseline!$A:$AK,AF$2,FALSE)</f>
        <v>#N/A</v>
      </c>
      <c r="AG51" s="13" t="e">
        <f>VLOOKUP($B51,baseline!$A:$AK,AG$2,FALSE)</f>
        <v>#N/A</v>
      </c>
      <c r="AH51" s="13" t="e">
        <f>VLOOKUP($B51,baseline!$A:$AK,AH$2,FALSE)</f>
        <v>#N/A</v>
      </c>
      <c r="AI51" s="13" t="e">
        <f>VLOOKUP($B51,baseline!$A:$AK,AI$2,FALSE)</f>
        <v>#N/A</v>
      </c>
      <c r="AJ51" s="13" t="e">
        <f>VLOOKUP($B51,baseline!$A:$AK,AJ$2,FALSE)</f>
        <v>#N/A</v>
      </c>
      <c r="AK51" s="13" t="e">
        <f>VLOOKUP($B51,baseline!$A:$AK,AK$2,FALSE)</f>
        <v>#N/A</v>
      </c>
      <c r="AL51" s="13" t="e">
        <f>VLOOKUP($B51,baseline!$A:$AK,AL$2,FALSE)</f>
        <v>#N/A</v>
      </c>
      <c r="AM51" s="13" t="e">
        <f>VLOOKUP($B51,baseline!$A:$AK,AM$2,FALSE)</f>
        <v>#N/A</v>
      </c>
      <c r="AN51" s="13" t="e">
        <f>VLOOKUP($B51,baseline!$A:$AK,AN$2,FALSE)</f>
        <v>#N/A</v>
      </c>
      <c r="AP51" s="3" t="e">
        <f t="shared" si="3"/>
        <v>#N/A</v>
      </c>
    </row>
    <row r="52" spans="2:42" x14ac:dyDescent="0.3">
      <c r="B52" t="s">
        <v>11</v>
      </c>
      <c r="D52" t="s">
        <v>172</v>
      </c>
      <c r="E52" s="13" t="e">
        <f>VLOOKUP($B52,baseline!$A:$AK,E$2,FALSE)</f>
        <v>#N/A</v>
      </c>
      <c r="F52" s="13" t="e">
        <f>VLOOKUP($B52,baseline!$A:$AK,F$2,FALSE)</f>
        <v>#N/A</v>
      </c>
      <c r="G52" s="13" t="e">
        <f>VLOOKUP($B52,baseline!$A:$AK,G$2,FALSE)</f>
        <v>#N/A</v>
      </c>
      <c r="H52" s="13" t="e">
        <f>VLOOKUP($B52,baseline!$A:$AK,H$2,FALSE)</f>
        <v>#N/A</v>
      </c>
      <c r="I52" s="13" t="e">
        <f>VLOOKUP($B52,baseline!$A:$AK,I$2,FALSE)</f>
        <v>#N/A</v>
      </c>
      <c r="J52" s="13" t="e">
        <f>VLOOKUP($B52,baseline!$A:$AK,J$2,FALSE)</f>
        <v>#N/A</v>
      </c>
      <c r="K52" s="13" t="e">
        <f>VLOOKUP($B52,baseline!$A:$AK,K$2,FALSE)</f>
        <v>#N/A</v>
      </c>
      <c r="L52" s="13" t="e">
        <f>VLOOKUP($B52,baseline!$A:$AK,L$2,FALSE)</f>
        <v>#N/A</v>
      </c>
      <c r="M52" s="13" t="e">
        <f>VLOOKUP($B52,baseline!$A:$AK,M$2,FALSE)</f>
        <v>#N/A</v>
      </c>
      <c r="N52" s="13" t="e">
        <f>VLOOKUP($B52,baseline!$A:$AK,N$2,FALSE)</f>
        <v>#N/A</v>
      </c>
      <c r="O52" s="13" t="e">
        <f>VLOOKUP($B52,baseline!$A:$AK,O$2,FALSE)</f>
        <v>#N/A</v>
      </c>
      <c r="P52" s="13" t="e">
        <f>VLOOKUP($B52,baseline!$A:$AK,P$2,FALSE)</f>
        <v>#N/A</v>
      </c>
      <c r="Q52" s="13" t="e">
        <f>VLOOKUP($B52,baseline!$A:$AK,Q$2,FALSE)</f>
        <v>#N/A</v>
      </c>
      <c r="R52" s="13" t="e">
        <f>VLOOKUP($B52,baseline!$A:$AK,R$2,FALSE)</f>
        <v>#N/A</v>
      </c>
      <c r="S52" s="13" t="e">
        <f>VLOOKUP($B52,baseline!$A:$AK,S$2,FALSE)</f>
        <v>#N/A</v>
      </c>
      <c r="T52" s="13" t="e">
        <f>VLOOKUP($B52,baseline!$A:$AK,T$2,FALSE)</f>
        <v>#N/A</v>
      </c>
      <c r="U52" s="13" t="e">
        <f>VLOOKUP($B52,baseline!$A:$AK,U$2,FALSE)</f>
        <v>#N/A</v>
      </c>
      <c r="V52" s="13" t="e">
        <f>VLOOKUP($B52,baseline!$A:$AK,V$2,FALSE)</f>
        <v>#N/A</v>
      </c>
      <c r="W52" s="13" t="e">
        <f>VLOOKUP($B52,baseline!$A:$AK,W$2,FALSE)</f>
        <v>#N/A</v>
      </c>
      <c r="X52" s="13" t="e">
        <f>VLOOKUP($B52,baseline!$A:$AK,X$2,FALSE)</f>
        <v>#N/A</v>
      </c>
      <c r="Y52" s="13" t="e">
        <f>VLOOKUP($B52,baseline!$A:$AK,Y$2,FALSE)</f>
        <v>#N/A</v>
      </c>
      <c r="Z52" s="13" t="e">
        <f>VLOOKUP($B52,baseline!$A:$AK,Z$2,FALSE)</f>
        <v>#N/A</v>
      </c>
      <c r="AA52" s="13" t="e">
        <f>VLOOKUP($B52,baseline!$A:$AK,AA$2,FALSE)</f>
        <v>#N/A</v>
      </c>
      <c r="AB52" s="13" t="e">
        <f>VLOOKUP($B52,baseline!$A:$AK,AB$2,FALSE)</f>
        <v>#N/A</v>
      </c>
      <c r="AC52" s="13" t="e">
        <f>VLOOKUP($B52,baseline!$A:$AK,AC$2,FALSE)</f>
        <v>#N/A</v>
      </c>
      <c r="AD52" s="13" t="e">
        <f>VLOOKUP($B52,baseline!$A:$AK,AD$2,FALSE)</f>
        <v>#N/A</v>
      </c>
      <c r="AE52" s="13" t="e">
        <f>VLOOKUP($B52,baseline!$A:$AK,AE$2,FALSE)</f>
        <v>#N/A</v>
      </c>
      <c r="AF52" s="13" t="e">
        <f>VLOOKUP($B52,baseline!$A:$AK,AF$2,FALSE)</f>
        <v>#N/A</v>
      </c>
      <c r="AG52" s="13" t="e">
        <f>VLOOKUP($B52,baseline!$A:$AK,AG$2,FALSE)</f>
        <v>#N/A</v>
      </c>
      <c r="AH52" s="13" t="e">
        <f>VLOOKUP($B52,baseline!$A:$AK,AH$2,FALSE)</f>
        <v>#N/A</v>
      </c>
      <c r="AI52" s="13" t="e">
        <f>VLOOKUP($B52,baseline!$A:$AK,AI$2,FALSE)</f>
        <v>#N/A</v>
      </c>
      <c r="AJ52" s="13" t="e">
        <f>VLOOKUP($B52,baseline!$A:$AK,AJ$2,FALSE)</f>
        <v>#N/A</v>
      </c>
      <c r="AK52" s="13" t="e">
        <f>VLOOKUP($B52,baseline!$A:$AK,AK$2,FALSE)</f>
        <v>#N/A</v>
      </c>
      <c r="AL52" s="13" t="e">
        <f>VLOOKUP($B52,baseline!$A:$AK,AL$2,FALSE)</f>
        <v>#N/A</v>
      </c>
      <c r="AM52" s="13" t="e">
        <f>VLOOKUP($B52,baseline!$A:$AK,AM$2,FALSE)</f>
        <v>#N/A</v>
      </c>
      <c r="AN52" s="13" t="e">
        <f>VLOOKUP($B52,baseline!$A:$AK,AN$2,FALSE)</f>
        <v>#N/A</v>
      </c>
      <c r="AP52" s="3" t="e">
        <f t="shared" si="3"/>
        <v>#N/A</v>
      </c>
    </row>
    <row r="53" spans="2:42" x14ac:dyDescent="0.3">
      <c r="B53" t="s">
        <v>12</v>
      </c>
      <c r="D53" t="s">
        <v>172</v>
      </c>
      <c r="E53" s="13" t="e">
        <f>VLOOKUP($B53,baseline!$A:$AK,E$2,FALSE)</f>
        <v>#N/A</v>
      </c>
      <c r="F53" s="13" t="e">
        <f>VLOOKUP($B53,baseline!$A:$AK,F$2,FALSE)</f>
        <v>#N/A</v>
      </c>
      <c r="G53" s="13" t="e">
        <f>VLOOKUP($B53,baseline!$A:$AK,G$2,FALSE)</f>
        <v>#N/A</v>
      </c>
      <c r="H53" s="13" t="e">
        <f>VLOOKUP($B53,baseline!$A:$AK,H$2,FALSE)</f>
        <v>#N/A</v>
      </c>
      <c r="I53" s="13" t="e">
        <f>VLOOKUP($B53,baseline!$A:$AK,I$2,FALSE)</f>
        <v>#N/A</v>
      </c>
      <c r="J53" s="13" t="e">
        <f>VLOOKUP($B53,baseline!$A:$AK,J$2,FALSE)</f>
        <v>#N/A</v>
      </c>
      <c r="K53" s="13" t="e">
        <f>VLOOKUP($B53,baseline!$A:$AK,K$2,FALSE)</f>
        <v>#N/A</v>
      </c>
      <c r="L53" s="13" t="e">
        <f>VLOOKUP($B53,baseline!$A:$AK,L$2,FALSE)</f>
        <v>#N/A</v>
      </c>
      <c r="M53" s="13" t="e">
        <f>VLOOKUP($B53,baseline!$A:$AK,M$2,FALSE)</f>
        <v>#N/A</v>
      </c>
      <c r="N53" s="13" t="e">
        <f>VLOOKUP($B53,baseline!$A:$AK,N$2,FALSE)</f>
        <v>#N/A</v>
      </c>
      <c r="O53" s="13" t="e">
        <f>VLOOKUP($B53,baseline!$A:$AK,O$2,FALSE)</f>
        <v>#N/A</v>
      </c>
      <c r="P53" s="13" t="e">
        <f>VLOOKUP($B53,baseline!$A:$AK,P$2,FALSE)</f>
        <v>#N/A</v>
      </c>
      <c r="Q53" s="13" t="e">
        <f>VLOOKUP($B53,baseline!$A:$AK,Q$2,FALSE)</f>
        <v>#N/A</v>
      </c>
      <c r="R53" s="13" t="e">
        <f>VLOOKUP($B53,baseline!$A:$AK,R$2,FALSE)</f>
        <v>#N/A</v>
      </c>
      <c r="S53" s="13" t="e">
        <f>VLOOKUP($B53,baseline!$A:$AK,S$2,FALSE)</f>
        <v>#N/A</v>
      </c>
      <c r="T53" s="13" t="e">
        <f>VLOOKUP($B53,baseline!$A:$AK,T$2,FALSE)</f>
        <v>#N/A</v>
      </c>
      <c r="U53" s="13" t="e">
        <f>VLOOKUP($B53,baseline!$A:$AK,U$2,FALSE)</f>
        <v>#N/A</v>
      </c>
      <c r="V53" s="13" t="e">
        <f>VLOOKUP($B53,baseline!$A:$AK,V$2,FALSE)</f>
        <v>#N/A</v>
      </c>
      <c r="W53" s="13" t="e">
        <f>VLOOKUP($B53,baseline!$A:$AK,W$2,FALSE)</f>
        <v>#N/A</v>
      </c>
      <c r="X53" s="13" t="e">
        <f>VLOOKUP($B53,baseline!$A:$AK,X$2,FALSE)</f>
        <v>#N/A</v>
      </c>
      <c r="Y53" s="13" t="e">
        <f>VLOOKUP($B53,baseline!$A:$AK,Y$2,FALSE)</f>
        <v>#N/A</v>
      </c>
      <c r="Z53" s="13" t="e">
        <f>VLOOKUP($B53,baseline!$A:$AK,Z$2,FALSE)</f>
        <v>#N/A</v>
      </c>
      <c r="AA53" s="13" t="e">
        <f>VLOOKUP($B53,baseline!$A:$AK,AA$2,FALSE)</f>
        <v>#N/A</v>
      </c>
      <c r="AB53" s="13" t="e">
        <f>VLOOKUP($B53,baseline!$A:$AK,AB$2,FALSE)</f>
        <v>#N/A</v>
      </c>
      <c r="AC53" s="13" t="e">
        <f>VLOOKUP($B53,baseline!$A:$AK,AC$2,FALSE)</f>
        <v>#N/A</v>
      </c>
      <c r="AD53" s="13" t="e">
        <f>VLOOKUP($B53,baseline!$A:$AK,AD$2,FALSE)</f>
        <v>#N/A</v>
      </c>
      <c r="AE53" s="13" t="e">
        <f>VLOOKUP($B53,baseline!$A:$AK,AE$2,FALSE)</f>
        <v>#N/A</v>
      </c>
      <c r="AF53" s="13" t="e">
        <f>VLOOKUP($B53,baseline!$A:$AK,AF$2,FALSE)</f>
        <v>#N/A</v>
      </c>
      <c r="AG53" s="13" t="e">
        <f>VLOOKUP($B53,baseline!$A:$AK,AG$2,FALSE)</f>
        <v>#N/A</v>
      </c>
      <c r="AH53" s="13" t="e">
        <f>VLOOKUP($B53,baseline!$A:$AK,AH$2,FALSE)</f>
        <v>#N/A</v>
      </c>
      <c r="AI53" s="13" t="e">
        <f>VLOOKUP($B53,baseline!$A:$AK,AI$2,FALSE)</f>
        <v>#N/A</v>
      </c>
      <c r="AJ53" s="13" t="e">
        <f>VLOOKUP($B53,baseline!$A:$AK,AJ$2,FALSE)</f>
        <v>#N/A</v>
      </c>
      <c r="AK53" s="13" t="e">
        <f>VLOOKUP($B53,baseline!$A:$AK,AK$2,FALSE)</f>
        <v>#N/A</v>
      </c>
      <c r="AL53" s="13" t="e">
        <f>VLOOKUP($B53,baseline!$A:$AK,AL$2,FALSE)</f>
        <v>#N/A</v>
      </c>
      <c r="AM53" s="13" t="e">
        <f>VLOOKUP($B53,baseline!$A:$AK,AM$2,FALSE)</f>
        <v>#N/A</v>
      </c>
      <c r="AN53" s="13" t="e">
        <f>VLOOKUP($B53,baseline!$A:$AK,AN$2,FALSE)</f>
        <v>#N/A</v>
      </c>
      <c r="AP53" s="3" t="e">
        <f t="shared" si="3"/>
        <v>#N/A</v>
      </c>
    </row>
    <row r="54" spans="2:42" x14ac:dyDescent="0.3">
      <c r="B54" t="s">
        <v>13</v>
      </c>
      <c r="D54" t="s">
        <v>172</v>
      </c>
      <c r="E54" s="13" t="e">
        <f>VLOOKUP($B54,baseline!$A:$AK,E$2,FALSE)</f>
        <v>#N/A</v>
      </c>
      <c r="F54" s="13" t="e">
        <f>VLOOKUP($B54,baseline!$A:$AK,F$2,FALSE)</f>
        <v>#N/A</v>
      </c>
      <c r="G54" s="13" t="e">
        <f>VLOOKUP($B54,baseline!$A:$AK,G$2,FALSE)</f>
        <v>#N/A</v>
      </c>
      <c r="H54" s="13" t="e">
        <f>VLOOKUP($B54,baseline!$A:$AK,H$2,FALSE)</f>
        <v>#N/A</v>
      </c>
      <c r="I54" s="13" t="e">
        <f>VLOOKUP($B54,baseline!$A:$AK,I$2,FALSE)</f>
        <v>#N/A</v>
      </c>
      <c r="J54" s="13" t="e">
        <f>VLOOKUP($B54,baseline!$A:$AK,J$2,FALSE)</f>
        <v>#N/A</v>
      </c>
      <c r="K54" s="13" t="e">
        <f>VLOOKUP($B54,baseline!$A:$AK,K$2,FALSE)</f>
        <v>#N/A</v>
      </c>
      <c r="L54" s="13" t="e">
        <f>VLOOKUP($B54,baseline!$A:$AK,L$2,FALSE)</f>
        <v>#N/A</v>
      </c>
      <c r="M54" s="13" t="e">
        <f>VLOOKUP($B54,baseline!$A:$AK,M$2,FALSE)</f>
        <v>#N/A</v>
      </c>
      <c r="N54" s="13" t="e">
        <f>VLOOKUP($B54,baseline!$A:$AK,N$2,FALSE)</f>
        <v>#N/A</v>
      </c>
      <c r="O54" s="13" t="e">
        <f>VLOOKUP($B54,baseline!$A:$AK,O$2,FALSE)</f>
        <v>#N/A</v>
      </c>
      <c r="P54" s="13" t="e">
        <f>VLOOKUP($B54,baseline!$A:$AK,P$2,FALSE)</f>
        <v>#N/A</v>
      </c>
      <c r="Q54" s="13" t="e">
        <f>VLOOKUP($B54,baseline!$A:$AK,Q$2,FALSE)</f>
        <v>#N/A</v>
      </c>
      <c r="R54" s="13" t="e">
        <f>VLOOKUP($B54,baseline!$A:$AK,R$2,FALSE)</f>
        <v>#N/A</v>
      </c>
      <c r="S54" s="13" t="e">
        <f>VLOOKUP($B54,baseline!$A:$AK,S$2,FALSE)</f>
        <v>#N/A</v>
      </c>
      <c r="T54" s="13" t="e">
        <f>VLOOKUP($B54,baseline!$A:$AK,T$2,FALSE)</f>
        <v>#N/A</v>
      </c>
      <c r="U54" s="13" t="e">
        <f>VLOOKUP($B54,baseline!$A:$AK,U$2,FALSE)</f>
        <v>#N/A</v>
      </c>
      <c r="V54" s="13" t="e">
        <f>VLOOKUP($B54,baseline!$A:$AK,V$2,FALSE)</f>
        <v>#N/A</v>
      </c>
      <c r="W54" s="13" t="e">
        <f>VLOOKUP($B54,baseline!$A:$AK,W$2,FALSE)</f>
        <v>#N/A</v>
      </c>
      <c r="X54" s="13" t="e">
        <f>VLOOKUP($B54,baseline!$A:$AK,X$2,FALSE)</f>
        <v>#N/A</v>
      </c>
      <c r="Y54" s="13" t="e">
        <f>VLOOKUP($B54,baseline!$A:$AK,Y$2,FALSE)</f>
        <v>#N/A</v>
      </c>
      <c r="Z54" s="13" t="e">
        <f>VLOOKUP($B54,baseline!$A:$AK,Z$2,FALSE)</f>
        <v>#N/A</v>
      </c>
      <c r="AA54" s="13" t="e">
        <f>VLOOKUP($B54,baseline!$A:$AK,AA$2,FALSE)</f>
        <v>#N/A</v>
      </c>
      <c r="AB54" s="13" t="e">
        <f>VLOOKUP($B54,baseline!$A:$AK,AB$2,FALSE)</f>
        <v>#N/A</v>
      </c>
      <c r="AC54" s="13" t="e">
        <f>VLOOKUP($B54,baseline!$A:$AK,AC$2,FALSE)</f>
        <v>#N/A</v>
      </c>
      <c r="AD54" s="13" t="e">
        <f>VLOOKUP($B54,baseline!$A:$AK,AD$2,FALSE)</f>
        <v>#N/A</v>
      </c>
      <c r="AE54" s="13" t="e">
        <f>VLOOKUP($B54,baseline!$A:$AK,AE$2,FALSE)</f>
        <v>#N/A</v>
      </c>
      <c r="AF54" s="13" t="e">
        <f>VLOOKUP($B54,baseline!$A:$AK,AF$2,FALSE)</f>
        <v>#N/A</v>
      </c>
      <c r="AG54" s="13" t="e">
        <f>VLOOKUP($B54,baseline!$A:$AK,AG$2,FALSE)</f>
        <v>#N/A</v>
      </c>
      <c r="AH54" s="13" t="e">
        <f>VLOOKUP($B54,baseline!$A:$AK,AH$2,FALSE)</f>
        <v>#N/A</v>
      </c>
      <c r="AI54" s="13" t="e">
        <f>VLOOKUP($B54,baseline!$A:$AK,AI$2,FALSE)</f>
        <v>#N/A</v>
      </c>
      <c r="AJ54" s="13" t="e">
        <f>VLOOKUP($B54,baseline!$A:$AK,AJ$2,FALSE)</f>
        <v>#N/A</v>
      </c>
      <c r="AK54" s="13" t="e">
        <f>VLOOKUP($B54,baseline!$A:$AK,AK$2,FALSE)</f>
        <v>#N/A</v>
      </c>
      <c r="AL54" s="13" t="e">
        <f>VLOOKUP($B54,baseline!$A:$AK,AL$2,FALSE)</f>
        <v>#N/A</v>
      </c>
      <c r="AM54" s="13" t="e">
        <f>VLOOKUP($B54,baseline!$A:$AK,AM$2,FALSE)</f>
        <v>#N/A</v>
      </c>
      <c r="AN54" s="13" t="e">
        <f>VLOOKUP($B54,baseline!$A:$AK,AN$2,FALSE)</f>
        <v>#N/A</v>
      </c>
      <c r="AP54" s="3" t="e">
        <f t="shared" si="3"/>
        <v>#N/A</v>
      </c>
    </row>
    <row r="55" spans="2:42" x14ac:dyDescent="0.3">
      <c r="B55" t="s">
        <v>14</v>
      </c>
      <c r="D55" t="s">
        <v>172</v>
      </c>
      <c r="E55" s="13" t="e">
        <f>VLOOKUP($B55,baseline!$A:$AK,E$2,FALSE)</f>
        <v>#N/A</v>
      </c>
      <c r="F55" s="13" t="e">
        <f>VLOOKUP($B55,baseline!$A:$AK,F$2,FALSE)</f>
        <v>#N/A</v>
      </c>
      <c r="G55" s="13" t="e">
        <f>VLOOKUP($B55,baseline!$A:$AK,G$2,FALSE)</f>
        <v>#N/A</v>
      </c>
      <c r="H55" s="13" t="e">
        <f>VLOOKUP($B55,baseline!$A:$AK,H$2,FALSE)</f>
        <v>#N/A</v>
      </c>
      <c r="I55" s="13" t="e">
        <f>VLOOKUP($B55,baseline!$A:$AK,I$2,FALSE)</f>
        <v>#N/A</v>
      </c>
      <c r="J55" s="13" t="e">
        <f>VLOOKUP($B55,baseline!$A:$AK,J$2,FALSE)</f>
        <v>#N/A</v>
      </c>
      <c r="K55" s="13" t="e">
        <f>VLOOKUP($B55,baseline!$A:$AK,K$2,FALSE)</f>
        <v>#N/A</v>
      </c>
      <c r="L55" s="13" t="e">
        <f>VLOOKUP($B55,baseline!$A:$AK,L$2,FALSE)</f>
        <v>#N/A</v>
      </c>
      <c r="M55" s="13" t="e">
        <f>VLOOKUP($B55,baseline!$A:$AK,M$2,FALSE)</f>
        <v>#N/A</v>
      </c>
      <c r="N55" s="13" t="e">
        <f>VLOOKUP($B55,baseline!$A:$AK,N$2,FALSE)</f>
        <v>#N/A</v>
      </c>
      <c r="O55" s="13" t="e">
        <f>VLOOKUP($B55,baseline!$A:$AK,O$2,FALSE)</f>
        <v>#N/A</v>
      </c>
      <c r="P55" s="13" t="e">
        <f>VLOOKUP($B55,baseline!$A:$AK,P$2,FALSE)</f>
        <v>#N/A</v>
      </c>
      <c r="Q55" s="13" t="e">
        <f>VLOOKUP($B55,baseline!$A:$AK,Q$2,FALSE)</f>
        <v>#N/A</v>
      </c>
      <c r="R55" s="13" t="e">
        <f>VLOOKUP($B55,baseline!$A:$AK,R$2,FALSE)</f>
        <v>#N/A</v>
      </c>
      <c r="S55" s="13" t="e">
        <f>VLOOKUP($B55,baseline!$A:$AK,S$2,FALSE)</f>
        <v>#N/A</v>
      </c>
      <c r="T55" s="13" t="e">
        <f>VLOOKUP($B55,baseline!$A:$AK,T$2,FALSE)</f>
        <v>#N/A</v>
      </c>
      <c r="U55" s="13" t="e">
        <f>VLOOKUP($B55,baseline!$A:$AK,U$2,FALSE)</f>
        <v>#N/A</v>
      </c>
      <c r="V55" s="13" t="e">
        <f>VLOOKUP($B55,baseline!$A:$AK,V$2,FALSE)</f>
        <v>#N/A</v>
      </c>
      <c r="W55" s="13" t="e">
        <f>VLOOKUP($B55,baseline!$A:$AK,W$2,FALSE)</f>
        <v>#N/A</v>
      </c>
      <c r="X55" s="13" t="e">
        <f>VLOOKUP($B55,baseline!$A:$AK,X$2,FALSE)</f>
        <v>#N/A</v>
      </c>
      <c r="Y55" s="13" t="e">
        <f>VLOOKUP($B55,baseline!$A:$AK,Y$2,FALSE)</f>
        <v>#N/A</v>
      </c>
      <c r="Z55" s="13" t="e">
        <f>VLOOKUP($B55,baseline!$A:$AK,Z$2,FALSE)</f>
        <v>#N/A</v>
      </c>
      <c r="AA55" s="13" t="e">
        <f>VLOOKUP($B55,baseline!$A:$AK,AA$2,FALSE)</f>
        <v>#N/A</v>
      </c>
      <c r="AB55" s="13" t="e">
        <f>VLOOKUP($B55,baseline!$A:$AK,AB$2,FALSE)</f>
        <v>#N/A</v>
      </c>
      <c r="AC55" s="13" t="e">
        <f>VLOOKUP($B55,baseline!$A:$AK,AC$2,FALSE)</f>
        <v>#N/A</v>
      </c>
      <c r="AD55" s="13" t="e">
        <f>VLOOKUP($B55,baseline!$A:$AK,AD$2,FALSE)</f>
        <v>#N/A</v>
      </c>
      <c r="AE55" s="13" t="e">
        <f>VLOOKUP($B55,baseline!$A:$AK,AE$2,FALSE)</f>
        <v>#N/A</v>
      </c>
      <c r="AF55" s="13" t="e">
        <f>VLOOKUP($B55,baseline!$A:$AK,AF$2,FALSE)</f>
        <v>#N/A</v>
      </c>
      <c r="AG55" s="13" t="e">
        <f>VLOOKUP($B55,baseline!$A:$AK,AG$2,FALSE)</f>
        <v>#N/A</v>
      </c>
      <c r="AH55" s="13" t="e">
        <f>VLOOKUP($B55,baseline!$A:$AK,AH$2,FALSE)</f>
        <v>#N/A</v>
      </c>
      <c r="AI55" s="13" t="e">
        <f>VLOOKUP($B55,baseline!$A:$AK,AI$2,FALSE)</f>
        <v>#N/A</v>
      </c>
      <c r="AJ55" s="13" t="e">
        <f>VLOOKUP($B55,baseline!$A:$AK,AJ$2,FALSE)</f>
        <v>#N/A</v>
      </c>
      <c r="AK55" s="13" t="e">
        <f>VLOOKUP($B55,baseline!$A:$AK,AK$2,FALSE)</f>
        <v>#N/A</v>
      </c>
      <c r="AL55" s="13" t="e">
        <f>VLOOKUP($B55,baseline!$A:$AK,AL$2,FALSE)</f>
        <v>#N/A</v>
      </c>
      <c r="AM55" s="13" t="e">
        <f>VLOOKUP($B55,baseline!$A:$AK,AM$2,FALSE)</f>
        <v>#N/A</v>
      </c>
      <c r="AN55" s="13" t="e">
        <f>VLOOKUP($B55,baseline!$A:$AK,AN$2,FALSE)</f>
        <v>#N/A</v>
      </c>
      <c r="AP55" s="3" t="e">
        <f t="shared" si="3"/>
        <v>#N/A</v>
      </c>
    </row>
    <row r="56" spans="2:42" x14ac:dyDescent="0.3">
      <c r="B56" t="s">
        <v>15</v>
      </c>
      <c r="D56" t="s">
        <v>172</v>
      </c>
      <c r="E56" s="13" t="e">
        <f>VLOOKUP($B56,baseline!$A:$AK,E$2,FALSE)</f>
        <v>#N/A</v>
      </c>
      <c r="F56" s="13" t="e">
        <f>VLOOKUP($B56,baseline!$A:$AK,F$2,FALSE)</f>
        <v>#N/A</v>
      </c>
      <c r="G56" s="13" t="e">
        <f>VLOOKUP($B56,baseline!$A:$AK,G$2,FALSE)</f>
        <v>#N/A</v>
      </c>
      <c r="H56" s="13" t="e">
        <f>VLOOKUP($B56,baseline!$A:$AK,H$2,FALSE)</f>
        <v>#N/A</v>
      </c>
      <c r="I56" s="13" t="e">
        <f>VLOOKUP($B56,baseline!$A:$AK,I$2,FALSE)</f>
        <v>#N/A</v>
      </c>
      <c r="J56" s="13" t="e">
        <f>VLOOKUP($B56,baseline!$A:$AK,J$2,FALSE)</f>
        <v>#N/A</v>
      </c>
      <c r="K56" s="13" t="e">
        <f>VLOOKUP($B56,baseline!$A:$AK,K$2,FALSE)</f>
        <v>#N/A</v>
      </c>
      <c r="L56" s="13" t="e">
        <f>VLOOKUP($B56,baseline!$A:$AK,L$2,FALSE)</f>
        <v>#N/A</v>
      </c>
      <c r="M56" s="13" t="e">
        <f>VLOOKUP($B56,baseline!$A:$AK,M$2,FALSE)</f>
        <v>#N/A</v>
      </c>
      <c r="N56" s="13" t="e">
        <f>VLOOKUP($B56,baseline!$A:$AK,N$2,FALSE)</f>
        <v>#N/A</v>
      </c>
      <c r="O56" s="13" t="e">
        <f>VLOOKUP($B56,baseline!$A:$AK,O$2,FALSE)</f>
        <v>#N/A</v>
      </c>
      <c r="P56" s="13" t="e">
        <f>VLOOKUP($B56,baseline!$A:$AK,P$2,FALSE)</f>
        <v>#N/A</v>
      </c>
      <c r="Q56" s="13" t="e">
        <f>VLOOKUP($B56,baseline!$A:$AK,Q$2,FALSE)</f>
        <v>#N/A</v>
      </c>
      <c r="R56" s="13" t="e">
        <f>VLOOKUP($B56,baseline!$A:$AK,R$2,FALSE)</f>
        <v>#N/A</v>
      </c>
      <c r="S56" s="13" t="e">
        <f>VLOOKUP($B56,baseline!$A:$AK,S$2,FALSE)</f>
        <v>#N/A</v>
      </c>
      <c r="T56" s="13" t="e">
        <f>VLOOKUP($B56,baseline!$A:$AK,T$2,FALSE)</f>
        <v>#N/A</v>
      </c>
      <c r="U56" s="13" t="e">
        <f>VLOOKUP($B56,baseline!$A:$AK,U$2,FALSE)</f>
        <v>#N/A</v>
      </c>
      <c r="V56" s="13" t="e">
        <f>VLOOKUP($B56,baseline!$A:$AK,V$2,FALSE)</f>
        <v>#N/A</v>
      </c>
      <c r="W56" s="13" t="e">
        <f>VLOOKUP($B56,baseline!$A:$AK,W$2,FALSE)</f>
        <v>#N/A</v>
      </c>
      <c r="X56" s="13" t="e">
        <f>VLOOKUP($B56,baseline!$A:$AK,X$2,FALSE)</f>
        <v>#N/A</v>
      </c>
      <c r="Y56" s="13" t="e">
        <f>VLOOKUP($B56,baseline!$A:$AK,Y$2,FALSE)</f>
        <v>#N/A</v>
      </c>
      <c r="Z56" s="13" t="e">
        <f>VLOOKUP($B56,baseline!$A:$AK,Z$2,FALSE)</f>
        <v>#N/A</v>
      </c>
      <c r="AA56" s="13" t="e">
        <f>VLOOKUP($B56,baseline!$A:$AK,AA$2,FALSE)</f>
        <v>#N/A</v>
      </c>
      <c r="AB56" s="13" t="e">
        <f>VLOOKUP($B56,baseline!$A:$AK,AB$2,FALSE)</f>
        <v>#N/A</v>
      </c>
      <c r="AC56" s="13" t="e">
        <f>VLOOKUP($B56,baseline!$A:$AK,AC$2,FALSE)</f>
        <v>#N/A</v>
      </c>
      <c r="AD56" s="13" t="e">
        <f>VLOOKUP($B56,baseline!$A:$AK,AD$2,FALSE)</f>
        <v>#N/A</v>
      </c>
      <c r="AE56" s="13" t="e">
        <f>VLOOKUP($B56,baseline!$A:$AK,AE$2,FALSE)</f>
        <v>#N/A</v>
      </c>
      <c r="AF56" s="13" t="e">
        <f>VLOOKUP($B56,baseline!$A:$AK,AF$2,FALSE)</f>
        <v>#N/A</v>
      </c>
      <c r="AG56" s="13" t="e">
        <f>VLOOKUP($B56,baseline!$A:$AK,AG$2,FALSE)</f>
        <v>#N/A</v>
      </c>
      <c r="AH56" s="13" t="e">
        <f>VLOOKUP($B56,baseline!$A:$AK,AH$2,FALSE)</f>
        <v>#N/A</v>
      </c>
      <c r="AI56" s="13" t="e">
        <f>VLOOKUP($B56,baseline!$A:$AK,AI$2,FALSE)</f>
        <v>#N/A</v>
      </c>
      <c r="AJ56" s="13" t="e">
        <f>VLOOKUP($B56,baseline!$A:$AK,AJ$2,FALSE)</f>
        <v>#N/A</v>
      </c>
      <c r="AK56" s="13" t="e">
        <f>VLOOKUP($B56,baseline!$A:$AK,AK$2,FALSE)</f>
        <v>#N/A</v>
      </c>
      <c r="AL56" s="13" t="e">
        <f>VLOOKUP($B56,baseline!$A:$AK,AL$2,FALSE)</f>
        <v>#N/A</v>
      </c>
      <c r="AM56" s="13" t="e">
        <f>VLOOKUP($B56,baseline!$A:$AK,AM$2,FALSE)</f>
        <v>#N/A</v>
      </c>
      <c r="AN56" s="13" t="e">
        <f>VLOOKUP($B56,baseline!$A:$AK,AN$2,FALSE)</f>
        <v>#N/A</v>
      </c>
      <c r="AP56" s="3" t="e">
        <f t="shared" si="3"/>
        <v>#N/A</v>
      </c>
    </row>
    <row r="57" spans="2:42" x14ac:dyDescent="0.3">
      <c r="B57" t="s">
        <v>16</v>
      </c>
      <c r="D57" t="s">
        <v>172</v>
      </c>
      <c r="E57" s="13" t="e">
        <f>VLOOKUP($B57,baseline!$A:$AK,E$2,FALSE)</f>
        <v>#N/A</v>
      </c>
      <c r="F57" s="13" t="e">
        <f>VLOOKUP($B57,baseline!$A:$AK,F$2,FALSE)</f>
        <v>#N/A</v>
      </c>
      <c r="G57" s="13" t="e">
        <f>VLOOKUP($B57,baseline!$A:$AK,G$2,FALSE)</f>
        <v>#N/A</v>
      </c>
      <c r="H57" s="13" t="e">
        <f>VLOOKUP($B57,baseline!$A:$AK,H$2,FALSE)</f>
        <v>#N/A</v>
      </c>
      <c r="I57" s="13" t="e">
        <f>VLOOKUP($B57,baseline!$A:$AK,I$2,FALSE)</f>
        <v>#N/A</v>
      </c>
      <c r="J57" s="13" t="e">
        <f>VLOOKUP($B57,baseline!$A:$AK,J$2,FALSE)</f>
        <v>#N/A</v>
      </c>
      <c r="K57" s="13" t="e">
        <f>VLOOKUP($B57,baseline!$A:$AK,K$2,FALSE)</f>
        <v>#N/A</v>
      </c>
      <c r="L57" s="13" t="e">
        <f>VLOOKUP($B57,baseline!$A:$AK,L$2,FALSE)</f>
        <v>#N/A</v>
      </c>
      <c r="M57" s="13" t="e">
        <f>VLOOKUP($B57,baseline!$A:$AK,M$2,FALSE)</f>
        <v>#N/A</v>
      </c>
      <c r="N57" s="13" t="e">
        <f>VLOOKUP($B57,baseline!$A:$AK,N$2,FALSE)</f>
        <v>#N/A</v>
      </c>
      <c r="O57" s="13" t="e">
        <f>VLOOKUP($B57,baseline!$A:$AK,O$2,FALSE)</f>
        <v>#N/A</v>
      </c>
      <c r="P57" s="13" t="e">
        <f>VLOOKUP($B57,baseline!$A:$AK,P$2,FALSE)</f>
        <v>#N/A</v>
      </c>
      <c r="Q57" s="13" t="e">
        <f>VLOOKUP($B57,baseline!$A:$AK,Q$2,FALSE)</f>
        <v>#N/A</v>
      </c>
      <c r="R57" s="13" t="e">
        <f>VLOOKUP($B57,baseline!$A:$AK,R$2,FALSE)</f>
        <v>#N/A</v>
      </c>
      <c r="S57" s="13" t="e">
        <f>VLOOKUP($B57,baseline!$A:$AK,S$2,FALSE)</f>
        <v>#N/A</v>
      </c>
      <c r="T57" s="13" t="e">
        <f>VLOOKUP($B57,baseline!$A:$AK,T$2,FALSE)</f>
        <v>#N/A</v>
      </c>
      <c r="U57" s="13" t="e">
        <f>VLOOKUP($B57,baseline!$A:$AK,U$2,FALSE)</f>
        <v>#N/A</v>
      </c>
      <c r="V57" s="13" t="e">
        <f>VLOOKUP($B57,baseline!$A:$AK,V$2,FALSE)</f>
        <v>#N/A</v>
      </c>
      <c r="W57" s="13" t="e">
        <f>VLOOKUP($B57,baseline!$A:$AK,W$2,FALSE)</f>
        <v>#N/A</v>
      </c>
      <c r="X57" s="13" t="e">
        <f>VLOOKUP($B57,baseline!$A:$AK,X$2,FALSE)</f>
        <v>#N/A</v>
      </c>
      <c r="Y57" s="13" t="e">
        <f>VLOOKUP($B57,baseline!$A:$AK,Y$2,FALSE)</f>
        <v>#N/A</v>
      </c>
      <c r="Z57" s="13" t="e">
        <f>VLOOKUP($B57,baseline!$A:$AK,Z$2,FALSE)</f>
        <v>#N/A</v>
      </c>
      <c r="AA57" s="13" t="e">
        <f>VLOOKUP($B57,baseline!$A:$AK,AA$2,FALSE)</f>
        <v>#N/A</v>
      </c>
      <c r="AB57" s="13" t="e">
        <f>VLOOKUP($B57,baseline!$A:$AK,AB$2,FALSE)</f>
        <v>#N/A</v>
      </c>
      <c r="AC57" s="13" t="e">
        <f>VLOOKUP($B57,baseline!$A:$AK,AC$2,FALSE)</f>
        <v>#N/A</v>
      </c>
      <c r="AD57" s="13" t="e">
        <f>VLOOKUP($B57,baseline!$A:$AK,AD$2,FALSE)</f>
        <v>#N/A</v>
      </c>
      <c r="AE57" s="13" t="e">
        <f>VLOOKUP($B57,baseline!$A:$AK,AE$2,FALSE)</f>
        <v>#N/A</v>
      </c>
      <c r="AF57" s="13" t="e">
        <f>VLOOKUP($B57,baseline!$A:$AK,AF$2,FALSE)</f>
        <v>#N/A</v>
      </c>
      <c r="AG57" s="13" t="e">
        <f>VLOOKUP($B57,baseline!$A:$AK,AG$2,FALSE)</f>
        <v>#N/A</v>
      </c>
      <c r="AH57" s="13" t="e">
        <f>VLOOKUP($B57,baseline!$A:$AK,AH$2,FALSE)</f>
        <v>#N/A</v>
      </c>
      <c r="AI57" s="13" t="e">
        <f>VLOOKUP($B57,baseline!$A:$AK,AI$2,FALSE)</f>
        <v>#N/A</v>
      </c>
      <c r="AJ57" s="13" t="e">
        <f>VLOOKUP($B57,baseline!$A:$AK,AJ$2,FALSE)</f>
        <v>#N/A</v>
      </c>
      <c r="AK57" s="13" t="e">
        <f>VLOOKUP($B57,baseline!$A:$AK,AK$2,FALSE)</f>
        <v>#N/A</v>
      </c>
      <c r="AL57" s="13" t="e">
        <f>VLOOKUP($B57,baseline!$A:$AK,AL$2,FALSE)</f>
        <v>#N/A</v>
      </c>
      <c r="AM57" s="13" t="e">
        <f>VLOOKUP($B57,baseline!$A:$AK,AM$2,FALSE)</f>
        <v>#N/A</v>
      </c>
      <c r="AN57" s="13" t="e">
        <f>VLOOKUP($B57,baseline!$A:$AK,AN$2,FALSE)</f>
        <v>#N/A</v>
      </c>
      <c r="AP57" s="3" t="e">
        <f t="shared" si="3"/>
        <v>#N/A</v>
      </c>
    </row>
    <row r="58" spans="2:42" x14ac:dyDescent="0.3">
      <c r="B58" t="s">
        <v>17</v>
      </c>
      <c r="D58" t="s">
        <v>172</v>
      </c>
      <c r="E58" s="13" t="e">
        <f>VLOOKUP($B58,baseline!$A:$AK,E$2,FALSE)</f>
        <v>#N/A</v>
      </c>
      <c r="F58" s="13" t="e">
        <f>VLOOKUP($B58,baseline!$A:$AK,F$2,FALSE)</f>
        <v>#N/A</v>
      </c>
      <c r="G58" s="13" t="e">
        <f>VLOOKUP($B58,baseline!$A:$AK,G$2,FALSE)</f>
        <v>#N/A</v>
      </c>
      <c r="H58" s="13" t="e">
        <f>VLOOKUP($B58,baseline!$A:$AK,H$2,FALSE)</f>
        <v>#N/A</v>
      </c>
      <c r="I58" s="13" t="e">
        <f>VLOOKUP($B58,baseline!$A:$AK,I$2,FALSE)</f>
        <v>#N/A</v>
      </c>
      <c r="J58" s="13" t="e">
        <f>VLOOKUP($B58,baseline!$A:$AK,J$2,FALSE)</f>
        <v>#N/A</v>
      </c>
      <c r="K58" s="13" t="e">
        <f>VLOOKUP($B58,baseline!$A:$AK,K$2,FALSE)</f>
        <v>#N/A</v>
      </c>
      <c r="L58" s="13" t="e">
        <f>VLOOKUP($B58,baseline!$A:$AK,L$2,FALSE)</f>
        <v>#N/A</v>
      </c>
      <c r="M58" s="13" t="e">
        <f>VLOOKUP($B58,baseline!$A:$AK,M$2,FALSE)</f>
        <v>#N/A</v>
      </c>
      <c r="N58" s="13" t="e">
        <f>VLOOKUP($B58,baseline!$A:$AK,N$2,FALSE)</f>
        <v>#N/A</v>
      </c>
      <c r="O58" s="13" t="e">
        <f>VLOOKUP($B58,baseline!$A:$AK,O$2,FALSE)</f>
        <v>#N/A</v>
      </c>
      <c r="P58" s="13" t="e">
        <f>VLOOKUP($B58,baseline!$A:$AK,P$2,FALSE)</f>
        <v>#N/A</v>
      </c>
      <c r="Q58" s="13" t="e">
        <f>VLOOKUP($B58,baseline!$A:$AK,Q$2,FALSE)</f>
        <v>#N/A</v>
      </c>
      <c r="R58" s="13" t="e">
        <f>VLOOKUP($B58,baseline!$A:$AK,R$2,FALSE)</f>
        <v>#N/A</v>
      </c>
      <c r="S58" s="13" t="e">
        <f>VLOOKUP($B58,baseline!$A:$AK,S$2,FALSE)</f>
        <v>#N/A</v>
      </c>
      <c r="T58" s="13" t="e">
        <f>VLOOKUP($B58,baseline!$A:$AK,T$2,FALSE)</f>
        <v>#N/A</v>
      </c>
      <c r="U58" s="13" t="e">
        <f>VLOOKUP($B58,baseline!$A:$AK,U$2,FALSE)</f>
        <v>#N/A</v>
      </c>
      <c r="V58" s="13" t="e">
        <f>VLOOKUP($B58,baseline!$A:$AK,V$2,FALSE)</f>
        <v>#N/A</v>
      </c>
      <c r="W58" s="13" t="e">
        <f>VLOOKUP($B58,baseline!$A:$AK,W$2,FALSE)</f>
        <v>#N/A</v>
      </c>
      <c r="X58" s="13" t="e">
        <f>VLOOKUP($B58,baseline!$A:$AK,X$2,FALSE)</f>
        <v>#N/A</v>
      </c>
      <c r="Y58" s="13" t="e">
        <f>VLOOKUP($B58,baseline!$A:$AK,Y$2,FALSE)</f>
        <v>#N/A</v>
      </c>
      <c r="Z58" s="13" t="e">
        <f>VLOOKUP($B58,baseline!$A:$AK,Z$2,FALSE)</f>
        <v>#N/A</v>
      </c>
      <c r="AA58" s="13" t="e">
        <f>VLOOKUP($B58,baseline!$A:$AK,AA$2,FALSE)</f>
        <v>#N/A</v>
      </c>
      <c r="AB58" s="13" t="e">
        <f>VLOOKUP($B58,baseline!$A:$AK,AB$2,FALSE)</f>
        <v>#N/A</v>
      </c>
      <c r="AC58" s="13" t="e">
        <f>VLOOKUP($B58,baseline!$A:$AK,AC$2,FALSE)</f>
        <v>#N/A</v>
      </c>
      <c r="AD58" s="13" t="e">
        <f>VLOOKUP($B58,baseline!$A:$AK,AD$2,FALSE)</f>
        <v>#N/A</v>
      </c>
      <c r="AE58" s="13" t="e">
        <f>VLOOKUP($B58,baseline!$A:$AK,AE$2,FALSE)</f>
        <v>#N/A</v>
      </c>
      <c r="AF58" s="13" t="e">
        <f>VLOOKUP($B58,baseline!$A:$AK,AF$2,FALSE)</f>
        <v>#N/A</v>
      </c>
      <c r="AG58" s="13" t="e">
        <f>VLOOKUP($B58,baseline!$A:$AK,AG$2,FALSE)</f>
        <v>#N/A</v>
      </c>
      <c r="AH58" s="13" t="e">
        <f>VLOOKUP($B58,baseline!$A:$AK,AH$2,FALSE)</f>
        <v>#N/A</v>
      </c>
      <c r="AI58" s="13" t="e">
        <f>VLOOKUP($B58,baseline!$A:$AK,AI$2,FALSE)</f>
        <v>#N/A</v>
      </c>
      <c r="AJ58" s="13" t="e">
        <f>VLOOKUP($B58,baseline!$A:$AK,AJ$2,FALSE)</f>
        <v>#N/A</v>
      </c>
      <c r="AK58" s="13" t="e">
        <f>VLOOKUP($B58,baseline!$A:$AK,AK$2,FALSE)</f>
        <v>#N/A</v>
      </c>
      <c r="AL58" s="13" t="e">
        <f>VLOOKUP($B58,baseline!$A:$AK,AL$2,FALSE)</f>
        <v>#N/A</v>
      </c>
      <c r="AM58" s="13" t="e">
        <f>VLOOKUP($B58,baseline!$A:$AK,AM$2,FALSE)</f>
        <v>#N/A</v>
      </c>
      <c r="AN58" s="13" t="e">
        <f>VLOOKUP($B58,baseline!$A:$AK,AN$2,FALSE)</f>
        <v>#N/A</v>
      </c>
      <c r="AP58" s="3" t="e">
        <f t="shared" si="3"/>
        <v>#N/A</v>
      </c>
    </row>
    <row r="59" spans="2:42" x14ac:dyDescent="0.3">
      <c r="B59" t="s">
        <v>18</v>
      </c>
      <c r="D59" t="s">
        <v>172</v>
      </c>
      <c r="E59" s="13" t="e">
        <f>VLOOKUP($B59,baseline!$A:$AK,E$2,FALSE)</f>
        <v>#N/A</v>
      </c>
      <c r="F59" s="13" t="e">
        <f>VLOOKUP($B59,baseline!$A:$AK,F$2,FALSE)</f>
        <v>#N/A</v>
      </c>
      <c r="G59" s="13" t="e">
        <f>VLOOKUP($B59,baseline!$A:$AK,G$2,FALSE)</f>
        <v>#N/A</v>
      </c>
      <c r="H59" s="13" t="e">
        <f>VLOOKUP($B59,baseline!$A:$AK,H$2,FALSE)</f>
        <v>#N/A</v>
      </c>
      <c r="I59" s="13" t="e">
        <f>VLOOKUP($B59,baseline!$A:$AK,I$2,FALSE)</f>
        <v>#N/A</v>
      </c>
      <c r="J59" s="13" t="e">
        <f>VLOOKUP($B59,baseline!$A:$AK,J$2,FALSE)</f>
        <v>#N/A</v>
      </c>
      <c r="K59" s="13" t="e">
        <f>VLOOKUP($B59,baseline!$A:$AK,K$2,FALSE)</f>
        <v>#N/A</v>
      </c>
      <c r="L59" s="13" t="e">
        <f>VLOOKUP($B59,baseline!$A:$AK,L$2,FALSE)</f>
        <v>#N/A</v>
      </c>
      <c r="M59" s="13" t="e">
        <f>VLOOKUP($B59,baseline!$A:$AK,M$2,FALSE)</f>
        <v>#N/A</v>
      </c>
      <c r="N59" s="13" t="e">
        <f>VLOOKUP($B59,baseline!$A:$AK,N$2,FALSE)</f>
        <v>#N/A</v>
      </c>
      <c r="O59" s="13" t="e">
        <f>VLOOKUP($B59,baseline!$A:$AK,O$2,FALSE)</f>
        <v>#N/A</v>
      </c>
      <c r="P59" s="13" t="e">
        <f>VLOOKUP($B59,baseline!$A:$AK,P$2,FALSE)</f>
        <v>#N/A</v>
      </c>
      <c r="Q59" s="13" t="e">
        <f>VLOOKUP($B59,baseline!$A:$AK,Q$2,FALSE)</f>
        <v>#N/A</v>
      </c>
      <c r="R59" s="13" t="e">
        <f>VLOOKUP($B59,baseline!$A:$AK,R$2,FALSE)</f>
        <v>#N/A</v>
      </c>
      <c r="S59" s="13" t="e">
        <f>VLOOKUP($B59,baseline!$A:$AK,S$2,FALSE)</f>
        <v>#N/A</v>
      </c>
      <c r="T59" s="13" t="e">
        <f>VLOOKUP($B59,baseline!$A:$AK,T$2,FALSE)</f>
        <v>#N/A</v>
      </c>
      <c r="U59" s="13" t="e">
        <f>VLOOKUP($B59,baseline!$A:$AK,U$2,FALSE)</f>
        <v>#N/A</v>
      </c>
      <c r="V59" s="13" t="e">
        <f>VLOOKUP($B59,baseline!$A:$AK,V$2,FALSE)</f>
        <v>#N/A</v>
      </c>
      <c r="W59" s="13" t="e">
        <f>VLOOKUP($B59,baseline!$A:$AK,W$2,FALSE)</f>
        <v>#N/A</v>
      </c>
      <c r="X59" s="13" t="e">
        <f>VLOOKUP($B59,baseline!$A:$AK,X$2,FALSE)</f>
        <v>#N/A</v>
      </c>
      <c r="Y59" s="13" t="e">
        <f>VLOOKUP($B59,baseline!$A:$AK,Y$2,FALSE)</f>
        <v>#N/A</v>
      </c>
      <c r="Z59" s="13" t="e">
        <f>VLOOKUP($B59,baseline!$A:$AK,Z$2,FALSE)</f>
        <v>#N/A</v>
      </c>
      <c r="AA59" s="13" t="e">
        <f>VLOOKUP($B59,baseline!$A:$AK,AA$2,FALSE)</f>
        <v>#N/A</v>
      </c>
      <c r="AB59" s="13" t="e">
        <f>VLOOKUP($B59,baseline!$A:$AK,AB$2,FALSE)</f>
        <v>#N/A</v>
      </c>
      <c r="AC59" s="13" t="e">
        <f>VLOOKUP($B59,baseline!$A:$AK,AC$2,FALSE)</f>
        <v>#N/A</v>
      </c>
      <c r="AD59" s="13" t="e">
        <f>VLOOKUP($B59,baseline!$A:$AK,AD$2,FALSE)</f>
        <v>#N/A</v>
      </c>
      <c r="AE59" s="13" t="e">
        <f>VLOOKUP($B59,baseline!$A:$AK,AE$2,FALSE)</f>
        <v>#N/A</v>
      </c>
      <c r="AF59" s="13" t="e">
        <f>VLOOKUP($B59,baseline!$A:$AK,AF$2,FALSE)</f>
        <v>#N/A</v>
      </c>
      <c r="AG59" s="13" t="e">
        <f>VLOOKUP($B59,baseline!$A:$AK,AG$2,FALSE)</f>
        <v>#N/A</v>
      </c>
      <c r="AH59" s="13" t="e">
        <f>VLOOKUP($B59,baseline!$A:$AK,AH$2,FALSE)</f>
        <v>#N/A</v>
      </c>
      <c r="AI59" s="13" t="e">
        <f>VLOOKUP($B59,baseline!$A:$AK,AI$2,FALSE)</f>
        <v>#N/A</v>
      </c>
      <c r="AJ59" s="13" t="e">
        <f>VLOOKUP($B59,baseline!$A:$AK,AJ$2,FALSE)</f>
        <v>#N/A</v>
      </c>
      <c r="AK59" s="13" t="e">
        <f>VLOOKUP($B59,baseline!$A:$AK,AK$2,FALSE)</f>
        <v>#N/A</v>
      </c>
      <c r="AL59" s="13" t="e">
        <f>VLOOKUP($B59,baseline!$A:$AK,AL$2,FALSE)</f>
        <v>#N/A</v>
      </c>
      <c r="AM59" s="13" t="e">
        <f>VLOOKUP($B59,baseline!$A:$AK,AM$2,FALSE)</f>
        <v>#N/A</v>
      </c>
      <c r="AN59" s="13" t="e">
        <f>VLOOKUP($B59,baseline!$A:$AK,AN$2,FALSE)</f>
        <v>#N/A</v>
      </c>
      <c r="AP59" s="3" t="e">
        <f t="shared" si="3"/>
        <v>#N/A</v>
      </c>
    </row>
    <row r="60" spans="2:42" x14ac:dyDescent="0.3">
      <c r="B60" t="s">
        <v>19</v>
      </c>
      <c r="D60" t="s">
        <v>172</v>
      </c>
      <c r="E60" s="13" t="e">
        <f>VLOOKUP($B60,baseline!$A:$AK,E$2,FALSE)</f>
        <v>#N/A</v>
      </c>
      <c r="F60" s="13" t="e">
        <f>VLOOKUP($B60,baseline!$A:$AK,F$2,FALSE)</f>
        <v>#N/A</v>
      </c>
      <c r="G60" s="13" t="e">
        <f>VLOOKUP($B60,baseline!$A:$AK,G$2,FALSE)</f>
        <v>#N/A</v>
      </c>
      <c r="H60" s="13" t="e">
        <f>VLOOKUP($B60,baseline!$A:$AK,H$2,FALSE)</f>
        <v>#N/A</v>
      </c>
      <c r="I60" s="13" t="e">
        <f>VLOOKUP($B60,baseline!$A:$AK,I$2,FALSE)</f>
        <v>#N/A</v>
      </c>
      <c r="J60" s="13" t="e">
        <f>VLOOKUP($B60,baseline!$A:$AK,J$2,FALSE)</f>
        <v>#N/A</v>
      </c>
      <c r="K60" s="13" t="e">
        <f>VLOOKUP($B60,baseline!$A:$AK,K$2,FALSE)</f>
        <v>#N/A</v>
      </c>
      <c r="L60" s="13" t="e">
        <f>VLOOKUP($B60,baseline!$A:$AK,L$2,FALSE)</f>
        <v>#N/A</v>
      </c>
      <c r="M60" s="13" t="e">
        <f>VLOOKUP($B60,baseline!$A:$AK,M$2,FALSE)</f>
        <v>#N/A</v>
      </c>
      <c r="N60" s="13" t="e">
        <f>VLOOKUP($B60,baseline!$A:$AK,N$2,FALSE)</f>
        <v>#N/A</v>
      </c>
      <c r="O60" s="13" t="e">
        <f>VLOOKUP($B60,baseline!$A:$AK,O$2,FALSE)</f>
        <v>#N/A</v>
      </c>
      <c r="P60" s="13" t="e">
        <f>VLOOKUP($B60,baseline!$A:$AK,P$2,FALSE)</f>
        <v>#N/A</v>
      </c>
      <c r="Q60" s="13" t="e">
        <f>VLOOKUP($B60,baseline!$A:$AK,Q$2,FALSE)</f>
        <v>#N/A</v>
      </c>
      <c r="R60" s="13" t="e">
        <f>VLOOKUP($B60,baseline!$A:$AK,R$2,FALSE)</f>
        <v>#N/A</v>
      </c>
      <c r="S60" s="13" t="e">
        <f>VLOOKUP($B60,baseline!$A:$AK,S$2,FALSE)</f>
        <v>#N/A</v>
      </c>
      <c r="T60" s="13" t="e">
        <f>VLOOKUP($B60,baseline!$A:$AK,T$2,FALSE)</f>
        <v>#N/A</v>
      </c>
      <c r="U60" s="13" t="e">
        <f>VLOOKUP($B60,baseline!$A:$AK,U$2,FALSE)</f>
        <v>#N/A</v>
      </c>
      <c r="V60" s="13" t="e">
        <f>VLOOKUP($B60,baseline!$A:$AK,V$2,FALSE)</f>
        <v>#N/A</v>
      </c>
      <c r="W60" s="13" t="e">
        <f>VLOOKUP($B60,baseline!$A:$AK,W$2,FALSE)</f>
        <v>#N/A</v>
      </c>
      <c r="X60" s="13" t="e">
        <f>VLOOKUP($B60,baseline!$A:$AK,X$2,FALSE)</f>
        <v>#N/A</v>
      </c>
      <c r="Y60" s="13" t="e">
        <f>VLOOKUP($B60,baseline!$A:$AK,Y$2,FALSE)</f>
        <v>#N/A</v>
      </c>
      <c r="Z60" s="13" t="e">
        <f>VLOOKUP($B60,baseline!$A:$AK,Z$2,FALSE)</f>
        <v>#N/A</v>
      </c>
      <c r="AA60" s="13" t="e">
        <f>VLOOKUP($B60,baseline!$A:$AK,AA$2,FALSE)</f>
        <v>#N/A</v>
      </c>
      <c r="AB60" s="13" t="e">
        <f>VLOOKUP($B60,baseline!$A:$AK,AB$2,FALSE)</f>
        <v>#N/A</v>
      </c>
      <c r="AC60" s="13" t="e">
        <f>VLOOKUP($B60,baseline!$A:$AK,AC$2,FALSE)</f>
        <v>#N/A</v>
      </c>
      <c r="AD60" s="13" t="e">
        <f>VLOOKUP($B60,baseline!$A:$AK,AD$2,FALSE)</f>
        <v>#N/A</v>
      </c>
      <c r="AE60" s="13" t="e">
        <f>VLOOKUP($B60,baseline!$A:$AK,AE$2,FALSE)</f>
        <v>#N/A</v>
      </c>
      <c r="AF60" s="13" t="e">
        <f>VLOOKUP($B60,baseline!$A:$AK,AF$2,FALSE)</f>
        <v>#N/A</v>
      </c>
      <c r="AG60" s="13" t="e">
        <f>VLOOKUP($B60,baseline!$A:$AK,AG$2,FALSE)</f>
        <v>#N/A</v>
      </c>
      <c r="AH60" s="13" t="e">
        <f>VLOOKUP($B60,baseline!$A:$AK,AH$2,FALSE)</f>
        <v>#N/A</v>
      </c>
      <c r="AI60" s="13" t="e">
        <f>VLOOKUP($B60,baseline!$A:$AK,AI$2,FALSE)</f>
        <v>#N/A</v>
      </c>
      <c r="AJ60" s="13" t="e">
        <f>VLOOKUP($B60,baseline!$A:$AK,AJ$2,FALSE)</f>
        <v>#N/A</v>
      </c>
      <c r="AK60" s="13" t="e">
        <f>VLOOKUP($B60,baseline!$A:$AK,AK$2,FALSE)</f>
        <v>#N/A</v>
      </c>
      <c r="AL60" s="13" t="e">
        <f>VLOOKUP($B60,baseline!$A:$AK,AL$2,FALSE)</f>
        <v>#N/A</v>
      </c>
      <c r="AM60" s="13" t="e">
        <f>VLOOKUP($B60,baseline!$A:$AK,AM$2,FALSE)</f>
        <v>#N/A</v>
      </c>
      <c r="AN60" s="13" t="e">
        <f>VLOOKUP($B60,baseline!$A:$AK,AN$2,FALSE)</f>
        <v>#N/A</v>
      </c>
      <c r="AP60" s="3" t="e">
        <f t="shared" si="3"/>
        <v>#N/A</v>
      </c>
    </row>
    <row r="61" spans="2:42" x14ac:dyDescent="0.3">
      <c r="B61" t="s">
        <v>20</v>
      </c>
      <c r="D61" t="s">
        <v>172</v>
      </c>
      <c r="E61" s="13" t="e">
        <f>VLOOKUP($B61,baseline!$A:$AK,E$2,FALSE)</f>
        <v>#N/A</v>
      </c>
      <c r="F61" s="13" t="e">
        <f>VLOOKUP($B61,baseline!$A:$AK,F$2,FALSE)</f>
        <v>#N/A</v>
      </c>
      <c r="G61" s="13" t="e">
        <f>VLOOKUP($B61,baseline!$A:$AK,G$2,FALSE)</f>
        <v>#N/A</v>
      </c>
      <c r="H61" s="13" t="e">
        <f>VLOOKUP($B61,baseline!$A:$AK,H$2,FALSE)</f>
        <v>#N/A</v>
      </c>
      <c r="I61" s="13" t="e">
        <f>VLOOKUP($B61,baseline!$A:$AK,I$2,FALSE)</f>
        <v>#N/A</v>
      </c>
      <c r="J61" s="13" t="e">
        <f>VLOOKUP($B61,baseline!$A:$AK,J$2,FALSE)</f>
        <v>#N/A</v>
      </c>
      <c r="K61" s="13" t="e">
        <f>VLOOKUP($B61,baseline!$A:$AK,K$2,FALSE)</f>
        <v>#N/A</v>
      </c>
      <c r="L61" s="13" t="e">
        <f>VLOOKUP($B61,baseline!$A:$AK,L$2,FALSE)</f>
        <v>#N/A</v>
      </c>
      <c r="M61" s="13" t="e">
        <f>VLOOKUP($B61,baseline!$A:$AK,M$2,FALSE)</f>
        <v>#N/A</v>
      </c>
      <c r="N61" s="13" t="e">
        <f>VLOOKUP($B61,baseline!$A:$AK,N$2,FALSE)</f>
        <v>#N/A</v>
      </c>
      <c r="O61" s="13" t="e">
        <f>VLOOKUP($B61,baseline!$A:$AK,O$2,FALSE)</f>
        <v>#N/A</v>
      </c>
      <c r="P61" s="13" t="e">
        <f>VLOOKUP($B61,baseline!$A:$AK,P$2,FALSE)</f>
        <v>#N/A</v>
      </c>
      <c r="Q61" s="13" t="e">
        <f>VLOOKUP($B61,baseline!$A:$AK,Q$2,FALSE)</f>
        <v>#N/A</v>
      </c>
      <c r="R61" s="13" t="e">
        <f>VLOOKUP($B61,baseline!$A:$AK,R$2,FALSE)</f>
        <v>#N/A</v>
      </c>
      <c r="S61" s="13" t="e">
        <f>VLOOKUP($B61,baseline!$A:$AK,S$2,FALSE)</f>
        <v>#N/A</v>
      </c>
      <c r="T61" s="13" t="e">
        <f>VLOOKUP($B61,baseline!$A:$AK,T$2,FALSE)</f>
        <v>#N/A</v>
      </c>
      <c r="U61" s="13" t="e">
        <f>VLOOKUP($B61,baseline!$A:$AK,U$2,FALSE)</f>
        <v>#N/A</v>
      </c>
      <c r="V61" s="13" t="e">
        <f>VLOOKUP($B61,baseline!$A:$AK,V$2,FALSE)</f>
        <v>#N/A</v>
      </c>
      <c r="W61" s="13" t="e">
        <f>VLOOKUP($B61,baseline!$A:$AK,W$2,FALSE)</f>
        <v>#N/A</v>
      </c>
      <c r="X61" s="13" t="e">
        <f>VLOOKUP($B61,baseline!$A:$AK,X$2,FALSE)</f>
        <v>#N/A</v>
      </c>
      <c r="Y61" s="13" t="e">
        <f>VLOOKUP($B61,baseline!$A:$AK,Y$2,FALSE)</f>
        <v>#N/A</v>
      </c>
      <c r="Z61" s="13" t="e">
        <f>VLOOKUP($B61,baseline!$A:$AK,Z$2,FALSE)</f>
        <v>#N/A</v>
      </c>
      <c r="AA61" s="13" t="e">
        <f>VLOOKUP($B61,baseline!$A:$AK,AA$2,FALSE)</f>
        <v>#N/A</v>
      </c>
      <c r="AB61" s="13" t="e">
        <f>VLOOKUP($B61,baseline!$A:$AK,AB$2,FALSE)</f>
        <v>#N/A</v>
      </c>
      <c r="AC61" s="13" t="e">
        <f>VLOOKUP($B61,baseline!$A:$AK,AC$2,FALSE)</f>
        <v>#N/A</v>
      </c>
      <c r="AD61" s="13" t="e">
        <f>VLOOKUP($B61,baseline!$A:$AK,AD$2,FALSE)</f>
        <v>#N/A</v>
      </c>
      <c r="AE61" s="13" t="e">
        <f>VLOOKUP($B61,baseline!$A:$AK,AE$2,FALSE)</f>
        <v>#N/A</v>
      </c>
      <c r="AF61" s="13" t="e">
        <f>VLOOKUP($B61,baseline!$A:$AK,AF$2,FALSE)</f>
        <v>#N/A</v>
      </c>
      <c r="AG61" s="13" t="e">
        <f>VLOOKUP($B61,baseline!$A:$AK,AG$2,FALSE)</f>
        <v>#N/A</v>
      </c>
      <c r="AH61" s="13" t="e">
        <f>VLOOKUP($B61,baseline!$A:$AK,AH$2,FALSE)</f>
        <v>#N/A</v>
      </c>
      <c r="AI61" s="13" t="e">
        <f>VLOOKUP($B61,baseline!$A:$AK,AI$2,FALSE)</f>
        <v>#N/A</v>
      </c>
      <c r="AJ61" s="13" t="e">
        <f>VLOOKUP($B61,baseline!$A:$AK,AJ$2,FALSE)</f>
        <v>#N/A</v>
      </c>
      <c r="AK61" s="13" t="e">
        <f>VLOOKUP($B61,baseline!$A:$AK,AK$2,FALSE)</f>
        <v>#N/A</v>
      </c>
      <c r="AL61" s="13" t="e">
        <f>VLOOKUP($B61,baseline!$A:$AK,AL$2,FALSE)</f>
        <v>#N/A</v>
      </c>
      <c r="AM61" s="13" t="e">
        <f>VLOOKUP($B61,baseline!$A:$AK,AM$2,FALSE)</f>
        <v>#N/A</v>
      </c>
      <c r="AN61" s="13" t="e">
        <f>VLOOKUP($B61,baseline!$A:$AK,AN$2,FALSE)</f>
        <v>#N/A</v>
      </c>
      <c r="AP61" s="3" t="e">
        <f t="shared" si="3"/>
        <v>#N/A</v>
      </c>
    </row>
    <row r="62" spans="2:42" x14ac:dyDescent="0.3">
      <c r="B62" t="s">
        <v>21</v>
      </c>
      <c r="D62" t="s">
        <v>172</v>
      </c>
      <c r="E62" s="13" t="e">
        <f>VLOOKUP($B62,baseline!$A:$AK,E$2,FALSE)</f>
        <v>#N/A</v>
      </c>
      <c r="F62" s="13" t="e">
        <f>VLOOKUP($B62,baseline!$A:$AK,F$2,FALSE)</f>
        <v>#N/A</v>
      </c>
      <c r="G62" s="13" t="e">
        <f>VLOOKUP($B62,baseline!$A:$AK,G$2,FALSE)</f>
        <v>#N/A</v>
      </c>
      <c r="H62" s="13" t="e">
        <f>VLOOKUP($B62,baseline!$A:$AK,H$2,FALSE)</f>
        <v>#N/A</v>
      </c>
      <c r="I62" s="13" t="e">
        <f>VLOOKUP($B62,baseline!$A:$AK,I$2,FALSE)</f>
        <v>#N/A</v>
      </c>
      <c r="J62" s="13" t="e">
        <f>VLOOKUP($B62,baseline!$A:$AK,J$2,FALSE)</f>
        <v>#N/A</v>
      </c>
      <c r="K62" s="13" t="e">
        <f>VLOOKUP($B62,baseline!$A:$AK,K$2,FALSE)</f>
        <v>#N/A</v>
      </c>
      <c r="L62" s="13" t="e">
        <f>VLOOKUP($B62,baseline!$A:$AK,L$2,FALSE)</f>
        <v>#N/A</v>
      </c>
      <c r="M62" s="13" t="e">
        <f>VLOOKUP($B62,baseline!$A:$AK,M$2,FALSE)</f>
        <v>#N/A</v>
      </c>
      <c r="N62" s="13" t="e">
        <f>VLOOKUP($B62,baseline!$A:$AK,N$2,FALSE)</f>
        <v>#N/A</v>
      </c>
      <c r="O62" s="13" t="e">
        <f>VLOOKUP($B62,baseline!$A:$AK,O$2,FALSE)</f>
        <v>#N/A</v>
      </c>
      <c r="P62" s="13" t="e">
        <f>VLOOKUP($B62,baseline!$A:$AK,P$2,FALSE)</f>
        <v>#N/A</v>
      </c>
      <c r="Q62" s="13" t="e">
        <f>VLOOKUP($B62,baseline!$A:$AK,Q$2,FALSE)</f>
        <v>#N/A</v>
      </c>
      <c r="R62" s="13" t="e">
        <f>VLOOKUP($B62,baseline!$A:$AK,R$2,FALSE)</f>
        <v>#N/A</v>
      </c>
      <c r="S62" s="13" t="e">
        <f>VLOOKUP($B62,baseline!$A:$AK,S$2,FALSE)</f>
        <v>#N/A</v>
      </c>
      <c r="T62" s="13" t="e">
        <f>VLOOKUP($B62,baseline!$A:$AK,T$2,FALSE)</f>
        <v>#N/A</v>
      </c>
      <c r="U62" s="13" t="e">
        <f>VLOOKUP($B62,baseline!$A:$AK,U$2,FALSE)</f>
        <v>#N/A</v>
      </c>
      <c r="V62" s="13" t="e">
        <f>VLOOKUP($B62,baseline!$A:$AK,V$2,FALSE)</f>
        <v>#N/A</v>
      </c>
      <c r="W62" s="13" t="e">
        <f>VLOOKUP($B62,baseline!$A:$AK,W$2,FALSE)</f>
        <v>#N/A</v>
      </c>
      <c r="X62" s="13" t="e">
        <f>VLOOKUP($B62,baseline!$A:$AK,X$2,FALSE)</f>
        <v>#N/A</v>
      </c>
      <c r="Y62" s="13" t="e">
        <f>VLOOKUP($B62,baseline!$A:$AK,Y$2,FALSE)</f>
        <v>#N/A</v>
      </c>
      <c r="Z62" s="13" t="e">
        <f>VLOOKUP($B62,baseline!$A:$AK,Z$2,FALSE)</f>
        <v>#N/A</v>
      </c>
      <c r="AA62" s="13" t="e">
        <f>VLOOKUP($B62,baseline!$A:$AK,AA$2,FALSE)</f>
        <v>#N/A</v>
      </c>
      <c r="AB62" s="13" t="e">
        <f>VLOOKUP($B62,baseline!$A:$AK,AB$2,FALSE)</f>
        <v>#N/A</v>
      </c>
      <c r="AC62" s="13" t="e">
        <f>VLOOKUP($B62,baseline!$A:$AK,AC$2,FALSE)</f>
        <v>#N/A</v>
      </c>
      <c r="AD62" s="13" t="e">
        <f>VLOOKUP($B62,baseline!$A:$AK,AD$2,FALSE)</f>
        <v>#N/A</v>
      </c>
      <c r="AE62" s="13" t="e">
        <f>VLOOKUP($B62,baseline!$A:$AK,AE$2,FALSE)</f>
        <v>#N/A</v>
      </c>
      <c r="AF62" s="13" t="e">
        <f>VLOOKUP($B62,baseline!$A:$AK,AF$2,FALSE)</f>
        <v>#N/A</v>
      </c>
      <c r="AG62" s="13" t="e">
        <f>VLOOKUP($B62,baseline!$A:$AK,AG$2,FALSE)</f>
        <v>#N/A</v>
      </c>
      <c r="AH62" s="13" t="e">
        <f>VLOOKUP($B62,baseline!$A:$AK,AH$2,FALSE)</f>
        <v>#N/A</v>
      </c>
      <c r="AI62" s="13" t="e">
        <f>VLOOKUP($B62,baseline!$A:$AK,AI$2,FALSE)</f>
        <v>#N/A</v>
      </c>
      <c r="AJ62" s="13" t="e">
        <f>VLOOKUP($B62,baseline!$A:$AK,AJ$2,FALSE)</f>
        <v>#N/A</v>
      </c>
      <c r="AK62" s="13" t="e">
        <f>VLOOKUP($B62,baseline!$A:$AK,AK$2,FALSE)</f>
        <v>#N/A</v>
      </c>
      <c r="AL62" s="13" t="e">
        <f>VLOOKUP($B62,baseline!$A:$AK,AL$2,FALSE)</f>
        <v>#N/A</v>
      </c>
      <c r="AM62" s="13" t="e">
        <f>VLOOKUP($B62,baseline!$A:$AK,AM$2,FALSE)</f>
        <v>#N/A</v>
      </c>
      <c r="AN62" s="13" t="e">
        <f>VLOOKUP($B62,baseline!$A:$AK,AN$2,FALSE)</f>
        <v>#N/A</v>
      </c>
      <c r="AP62" s="3" t="e">
        <f t="shared" si="3"/>
        <v>#N/A</v>
      </c>
    </row>
    <row r="63" spans="2:42" x14ac:dyDescent="0.3">
      <c r="B63" t="s">
        <v>22</v>
      </c>
      <c r="D63" t="s">
        <v>172</v>
      </c>
      <c r="E63" s="13" t="e">
        <f>VLOOKUP($B63,baseline!$A:$AK,E$2,FALSE)</f>
        <v>#N/A</v>
      </c>
      <c r="F63" s="13" t="e">
        <f>VLOOKUP($B63,baseline!$A:$AK,F$2,FALSE)</f>
        <v>#N/A</v>
      </c>
      <c r="G63" s="13" t="e">
        <f>VLOOKUP($B63,baseline!$A:$AK,G$2,FALSE)</f>
        <v>#N/A</v>
      </c>
      <c r="H63" s="13" t="e">
        <f>VLOOKUP($B63,baseline!$A:$AK,H$2,FALSE)</f>
        <v>#N/A</v>
      </c>
      <c r="I63" s="13" t="e">
        <f>VLOOKUP($B63,baseline!$A:$AK,I$2,FALSE)</f>
        <v>#N/A</v>
      </c>
      <c r="J63" s="13" t="e">
        <f>VLOOKUP($B63,baseline!$A:$AK,J$2,FALSE)</f>
        <v>#N/A</v>
      </c>
      <c r="K63" s="13" t="e">
        <f>VLOOKUP($B63,baseline!$A:$AK,K$2,FALSE)</f>
        <v>#N/A</v>
      </c>
      <c r="L63" s="13" t="e">
        <f>VLOOKUP($B63,baseline!$A:$AK,L$2,FALSE)</f>
        <v>#N/A</v>
      </c>
      <c r="M63" s="13" t="e">
        <f>VLOOKUP($B63,baseline!$A:$AK,M$2,FALSE)</f>
        <v>#N/A</v>
      </c>
      <c r="N63" s="13" t="e">
        <f>VLOOKUP($B63,baseline!$A:$AK,N$2,FALSE)</f>
        <v>#N/A</v>
      </c>
      <c r="O63" s="13" t="e">
        <f>VLOOKUP($B63,baseline!$A:$AK,O$2,FALSE)</f>
        <v>#N/A</v>
      </c>
      <c r="P63" s="13" t="e">
        <f>VLOOKUP($B63,baseline!$A:$AK,P$2,FALSE)</f>
        <v>#N/A</v>
      </c>
      <c r="Q63" s="13" t="e">
        <f>VLOOKUP($B63,baseline!$A:$AK,Q$2,FALSE)</f>
        <v>#N/A</v>
      </c>
      <c r="R63" s="13" t="e">
        <f>VLOOKUP($B63,baseline!$A:$AK,R$2,FALSE)</f>
        <v>#N/A</v>
      </c>
      <c r="S63" s="13" t="e">
        <f>VLOOKUP($B63,baseline!$A:$AK,S$2,FALSE)</f>
        <v>#N/A</v>
      </c>
      <c r="T63" s="13" t="e">
        <f>VLOOKUP($B63,baseline!$A:$AK,T$2,FALSE)</f>
        <v>#N/A</v>
      </c>
      <c r="U63" s="13" t="e">
        <f>VLOOKUP($B63,baseline!$A:$AK,U$2,FALSE)</f>
        <v>#N/A</v>
      </c>
      <c r="V63" s="13" t="e">
        <f>VLOOKUP($B63,baseline!$A:$AK,V$2,FALSE)</f>
        <v>#N/A</v>
      </c>
      <c r="W63" s="13" t="e">
        <f>VLOOKUP($B63,baseline!$A:$AK,W$2,FALSE)</f>
        <v>#N/A</v>
      </c>
      <c r="X63" s="13" t="e">
        <f>VLOOKUP($B63,baseline!$A:$AK,X$2,FALSE)</f>
        <v>#N/A</v>
      </c>
      <c r="Y63" s="13" t="e">
        <f>VLOOKUP($B63,baseline!$A:$AK,Y$2,FALSE)</f>
        <v>#N/A</v>
      </c>
      <c r="Z63" s="13" t="e">
        <f>VLOOKUP($B63,baseline!$A:$AK,Z$2,FALSE)</f>
        <v>#N/A</v>
      </c>
      <c r="AA63" s="13" t="e">
        <f>VLOOKUP($B63,baseline!$A:$AK,AA$2,FALSE)</f>
        <v>#N/A</v>
      </c>
      <c r="AB63" s="13" t="e">
        <f>VLOOKUP($B63,baseline!$A:$AK,AB$2,FALSE)</f>
        <v>#N/A</v>
      </c>
      <c r="AC63" s="13" t="e">
        <f>VLOOKUP($B63,baseline!$A:$AK,AC$2,FALSE)</f>
        <v>#N/A</v>
      </c>
      <c r="AD63" s="13" t="e">
        <f>VLOOKUP($B63,baseline!$A:$AK,AD$2,FALSE)</f>
        <v>#N/A</v>
      </c>
      <c r="AE63" s="13" t="e">
        <f>VLOOKUP($B63,baseline!$A:$AK,AE$2,FALSE)</f>
        <v>#N/A</v>
      </c>
      <c r="AF63" s="13" t="e">
        <f>VLOOKUP($B63,baseline!$A:$AK,AF$2,FALSE)</f>
        <v>#N/A</v>
      </c>
      <c r="AG63" s="13" t="e">
        <f>VLOOKUP($B63,baseline!$A:$AK,AG$2,FALSE)</f>
        <v>#N/A</v>
      </c>
      <c r="AH63" s="13" t="e">
        <f>VLOOKUP($B63,baseline!$A:$AK,AH$2,FALSE)</f>
        <v>#N/A</v>
      </c>
      <c r="AI63" s="13" t="e">
        <f>VLOOKUP($B63,baseline!$A:$AK,AI$2,FALSE)</f>
        <v>#N/A</v>
      </c>
      <c r="AJ63" s="13" t="e">
        <f>VLOOKUP($B63,baseline!$A:$AK,AJ$2,FALSE)</f>
        <v>#N/A</v>
      </c>
      <c r="AK63" s="13" t="e">
        <f>VLOOKUP($B63,baseline!$A:$AK,AK$2,FALSE)</f>
        <v>#N/A</v>
      </c>
      <c r="AL63" s="13" t="e">
        <f>VLOOKUP($B63,baseline!$A:$AK,AL$2,FALSE)</f>
        <v>#N/A</v>
      </c>
      <c r="AM63" s="13" t="e">
        <f>VLOOKUP($B63,baseline!$A:$AK,AM$2,FALSE)</f>
        <v>#N/A</v>
      </c>
      <c r="AN63" s="13" t="e">
        <f>VLOOKUP($B63,baseline!$A:$AK,AN$2,FALSE)</f>
        <v>#N/A</v>
      </c>
      <c r="AP63" s="3" t="e">
        <f t="shared" si="3"/>
        <v>#N/A</v>
      </c>
    </row>
    <row r="64" spans="2:42" x14ac:dyDescent="0.3">
      <c r="B64" t="s">
        <v>23</v>
      </c>
      <c r="D64" t="s">
        <v>172</v>
      </c>
      <c r="E64" s="13" t="e">
        <f>VLOOKUP($B64,baseline!$A:$AK,E$2,FALSE)</f>
        <v>#N/A</v>
      </c>
      <c r="F64" s="13" t="e">
        <f>VLOOKUP($B64,baseline!$A:$AK,F$2,FALSE)</f>
        <v>#N/A</v>
      </c>
      <c r="G64" s="13" t="e">
        <f>VLOOKUP($B64,baseline!$A:$AK,G$2,FALSE)</f>
        <v>#N/A</v>
      </c>
      <c r="H64" s="13" t="e">
        <f>VLOOKUP($B64,baseline!$A:$AK,H$2,FALSE)</f>
        <v>#N/A</v>
      </c>
      <c r="I64" s="13" t="e">
        <f>VLOOKUP($B64,baseline!$A:$AK,I$2,FALSE)</f>
        <v>#N/A</v>
      </c>
      <c r="J64" s="13" t="e">
        <f>VLOOKUP($B64,baseline!$A:$AK,J$2,FALSE)</f>
        <v>#N/A</v>
      </c>
      <c r="K64" s="13" t="e">
        <f>VLOOKUP($B64,baseline!$A:$AK,K$2,FALSE)</f>
        <v>#N/A</v>
      </c>
      <c r="L64" s="13" t="e">
        <f>VLOOKUP($B64,baseline!$A:$AK,L$2,FALSE)</f>
        <v>#N/A</v>
      </c>
      <c r="M64" s="13" t="e">
        <f>VLOOKUP($B64,baseline!$A:$AK,M$2,FALSE)</f>
        <v>#N/A</v>
      </c>
      <c r="N64" s="13" t="e">
        <f>VLOOKUP($B64,baseline!$A:$AK,N$2,FALSE)</f>
        <v>#N/A</v>
      </c>
      <c r="O64" s="13" t="e">
        <f>VLOOKUP($B64,baseline!$A:$AK,O$2,FALSE)</f>
        <v>#N/A</v>
      </c>
      <c r="P64" s="13" t="e">
        <f>VLOOKUP($B64,baseline!$A:$AK,P$2,FALSE)</f>
        <v>#N/A</v>
      </c>
      <c r="Q64" s="13" t="e">
        <f>VLOOKUP($B64,baseline!$A:$AK,Q$2,FALSE)</f>
        <v>#N/A</v>
      </c>
      <c r="R64" s="13" t="e">
        <f>VLOOKUP($B64,baseline!$A:$AK,R$2,FALSE)</f>
        <v>#N/A</v>
      </c>
      <c r="S64" s="13" t="e">
        <f>VLOOKUP($B64,baseline!$A:$AK,S$2,FALSE)</f>
        <v>#N/A</v>
      </c>
      <c r="T64" s="13" t="e">
        <f>VLOOKUP($B64,baseline!$A:$AK,T$2,FALSE)</f>
        <v>#N/A</v>
      </c>
      <c r="U64" s="13" t="e">
        <f>VLOOKUP($B64,baseline!$A:$AK,U$2,FALSE)</f>
        <v>#N/A</v>
      </c>
      <c r="V64" s="13" t="e">
        <f>VLOOKUP($B64,baseline!$A:$AK,V$2,FALSE)</f>
        <v>#N/A</v>
      </c>
      <c r="W64" s="13" t="e">
        <f>VLOOKUP($B64,baseline!$A:$AK,W$2,FALSE)</f>
        <v>#N/A</v>
      </c>
      <c r="X64" s="13" t="e">
        <f>VLOOKUP($B64,baseline!$A:$AK,X$2,FALSE)</f>
        <v>#N/A</v>
      </c>
      <c r="Y64" s="13" t="e">
        <f>VLOOKUP($B64,baseline!$A:$AK,Y$2,FALSE)</f>
        <v>#N/A</v>
      </c>
      <c r="Z64" s="13" t="e">
        <f>VLOOKUP($B64,baseline!$A:$AK,Z$2,FALSE)</f>
        <v>#N/A</v>
      </c>
      <c r="AA64" s="13" t="e">
        <f>VLOOKUP($B64,baseline!$A:$AK,AA$2,FALSE)</f>
        <v>#N/A</v>
      </c>
      <c r="AB64" s="13" t="e">
        <f>VLOOKUP($B64,baseline!$A:$AK,AB$2,FALSE)</f>
        <v>#N/A</v>
      </c>
      <c r="AC64" s="13" t="e">
        <f>VLOOKUP($B64,baseline!$A:$AK,AC$2,FALSE)</f>
        <v>#N/A</v>
      </c>
      <c r="AD64" s="13" t="e">
        <f>VLOOKUP($B64,baseline!$A:$AK,AD$2,FALSE)</f>
        <v>#N/A</v>
      </c>
      <c r="AE64" s="13" t="e">
        <f>VLOOKUP($B64,baseline!$A:$AK,AE$2,FALSE)</f>
        <v>#N/A</v>
      </c>
      <c r="AF64" s="13" t="e">
        <f>VLOOKUP($B64,baseline!$A:$AK,AF$2,FALSE)</f>
        <v>#N/A</v>
      </c>
      <c r="AG64" s="13" t="e">
        <f>VLOOKUP($B64,baseline!$A:$AK,AG$2,FALSE)</f>
        <v>#N/A</v>
      </c>
      <c r="AH64" s="13" t="e">
        <f>VLOOKUP($B64,baseline!$A:$AK,AH$2,FALSE)</f>
        <v>#N/A</v>
      </c>
      <c r="AI64" s="13" t="e">
        <f>VLOOKUP($B64,baseline!$A:$AK,AI$2,FALSE)</f>
        <v>#N/A</v>
      </c>
      <c r="AJ64" s="13" t="e">
        <f>VLOOKUP($B64,baseline!$A:$AK,AJ$2,FALSE)</f>
        <v>#N/A</v>
      </c>
      <c r="AK64" s="13" t="e">
        <f>VLOOKUP($B64,baseline!$A:$AK,AK$2,FALSE)</f>
        <v>#N/A</v>
      </c>
      <c r="AL64" s="13" t="e">
        <f>VLOOKUP($B64,baseline!$A:$AK,AL$2,FALSE)</f>
        <v>#N/A</v>
      </c>
      <c r="AM64" s="13" t="e">
        <f>VLOOKUP($B64,baseline!$A:$AK,AM$2,FALSE)</f>
        <v>#N/A</v>
      </c>
      <c r="AN64" s="13" t="e">
        <f>VLOOKUP($B64,baseline!$A:$AK,AN$2,FALSE)</f>
        <v>#N/A</v>
      </c>
      <c r="AP64" s="3" t="e">
        <f t="shared" si="3"/>
        <v>#N/A</v>
      </c>
    </row>
    <row r="65" spans="2:42" x14ac:dyDescent="0.3">
      <c r="B65" t="s">
        <v>24</v>
      </c>
      <c r="D65" t="s">
        <v>172</v>
      </c>
      <c r="E65" s="13" t="e">
        <f>VLOOKUP($B65,baseline!$A:$AK,E$2,FALSE)</f>
        <v>#N/A</v>
      </c>
      <c r="F65" s="13" t="e">
        <f>VLOOKUP($B65,baseline!$A:$AK,F$2,FALSE)</f>
        <v>#N/A</v>
      </c>
      <c r="G65" s="13" t="e">
        <f>VLOOKUP($B65,baseline!$A:$AK,G$2,FALSE)</f>
        <v>#N/A</v>
      </c>
      <c r="H65" s="13" t="e">
        <f>VLOOKUP($B65,baseline!$A:$AK,H$2,FALSE)</f>
        <v>#N/A</v>
      </c>
      <c r="I65" s="13" t="e">
        <f>VLOOKUP($B65,baseline!$A:$AK,I$2,FALSE)</f>
        <v>#N/A</v>
      </c>
      <c r="J65" s="13" t="e">
        <f>VLOOKUP($B65,baseline!$A:$AK,J$2,FALSE)</f>
        <v>#N/A</v>
      </c>
      <c r="K65" s="13" t="e">
        <f>VLOOKUP($B65,baseline!$A:$AK,K$2,FALSE)</f>
        <v>#N/A</v>
      </c>
      <c r="L65" s="13" t="e">
        <f>VLOOKUP($B65,baseline!$A:$AK,L$2,FALSE)</f>
        <v>#N/A</v>
      </c>
      <c r="M65" s="13" t="e">
        <f>VLOOKUP($B65,baseline!$A:$AK,M$2,FALSE)</f>
        <v>#N/A</v>
      </c>
      <c r="N65" s="13" t="e">
        <f>VLOOKUP($B65,baseline!$A:$AK,N$2,FALSE)</f>
        <v>#N/A</v>
      </c>
      <c r="O65" s="13" t="e">
        <f>VLOOKUP($B65,baseline!$A:$AK,O$2,FALSE)</f>
        <v>#N/A</v>
      </c>
      <c r="P65" s="13" t="e">
        <f>VLOOKUP($B65,baseline!$A:$AK,P$2,FALSE)</f>
        <v>#N/A</v>
      </c>
      <c r="Q65" s="13" t="e">
        <f>VLOOKUP($B65,baseline!$A:$AK,Q$2,FALSE)</f>
        <v>#N/A</v>
      </c>
      <c r="R65" s="13" t="e">
        <f>VLOOKUP($B65,baseline!$A:$AK,R$2,FALSE)</f>
        <v>#N/A</v>
      </c>
      <c r="S65" s="13" t="e">
        <f>VLOOKUP($B65,baseline!$A:$AK,S$2,FALSE)</f>
        <v>#N/A</v>
      </c>
      <c r="T65" s="13" t="e">
        <f>VLOOKUP($B65,baseline!$A:$AK,T$2,FALSE)</f>
        <v>#N/A</v>
      </c>
      <c r="U65" s="13" t="e">
        <f>VLOOKUP($B65,baseline!$A:$AK,U$2,FALSE)</f>
        <v>#N/A</v>
      </c>
      <c r="V65" s="13" t="e">
        <f>VLOOKUP($B65,baseline!$A:$AK,V$2,FALSE)</f>
        <v>#N/A</v>
      </c>
      <c r="W65" s="13" t="e">
        <f>VLOOKUP($B65,baseline!$A:$AK,W$2,FALSE)</f>
        <v>#N/A</v>
      </c>
      <c r="X65" s="13" t="e">
        <f>VLOOKUP($B65,baseline!$A:$AK,X$2,FALSE)</f>
        <v>#N/A</v>
      </c>
      <c r="Y65" s="13" t="e">
        <f>VLOOKUP($B65,baseline!$A:$AK,Y$2,FALSE)</f>
        <v>#N/A</v>
      </c>
      <c r="Z65" s="13" t="e">
        <f>VLOOKUP($B65,baseline!$A:$AK,Z$2,FALSE)</f>
        <v>#N/A</v>
      </c>
      <c r="AA65" s="13" t="e">
        <f>VLOOKUP($B65,baseline!$A:$AK,AA$2,FALSE)</f>
        <v>#N/A</v>
      </c>
      <c r="AB65" s="13" t="e">
        <f>VLOOKUP($B65,baseline!$A:$AK,AB$2,FALSE)</f>
        <v>#N/A</v>
      </c>
      <c r="AC65" s="13" t="e">
        <f>VLOOKUP($B65,baseline!$A:$AK,AC$2,FALSE)</f>
        <v>#N/A</v>
      </c>
      <c r="AD65" s="13" t="e">
        <f>VLOOKUP($B65,baseline!$A:$AK,AD$2,FALSE)</f>
        <v>#N/A</v>
      </c>
      <c r="AE65" s="13" t="e">
        <f>VLOOKUP($B65,baseline!$A:$AK,AE$2,FALSE)</f>
        <v>#N/A</v>
      </c>
      <c r="AF65" s="13" t="e">
        <f>VLOOKUP($B65,baseline!$A:$AK,AF$2,FALSE)</f>
        <v>#N/A</v>
      </c>
      <c r="AG65" s="13" t="e">
        <f>VLOOKUP($B65,baseline!$A:$AK,AG$2,FALSE)</f>
        <v>#N/A</v>
      </c>
      <c r="AH65" s="13" t="e">
        <f>VLOOKUP($B65,baseline!$A:$AK,AH$2,FALSE)</f>
        <v>#N/A</v>
      </c>
      <c r="AI65" s="13" t="e">
        <f>VLOOKUP($B65,baseline!$A:$AK,AI$2,FALSE)</f>
        <v>#N/A</v>
      </c>
      <c r="AJ65" s="13" t="e">
        <f>VLOOKUP($B65,baseline!$A:$AK,AJ$2,FALSE)</f>
        <v>#N/A</v>
      </c>
      <c r="AK65" s="13" t="e">
        <f>VLOOKUP($B65,baseline!$A:$AK,AK$2,FALSE)</f>
        <v>#N/A</v>
      </c>
      <c r="AL65" s="13" t="e">
        <f>VLOOKUP($B65,baseline!$A:$AK,AL$2,FALSE)</f>
        <v>#N/A</v>
      </c>
      <c r="AM65" s="13" t="e">
        <f>VLOOKUP($B65,baseline!$A:$AK,AM$2,FALSE)</f>
        <v>#N/A</v>
      </c>
      <c r="AN65" s="13" t="e">
        <f>VLOOKUP($B65,baseline!$A:$AK,AN$2,FALSE)</f>
        <v>#N/A</v>
      </c>
      <c r="AP65" s="3" t="e">
        <f t="shared" si="3"/>
        <v>#N/A</v>
      </c>
    </row>
    <row r="66" spans="2:42" x14ac:dyDescent="0.3">
      <c r="B66" t="s">
        <v>25</v>
      </c>
      <c r="D66" t="s">
        <v>172</v>
      </c>
      <c r="E66" s="13" t="e">
        <f>VLOOKUP($B66,baseline!$A:$AK,E$2,FALSE)</f>
        <v>#N/A</v>
      </c>
      <c r="F66" s="13" t="e">
        <f>VLOOKUP($B66,baseline!$A:$AK,F$2,FALSE)</f>
        <v>#N/A</v>
      </c>
      <c r="G66" s="13" t="e">
        <f>VLOOKUP($B66,baseline!$A:$AK,G$2,FALSE)</f>
        <v>#N/A</v>
      </c>
      <c r="H66" s="13" t="e">
        <f>VLOOKUP($B66,baseline!$A:$AK,H$2,FALSE)</f>
        <v>#N/A</v>
      </c>
      <c r="I66" s="13" t="e">
        <f>VLOOKUP($B66,baseline!$A:$AK,I$2,FALSE)</f>
        <v>#N/A</v>
      </c>
      <c r="J66" s="13" t="e">
        <f>VLOOKUP($B66,baseline!$A:$AK,J$2,FALSE)</f>
        <v>#N/A</v>
      </c>
      <c r="K66" s="13" t="e">
        <f>VLOOKUP($B66,baseline!$A:$AK,K$2,FALSE)</f>
        <v>#N/A</v>
      </c>
      <c r="L66" s="13" t="e">
        <f>VLOOKUP($B66,baseline!$A:$AK,L$2,FALSE)</f>
        <v>#N/A</v>
      </c>
      <c r="M66" s="13" t="e">
        <f>VLOOKUP($B66,baseline!$A:$AK,M$2,FALSE)</f>
        <v>#N/A</v>
      </c>
      <c r="N66" s="13" t="e">
        <f>VLOOKUP($B66,baseline!$A:$AK,N$2,FALSE)</f>
        <v>#N/A</v>
      </c>
      <c r="O66" s="13" t="e">
        <f>VLOOKUP($B66,baseline!$A:$AK,O$2,FALSE)</f>
        <v>#N/A</v>
      </c>
      <c r="P66" s="13" t="e">
        <f>VLOOKUP($B66,baseline!$A:$AK,P$2,FALSE)</f>
        <v>#N/A</v>
      </c>
      <c r="Q66" s="13" t="e">
        <f>VLOOKUP($B66,baseline!$A:$AK,Q$2,FALSE)</f>
        <v>#N/A</v>
      </c>
      <c r="R66" s="13" t="e">
        <f>VLOOKUP($B66,baseline!$A:$AK,R$2,FALSE)</f>
        <v>#N/A</v>
      </c>
      <c r="S66" s="13" t="e">
        <f>VLOOKUP($B66,baseline!$A:$AK,S$2,FALSE)</f>
        <v>#N/A</v>
      </c>
      <c r="T66" s="13" t="e">
        <f>VLOOKUP($B66,baseline!$A:$AK,T$2,FALSE)</f>
        <v>#N/A</v>
      </c>
      <c r="U66" s="13" t="e">
        <f>VLOOKUP($B66,baseline!$A:$AK,U$2,FALSE)</f>
        <v>#N/A</v>
      </c>
      <c r="V66" s="13" t="e">
        <f>VLOOKUP($B66,baseline!$A:$AK,V$2,FALSE)</f>
        <v>#N/A</v>
      </c>
      <c r="W66" s="13" t="e">
        <f>VLOOKUP($B66,baseline!$A:$AK,W$2,FALSE)</f>
        <v>#N/A</v>
      </c>
      <c r="X66" s="13" t="e">
        <f>VLOOKUP($B66,baseline!$A:$AK,X$2,FALSE)</f>
        <v>#N/A</v>
      </c>
      <c r="Y66" s="13" t="e">
        <f>VLOOKUP($B66,baseline!$A:$AK,Y$2,FALSE)</f>
        <v>#N/A</v>
      </c>
      <c r="Z66" s="13" t="e">
        <f>VLOOKUP($B66,baseline!$A:$AK,Z$2,FALSE)</f>
        <v>#N/A</v>
      </c>
      <c r="AA66" s="13" t="e">
        <f>VLOOKUP($B66,baseline!$A:$AK,AA$2,FALSE)</f>
        <v>#N/A</v>
      </c>
      <c r="AB66" s="13" t="e">
        <f>VLOOKUP($B66,baseline!$A:$AK,AB$2,FALSE)</f>
        <v>#N/A</v>
      </c>
      <c r="AC66" s="13" t="e">
        <f>VLOOKUP($B66,baseline!$A:$AK,AC$2,FALSE)</f>
        <v>#N/A</v>
      </c>
      <c r="AD66" s="13" t="e">
        <f>VLOOKUP($B66,baseline!$A:$AK,AD$2,FALSE)</f>
        <v>#N/A</v>
      </c>
      <c r="AE66" s="13" t="e">
        <f>VLOOKUP($B66,baseline!$A:$AK,AE$2,FALSE)</f>
        <v>#N/A</v>
      </c>
      <c r="AF66" s="13" t="e">
        <f>VLOOKUP($B66,baseline!$A:$AK,AF$2,FALSE)</f>
        <v>#N/A</v>
      </c>
      <c r="AG66" s="13" t="e">
        <f>VLOOKUP($B66,baseline!$A:$AK,AG$2,FALSE)</f>
        <v>#N/A</v>
      </c>
      <c r="AH66" s="13" t="e">
        <f>VLOOKUP($B66,baseline!$A:$AK,AH$2,FALSE)</f>
        <v>#N/A</v>
      </c>
      <c r="AI66" s="13" t="e">
        <f>VLOOKUP($B66,baseline!$A:$AK,AI$2,FALSE)</f>
        <v>#N/A</v>
      </c>
      <c r="AJ66" s="13" t="e">
        <f>VLOOKUP($B66,baseline!$A:$AK,AJ$2,FALSE)</f>
        <v>#N/A</v>
      </c>
      <c r="AK66" s="13" t="e">
        <f>VLOOKUP($B66,baseline!$A:$AK,AK$2,FALSE)</f>
        <v>#N/A</v>
      </c>
      <c r="AL66" s="13" t="e">
        <f>VLOOKUP($B66,baseline!$A:$AK,AL$2,FALSE)</f>
        <v>#N/A</v>
      </c>
      <c r="AM66" s="13" t="e">
        <f>VLOOKUP($B66,baseline!$A:$AK,AM$2,FALSE)</f>
        <v>#N/A</v>
      </c>
      <c r="AN66" s="13" t="e">
        <f>VLOOKUP($B66,baseline!$A:$AK,AN$2,FALSE)</f>
        <v>#N/A</v>
      </c>
      <c r="AP66" s="3" t="e">
        <f t="shared" si="3"/>
        <v>#N/A</v>
      </c>
    </row>
    <row r="67" spans="2:42" x14ac:dyDescent="0.3">
      <c r="B67" t="s">
        <v>26</v>
      </c>
      <c r="D67" t="s">
        <v>172</v>
      </c>
      <c r="E67" s="13" t="e">
        <f>VLOOKUP($B67,baseline!$A:$AK,E$2,FALSE)</f>
        <v>#N/A</v>
      </c>
      <c r="F67" s="13" t="e">
        <f>VLOOKUP($B67,baseline!$A:$AK,F$2,FALSE)</f>
        <v>#N/A</v>
      </c>
      <c r="G67" s="13" t="e">
        <f>VLOOKUP($B67,baseline!$A:$AK,G$2,FALSE)</f>
        <v>#N/A</v>
      </c>
      <c r="H67" s="13" t="e">
        <f>VLOOKUP($B67,baseline!$A:$AK,H$2,FALSE)</f>
        <v>#N/A</v>
      </c>
      <c r="I67" s="13" t="e">
        <f>VLOOKUP($B67,baseline!$A:$AK,I$2,FALSE)</f>
        <v>#N/A</v>
      </c>
      <c r="J67" s="13" t="e">
        <f>VLOOKUP($B67,baseline!$A:$AK,J$2,FALSE)</f>
        <v>#N/A</v>
      </c>
      <c r="K67" s="13" t="e">
        <f>VLOOKUP($B67,baseline!$A:$AK,K$2,FALSE)</f>
        <v>#N/A</v>
      </c>
      <c r="L67" s="13" t="e">
        <f>VLOOKUP($B67,baseline!$A:$AK,L$2,FALSE)</f>
        <v>#N/A</v>
      </c>
      <c r="M67" s="13" t="e">
        <f>VLOOKUP($B67,baseline!$A:$AK,M$2,FALSE)</f>
        <v>#N/A</v>
      </c>
      <c r="N67" s="13" t="e">
        <f>VLOOKUP($B67,baseline!$A:$AK,N$2,FALSE)</f>
        <v>#N/A</v>
      </c>
      <c r="O67" s="13" t="e">
        <f>VLOOKUP($B67,baseline!$A:$AK,O$2,FALSE)</f>
        <v>#N/A</v>
      </c>
      <c r="P67" s="13" t="e">
        <f>VLOOKUP($B67,baseline!$A:$AK,P$2,FALSE)</f>
        <v>#N/A</v>
      </c>
      <c r="Q67" s="13" t="e">
        <f>VLOOKUP($B67,baseline!$A:$AK,Q$2,FALSE)</f>
        <v>#N/A</v>
      </c>
      <c r="R67" s="13" t="e">
        <f>VLOOKUP($B67,baseline!$A:$AK,R$2,FALSE)</f>
        <v>#N/A</v>
      </c>
      <c r="S67" s="13" t="e">
        <f>VLOOKUP($B67,baseline!$A:$AK,S$2,FALSE)</f>
        <v>#N/A</v>
      </c>
      <c r="T67" s="13" t="e">
        <f>VLOOKUP($B67,baseline!$A:$AK,T$2,FALSE)</f>
        <v>#N/A</v>
      </c>
      <c r="U67" s="13" t="e">
        <f>VLOOKUP($B67,baseline!$A:$AK,U$2,FALSE)</f>
        <v>#N/A</v>
      </c>
      <c r="V67" s="13" t="e">
        <f>VLOOKUP($B67,baseline!$A:$AK,V$2,FALSE)</f>
        <v>#N/A</v>
      </c>
      <c r="W67" s="13" t="e">
        <f>VLOOKUP($B67,baseline!$A:$AK,W$2,FALSE)</f>
        <v>#N/A</v>
      </c>
      <c r="X67" s="13" t="e">
        <f>VLOOKUP($B67,baseline!$A:$AK,X$2,FALSE)</f>
        <v>#N/A</v>
      </c>
      <c r="Y67" s="13" t="e">
        <f>VLOOKUP($B67,baseline!$A:$AK,Y$2,FALSE)</f>
        <v>#N/A</v>
      </c>
      <c r="Z67" s="13" t="e">
        <f>VLOOKUP($B67,baseline!$A:$AK,Z$2,FALSE)</f>
        <v>#N/A</v>
      </c>
      <c r="AA67" s="13" t="e">
        <f>VLOOKUP($B67,baseline!$A:$AK,AA$2,FALSE)</f>
        <v>#N/A</v>
      </c>
      <c r="AB67" s="13" t="e">
        <f>VLOOKUP($B67,baseline!$A:$AK,AB$2,FALSE)</f>
        <v>#N/A</v>
      </c>
      <c r="AC67" s="13" t="e">
        <f>VLOOKUP($B67,baseline!$A:$AK,AC$2,FALSE)</f>
        <v>#N/A</v>
      </c>
      <c r="AD67" s="13" t="e">
        <f>VLOOKUP($B67,baseline!$A:$AK,AD$2,FALSE)</f>
        <v>#N/A</v>
      </c>
      <c r="AE67" s="13" t="e">
        <f>VLOOKUP($B67,baseline!$A:$AK,AE$2,FALSE)</f>
        <v>#N/A</v>
      </c>
      <c r="AF67" s="13" t="e">
        <f>VLOOKUP($B67,baseline!$A:$AK,AF$2,FALSE)</f>
        <v>#N/A</v>
      </c>
      <c r="AG67" s="13" t="e">
        <f>VLOOKUP($B67,baseline!$A:$AK,AG$2,FALSE)</f>
        <v>#N/A</v>
      </c>
      <c r="AH67" s="13" t="e">
        <f>VLOOKUP($B67,baseline!$A:$AK,AH$2,FALSE)</f>
        <v>#N/A</v>
      </c>
      <c r="AI67" s="13" t="e">
        <f>VLOOKUP($B67,baseline!$A:$AK,AI$2,FALSE)</f>
        <v>#N/A</v>
      </c>
      <c r="AJ67" s="13" t="e">
        <f>VLOOKUP($B67,baseline!$A:$AK,AJ$2,FALSE)</f>
        <v>#N/A</v>
      </c>
      <c r="AK67" s="13" t="e">
        <f>VLOOKUP($B67,baseline!$A:$AK,AK$2,FALSE)</f>
        <v>#N/A</v>
      </c>
      <c r="AL67" s="13" t="e">
        <f>VLOOKUP($B67,baseline!$A:$AK,AL$2,FALSE)</f>
        <v>#N/A</v>
      </c>
      <c r="AM67" s="13" t="e">
        <f>VLOOKUP($B67,baseline!$A:$AK,AM$2,FALSE)</f>
        <v>#N/A</v>
      </c>
      <c r="AN67" s="13" t="e">
        <f>VLOOKUP($B67,baseline!$A:$AK,AN$2,FALSE)</f>
        <v>#N/A</v>
      </c>
      <c r="AP67" s="3" t="e">
        <f t="shared" si="3"/>
        <v>#N/A</v>
      </c>
    </row>
    <row r="68" spans="2:42" x14ac:dyDescent="0.3">
      <c r="B68" t="s">
        <v>27</v>
      </c>
      <c r="D68" t="s">
        <v>172</v>
      </c>
      <c r="E68" s="13" t="e">
        <f>VLOOKUP($B68,baseline!$A:$AK,E$2,FALSE)</f>
        <v>#N/A</v>
      </c>
      <c r="F68" s="13" t="e">
        <f>VLOOKUP($B68,baseline!$A:$AK,F$2,FALSE)</f>
        <v>#N/A</v>
      </c>
      <c r="G68" s="13" t="e">
        <f>VLOOKUP($B68,baseline!$A:$AK,G$2,FALSE)</f>
        <v>#N/A</v>
      </c>
      <c r="H68" s="13" t="e">
        <f>VLOOKUP($B68,baseline!$A:$AK,H$2,FALSE)</f>
        <v>#N/A</v>
      </c>
      <c r="I68" s="13" t="e">
        <f>VLOOKUP($B68,baseline!$A:$AK,I$2,FALSE)</f>
        <v>#N/A</v>
      </c>
      <c r="J68" s="13" t="e">
        <f>VLOOKUP($B68,baseline!$A:$AK,J$2,FALSE)</f>
        <v>#N/A</v>
      </c>
      <c r="K68" s="13" t="e">
        <f>VLOOKUP($B68,baseline!$A:$AK,K$2,FALSE)</f>
        <v>#N/A</v>
      </c>
      <c r="L68" s="13" t="e">
        <f>VLOOKUP($B68,baseline!$A:$AK,L$2,FALSE)</f>
        <v>#N/A</v>
      </c>
      <c r="M68" s="13" t="e">
        <f>VLOOKUP($B68,baseline!$A:$AK,M$2,FALSE)</f>
        <v>#N/A</v>
      </c>
      <c r="N68" s="13" t="e">
        <f>VLOOKUP($B68,baseline!$A:$AK,N$2,FALSE)</f>
        <v>#N/A</v>
      </c>
      <c r="O68" s="13" t="e">
        <f>VLOOKUP($B68,baseline!$A:$AK,O$2,FALSE)</f>
        <v>#N/A</v>
      </c>
      <c r="P68" s="13" t="e">
        <f>VLOOKUP($B68,baseline!$A:$AK,P$2,FALSE)</f>
        <v>#N/A</v>
      </c>
      <c r="Q68" s="13" t="e">
        <f>VLOOKUP($B68,baseline!$A:$AK,Q$2,FALSE)</f>
        <v>#N/A</v>
      </c>
      <c r="R68" s="13" t="e">
        <f>VLOOKUP($B68,baseline!$A:$AK,R$2,FALSE)</f>
        <v>#N/A</v>
      </c>
      <c r="S68" s="13" t="e">
        <f>VLOOKUP($B68,baseline!$A:$AK,S$2,FALSE)</f>
        <v>#N/A</v>
      </c>
      <c r="T68" s="13" t="e">
        <f>VLOOKUP($B68,baseline!$A:$AK,T$2,FALSE)</f>
        <v>#N/A</v>
      </c>
      <c r="U68" s="13" t="e">
        <f>VLOOKUP($B68,baseline!$A:$AK,U$2,FALSE)</f>
        <v>#N/A</v>
      </c>
      <c r="V68" s="13" t="e">
        <f>VLOOKUP($B68,baseline!$A:$AK,V$2,FALSE)</f>
        <v>#N/A</v>
      </c>
      <c r="W68" s="13" t="e">
        <f>VLOOKUP($B68,baseline!$A:$AK,W$2,FALSE)</f>
        <v>#N/A</v>
      </c>
      <c r="X68" s="13" t="e">
        <f>VLOOKUP($B68,baseline!$A:$AK,X$2,FALSE)</f>
        <v>#N/A</v>
      </c>
      <c r="Y68" s="13" t="e">
        <f>VLOOKUP($B68,baseline!$A:$AK,Y$2,FALSE)</f>
        <v>#N/A</v>
      </c>
      <c r="Z68" s="13" t="e">
        <f>VLOOKUP($B68,baseline!$A:$AK,Z$2,FALSE)</f>
        <v>#N/A</v>
      </c>
      <c r="AA68" s="13" t="e">
        <f>VLOOKUP($B68,baseline!$A:$AK,AA$2,FALSE)</f>
        <v>#N/A</v>
      </c>
      <c r="AB68" s="13" t="e">
        <f>VLOOKUP($B68,baseline!$A:$AK,AB$2,FALSE)</f>
        <v>#N/A</v>
      </c>
      <c r="AC68" s="13" t="e">
        <f>VLOOKUP($B68,baseline!$A:$AK,AC$2,FALSE)</f>
        <v>#N/A</v>
      </c>
      <c r="AD68" s="13" t="e">
        <f>VLOOKUP($B68,baseline!$A:$AK,AD$2,FALSE)</f>
        <v>#N/A</v>
      </c>
      <c r="AE68" s="13" t="e">
        <f>VLOOKUP($B68,baseline!$A:$AK,AE$2,FALSE)</f>
        <v>#N/A</v>
      </c>
      <c r="AF68" s="13" t="e">
        <f>VLOOKUP($B68,baseline!$A:$AK,AF$2,FALSE)</f>
        <v>#N/A</v>
      </c>
      <c r="AG68" s="13" t="e">
        <f>VLOOKUP($B68,baseline!$A:$AK,AG$2,FALSE)</f>
        <v>#N/A</v>
      </c>
      <c r="AH68" s="13" t="e">
        <f>VLOOKUP($B68,baseline!$A:$AK,AH$2,FALSE)</f>
        <v>#N/A</v>
      </c>
      <c r="AI68" s="13" t="e">
        <f>VLOOKUP($B68,baseline!$A:$AK,AI$2,FALSE)</f>
        <v>#N/A</v>
      </c>
      <c r="AJ68" s="13" t="e">
        <f>VLOOKUP($B68,baseline!$A:$AK,AJ$2,FALSE)</f>
        <v>#N/A</v>
      </c>
      <c r="AK68" s="13" t="e">
        <f>VLOOKUP($B68,baseline!$A:$AK,AK$2,FALSE)</f>
        <v>#N/A</v>
      </c>
      <c r="AL68" s="13" t="e">
        <f>VLOOKUP($B68,baseline!$A:$AK,AL$2,FALSE)</f>
        <v>#N/A</v>
      </c>
      <c r="AM68" s="13" t="e">
        <f>VLOOKUP($B68,baseline!$A:$AK,AM$2,FALSE)</f>
        <v>#N/A</v>
      </c>
      <c r="AN68" s="13" t="e">
        <f>VLOOKUP($B68,baseline!$A:$AK,AN$2,FALSE)</f>
        <v>#N/A</v>
      </c>
      <c r="AP68" s="3" t="e">
        <f t="shared" si="3"/>
        <v>#N/A</v>
      </c>
    </row>
    <row r="70" spans="2:42" x14ac:dyDescent="0.3">
      <c r="B70" t="str">
        <f>B42&amp;"/"&amp;B12</f>
        <v>y_sagr_0/ems_ci_co2_sagr_0</v>
      </c>
      <c r="D70" t="s">
        <v>173</v>
      </c>
      <c r="E70" s="3" t="e">
        <f>E12/E42*1000</f>
        <v>#N/A</v>
      </c>
      <c r="F70" s="3" t="e">
        <f t="shared" ref="F70:AN77" si="4">F12/F42*1000</f>
        <v>#N/A</v>
      </c>
      <c r="G70" s="3" t="e">
        <f t="shared" si="4"/>
        <v>#N/A</v>
      </c>
      <c r="H70" s="3" t="e">
        <f t="shared" si="4"/>
        <v>#N/A</v>
      </c>
      <c r="I70" s="3" t="e">
        <f t="shared" si="4"/>
        <v>#N/A</v>
      </c>
      <c r="J70" s="3" t="e">
        <f t="shared" si="4"/>
        <v>#N/A</v>
      </c>
      <c r="K70" s="3" t="e">
        <f t="shared" si="4"/>
        <v>#N/A</v>
      </c>
      <c r="L70" s="3" t="e">
        <f t="shared" si="4"/>
        <v>#N/A</v>
      </c>
      <c r="M70" s="3" t="e">
        <f t="shared" si="4"/>
        <v>#N/A</v>
      </c>
      <c r="N70" s="3" t="e">
        <f t="shared" si="4"/>
        <v>#N/A</v>
      </c>
      <c r="O70" s="3" t="e">
        <f t="shared" si="4"/>
        <v>#N/A</v>
      </c>
      <c r="P70" s="3" t="e">
        <f t="shared" si="4"/>
        <v>#N/A</v>
      </c>
      <c r="Q70" s="3" t="e">
        <f t="shared" si="4"/>
        <v>#N/A</v>
      </c>
      <c r="R70" s="3" t="e">
        <f t="shared" si="4"/>
        <v>#N/A</v>
      </c>
      <c r="S70" s="3" t="e">
        <f t="shared" si="4"/>
        <v>#N/A</v>
      </c>
      <c r="T70" s="3" t="e">
        <f t="shared" si="4"/>
        <v>#N/A</v>
      </c>
      <c r="U70" s="3" t="e">
        <f t="shared" si="4"/>
        <v>#N/A</v>
      </c>
      <c r="V70" s="3" t="e">
        <f t="shared" si="4"/>
        <v>#N/A</v>
      </c>
      <c r="W70" s="3" t="e">
        <f t="shared" si="4"/>
        <v>#N/A</v>
      </c>
      <c r="X70" s="3" t="e">
        <f t="shared" si="4"/>
        <v>#N/A</v>
      </c>
      <c r="Y70" s="3" t="e">
        <f t="shared" si="4"/>
        <v>#N/A</v>
      </c>
      <c r="Z70" s="3" t="e">
        <f t="shared" si="4"/>
        <v>#N/A</v>
      </c>
      <c r="AA70" s="3" t="e">
        <f t="shared" si="4"/>
        <v>#N/A</v>
      </c>
      <c r="AB70" s="3" t="e">
        <f t="shared" si="4"/>
        <v>#N/A</v>
      </c>
      <c r="AC70" s="3" t="e">
        <f t="shared" si="4"/>
        <v>#N/A</v>
      </c>
      <c r="AD70" s="3" t="e">
        <f t="shared" si="4"/>
        <v>#N/A</v>
      </c>
      <c r="AE70" s="3" t="e">
        <f t="shared" si="4"/>
        <v>#N/A</v>
      </c>
      <c r="AF70" s="3" t="e">
        <f t="shared" si="4"/>
        <v>#N/A</v>
      </c>
      <c r="AG70" s="3" t="e">
        <f t="shared" si="4"/>
        <v>#N/A</v>
      </c>
      <c r="AH70" s="3" t="e">
        <f t="shared" si="4"/>
        <v>#N/A</v>
      </c>
      <c r="AI70" s="3" t="e">
        <f t="shared" si="4"/>
        <v>#N/A</v>
      </c>
      <c r="AJ70" s="3" t="e">
        <f t="shared" si="4"/>
        <v>#N/A</v>
      </c>
      <c r="AK70" s="3" t="e">
        <f t="shared" si="4"/>
        <v>#N/A</v>
      </c>
      <c r="AL70" s="3" t="e">
        <f t="shared" si="4"/>
        <v>#N/A</v>
      </c>
      <c r="AM70" s="3" t="e">
        <f t="shared" si="4"/>
        <v>#N/A</v>
      </c>
      <c r="AN70" s="3" t="e">
        <f t="shared" si="4"/>
        <v>#N/A</v>
      </c>
      <c r="AP70" s="3" t="e">
        <f t="shared" si="3"/>
        <v>#N/A</v>
      </c>
    </row>
    <row r="71" spans="2:42" x14ac:dyDescent="0.3">
      <c r="B71" t="str">
        <f t="shared" ref="B71:B96" si="5">B43&amp;"/"&amp;B13</f>
        <v>y_smet_0/ems_ci_co2_smet_0</v>
      </c>
      <c r="D71" t="s">
        <v>173</v>
      </c>
      <c r="E71" s="3" t="e">
        <f t="shared" ref="E71:T96" si="6">E13/E43*1000</f>
        <v>#N/A</v>
      </c>
      <c r="F71" s="3" t="e">
        <f t="shared" si="6"/>
        <v>#N/A</v>
      </c>
      <c r="G71" s="3" t="e">
        <f t="shared" si="6"/>
        <v>#N/A</v>
      </c>
      <c r="H71" s="3" t="e">
        <f t="shared" si="6"/>
        <v>#N/A</v>
      </c>
      <c r="I71" s="3" t="e">
        <f t="shared" si="6"/>
        <v>#N/A</v>
      </c>
      <c r="J71" s="3" t="e">
        <f t="shared" si="6"/>
        <v>#N/A</v>
      </c>
      <c r="K71" s="3" t="e">
        <f t="shared" si="6"/>
        <v>#N/A</v>
      </c>
      <c r="L71" s="3" t="e">
        <f t="shared" si="6"/>
        <v>#N/A</v>
      </c>
      <c r="M71" s="3" t="e">
        <f t="shared" si="6"/>
        <v>#N/A</v>
      </c>
      <c r="N71" s="3" t="e">
        <f t="shared" si="6"/>
        <v>#N/A</v>
      </c>
      <c r="O71" s="3" t="e">
        <f t="shared" si="6"/>
        <v>#N/A</v>
      </c>
      <c r="P71" s="3" t="e">
        <f t="shared" si="6"/>
        <v>#N/A</v>
      </c>
      <c r="Q71" s="3" t="e">
        <f t="shared" si="6"/>
        <v>#N/A</v>
      </c>
      <c r="R71" s="3" t="e">
        <f t="shared" si="6"/>
        <v>#N/A</v>
      </c>
      <c r="S71" s="3" t="e">
        <f t="shared" si="6"/>
        <v>#N/A</v>
      </c>
      <c r="T71" s="3" t="e">
        <f t="shared" si="6"/>
        <v>#N/A</v>
      </c>
      <c r="U71" s="3" t="e">
        <f t="shared" si="4"/>
        <v>#N/A</v>
      </c>
      <c r="V71" s="3" t="e">
        <f t="shared" si="4"/>
        <v>#N/A</v>
      </c>
      <c r="W71" s="3" t="e">
        <f t="shared" si="4"/>
        <v>#N/A</v>
      </c>
      <c r="X71" s="3" t="e">
        <f t="shared" si="4"/>
        <v>#N/A</v>
      </c>
      <c r="Y71" s="3" t="e">
        <f t="shared" si="4"/>
        <v>#N/A</v>
      </c>
      <c r="Z71" s="3" t="e">
        <f t="shared" si="4"/>
        <v>#N/A</v>
      </c>
      <c r="AA71" s="3" t="e">
        <f t="shared" si="4"/>
        <v>#N/A</v>
      </c>
      <c r="AB71" s="3" t="e">
        <f t="shared" si="4"/>
        <v>#N/A</v>
      </c>
      <c r="AC71" s="3" t="e">
        <f t="shared" si="4"/>
        <v>#N/A</v>
      </c>
      <c r="AD71" s="3" t="e">
        <f t="shared" si="4"/>
        <v>#N/A</v>
      </c>
      <c r="AE71" s="3" t="e">
        <f t="shared" si="4"/>
        <v>#N/A</v>
      </c>
      <c r="AF71" s="3" t="e">
        <f t="shared" si="4"/>
        <v>#N/A</v>
      </c>
      <c r="AG71" s="3" t="e">
        <f t="shared" si="4"/>
        <v>#N/A</v>
      </c>
      <c r="AH71" s="3" t="e">
        <f t="shared" si="4"/>
        <v>#N/A</v>
      </c>
      <c r="AI71" s="3" t="e">
        <f t="shared" si="4"/>
        <v>#N/A</v>
      </c>
      <c r="AJ71" s="3" t="e">
        <f t="shared" si="4"/>
        <v>#N/A</v>
      </c>
      <c r="AK71" s="3" t="e">
        <f t="shared" si="4"/>
        <v>#N/A</v>
      </c>
      <c r="AL71" s="3" t="e">
        <f t="shared" si="4"/>
        <v>#N/A</v>
      </c>
      <c r="AM71" s="3" t="e">
        <f t="shared" si="4"/>
        <v>#N/A</v>
      </c>
      <c r="AN71" s="3" t="e">
        <f t="shared" si="4"/>
        <v>#N/A</v>
      </c>
      <c r="AP71" s="3" t="e">
        <f t="shared" si="3"/>
        <v>#N/A</v>
      </c>
    </row>
    <row r="72" spans="2:42" x14ac:dyDescent="0.3">
      <c r="B72" t="str">
        <f t="shared" si="5"/>
        <v>y_schem_0/ems_ci_co2_schem_0</v>
      </c>
      <c r="D72" t="s">
        <v>173</v>
      </c>
      <c r="E72" s="3" t="e">
        <f t="shared" si="6"/>
        <v>#N/A</v>
      </c>
      <c r="F72" s="3" t="e">
        <f t="shared" si="4"/>
        <v>#N/A</v>
      </c>
      <c r="G72" s="3" t="e">
        <f t="shared" si="4"/>
        <v>#N/A</v>
      </c>
      <c r="H72" s="3" t="e">
        <f t="shared" si="4"/>
        <v>#N/A</v>
      </c>
      <c r="I72" s="3" t="e">
        <f t="shared" si="4"/>
        <v>#N/A</v>
      </c>
      <c r="J72" s="3" t="e">
        <f t="shared" si="4"/>
        <v>#N/A</v>
      </c>
      <c r="K72" s="3" t="e">
        <f t="shared" si="4"/>
        <v>#N/A</v>
      </c>
      <c r="L72" s="3" t="e">
        <f t="shared" si="4"/>
        <v>#N/A</v>
      </c>
      <c r="M72" s="3" t="e">
        <f t="shared" si="4"/>
        <v>#N/A</v>
      </c>
      <c r="N72" s="3" t="e">
        <f t="shared" si="4"/>
        <v>#N/A</v>
      </c>
      <c r="O72" s="3" t="e">
        <f t="shared" si="4"/>
        <v>#N/A</v>
      </c>
      <c r="P72" s="3" t="e">
        <f t="shared" si="4"/>
        <v>#N/A</v>
      </c>
      <c r="Q72" s="3" t="e">
        <f t="shared" si="4"/>
        <v>#N/A</v>
      </c>
      <c r="R72" s="3" t="e">
        <f t="shared" si="4"/>
        <v>#N/A</v>
      </c>
      <c r="S72" s="3" t="e">
        <f t="shared" si="4"/>
        <v>#N/A</v>
      </c>
      <c r="T72" s="3" t="e">
        <f t="shared" si="4"/>
        <v>#N/A</v>
      </c>
      <c r="U72" s="3" t="e">
        <f t="shared" si="4"/>
        <v>#N/A</v>
      </c>
      <c r="V72" s="3" t="e">
        <f t="shared" si="4"/>
        <v>#N/A</v>
      </c>
      <c r="W72" s="3" t="e">
        <f t="shared" si="4"/>
        <v>#N/A</v>
      </c>
      <c r="X72" s="3" t="e">
        <f t="shared" si="4"/>
        <v>#N/A</v>
      </c>
      <c r="Y72" s="3" t="e">
        <f t="shared" si="4"/>
        <v>#N/A</v>
      </c>
      <c r="Z72" s="3" t="e">
        <f t="shared" si="4"/>
        <v>#N/A</v>
      </c>
      <c r="AA72" s="3" t="e">
        <f t="shared" si="4"/>
        <v>#N/A</v>
      </c>
      <c r="AB72" s="3" t="e">
        <f t="shared" si="4"/>
        <v>#N/A</v>
      </c>
      <c r="AC72" s="3" t="e">
        <f t="shared" si="4"/>
        <v>#N/A</v>
      </c>
      <c r="AD72" s="3" t="e">
        <f t="shared" si="4"/>
        <v>#N/A</v>
      </c>
      <c r="AE72" s="3" t="e">
        <f t="shared" si="4"/>
        <v>#N/A</v>
      </c>
      <c r="AF72" s="3" t="e">
        <f t="shared" si="4"/>
        <v>#N/A</v>
      </c>
      <c r="AG72" s="3" t="e">
        <f t="shared" si="4"/>
        <v>#N/A</v>
      </c>
      <c r="AH72" s="3" t="e">
        <f t="shared" si="4"/>
        <v>#N/A</v>
      </c>
      <c r="AI72" s="3" t="e">
        <f t="shared" si="4"/>
        <v>#N/A</v>
      </c>
      <c r="AJ72" s="3" t="e">
        <f t="shared" si="4"/>
        <v>#N/A</v>
      </c>
      <c r="AK72" s="3" t="e">
        <f t="shared" si="4"/>
        <v>#N/A</v>
      </c>
      <c r="AL72" s="3" t="e">
        <f t="shared" si="4"/>
        <v>#N/A</v>
      </c>
      <c r="AM72" s="3" t="e">
        <f t="shared" si="4"/>
        <v>#N/A</v>
      </c>
      <c r="AN72" s="3" t="e">
        <f t="shared" si="4"/>
        <v>#N/A</v>
      </c>
      <c r="AP72" s="3" t="e">
        <f t="shared" si="3"/>
        <v>#N/A</v>
      </c>
    </row>
    <row r="73" spans="2:42" x14ac:dyDescent="0.3">
      <c r="B73" t="str">
        <f t="shared" si="5"/>
        <v>y_spla_0/ems_ci_co2_spla_0</v>
      </c>
      <c r="D73" t="s">
        <v>173</v>
      </c>
      <c r="E73" s="3" t="e">
        <f t="shared" si="6"/>
        <v>#N/A</v>
      </c>
      <c r="F73" s="3" t="e">
        <f t="shared" si="4"/>
        <v>#N/A</v>
      </c>
      <c r="G73" s="3" t="e">
        <f t="shared" si="4"/>
        <v>#N/A</v>
      </c>
      <c r="H73" s="3" t="e">
        <f t="shared" si="4"/>
        <v>#N/A</v>
      </c>
      <c r="I73" s="3" t="e">
        <f t="shared" si="4"/>
        <v>#N/A</v>
      </c>
      <c r="J73" s="3" t="e">
        <f t="shared" si="4"/>
        <v>#N/A</v>
      </c>
      <c r="K73" s="3" t="e">
        <f t="shared" si="4"/>
        <v>#N/A</v>
      </c>
      <c r="L73" s="3" t="e">
        <f t="shared" si="4"/>
        <v>#N/A</v>
      </c>
      <c r="M73" s="3" t="e">
        <f t="shared" si="4"/>
        <v>#N/A</v>
      </c>
      <c r="N73" s="3" t="e">
        <f t="shared" si="4"/>
        <v>#N/A</v>
      </c>
      <c r="O73" s="3" t="e">
        <f t="shared" si="4"/>
        <v>#N/A</v>
      </c>
      <c r="P73" s="3" t="e">
        <f t="shared" si="4"/>
        <v>#N/A</v>
      </c>
      <c r="Q73" s="3" t="e">
        <f t="shared" si="4"/>
        <v>#N/A</v>
      </c>
      <c r="R73" s="3" t="e">
        <f t="shared" si="4"/>
        <v>#N/A</v>
      </c>
      <c r="S73" s="3" t="e">
        <f t="shared" si="4"/>
        <v>#N/A</v>
      </c>
      <c r="T73" s="3" t="e">
        <f t="shared" si="4"/>
        <v>#N/A</v>
      </c>
      <c r="U73" s="3" t="e">
        <f t="shared" si="4"/>
        <v>#N/A</v>
      </c>
      <c r="V73" s="3" t="e">
        <f t="shared" si="4"/>
        <v>#N/A</v>
      </c>
      <c r="W73" s="3" t="e">
        <f t="shared" si="4"/>
        <v>#N/A</v>
      </c>
      <c r="X73" s="3" t="e">
        <f t="shared" si="4"/>
        <v>#N/A</v>
      </c>
      <c r="Y73" s="3" t="e">
        <f t="shared" si="4"/>
        <v>#N/A</v>
      </c>
      <c r="Z73" s="3" t="e">
        <f t="shared" si="4"/>
        <v>#N/A</v>
      </c>
      <c r="AA73" s="3" t="e">
        <f t="shared" si="4"/>
        <v>#N/A</v>
      </c>
      <c r="AB73" s="3" t="e">
        <f t="shared" si="4"/>
        <v>#N/A</v>
      </c>
      <c r="AC73" s="3" t="e">
        <f t="shared" si="4"/>
        <v>#N/A</v>
      </c>
      <c r="AD73" s="3" t="e">
        <f t="shared" si="4"/>
        <v>#N/A</v>
      </c>
      <c r="AE73" s="3" t="e">
        <f t="shared" si="4"/>
        <v>#N/A</v>
      </c>
      <c r="AF73" s="3" t="e">
        <f t="shared" si="4"/>
        <v>#N/A</v>
      </c>
      <c r="AG73" s="3" t="e">
        <f t="shared" si="4"/>
        <v>#N/A</v>
      </c>
      <c r="AH73" s="3" t="e">
        <f t="shared" si="4"/>
        <v>#N/A</v>
      </c>
      <c r="AI73" s="3" t="e">
        <f t="shared" si="4"/>
        <v>#N/A</v>
      </c>
      <c r="AJ73" s="3" t="e">
        <f t="shared" si="4"/>
        <v>#N/A</v>
      </c>
      <c r="AK73" s="3" t="e">
        <f t="shared" si="4"/>
        <v>#N/A</v>
      </c>
      <c r="AL73" s="3" t="e">
        <f t="shared" si="4"/>
        <v>#N/A</v>
      </c>
      <c r="AM73" s="3" t="e">
        <f t="shared" si="4"/>
        <v>#N/A</v>
      </c>
      <c r="AN73" s="3" t="e">
        <f t="shared" si="4"/>
        <v>#N/A</v>
      </c>
      <c r="AP73" s="3" t="e">
        <f t="shared" si="3"/>
        <v>#N/A</v>
      </c>
    </row>
    <row r="74" spans="2:42" x14ac:dyDescent="0.3">
      <c r="B74" t="str">
        <f t="shared" si="5"/>
        <v>y_sgla_0/ems_ci_co2_sgla_0</v>
      </c>
      <c r="D74" t="s">
        <v>173</v>
      </c>
      <c r="E74" s="3" t="e">
        <f t="shared" si="6"/>
        <v>#N/A</v>
      </c>
      <c r="F74" s="3" t="e">
        <f t="shared" si="4"/>
        <v>#N/A</v>
      </c>
      <c r="G74" s="3" t="e">
        <f t="shared" si="4"/>
        <v>#N/A</v>
      </c>
      <c r="H74" s="3" t="e">
        <f t="shared" si="4"/>
        <v>#N/A</v>
      </c>
      <c r="I74" s="3" t="e">
        <f t="shared" si="4"/>
        <v>#N/A</v>
      </c>
      <c r="J74" s="3" t="e">
        <f t="shared" si="4"/>
        <v>#N/A</v>
      </c>
      <c r="K74" s="3" t="e">
        <f t="shared" si="4"/>
        <v>#N/A</v>
      </c>
      <c r="L74" s="3" t="e">
        <f t="shared" si="4"/>
        <v>#N/A</v>
      </c>
      <c r="M74" s="3" t="e">
        <f t="shared" si="4"/>
        <v>#N/A</v>
      </c>
      <c r="N74" s="3" t="e">
        <f t="shared" si="4"/>
        <v>#N/A</v>
      </c>
      <c r="O74" s="3" t="e">
        <f t="shared" si="4"/>
        <v>#N/A</v>
      </c>
      <c r="P74" s="3" t="e">
        <f t="shared" si="4"/>
        <v>#N/A</v>
      </c>
      <c r="Q74" s="3" t="e">
        <f t="shared" si="4"/>
        <v>#N/A</v>
      </c>
      <c r="R74" s="3" t="e">
        <f t="shared" si="4"/>
        <v>#N/A</v>
      </c>
      <c r="S74" s="3" t="e">
        <f t="shared" si="4"/>
        <v>#N/A</v>
      </c>
      <c r="T74" s="3" t="e">
        <f t="shared" si="4"/>
        <v>#N/A</v>
      </c>
      <c r="U74" s="3" t="e">
        <f t="shared" si="4"/>
        <v>#N/A</v>
      </c>
      <c r="V74" s="3" t="e">
        <f t="shared" si="4"/>
        <v>#N/A</v>
      </c>
      <c r="W74" s="3" t="e">
        <f t="shared" si="4"/>
        <v>#N/A</v>
      </c>
      <c r="X74" s="3" t="e">
        <f t="shared" si="4"/>
        <v>#N/A</v>
      </c>
      <c r="Y74" s="3" t="e">
        <f t="shared" si="4"/>
        <v>#N/A</v>
      </c>
      <c r="Z74" s="3" t="e">
        <f t="shared" si="4"/>
        <v>#N/A</v>
      </c>
      <c r="AA74" s="3" t="e">
        <f t="shared" si="4"/>
        <v>#N/A</v>
      </c>
      <c r="AB74" s="3" t="e">
        <f t="shared" si="4"/>
        <v>#N/A</v>
      </c>
      <c r="AC74" s="3" t="e">
        <f t="shared" si="4"/>
        <v>#N/A</v>
      </c>
      <c r="AD74" s="3" t="e">
        <f t="shared" si="4"/>
        <v>#N/A</v>
      </c>
      <c r="AE74" s="3" t="e">
        <f t="shared" si="4"/>
        <v>#N/A</v>
      </c>
      <c r="AF74" s="3" t="e">
        <f t="shared" si="4"/>
        <v>#N/A</v>
      </c>
      <c r="AG74" s="3" t="e">
        <f t="shared" si="4"/>
        <v>#N/A</v>
      </c>
      <c r="AH74" s="3" t="e">
        <f t="shared" si="4"/>
        <v>#N/A</v>
      </c>
      <c r="AI74" s="3" t="e">
        <f t="shared" si="4"/>
        <v>#N/A</v>
      </c>
      <c r="AJ74" s="3" t="e">
        <f t="shared" si="4"/>
        <v>#N/A</v>
      </c>
      <c r="AK74" s="3" t="e">
        <f t="shared" si="4"/>
        <v>#N/A</v>
      </c>
      <c r="AL74" s="3" t="e">
        <f t="shared" si="4"/>
        <v>#N/A</v>
      </c>
      <c r="AM74" s="3" t="e">
        <f t="shared" si="4"/>
        <v>#N/A</v>
      </c>
      <c r="AN74" s="3" t="e">
        <f t="shared" si="4"/>
        <v>#N/A</v>
      </c>
      <c r="AP74" s="3" t="e">
        <f t="shared" si="3"/>
        <v>#N/A</v>
      </c>
    </row>
    <row r="75" spans="2:42" x14ac:dyDescent="0.3">
      <c r="B75" t="str">
        <f t="shared" si="5"/>
        <v>y_spap_0/ems_ci_co2_spap_0</v>
      </c>
      <c r="D75" t="s">
        <v>173</v>
      </c>
      <c r="E75" s="3" t="e">
        <f t="shared" si="6"/>
        <v>#N/A</v>
      </c>
      <c r="F75" s="3" t="e">
        <f t="shared" si="4"/>
        <v>#N/A</v>
      </c>
      <c r="G75" s="3" t="e">
        <f t="shared" si="4"/>
        <v>#N/A</v>
      </c>
      <c r="H75" s="3" t="e">
        <f t="shared" si="4"/>
        <v>#N/A</v>
      </c>
      <c r="I75" s="3" t="e">
        <f t="shared" si="4"/>
        <v>#N/A</v>
      </c>
      <c r="J75" s="3" t="e">
        <f t="shared" si="4"/>
        <v>#N/A</v>
      </c>
      <c r="K75" s="3" t="e">
        <f t="shared" si="4"/>
        <v>#N/A</v>
      </c>
      <c r="L75" s="3" t="e">
        <f t="shared" si="4"/>
        <v>#N/A</v>
      </c>
      <c r="M75" s="3" t="e">
        <f t="shared" si="4"/>
        <v>#N/A</v>
      </c>
      <c r="N75" s="3" t="e">
        <f t="shared" si="4"/>
        <v>#N/A</v>
      </c>
      <c r="O75" s="3" t="e">
        <f t="shared" si="4"/>
        <v>#N/A</v>
      </c>
      <c r="P75" s="3" t="e">
        <f t="shared" si="4"/>
        <v>#N/A</v>
      </c>
      <c r="Q75" s="3" t="e">
        <f t="shared" si="4"/>
        <v>#N/A</v>
      </c>
      <c r="R75" s="3" t="e">
        <f t="shared" si="4"/>
        <v>#N/A</v>
      </c>
      <c r="S75" s="3" t="e">
        <f t="shared" si="4"/>
        <v>#N/A</v>
      </c>
      <c r="T75" s="3" t="e">
        <f t="shared" si="4"/>
        <v>#N/A</v>
      </c>
      <c r="U75" s="3" t="e">
        <f t="shared" si="4"/>
        <v>#N/A</v>
      </c>
      <c r="V75" s="3" t="e">
        <f t="shared" si="4"/>
        <v>#N/A</v>
      </c>
      <c r="W75" s="3" t="e">
        <f t="shared" si="4"/>
        <v>#N/A</v>
      </c>
      <c r="X75" s="3" t="e">
        <f t="shared" si="4"/>
        <v>#N/A</v>
      </c>
      <c r="Y75" s="3" t="e">
        <f t="shared" si="4"/>
        <v>#N/A</v>
      </c>
      <c r="Z75" s="3" t="e">
        <f t="shared" si="4"/>
        <v>#N/A</v>
      </c>
      <c r="AA75" s="3" t="e">
        <f t="shared" si="4"/>
        <v>#N/A</v>
      </c>
      <c r="AB75" s="3" t="e">
        <f t="shared" si="4"/>
        <v>#N/A</v>
      </c>
      <c r="AC75" s="3" t="e">
        <f t="shared" si="4"/>
        <v>#N/A</v>
      </c>
      <c r="AD75" s="3" t="e">
        <f t="shared" si="4"/>
        <v>#N/A</v>
      </c>
      <c r="AE75" s="3" t="e">
        <f t="shared" si="4"/>
        <v>#N/A</v>
      </c>
      <c r="AF75" s="3" t="e">
        <f t="shared" si="4"/>
        <v>#N/A</v>
      </c>
      <c r="AG75" s="3" t="e">
        <f t="shared" si="4"/>
        <v>#N/A</v>
      </c>
      <c r="AH75" s="3" t="e">
        <f t="shared" si="4"/>
        <v>#N/A</v>
      </c>
      <c r="AI75" s="3" t="e">
        <f t="shared" si="4"/>
        <v>#N/A</v>
      </c>
      <c r="AJ75" s="3" t="e">
        <f t="shared" si="4"/>
        <v>#N/A</v>
      </c>
      <c r="AK75" s="3" t="e">
        <f t="shared" si="4"/>
        <v>#N/A</v>
      </c>
      <c r="AL75" s="3" t="e">
        <f t="shared" si="4"/>
        <v>#N/A</v>
      </c>
      <c r="AM75" s="3" t="e">
        <f t="shared" si="4"/>
        <v>#N/A</v>
      </c>
      <c r="AN75" s="3" t="e">
        <f t="shared" si="4"/>
        <v>#N/A</v>
      </c>
      <c r="AP75" s="3" t="e">
        <f t="shared" si="3"/>
        <v>#N/A</v>
      </c>
    </row>
    <row r="76" spans="2:42" x14ac:dyDescent="0.3">
      <c r="B76" t="str">
        <f t="shared" si="5"/>
        <v>y_sfoo_0/ems_ci_co2_sfoo_0</v>
      </c>
      <c r="D76" t="s">
        <v>173</v>
      </c>
      <c r="E76" s="3" t="e">
        <f t="shared" si="6"/>
        <v>#N/A</v>
      </c>
      <c r="F76" s="3" t="e">
        <f t="shared" si="4"/>
        <v>#N/A</v>
      </c>
      <c r="G76" s="3" t="e">
        <f t="shared" si="4"/>
        <v>#N/A</v>
      </c>
      <c r="H76" s="3" t="e">
        <f t="shared" si="4"/>
        <v>#N/A</v>
      </c>
      <c r="I76" s="3" t="e">
        <f t="shared" si="4"/>
        <v>#N/A</v>
      </c>
      <c r="J76" s="3" t="e">
        <f t="shared" si="4"/>
        <v>#N/A</v>
      </c>
      <c r="K76" s="3" t="e">
        <f t="shared" si="4"/>
        <v>#N/A</v>
      </c>
      <c r="L76" s="3" t="e">
        <f t="shared" si="4"/>
        <v>#N/A</v>
      </c>
      <c r="M76" s="3" t="e">
        <f t="shared" si="4"/>
        <v>#N/A</v>
      </c>
      <c r="N76" s="3" t="e">
        <f t="shared" si="4"/>
        <v>#N/A</v>
      </c>
      <c r="O76" s="3" t="e">
        <f t="shared" si="4"/>
        <v>#N/A</v>
      </c>
      <c r="P76" s="3" t="e">
        <f t="shared" si="4"/>
        <v>#N/A</v>
      </c>
      <c r="Q76" s="3" t="e">
        <f t="shared" si="4"/>
        <v>#N/A</v>
      </c>
      <c r="R76" s="3" t="e">
        <f t="shared" si="4"/>
        <v>#N/A</v>
      </c>
      <c r="S76" s="3" t="e">
        <f t="shared" si="4"/>
        <v>#N/A</v>
      </c>
      <c r="T76" s="3" t="e">
        <f t="shared" si="4"/>
        <v>#N/A</v>
      </c>
      <c r="U76" s="3" t="e">
        <f t="shared" si="4"/>
        <v>#N/A</v>
      </c>
      <c r="V76" s="3" t="e">
        <f t="shared" si="4"/>
        <v>#N/A</v>
      </c>
      <c r="W76" s="3" t="e">
        <f t="shared" si="4"/>
        <v>#N/A</v>
      </c>
      <c r="X76" s="3" t="e">
        <f t="shared" si="4"/>
        <v>#N/A</v>
      </c>
      <c r="Y76" s="3" t="e">
        <f t="shared" si="4"/>
        <v>#N/A</v>
      </c>
      <c r="Z76" s="3" t="e">
        <f t="shared" si="4"/>
        <v>#N/A</v>
      </c>
      <c r="AA76" s="3" t="e">
        <f t="shared" si="4"/>
        <v>#N/A</v>
      </c>
      <c r="AB76" s="3" t="e">
        <f t="shared" si="4"/>
        <v>#N/A</v>
      </c>
      <c r="AC76" s="3" t="e">
        <f t="shared" si="4"/>
        <v>#N/A</v>
      </c>
      <c r="AD76" s="3" t="e">
        <f t="shared" si="4"/>
        <v>#N/A</v>
      </c>
      <c r="AE76" s="3" t="e">
        <f t="shared" si="4"/>
        <v>#N/A</v>
      </c>
      <c r="AF76" s="3" t="e">
        <f t="shared" si="4"/>
        <v>#N/A</v>
      </c>
      <c r="AG76" s="3" t="e">
        <f t="shared" si="4"/>
        <v>#N/A</v>
      </c>
      <c r="AH76" s="3" t="e">
        <f t="shared" si="4"/>
        <v>#N/A</v>
      </c>
      <c r="AI76" s="3" t="e">
        <f t="shared" si="4"/>
        <v>#N/A</v>
      </c>
      <c r="AJ76" s="3" t="e">
        <f t="shared" si="4"/>
        <v>#N/A</v>
      </c>
      <c r="AK76" s="3" t="e">
        <f t="shared" si="4"/>
        <v>#N/A</v>
      </c>
      <c r="AL76" s="3" t="e">
        <f t="shared" si="4"/>
        <v>#N/A</v>
      </c>
      <c r="AM76" s="3" t="e">
        <f t="shared" si="4"/>
        <v>#N/A</v>
      </c>
      <c r="AN76" s="3" t="e">
        <f t="shared" si="4"/>
        <v>#N/A</v>
      </c>
      <c r="AP76" s="3" t="e">
        <f t="shared" si="3"/>
        <v>#N/A</v>
      </c>
    </row>
    <row r="77" spans="2:42" x14ac:dyDescent="0.3">
      <c r="B77" t="str">
        <f t="shared" si="5"/>
        <v>y_sres_0/ems_ci_co2_sres_0</v>
      </c>
      <c r="D77" t="s">
        <v>173</v>
      </c>
      <c r="E77" s="3" t="e">
        <f t="shared" si="6"/>
        <v>#N/A</v>
      </c>
      <c r="F77" s="3" t="e">
        <f t="shared" si="4"/>
        <v>#N/A</v>
      </c>
      <c r="G77" s="3" t="e">
        <f t="shared" si="4"/>
        <v>#N/A</v>
      </c>
      <c r="H77" s="3" t="e">
        <f t="shared" si="4"/>
        <v>#N/A</v>
      </c>
      <c r="I77" s="3" t="e">
        <f t="shared" si="4"/>
        <v>#N/A</v>
      </c>
      <c r="J77" s="3" t="e">
        <f t="shared" si="4"/>
        <v>#N/A</v>
      </c>
      <c r="K77" s="3" t="e">
        <f t="shared" si="4"/>
        <v>#N/A</v>
      </c>
      <c r="L77" s="3" t="e">
        <f t="shared" si="4"/>
        <v>#N/A</v>
      </c>
      <c r="M77" s="3" t="e">
        <f t="shared" si="4"/>
        <v>#N/A</v>
      </c>
      <c r="N77" s="3" t="e">
        <f t="shared" si="4"/>
        <v>#N/A</v>
      </c>
      <c r="O77" s="3" t="e">
        <f t="shared" si="4"/>
        <v>#N/A</v>
      </c>
      <c r="P77" s="3" t="e">
        <f t="shared" si="4"/>
        <v>#N/A</v>
      </c>
      <c r="Q77" s="3" t="e">
        <f t="shared" si="4"/>
        <v>#N/A</v>
      </c>
      <c r="R77" s="3" t="e">
        <f t="shared" si="4"/>
        <v>#N/A</v>
      </c>
      <c r="S77" s="3" t="e">
        <f t="shared" si="4"/>
        <v>#N/A</v>
      </c>
      <c r="T77" s="3" t="e">
        <f t="shared" si="4"/>
        <v>#N/A</v>
      </c>
      <c r="U77" s="3" t="e">
        <f t="shared" si="4"/>
        <v>#N/A</v>
      </c>
      <c r="V77" s="3" t="e">
        <f t="shared" si="4"/>
        <v>#N/A</v>
      </c>
      <c r="W77" s="3" t="e">
        <f t="shared" si="4"/>
        <v>#N/A</v>
      </c>
      <c r="X77" s="3" t="e">
        <f t="shared" si="4"/>
        <v>#N/A</v>
      </c>
      <c r="Y77" s="3" t="e">
        <f t="shared" si="4"/>
        <v>#N/A</v>
      </c>
      <c r="Z77" s="3" t="e">
        <f t="shared" si="4"/>
        <v>#N/A</v>
      </c>
      <c r="AA77" s="3" t="e">
        <f t="shared" si="4"/>
        <v>#N/A</v>
      </c>
      <c r="AB77" s="3" t="e">
        <f t="shared" si="4"/>
        <v>#N/A</v>
      </c>
      <c r="AC77" s="3" t="e">
        <f t="shared" si="4"/>
        <v>#N/A</v>
      </c>
      <c r="AD77" s="3" t="e">
        <f t="shared" si="4"/>
        <v>#N/A</v>
      </c>
      <c r="AE77" s="3" t="e">
        <f t="shared" ref="F77:AN84" si="7">AE19/AE49*1000</f>
        <v>#N/A</v>
      </c>
      <c r="AF77" s="3" t="e">
        <f t="shared" si="7"/>
        <v>#N/A</v>
      </c>
      <c r="AG77" s="3" t="e">
        <f t="shared" si="7"/>
        <v>#N/A</v>
      </c>
      <c r="AH77" s="3" t="e">
        <f t="shared" si="7"/>
        <v>#N/A</v>
      </c>
      <c r="AI77" s="3" t="e">
        <f t="shared" si="7"/>
        <v>#N/A</v>
      </c>
      <c r="AJ77" s="3" t="e">
        <f t="shared" si="7"/>
        <v>#N/A</v>
      </c>
      <c r="AK77" s="3" t="e">
        <f t="shared" si="7"/>
        <v>#N/A</v>
      </c>
      <c r="AL77" s="3" t="e">
        <f t="shared" si="7"/>
        <v>#N/A</v>
      </c>
      <c r="AM77" s="3" t="e">
        <f t="shared" si="7"/>
        <v>#N/A</v>
      </c>
      <c r="AN77" s="3" t="e">
        <f t="shared" si="7"/>
        <v>#N/A</v>
      </c>
      <c r="AP77" s="3" t="e">
        <f t="shared" si="3"/>
        <v>#N/A</v>
      </c>
    </row>
    <row r="78" spans="2:42" x14ac:dyDescent="0.3">
      <c r="B78" t="str">
        <f t="shared" si="5"/>
        <v>y_sroa_0/ems_ci_co2_sroa_0</v>
      </c>
      <c r="D78" t="s">
        <v>173</v>
      </c>
      <c r="E78" s="3" t="e">
        <f t="shared" si="6"/>
        <v>#N/A</v>
      </c>
      <c r="F78" s="3" t="e">
        <f t="shared" si="7"/>
        <v>#N/A</v>
      </c>
      <c r="G78" s="3" t="e">
        <f t="shared" si="7"/>
        <v>#N/A</v>
      </c>
      <c r="H78" s="3" t="e">
        <f t="shared" si="7"/>
        <v>#N/A</v>
      </c>
      <c r="I78" s="3" t="e">
        <f t="shared" si="7"/>
        <v>#N/A</v>
      </c>
      <c r="J78" s="3" t="e">
        <f t="shared" si="7"/>
        <v>#N/A</v>
      </c>
      <c r="K78" s="3" t="e">
        <f t="shared" si="7"/>
        <v>#N/A</v>
      </c>
      <c r="L78" s="3" t="e">
        <f t="shared" si="7"/>
        <v>#N/A</v>
      </c>
      <c r="M78" s="3" t="e">
        <f t="shared" si="7"/>
        <v>#N/A</v>
      </c>
      <c r="N78" s="3" t="e">
        <f t="shared" si="7"/>
        <v>#N/A</v>
      </c>
      <c r="O78" s="3" t="e">
        <f t="shared" si="7"/>
        <v>#N/A</v>
      </c>
      <c r="P78" s="3" t="e">
        <f t="shared" si="7"/>
        <v>#N/A</v>
      </c>
      <c r="Q78" s="3" t="e">
        <f t="shared" si="7"/>
        <v>#N/A</v>
      </c>
      <c r="R78" s="3" t="e">
        <f t="shared" si="7"/>
        <v>#N/A</v>
      </c>
      <c r="S78" s="3" t="e">
        <f t="shared" si="7"/>
        <v>#N/A</v>
      </c>
      <c r="T78" s="3" t="e">
        <f t="shared" si="7"/>
        <v>#N/A</v>
      </c>
      <c r="U78" s="3" t="e">
        <f t="shared" si="7"/>
        <v>#N/A</v>
      </c>
      <c r="V78" s="3" t="e">
        <f t="shared" si="7"/>
        <v>#N/A</v>
      </c>
      <c r="W78" s="3" t="e">
        <f t="shared" si="7"/>
        <v>#N/A</v>
      </c>
      <c r="X78" s="3" t="e">
        <f t="shared" si="7"/>
        <v>#N/A</v>
      </c>
      <c r="Y78" s="3" t="e">
        <f t="shared" si="7"/>
        <v>#N/A</v>
      </c>
      <c r="Z78" s="3" t="e">
        <f t="shared" si="7"/>
        <v>#N/A</v>
      </c>
      <c r="AA78" s="3" t="e">
        <f t="shared" si="7"/>
        <v>#N/A</v>
      </c>
      <c r="AB78" s="3" t="e">
        <f t="shared" si="7"/>
        <v>#N/A</v>
      </c>
      <c r="AC78" s="3" t="e">
        <f t="shared" si="7"/>
        <v>#N/A</v>
      </c>
      <c r="AD78" s="3" t="e">
        <f t="shared" si="7"/>
        <v>#N/A</v>
      </c>
      <c r="AE78" s="3" t="e">
        <f t="shared" si="7"/>
        <v>#N/A</v>
      </c>
      <c r="AF78" s="3" t="e">
        <f t="shared" si="7"/>
        <v>#N/A</v>
      </c>
      <c r="AG78" s="3" t="e">
        <f t="shared" si="7"/>
        <v>#N/A</v>
      </c>
      <c r="AH78" s="3" t="e">
        <f t="shared" si="7"/>
        <v>#N/A</v>
      </c>
      <c r="AI78" s="3" t="e">
        <f t="shared" si="7"/>
        <v>#N/A</v>
      </c>
      <c r="AJ78" s="3" t="e">
        <f t="shared" si="7"/>
        <v>#N/A</v>
      </c>
      <c r="AK78" s="3" t="e">
        <f t="shared" si="7"/>
        <v>#N/A</v>
      </c>
      <c r="AL78" s="3" t="e">
        <f t="shared" si="7"/>
        <v>#N/A</v>
      </c>
      <c r="AM78" s="3" t="e">
        <f t="shared" si="7"/>
        <v>#N/A</v>
      </c>
      <c r="AN78" s="3" t="e">
        <f t="shared" si="7"/>
        <v>#N/A</v>
      </c>
      <c r="AP78" s="3" t="e">
        <f t="shared" si="3"/>
        <v>#N/A</v>
      </c>
    </row>
    <row r="79" spans="2:42" x14ac:dyDescent="0.3">
      <c r="B79" t="str">
        <f t="shared" si="5"/>
        <v>y_swat_0/ems_ci_co2_swat_0</v>
      </c>
      <c r="D79" t="s">
        <v>173</v>
      </c>
      <c r="E79" s="3" t="e">
        <f t="shared" si="6"/>
        <v>#N/A</v>
      </c>
      <c r="F79" s="3" t="e">
        <f t="shared" si="7"/>
        <v>#N/A</v>
      </c>
      <c r="G79" s="3" t="e">
        <f t="shared" si="7"/>
        <v>#N/A</v>
      </c>
      <c r="H79" s="3" t="e">
        <f t="shared" si="7"/>
        <v>#N/A</v>
      </c>
      <c r="I79" s="3" t="e">
        <f t="shared" si="7"/>
        <v>#N/A</v>
      </c>
      <c r="J79" s="3" t="e">
        <f t="shared" si="7"/>
        <v>#N/A</v>
      </c>
      <c r="K79" s="3" t="e">
        <f t="shared" si="7"/>
        <v>#N/A</v>
      </c>
      <c r="L79" s="3" t="e">
        <f t="shared" si="7"/>
        <v>#N/A</v>
      </c>
      <c r="M79" s="3" t="e">
        <f t="shared" si="7"/>
        <v>#N/A</v>
      </c>
      <c r="N79" s="3" t="e">
        <f t="shared" si="7"/>
        <v>#N/A</v>
      </c>
      <c r="O79" s="3" t="e">
        <f t="shared" si="7"/>
        <v>#N/A</v>
      </c>
      <c r="P79" s="3" t="e">
        <f t="shared" si="7"/>
        <v>#N/A</v>
      </c>
      <c r="Q79" s="3" t="e">
        <f t="shared" si="7"/>
        <v>#N/A</v>
      </c>
      <c r="R79" s="3" t="e">
        <f t="shared" si="7"/>
        <v>#N/A</v>
      </c>
      <c r="S79" s="3" t="e">
        <f t="shared" si="7"/>
        <v>#N/A</v>
      </c>
      <c r="T79" s="3" t="e">
        <f t="shared" si="7"/>
        <v>#N/A</v>
      </c>
      <c r="U79" s="3" t="e">
        <f t="shared" si="7"/>
        <v>#N/A</v>
      </c>
      <c r="V79" s="3" t="e">
        <f t="shared" si="7"/>
        <v>#N/A</v>
      </c>
      <c r="W79" s="3" t="e">
        <f t="shared" si="7"/>
        <v>#N/A</v>
      </c>
      <c r="X79" s="3" t="e">
        <f t="shared" si="7"/>
        <v>#N/A</v>
      </c>
      <c r="Y79" s="3" t="e">
        <f t="shared" si="7"/>
        <v>#N/A</v>
      </c>
      <c r="Z79" s="3" t="e">
        <f t="shared" si="7"/>
        <v>#N/A</v>
      </c>
      <c r="AA79" s="3" t="e">
        <f t="shared" si="7"/>
        <v>#N/A</v>
      </c>
      <c r="AB79" s="3" t="e">
        <f t="shared" si="7"/>
        <v>#N/A</v>
      </c>
      <c r="AC79" s="3" t="e">
        <f t="shared" si="7"/>
        <v>#N/A</v>
      </c>
      <c r="AD79" s="3" t="e">
        <f t="shared" si="7"/>
        <v>#N/A</v>
      </c>
      <c r="AE79" s="3" t="e">
        <f t="shared" si="7"/>
        <v>#N/A</v>
      </c>
      <c r="AF79" s="3" t="e">
        <f t="shared" si="7"/>
        <v>#N/A</v>
      </c>
      <c r="AG79" s="3" t="e">
        <f t="shared" si="7"/>
        <v>#N/A</v>
      </c>
      <c r="AH79" s="3" t="e">
        <f t="shared" si="7"/>
        <v>#N/A</v>
      </c>
      <c r="AI79" s="3" t="e">
        <f t="shared" si="7"/>
        <v>#N/A</v>
      </c>
      <c r="AJ79" s="3" t="e">
        <f t="shared" si="7"/>
        <v>#N/A</v>
      </c>
      <c r="AK79" s="3" t="e">
        <f t="shared" si="7"/>
        <v>#N/A</v>
      </c>
      <c r="AL79" s="3" t="e">
        <f t="shared" si="7"/>
        <v>#N/A</v>
      </c>
      <c r="AM79" s="3" t="e">
        <f t="shared" si="7"/>
        <v>#N/A</v>
      </c>
      <c r="AN79" s="3" t="e">
        <f t="shared" si="7"/>
        <v>#N/A</v>
      </c>
      <c r="AP79" s="3" t="e">
        <f t="shared" si="3"/>
        <v>#N/A</v>
      </c>
    </row>
    <row r="80" spans="2:42" x14ac:dyDescent="0.3">
      <c r="B80" t="str">
        <f t="shared" si="5"/>
        <v>y_sair_0/ems_ci_co2_sair_0</v>
      </c>
      <c r="D80" t="s">
        <v>173</v>
      </c>
      <c r="E80" s="3" t="e">
        <f t="shared" si="6"/>
        <v>#N/A</v>
      </c>
      <c r="F80" s="3" t="e">
        <f t="shared" si="7"/>
        <v>#N/A</v>
      </c>
      <c r="G80" s="3" t="e">
        <f t="shared" si="7"/>
        <v>#N/A</v>
      </c>
      <c r="H80" s="3" t="e">
        <f t="shared" si="7"/>
        <v>#N/A</v>
      </c>
      <c r="I80" s="3" t="e">
        <f t="shared" si="7"/>
        <v>#N/A</v>
      </c>
      <c r="J80" s="3" t="e">
        <f t="shared" si="7"/>
        <v>#N/A</v>
      </c>
      <c r="K80" s="3" t="e">
        <f t="shared" si="7"/>
        <v>#N/A</v>
      </c>
      <c r="L80" s="3" t="e">
        <f t="shared" si="7"/>
        <v>#N/A</v>
      </c>
      <c r="M80" s="3" t="e">
        <f t="shared" si="7"/>
        <v>#N/A</v>
      </c>
      <c r="N80" s="3" t="e">
        <f t="shared" si="7"/>
        <v>#N/A</v>
      </c>
      <c r="O80" s="3" t="e">
        <f t="shared" si="7"/>
        <v>#N/A</v>
      </c>
      <c r="P80" s="3" t="e">
        <f t="shared" si="7"/>
        <v>#N/A</v>
      </c>
      <c r="Q80" s="3" t="e">
        <f t="shared" si="7"/>
        <v>#N/A</v>
      </c>
      <c r="R80" s="3" t="e">
        <f t="shared" si="7"/>
        <v>#N/A</v>
      </c>
      <c r="S80" s="3" t="e">
        <f t="shared" si="7"/>
        <v>#N/A</v>
      </c>
      <c r="T80" s="3" t="e">
        <f t="shared" si="7"/>
        <v>#N/A</v>
      </c>
      <c r="U80" s="3" t="e">
        <f t="shared" si="7"/>
        <v>#N/A</v>
      </c>
      <c r="V80" s="3" t="e">
        <f t="shared" si="7"/>
        <v>#N/A</v>
      </c>
      <c r="W80" s="3" t="e">
        <f t="shared" si="7"/>
        <v>#N/A</v>
      </c>
      <c r="X80" s="3" t="e">
        <f t="shared" si="7"/>
        <v>#N/A</v>
      </c>
      <c r="Y80" s="3" t="e">
        <f t="shared" si="7"/>
        <v>#N/A</v>
      </c>
      <c r="Z80" s="3" t="e">
        <f t="shared" si="7"/>
        <v>#N/A</v>
      </c>
      <c r="AA80" s="3" t="e">
        <f t="shared" si="7"/>
        <v>#N/A</v>
      </c>
      <c r="AB80" s="3" t="e">
        <f t="shared" si="7"/>
        <v>#N/A</v>
      </c>
      <c r="AC80" s="3" t="e">
        <f t="shared" si="7"/>
        <v>#N/A</v>
      </c>
      <c r="AD80" s="3" t="e">
        <f t="shared" si="7"/>
        <v>#N/A</v>
      </c>
      <c r="AE80" s="3" t="e">
        <f t="shared" si="7"/>
        <v>#N/A</v>
      </c>
      <c r="AF80" s="3" t="e">
        <f t="shared" si="7"/>
        <v>#N/A</v>
      </c>
      <c r="AG80" s="3" t="e">
        <f t="shared" si="7"/>
        <v>#N/A</v>
      </c>
      <c r="AH80" s="3" t="e">
        <f t="shared" si="7"/>
        <v>#N/A</v>
      </c>
      <c r="AI80" s="3" t="e">
        <f t="shared" si="7"/>
        <v>#N/A</v>
      </c>
      <c r="AJ80" s="3" t="e">
        <f t="shared" si="7"/>
        <v>#N/A</v>
      </c>
      <c r="AK80" s="3" t="e">
        <f t="shared" si="7"/>
        <v>#N/A</v>
      </c>
      <c r="AL80" s="3" t="e">
        <f t="shared" si="7"/>
        <v>#N/A</v>
      </c>
      <c r="AM80" s="3" t="e">
        <f t="shared" si="7"/>
        <v>#N/A</v>
      </c>
      <c r="AN80" s="3" t="e">
        <f t="shared" si="7"/>
        <v>#N/A</v>
      </c>
      <c r="AP80" s="3" t="e">
        <f t="shared" si="3"/>
        <v>#N/A</v>
      </c>
    </row>
    <row r="81" spans="2:42" x14ac:dyDescent="0.3">
      <c r="B81" t="str">
        <f t="shared" si="5"/>
        <v>y_scoa_0/ems_ci_co2_scoa_0</v>
      </c>
      <c r="D81" t="s">
        <v>173</v>
      </c>
      <c r="E81" s="3" t="e">
        <f t="shared" si="6"/>
        <v>#N/A</v>
      </c>
      <c r="F81" s="3" t="e">
        <f t="shared" si="7"/>
        <v>#N/A</v>
      </c>
      <c r="G81" s="3" t="e">
        <f t="shared" si="7"/>
        <v>#N/A</v>
      </c>
      <c r="H81" s="3" t="e">
        <f t="shared" si="7"/>
        <v>#N/A</v>
      </c>
      <c r="I81" s="3" t="e">
        <f t="shared" si="7"/>
        <v>#N/A</v>
      </c>
      <c r="J81" s="3" t="e">
        <f t="shared" si="7"/>
        <v>#N/A</v>
      </c>
      <c r="K81" s="3" t="e">
        <f t="shared" si="7"/>
        <v>#N/A</v>
      </c>
      <c r="L81" s="3" t="e">
        <f t="shared" si="7"/>
        <v>#N/A</v>
      </c>
      <c r="M81" s="3" t="e">
        <f t="shared" si="7"/>
        <v>#N/A</v>
      </c>
      <c r="N81" s="3" t="e">
        <f t="shared" si="7"/>
        <v>#N/A</v>
      </c>
      <c r="O81" s="3" t="e">
        <f t="shared" si="7"/>
        <v>#N/A</v>
      </c>
      <c r="P81" s="3" t="e">
        <f t="shared" si="7"/>
        <v>#N/A</v>
      </c>
      <c r="Q81" s="3" t="e">
        <f t="shared" si="7"/>
        <v>#N/A</v>
      </c>
      <c r="R81" s="3" t="e">
        <f t="shared" si="7"/>
        <v>#N/A</v>
      </c>
      <c r="S81" s="3" t="e">
        <f t="shared" si="7"/>
        <v>#N/A</v>
      </c>
      <c r="T81" s="3" t="e">
        <f t="shared" si="7"/>
        <v>#N/A</v>
      </c>
      <c r="U81" s="3" t="e">
        <f t="shared" si="7"/>
        <v>#N/A</v>
      </c>
      <c r="V81" s="3" t="e">
        <f t="shared" si="7"/>
        <v>#N/A</v>
      </c>
      <c r="W81" s="3" t="e">
        <f t="shared" si="7"/>
        <v>#N/A</v>
      </c>
      <c r="X81" s="3" t="e">
        <f t="shared" si="7"/>
        <v>#N/A</v>
      </c>
      <c r="Y81" s="3" t="e">
        <f t="shared" si="7"/>
        <v>#N/A</v>
      </c>
      <c r="Z81" s="3" t="e">
        <f t="shared" si="7"/>
        <v>#N/A</v>
      </c>
      <c r="AA81" s="3" t="e">
        <f t="shared" si="7"/>
        <v>#N/A</v>
      </c>
      <c r="AB81" s="3" t="e">
        <f t="shared" si="7"/>
        <v>#N/A</v>
      </c>
      <c r="AC81" s="3" t="e">
        <f t="shared" si="7"/>
        <v>#N/A</v>
      </c>
      <c r="AD81" s="3" t="e">
        <f t="shared" si="7"/>
        <v>#N/A</v>
      </c>
      <c r="AE81" s="3" t="e">
        <f t="shared" si="7"/>
        <v>#N/A</v>
      </c>
      <c r="AF81" s="3" t="e">
        <f t="shared" si="7"/>
        <v>#N/A</v>
      </c>
      <c r="AG81" s="3" t="e">
        <f t="shared" si="7"/>
        <v>#N/A</v>
      </c>
      <c r="AH81" s="3" t="e">
        <f t="shared" si="7"/>
        <v>#N/A</v>
      </c>
      <c r="AI81" s="3" t="e">
        <f t="shared" si="7"/>
        <v>#N/A</v>
      </c>
      <c r="AJ81" s="3" t="e">
        <f t="shared" si="7"/>
        <v>#N/A</v>
      </c>
      <c r="AK81" s="3" t="e">
        <f t="shared" si="7"/>
        <v>#N/A</v>
      </c>
      <c r="AL81" s="3" t="e">
        <f t="shared" si="7"/>
        <v>#N/A</v>
      </c>
      <c r="AM81" s="3" t="e">
        <f t="shared" si="7"/>
        <v>#N/A</v>
      </c>
      <c r="AN81" s="3" t="e">
        <f t="shared" si="7"/>
        <v>#N/A</v>
      </c>
      <c r="AP81" s="3" t="e">
        <f t="shared" si="3"/>
        <v>#N/A</v>
      </c>
    </row>
    <row r="82" spans="2:42" x14ac:dyDescent="0.3">
      <c r="B82" t="str">
        <f t="shared" si="5"/>
        <v>y_soil_0/ems_ci_co2_soil_0</v>
      </c>
      <c r="D82" t="s">
        <v>173</v>
      </c>
      <c r="E82" s="3" t="e">
        <f t="shared" si="6"/>
        <v>#N/A</v>
      </c>
      <c r="F82" s="3" t="e">
        <f t="shared" si="7"/>
        <v>#N/A</v>
      </c>
      <c r="G82" s="3" t="e">
        <f t="shared" si="7"/>
        <v>#N/A</v>
      </c>
      <c r="H82" s="3" t="e">
        <f t="shared" si="7"/>
        <v>#N/A</v>
      </c>
      <c r="I82" s="3" t="e">
        <f t="shared" si="7"/>
        <v>#N/A</v>
      </c>
      <c r="J82" s="3" t="e">
        <f t="shared" si="7"/>
        <v>#N/A</v>
      </c>
      <c r="K82" s="3" t="e">
        <f t="shared" si="7"/>
        <v>#N/A</v>
      </c>
      <c r="L82" s="3" t="e">
        <f t="shared" si="7"/>
        <v>#N/A</v>
      </c>
      <c r="M82" s="3" t="e">
        <f t="shared" si="7"/>
        <v>#N/A</v>
      </c>
      <c r="N82" s="3" t="e">
        <f t="shared" si="7"/>
        <v>#N/A</v>
      </c>
      <c r="O82" s="3" t="e">
        <f t="shared" si="7"/>
        <v>#N/A</v>
      </c>
      <c r="P82" s="3" t="e">
        <f t="shared" si="7"/>
        <v>#N/A</v>
      </c>
      <c r="Q82" s="3" t="e">
        <f t="shared" si="7"/>
        <v>#N/A</v>
      </c>
      <c r="R82" s="3" t="e">
        <f t="shared" si="7"/>
        <v>#N/A</v>
      </c>
      <c r="S82" s="3" t="e">
        <f t="shared" si="7"/>
        <v>#N/A</v>
      </c>
      <c r="T82" s="3" t="e">
        <f t="shared" si="7"/>
        <v>#N/A</v>
      </c>
      <c r="U82" s="3" t="e">
        <f t="shared" si="7"/>
        <v>#N/A</v>
      </c>
      <c r="V82" s="3" t="e">
        <f t="shared" si="7"/>
        <v>#N/A</v>
      </c>
      <c r="W82" s="3" t="e">
        <f t="shared" si="7"/>
        <v>#N/A</v>
      </c>
      <c r="X82" s="3" t="e">
        <f t="shared" si="7"/>
        <v>#N/A</v>
      </c>
      <c r="Y82" s="3" t="e">
        <f t="shared" si="7"/>
        <v>#N/A</v>
      </c>
      <c r="Z82" s="3" t="e">
        <f t="shared" si="7"/>
        <v>#N/A</v>
      </c>
      <c r="AA82" s="3" t="e">
        <f t="shared" si="7"/>
        <v>#N/A</v>
      </c>
      <c r="AB82" s="3" t="e">
        <f t="shared" si="7"/>
        <v>#N/A</v>
      </c>
      <c r="AC82" s="3" t="e">
        <f t="shared" si="7"/>
        <v>#N/A</v>
      </c>
      <c r="AD82" s="3" t="e">
        <f t="shared" si="7"/>
        <v>#N/A</v>
      </c>
      <c r="AE82" s="3" t="e">
        <f t="shared" si="7"/>
        <v>#N/A</v>
      </c>
      <c r="AF82" s="3" t="e">
        <f t="shared" si="7"/>
        <v>#N/A</v>
      </c>
      <c r="AG82" s="3" t="e">
        <f t="shared" si="7"/>
        <v>#N/A</v>
      </c>
      <c r="AH82" s="3" t="e">
        <f t="shared" si="7"/>
        <v>#N/A</v>
      </c>
      <c r="AI82" s="3" t="e">
        <f t="shared" si="7"/>
        <v>#N/A</v>
      </c>
      <c r="AJ82" s="3" t="e">
        <f t="shared" si="7"/>
        <v>#N/A</v>
      </c>
      <c r="AK82" s="3" t="e">
        <f t="shared" si="7"/>
        <v>#N/A</v>
      </c>
      <c r="AL82" s="3" t="e">
        <f t="shared" si="7"/>
        <v>#N/A</v>
      </c>
      <c r="AM82" s="3" t="e">
        <f t="shared" si="7"/>
        <v>#N/A</v>
      </c>
      <c r="AN82" s="3" t="e">
        <f t="shared" si="7"/>
        <v>#N/A</v>
      </c>
      <c r="AP82" s="3" t="e">
        <f t="shared" si="3"/>
        <v>#N/A</v>
      </c>
    </row>
    <row r="83" spans="2:42" x14ac:dyDescent="0.3">
      <c r="B83" t="str">
        <f t="shared" si="5"/>
        <v>y_spen_0/ems_ci_co2_spen_0</v>
      </c>
      <c r="D83" t="s">
        <v>173</v>
      </c>
      <c r="E83" s="3" t="e">
        <f t="shared" si="6"/>
        <v>#N/A</v>
      </c>
      <c r="F83" s="3" t="e">
        <f t="shared" si="7"/>
        <v>#N/A</v>
      </c>
      <c r="G83" s="3" t="e">
        <f t="shared" si="7"/>
        <v>#N/A</v>
      </c>
      <c r="H83" s="3" t="e">
        <f t="shared" si="7"/>
        <v>#N/A</v>
      </c>
      <c r="I83" s="3" t="e">
        <f t="shared" si="7"/>
        <v>#N/A</v>
      </c>
      <c r="J83" s="3" t="e">
        <f t="shared" si="7"/>
        <v>#N/A</v>
      </c>
      <c r="K83" s="3" t="e">
        <f t="shared" si="7"/>
        <v>#N/A</v>
      </c>
      <c r="L83" s="3" t="e">
        <f t="shared" si="7"/>
        <v>#N/A</v>
      </c>
      <c r="M83" s="3" t="e">
        <f t="shared" si="7"/>
        <v>#N/A</v>
      </c>
      <c r="N83" s="3" t="e">
        <f t="shared" si="7"/>
        <v>#N/A</v>
      </c>
      <c r="O83" s="3" t="e">
        <f t="shared" si="7"/>
        <v>#N/A</v>
      </c>
      <c r="P83" s="3" t="e">
        <f t="shared" si="7"/>
        <v>#N/A</v>
      </c>
      <c r="Q83" s="3" t="e">
        <f t="shared" si="7"/>
        <v>#N/A</v>
      </c>
      <c r="R83" s="3" t="e">
        <f t="shared" si="7"/>
        <v>#N/A</v>
      </c>
      <c r="S83" s="3" t="e">
        <f t="shared" si="7"/>
        <v>#N/A</v>
      </c>
      <c r="T83" s="3" t="e">
        <f t="shared" si="7"/>
        <v>#N/A</v>
      </c>
      <c r="U83" s="3" t="e">
        <f t="shared" si="7"/>
        <v>#N/A</v>
      </c>
      <c r="V83" s="3" t="e">
        <f t="shared" si="7"/>
        <v>#N/A</v>
      </c>
      <c r="W83" s="3" t="e">
        <f t="shared" si="7"/>
        <v>#N/A</v>
      </c>
      <c r="X83" s="3" t="e">
        <f t="shared" si="7"/>
        <v>#N/A</v>
      </c>
      <c r="Y83" s="3" t="e">
        <f t="shared" si="7"/>
        <v>#N/A</v>
      </c>
      <c r="Z83" s="3" t="e">
        <f t="shared" si="7"/>
        <v>#N/A</v>
      </c>
      <c r="AA83" s="3" t="e">
        <f t="shared" si="7"/>
        <v>#N/A</v>
      </c>
      <c r="AB83" s="3" t="e">
        <f t="shared" si="7"/>
        <v>#N/A</v>
      </c>
      <c r="AC83" s="3" t="e">
        <f t="shared" si="7"/>
        <v>#N/A</v>
      </c>
      <c r="AD83" s="3" t="e">
        <f t="shared" si="7"/>
        <v>#N/A</v>
      </c>
      <c r="AE83" s="3" t="e">
        <f t="shared" si="7"/>
        <v>#N/A</v>
      </c>
      <c r="AF83" s="3" t="e">
        <f t="shared" si="7"/>
        <v>#N/A</v>
      </c>
      <c r="AG83" s="3" t="e">
        <f t="shared" si="7"/>
        <v>#N/A</v>
      </c>
      <c r="AH83" s="3" t="e">
        <f t="shared" si="7"/>
        <v>#N/A</v>
      </c>
      <c r="AI83" s="3" t="e">
        <f t="shared" si="7"/>
        <v>#N/A</v>
      </c>
      <c r="AJ83" s="3" t="e">
        <f t="shared" si="7"/>
        <v>#N/A</v>
      </c>
      <c r="AK83" s="3" t="e">
        <f t="shared" si="7"/>
        <v>#N/A</v>
      </c>
      <c r="AL83" s="3" t="e">
        <f t="shared" si="7"/>
        <v>#N/A</v>
      </c>
      <c r="AM83" s="3" t="e">
        <f t="shared" si="7"/>
        <v>#N/A</v>
      </c>
      <c r="AN83" s="3" t="e">
        <f t="shared" si="7"/>
        <v>#N/A</v>
      </c>
      <c r="AP83" s="3" t="e">
        <f t="shared" si="3"/>
        <v>#N/A</v>
      </c>
    </row>
    <row r="84" spans="2:42" x14ac:dyDescent="0.3">
      <c r="B84" t="str">
        <f t="shared" si="5"/>
        <v>y_spch_0/ems_ci_co2_spch_0</v>
      </c>
      <c r="D84" t="s">
        <v>173</v>
      </c>
      <c r="E84" s="3" t="e">
        <f t="shared" si="6"/>
        <v>#N/A</v>
      </c>
      <c r="F84" s="3" t="e">
        <f t="shared" si="7"/>
        <v>#N/A</v>
      </c>
      <c r="G84" s="3" t="e">
        <f t="shared" si="7"/>
        <v>#N/A</v>
      </c>
      <c r="H84" s="3" t="e">
        <f t="shared" si="7"/>
        <v>#N/A</v>
      </c>
      <c r="I84" s="3" t="e">
        <f t="shared" si="7"/>
        <v>#N/A</v>
      </c>
      <c r="J84" s="3" t="e">
        <f t="shared" si="7"/>
        <v>#N/A</v>
      </c>
      <c r="K84" s="3" t="e">
        <f t="shared" si="7"/>
        <v>#N/A</v>
      </c>
      <c r="L84" s="3" t="e">
        <f t="shared" si="7"/>
        <v>#N/A</v>
      </c>
      <c r="M84" s="3" t="e">
        <f t="shared" si="7"/>
        <v>#N/A</v>
      </c>
      <c r="N84" s="3" t="e">
        <f t="shared" si="7"/>
        <v>#N/A</v>
      </c>
      <c r="O84" s="3" t="e">
        <f t="shared" si="7"/>
        <v>#N/A</v>
      </c>
      <c r="P84" s="3" t="e">
        <f t="shared" si="7"/>
        <v>#N/A</v>
      </c>
      <c r="Q84" s="3" t="e">
        <f t="shared" si="7"/>
        <v>#N/A</v>
      </c>
      <c r="R84" s="3" t="e">
        <f t="shared" si="7"/>
        <v>#N/A</v>
      </c>
      <c r="S84" s="3" t="e">
        <f t="shared" si="7"/>
        <v>#N/A</v>
      </c>
      <c r="T84" s="3" t="e">
        <f t="shared" si="7"/>
        <v>#N/A</v>
      </c>
      <c r="U84" s="3" t="e">
        <f t="shared" si="7"/>
        <v>#N/A</v>
      </c>
      <c r="V84" s="3" t="e">
        <f t="shared" si="7"/>
        <v>#N/A</v>
      </c>
      <c r="W84" s="3" t="e">
        <f t="shared" si="7"/>
        <v>#N/A</v>
      </c>
      <c r="X84" s="3" t="e">
        <f t="shared" si="7"/>
        <v>#N/A</v>
      </c>
      <c r="Y84" s="3" t="e">
        <f t="shared" si="7"/>
        <v>#N/A</v>
      </c>
      <c r="Z84" s="3" t="e">
        <f t="shared" si="7"/>
        <v>#N/A</v>
      </c>
      <c r="AA84" s="3" t="e">
        <f t="shared" si="7"/>
        <v>#N/A</v>
      </c>
      <c r="AB84" s="3" t="e">
        <f t="shared" si="7"/>
        <v>#N/A</v>
      </c>
      <c r="AC84" s="3" t="e">
        <f t="shared" si="7"/>
        <v>#N/A</v>
      </c>
      <c r="AD84" s="3" t="e">
        <f t="shared" si="7"/>
        <v>#N/A</v>
      </c>
      <c r="AE84" s="3" t="e">
        <f t="shared" si="7"/>
        <v>#N/A</v>
      </c>
      <c r="AF84" s="3" t="e">
        <f t="shared" si="7"/>
        <v>#N/A</v>
      </c>
      <c r="AG84" s="3" t="e">
        <f t="shared" si="7"/>
        <v>#N/A</v>
      </c>
      <c r="AH84" s="3" t="e">
        <f t="shared" si="7"/>
        <v>#N/A</v>
      </c>
      <c r="AI84" s="3" t="e">
        <f t="shared" si="7"/>
        <v>#N/A</v>
      </c>
      <c r="AJ84" s="3" t="e">
        <f t="shared" si="7"/>
        <v>#N/A</v>
      </c>
      <c r="AK84" s="3" t="e">
        <f t="shared" si="7"/>
        <v>#N/A</v>
      </c>
      <c r="AL84" s="3" t="e">
        <f t="shared" si="7"/>
        <v>#N/A</v>
      </c>
      <c r="AM84" s="3" t="e">
        <f t="shared" si="7"/>
        <v>#N/A</v>
      </c>
      <c r="AN84" s="3" t="e">
        <f t="shared" si="7"/>
        <v>#N/A</v>
      </c>
      <c r="AP84" s="3" t="e">
        <f t="shared" si="3"/>
        <v>#N/A</v>
      </c>
    </row>
    <row r="85" spans="2:42" x14ac:dyDescent="0.3">
      <c r="B85" t="str">
        <f t="shared" si="5"/>
        <v>y_sgas_0/ems_ci_co2_sgas_0</v>
      </c>
      <c r="D85" t="s">
        <v>173</v>
      </c>
      <c r="E85" s="3" t="e">
        <f t="shared" si="6"/>
        <v>#N/A</v>
      </c>
      <c r="F85" s="3" t="e">
        <f t="shared" ref="F85:AN92" si="8">F27/F57*1000</f>
        <v>#N/A</v>
      </c>
      <c r="G85" s="3" t="e">
        <f t="shared" si="8"/>
        <v>#N/A</v>
      </c>
      <c r="H85" s="3" t="e">
        <f t="shared" si="8"/>
        <v>#N/A</v>
      </c>
      <c r="I85" s="3" t="e">
        <f t="shared" si="8"/>
        <v>#N/A</v>
      </c>
      <c r="J85" s="3" t="e">
        <f t="shared" si="8"/>
        <v>#N/A</v>
      </c>
      <c r="K85" s="3" t="e">
        <f t="shared" si="8"/>
        <v>#N/A</v>
      </c>
      <c r="L85" s="3" t="e">
        <f t="shared" si="8"/>
        <v>#N/A</v>
      </c>
      <c r="M85" s="3" t="e">
        <f t="shared" si="8"/>
        <v>#N/A</v>
      </c>
      <c r="N85" s="3" t="e">
        <f t="shared" si="8"/>
        <v>#N/A</v>
      </c>
      <c r="O85" s="3" t="e">
        <f t="shared" si="8"/>
        <v>#N/A</v>
      </c>
      <c r="P85" s="3" t="e">
        <f t="shared" si="8"/>
        <v>#N/A</v>
      </c>
      <c r="Q85" s="3" t="e">
        <f t="shared" si="8"/>
        <v>#N/A</v>
      </c>
      <c r="R85" s="3" t="e">
        <f t="shared" si="8"/>
        <v>#N/A</v>
      </c>
      <c r="S85" s="3" t="e">
        <f t="shared" si="8"/>
        <v>#N/A</v>
      </c>
      <c r="T85" s="3" t="e">
        <f t="shared" si="8"/>
        <v>#N/A</v>
      </c>
      <c r="U85" s="3" t="e">
        <f t="shared" si="8"/>
        <v>#N/A</v>
      </c>
      <c r="V85" s="3" t="e">
        <f t="shared" si="8"/>
        <v>#N/A</v>
      </c>
      <c r="W85" s="3" t="e">
        <f t="shared" si="8"/>
        <v>#N/A</v>
      </c>
      <c r="X85" s="3" t="e">
        <f t="shared" si="8"/>
        <v>#N/A</v>
      </c>
      <c r="Y85" s="3" t="e">
        <f t="shared" si="8"/>
        <v>#N/A</v>
      </c>
      <c r="Z85" s="3" t="e">
        <f t="shared" si="8"/>
        <v>#N/A</v>
      </c>
      <c r="AA85" s="3" t="e">
        <f t="shared" si="8"/>
        <v>#N/A</v>
      </c>
      <c r="AB85" s="3" t="e">
        <f t="shared" si="8"/>
        <v>#N/A</v>
      </c>
      <c r="AC85" s="3" t="e">
        <f t="shared" si="8"/>
        <v>#N/A</v>
      </c>
      <c r="AD85" s="3" t="e">
        <f t="shared" si="8"/>
        <v>#N/A</v>
      </c>
      <c r="AE85" s="3" t="e">
        <f t="shared" si="8"/>
        <v>#N/A</v>
      </c>
      <c r="AF85" s="3" t="e">
        <f t="shared" si="8"/>
        <v>#N/A</v>
      </c>
      <c r="AG85" s="3" t="e">
        <f t="shared" si="8"/>
        <v>#N/A</v>
      </c>
      <c r="AH85" s="3" t="e">
        <f t="shared" si="8"/>
        <v>#N/A</v>
      </c>
      <c r="AI85" s="3" t="e">
        <f t="shared" si="8"/>
        <v>#N/A</v>
      </c>
      <c r="AJ85" s="3" t="e">
        <f t="shared" si="8"/>
        <v>#N/A</v>
      </c>
      <c r="AK85" s="3" t="e">
        <f t="shared" si="8"/>
        <v>#N/A</v>
      </c>
      <c r="AL85" s="3" t="e">
        <f t="shared" si="8"/>
        <v>#N/A</v>
      </c>
      <c r="AM85" s="3" t="e">
        <f t="shared" si="8"/>
        <v>#N/A</v>
      </c>
      <c r="AN85" s="3" t="e">
        <f t="shared" si="8"/>
        <v>#N/A</v>
      </c>
      <c r="AP85" s="3" t="e">
        <f t="shared" si="3"/>
        <v>#N/A</v>
      </c>
    </row>
    <row r="86" spans="2:42" x14ac:dyDescent="0.3">
      <c r="B86" t="str">
        <f t="shared" si="5"/>
        <v>y_sgasb_0/ems_ci_co2_sgasb_0</v>
      </c>
      <c r="D86" t="s">
        <v>173</v>
      </c>
      <c r="E86" s="3" t="e">
        <f t="shared" si="6"/>
        <v>#N/A</v>
      </c>
      <c r="F86" s="3" t="e">
        <f t="shared" si="8"/>
        <v>#N/A</v>
      </c>
      <c r="G86" s="3" t="e">
        <f t="shared" si="8"/>
        <v>#N/A</v>
      </c>
      <c r="H86" s="3" t="e">
        <f t="shared" si="8"/>
        <v>#N/A</v>
      </c>
      <c r="I86" s="3" t="e">
        <f t="shared" si="8"/>
        <v>#N/A</v>
      </c>
      <c r="J86" s="3" t="e">
        <f t="shared" si="8"/>
        <v>#N/A</v>
      </c>
      <c r="K86" s="3" t="e">
        <f t="shared" si="8"/>
        <v>#N/A</v>
      </c>
      <c r="L86" s="3" t="e">
        <f t="shared" si="8"/>
        <v>#N/A</v>
      </c>
      <c r="M86" s="3" t="e">
        <f t="shared" si="8"/>
        <v>#N/A</v>
      </c>
      <c r="N86" s="3" t="e">
        <f t="shared" si="8"/>
        <v>#N/A</v>
      </c>
      <c r="O86" s="3" t="e">
        <f t="shared" si="8"/>
        <v>#N/A</v>
      </c>
      <c r="P86" s="3" t="e">
        <f t="shared" si="8"/>
        <v>#N/A</v>
      </c>
      <c r="Q86" s="3" t="e">
        <f t="shared" si="8"/>
        <v>#N/A</v>
      </c>
      <c r="R86" s="3" t="e">
        <f t="shared" si="8"/>
        <v>#N/A</v>
      </c>
      <c r="S86" s="3" t="e">
        <f t="shared" si="8"/>
        <v>#N/A</v>
      </c>
      <c r="T86" s="3" t="e">
        <f t="shared" si="8"/>
        <v>#N/A</v>
      </c>
      <c r="U86" s="3" t="e">
        <f t="shared" si="8"/>
        <v>#N/A</v>
      </c>
      <c r="V86" s="3" t="e">
        <f t="shared" si="8"/>
        <v>#N/A</v>
      </c>
      <c r="W86" s="3" t="e">
        <f t="shared" si="8"/>
        <v>#N/A</v>
      </c>
      <c r="X86" s="3" t="e">
        <f t="shared" si="8"/>
        <v>#N/A</v>
      </c>
      <c r="Y86" s="3" t="e">
        <f t="shared" si="8"/>
        <v>#N/A</v>
      </c>
      <c r="Z86" s="3" t="e">
        <f t="shared" si="8"/>
        <v>#N/A</v>
      </c>
      <c r="AA86" s="3" t="e">
        <f t="shared" si="8"/>
        <v>#N/A</v>
      </c>
      <c r="AB86" s="3" t="e">
        <f t="shared" si="8"/>
        <v>#N/A</v>
      </c>
      <c r="AC86" s="3" t="e">
        <f t="shared" si="8"/>
        <v>#N/A</v>
      </c>
      <c r="AD86" s="3" t="e">
        <f t="shared" si="8"/>
        <v>#N/A</v>
      </c>
      <c r="AE86" s="3" t="e">
        <f t="shared" si="8"/>
        <v>#N/A</v>
      </c>
      <c r="AF86" s="3" t="e">
        <f t="shared" si="8"/>
        <v>#N/A</v>
      </c>
      <c r="AG86" s="3" t="e">
        <f t="shared" si="8"/>
        <v>#N/A</v>
      </c>
      <c r="AH86" s="3" t="e">
        <f t="shared" si="8"/>
        <v>#N/A</v>
      </c>
      <c r="AI86" s="3" t="e">
        <f t="shared" si="8"/>
        <v>#N/A</v>
      </c>
      <c r="AJ86" s="3" t="e">
        <f t="shared" si="8"/>
        <v>#N/A</v>
      </c>
      <c r="AK86" s="3" t="e">
        <f t="shared" si="8"/>
        <v>#N/A</v>
      </c>
      <c r="AL86" s="3" t="e">
        <f t="shared" si="8"/>
        <v>#N/A</v>
      </c>
      <c r="AM86" s="3" t="e">
        <f t="shared" si="8"/>
        <v>#N/A</v>
      </c>
      <c r="AN86" s="3" t="e">
        <f t="shared" si="8"/>
        <v>#N/A</v>
      </c>
      <c r="AP86" s="3" t="e">
        <f t="shared" si="3"/>
        <v>#N/A</v>
      </c>
    </row>
    <row r="87" spans="2:42" x14ac:dyDescent="0.3">
      <c r="B87" t="str">
        <f t="shared" si="5"/>
        <v>y_sbiom_0/ems_ci_co2_sbiom_0</v>
      </c>
      <c r="D87" t="s">
        <v>173</v>
      </c>
      <c r="E87" s="3" t="e">
        <f t="shared" si="6"/>
        <v>#N/A</v>
      </c>
      <c r="F87" s="3" t="e">
        <f t="shared" si="8"/>
        <v>#N/A</v>
      </c>
      <c r="G87" s="3" t="e">
        <f t="shared" si="8"/>
        <v>#N/A</v>
      </c>
      <c r="H87" s="3" t="e">
        <f t="shared" si="8"/>
        <v>#N/A</v>
      </c>
      <c r="I87" s="3" t="e">
        <f t="shared" si="8"/>
        <v>#N/A</v>
      </c>
      <c r="J87" s="3" t="e">
        <f t="shared" si="8"/>
        <v>#N/A</v>
      </c>
      <c r="K87" s="3" t="e">
        <f t="shared" si="8"/>
        <v>#N/A</v>
      </c>
      <c r="L87" s="3" t="e">
        <f t="shared" si="8"/>
        <v>#N/A</v>
      </c>
      <c r="M87" s="3" t="e">
        <f t="shared" si="8"/>
        <v>#N/A</v>
      </c>
      <c r="N87" s="3" t="e">
        <f t="shared" si="8"/>
        <v>#N/A</v>
      </c>
      <c r="O87" s="3" t="e">
        <f t="shared" si="8"/>
        <v>#N/A</v>
      </c>
      <c r="P87" s="3" t="e">
        <f t="shared" si="8"/>
        <v>#N/A</v>
      </c>
      <c r="Q87" s="3" t="e">
        <f t="shared" si="8"/>
        <v>#N/A</v>
      </c>
      <c r="R87" s="3" t="e">
        <f t="shared" si="8"/>
        <v>#N/A</v>
      </c>
      <c r="S87" s="3" t="e">
        <f t="shared" si="8"/>
        <v>#N/A</v>
      </c>
      <c r="T87" s="3" t="e">
        <f t="shared" si="8"/>
        <v>#N/A</v>
      </c>
      <c r="U87" s="3" t="e">
        <f t="shared" si="8"/>
        <v>#N/A</v>
      </c>
      <c r="V87" s="3" t="e">
        <f t="shared" si="8"/>
        <v>#N/A</v>
      </c>
      <c r="W87" s="3" t="e">
        <f t="shared" si="8"/>
        <v>#N/A</v>
      </c>
      <c r="X87" s="3" t="e">
        <f t="shared" si="8"/>
        <v>#N/A</v>
      </c>
      <c r="Y87" s="3" t="e">
        <f t="shared" si="8"/>
        <v>#N/A</v>
      </c>
      <c r="Z87" s="3" t="e">
        <f t="shared" si="8"/>
        <v>#N/A</v>
      </c>
      <c r="AA87" s="3" t="e">
        <f t="shared" si="8"/>
        <v>#N/A</v>
      </c>
      <c r="AB87" s="3" t="e">
        <f t="shared" si="8"/>
        <v>#N/A</v>
      </c>
      <c r="AC87" s="3" t="e">
        <f t="shared" si="8"/>
        <v>#N/A</v>
      </c>
      <c r="AD87" s="3" t="e">
        <f t="shared" si="8"/>
        <v>#N/A</v>
      </c>
      <c r="AE87" s="3" t="e">
        <f t="shared" si="8"/>
        <v>#N/A</v>
      </c>
      <c r="AF87" s="3" t="e">
        <f t="shared" si="8"/>
        <v>#N/A</v>
      </c>
      <c r="AG87" s="3" t="e">
        <f t="shared" si="8"/>
        <v>#N/A</v>
      </c>
      <c r="AH87" s="3" t="e">
        <f t="shared" si="8"/>
        <v>#N/A</v>
      </c>
      <c r="AI87" s="3" t="e">
        <f t="shared" si="8"/>
        <v>#N/A</v>
      </c>
      <c r="AJ87" s="3" t="e">
        <f t="shared" si="8"/>
        <v>#N/A</v>
      </c>
      <c r="AK87" s="3" t="e">
        <f t="shared" si="8"/>
        <v>#N/A</v>
      </c>
      <c r="AL87" s="3" t="e">
        <f t="shared" si="8"/>
        <v>#N/A</v>
      </c>
      <c r="AM87" s="3" t="e">
        <f t="shared" si="8"/>
        <v>#N/A</v>
      </c>
      <c r="AN87" s="3" t="e">
        <f t="shared" si="8"/>
        <v>#N/A</v>
      </c>
      <c r="AP87" s="3" t="e">
        <f t="shared" si="3"/>
        <v>#N/A</v>
      </c>
    </row>
    <row r="88" spans="2:42" x14ac:dyDescent="0.3">
      <c r="B88" t="str">
        <f t="shared" si="5"/>
        <v>y_sbiof_0/ems_ci_co2_sbiof_0</v>
      </c>
      <c r="D88" t="s">
        <v>173</v>
      </c>
      <c r="E88" s="3" t="e">
        <f t="shared" si="6"/>
        <v>#N/A</v>
      </c>
      <c r="F88" s="3" t="e">
        <f t="shared" si="8"/>
        <v>#N/A</v>
      </c>
      <c r="G88" s="3" t="e">
        <f t="shared" si="8"/>
        <v>#N/A</v>
      </c>
      <c r="H88" s="3" t="e">
        <f t="shared" si="8"/>
        <v>#N/A</v>
      </c>
      <c r="I88" s="3" t="e">
        <f t="shared" si="8"/>
        <v>#N/A</v>
      </c>
      <c r="J88" s="3" t="e">
        <f t="shared" si="8"/>
        <v>#N/A</v>
      </c>
      <c r="K88" s="3" t="e">
        <f t="shared" si="8"/>
        <v>#N/A</v>
      </c>
      <c r="L88" s="3" t="e">
        <f t="shared" si="8"/>
        <v>#N/A</v>
      </c>
      <c r="M88" s="3" t="e">
        <f t="shared" si="8"/>
        <v>#N/A</v>
      </c>
      <c r="N88" s="3" t="e">
        <f t="shared" si="8"/>
        <v>#N/A</v>
      </c>
      <c r="O88" s="3" t="e">
        <f t="shared" si="8"/>
        <v>#N/A</v>
      </c>
      <c r="P88" s="3" t="e">
        <f t="shared" si="8"/>
        <v>#N/A</v>
      </c>
      <c r="Q88" s="3" t="e">
        <f t="shared" si="8"/>
        <v>#N/A</v>
      </c>
      <c r="R88" s="3" t="e">
        <f t="shared" si="8"/>
        <v>#N/A</v>
      </c>
      <c r="S88" s="3" t="e">
        <f t="shared" si="8"/>
        <v>#N/A</v>
      </c>
      <c r="T88" s="3" t="e">
        <f t="shared" si="8"/>
        <v>#N/A</v>
      </c>
      <c r="U88" s="3" t="e">
        <f t="shared" si="8"/>
        <v>#N/A</v>
      </c>
      <c r="V88" s="3" t="e">
        <f t="shared" si="8"/>
        <v>#N/A</v>
      </c>
      <c r="W88" s="3" t="e">
        <f t="shared" si="8"/>
        <v>#N/A</v>
      </c>
      <c r="X88" s="3" t="e">
        <f t="shared" si="8"/>
        <v>#N/A</v>
      </c>
      <c r="Y88" s="3" t="e">
        <f t="shared" si="8"/>
        <v>#N/A</v>
      </c>
      <c r="Z88" s="3" t="e">
        <f t="shared" si="8"/>
        <v>#N/A</v>
      </c>
      <c r="AA88" s="3" t="e">
        <f t="shared" si="8"/>
        <v>#N/A</v>
      </c>
      <c r="AB88" s="3" t="e">
        <f t="shared" si="8"/>
        <v>#N/A</v>
      </c>
      <c r="AC88" s="3" t="e">
        <f t="shared" si="8"/>
        <v>#N/A</v>
      </c>
      <c r="AD88" s="3" t="e">
        <f t="shared" si="8"/>
        <v>#N/A</v>
      </c>
      <c r="AE88" s="3" t="e">
        <f t="shared" si="8"/>
        <v>#N/A</v>
      </c>
      <c r="AF88" s="3" t="e">
        <f t="shared" si="8"/>
        <v>#N/A</v>
      </c>
      <c r="AG88" s="3" t="e">
        <f t="shared" si="8"/>
        <v>#N/A</v>
      </c>
      <c r="AH88" s="3" t="e">
        <f t="shared" si="8"/>
        <v>#N/A</v>
      </c>
      <c r="AI88" s="3" t="e">
        <f t="shared" si="8"/>
        <v>#N/A</v>
      </c>
      <c r="AJ88" s="3" t="e">
        <f t="shared" si="8"/>
        <v>#N/A</v>
      </c>
      <c r="AK88" s="3" t="e">
        <f t="shared" si="8"/>
        <v>#N/A</v>
      </c>
      <c r="AL88" s="3" t="e">
        <f t="shared" si="8"/>
        <v>#N/A</v>
      </c>
      <c r="AM88" s="3" t="e">
        <f t="shared" si="8"/>
        <v>#N/A</v>
      </c>
      <c r="AN88" s="3" t="e">
        <f t="shared" si="8"/>
        <v>#N/A</v>
      </c>
      <c r="AP88" s="3" t="e">
        <f t="shared" si="3"/>
        <v>#N/A</v>
      </c>
    </row>
    <row r="89" spans="2:42" x14ac:dyDescent="0.3">
      <c r="B89" t="str">
        <f t="shared" si="5"/>
        <v>y_sesf_0/ems_ci_co2_sesf_0</v>
      </c>
      <c r="D89" t="s">
        <v>173</v>
      </c>
      <c r="E89" s="3" t="e">
        <f t="shared" si="6"/>
        <v>#N/A</v>
      </c>
      <c r="F89" s="3" t="e">
        <f t="shared" si="8"/>
        <v>#N/A</v>
      </c>
      <c r="G89" s="3" t="e">
        <f t="shared" si="8"/>
        <v>#N/A</v>
      </c>
      <c r="H89" s="3" t="e">
        <f t="shared" si="8"/>
        <v>#N/A</v>
      </c>
      <c r="I89" s="3" t="e">
        <f t="shared" si="8"/>
        <v>#N/A</v>
      </c>
      <c r="J89" s="3" t="e">
        <f t="shared" si="8"/>
        <v>#N/A</v>
      </c>
      <c r="K89" s="3" t="e">
        <f t="shared" si="8"/>
        <v>#N/A</v>
      </c>
      <c r="L89" s="3" t="e">
        <f t="shared" si="8"/>
        <v>#N/A</v>
      </c>
      <c r="M89" s="3" t="e">
        <f t="shared" si="8"/>
        <v>#N/A</v>
      </c>
      <c r="N89" s="3" t="e">
        <f t="shared" si="8"/>
        <v>#N/A</v>
      </c>
      <c r="O89" s="3" t="e">
        <f t="shared" si="8"/>
        <v>#N/A</v>
      </c>
      <c r="P89" s="3" t="e">
        <f t="shared" si="8"/>
        <v>#N/A</v>
      </c>
      <c r="Q89" s="3" t="e">
        <f t="shared" si="8"/>
        <v>#N/A</v>
      </c>
      <c r="R89" s="3" t="e">
        <f t="shared" si="8"/>
        <v>#N/A</v>
      </c>
      <c r="S89" s="3" t="e">
        <f t="shared" si="8"/>
        <v>#N/A</v>
      </c>
      <c r="T89" s="3" t="e">
        <f t="shared" si="8"/>
        <v>#N/A</v>
      </c>
      <c r="U89" s="3" t="e">
        <f t="shared" si="8"/>
        <v>#N/A</v>
      </c>
      <c r="V89" s="3" t="e">
        <f t="shared" si="8"/>
        <v>#N/A</v>
      </c>
      <c r="W89" s="3" t="e">
        <f t="shared" si="8"/>
        <v>#N/A</v>
      </c>
      <c r="X89" s="3" t="e">
        <f t="shared" si="8"/>
        <v>#N/A</v>
      </c>
      <c r="Y89" s="3" t="e">
        <f t="shared" si="8"/>
        <v>#N/A</v>
      </c>
      <c r="Z89" s="3" t="e">
        <f t="shared" si="8"/>
        <v>#N/A</v>
      </c>
      <c r="AA89" s="3" t="e">
        <f t="shared" si="8"/>
        <v>#N/A</v>
      </c>
      <c r="AB89" s="3" t="e">
        <f t="shared" si="8"/>
        <v>#N/A</v>
      </c>
      <c r="AC89" s="3" t="e">
        <f t="shared" si="8"/>
        <v>#N/A</v>
      </c>
      <c r="AD89" s="3" t="e">
        <f t="shared" si="8"/>
        <v>#N/A</v>
      </c>
      <c r="AE89" s="3" t="e">
        <f t="shared" si="8"/>
        <v>#N/A</v>
      </c>
      <c r="AF89" s="3" t="e">
        <f t="shared" si="8"/>
        <v>#N/A</v>
      </c>
      <c r="AG89" s="3" t="e">
        <f t="shared" si="8"/>
        <v>#N/A</v>
      </c>
      <c r="AH89" s="3" t="e">
        <f t="shared" si="8"/>
        <v>#N/A</v>
      </c>
      <c r="AI89" s="3" t="e">
        <f t="shared" si="8"/>
        <v>#N/A</v>
      </c>
      <c r="AJ89" s="3" t="e">
        <f t="shared" si="8"/>
        <v>#N/A</v>
      </c>
      <c r="AK89" s="3" t="e">
        <f t="shared" si="8"/>
        <v>#N/A</v>
      </c>
      <c r="AL89" s="3" t="e">
        <f t="shared" si="8"/>
        <v>#N/A</v>
      </c>
      <c r="AM89" s="3" t="e">
        <f t="shared" si="8"/>
        <v>#N/A</v>
      </c>
      <c r="AN89" s="3" t="e">
        <f t="shared" si="8"/>
        <v>#N/A</v>
      </c>
      <c r="AP89" s="3" t="e">
        <f t="shared" si="3"/>
        <v>#N/A</v>
      </c>
    </row>
    <row r="90" spans="2:42" x14ac:dyDescent="0.3">
      <c r="B90" t="str">
        <f t="shared" si="5"/>
        <v>y_sega_0/ems_ci_co2_sega_0</v>
      </c>
      <c r="D90" t="s">
        <v>173</v>
      </c>
      <c r="E90" s="3" t="e">
        <f t="shared" si="6"/>
        <v>#N/A</v>
      </c>
      <c r="F90" s="3" t="e">
        <f t="shared" si="8"/>
        <v>#N/A</v>
      </c>
      <c r="G90" s="3" t="e">
        <f t="shared" si="8"/>
        <v>#N/A</v>
      </c>
      <c r="H90" s="3" t="e">
        <f t="shared" si="8"/>
        <v>#N/A</v>
      </c>
      <c r="I90" s="3" t="e">
        <f t="shared" si="8"/>
        <v>#N/A</v>
      </c>
      <c r="J90" s="3" t="e">
        <f t="shared" si="8"/>
        <v>#N/A</v>
      </c>
      <c r="K90" s="3" t="e">
        <f t="shared" si="8"/>
        <v>#N/A</v>
      </c>
      <c r="L90" s="3" t="e">
        <f t="shared" si="8"/>
        <v>#N/A</v>
      </c>
      <c r="M90" s="3" t="e">
        <f t="shared" si="8"/>
        <v>#N/A</v>
      </c>
      <c r="N90" s="3" t="e">
        <f t="shared" si="8"/>
        <v>#N/A</v>
      </c>
      <c r="O90" s="3" t="e">
        <f t="shared" si="8"/>
        <v>#N/A</v>
      </c>
      <c r="P90" s="3" t="e">
        <f t="shared" si="8"/>
        <v>#N/A</v>
      </c>
      <c r="Q90" s="3" t="e">
        <f t="shared" si="8"/>
        <v>#N/A</v>
      </c>
      <c r="R90" s="3" t="e">
        <f t="shared" si="8"/>
        <v>#N/A</v>
      </c>
      <c r="S90" s="3" t="e">
        <f t="shared" si="8"/>
        <v>#N/A</v>
      </c>
      <c r="T90" s="3" t="e">
        <f t="shared" si="8"/>
        <v>#N/A</v>
      </c>
      <c r="U90" s="3" t="e">
        <f t="shared" si="8"/>
        <v>#N/A</v>
      </c>
      <c r="V90" s="3" t="e">
        <f t="shared" si="8"/>
        <v>#N/A</v>
      </c>
      <c r="W90" s="3" t="e">
        <f t="shared" si="8"/>
        <v>#N/A</v>
      </c>
      <c r="X90" s="3" t="e">
        <f t="shared" si="8"/>
        <v>#N/A</v>
      </c>
      <c r="Y90" s="3" t="e">
        <f t="shared" si="8"/>
        <v>#N/A</v>
      </c>
      <c r="Z90" s="3" t="e">
        <f t="shared" si="8"/>
        <v>#N/A</v>
      </c>
      <c r="AA90" s="3" t="e">
        <f t="shared" si="8"/>
        <v>#N/A</v>
      </c>
      <c r="AB90" s="3" t="e">
        <f t="shared" si="8"/>
        <v>#N/A</v>
      </c>
      <c r="AC90" s="3" t="e">
        <f t="shared" si="8"/>
        <v>#N/A</v>
      </c>
      <c r="AD90" s="3" t="e">
        <f t="shared" si="8"/>
        <v>#N/A</v>
      </c>
      <c r="AE90" s="3" t="e">
        <f t="shared" si="8"/>
        <v>#N/A</v>
      </c>
      <c r="AF90" s="3" t="e">
        <f t="shared" si="8"/>
        <v>#N/A</v>
      </c>
      <c r="AG90" s="3" t="e">
        <f t="shared" si="8"/>
        <v>#N/A</v>
      </c>
      <c r="AH90" s="3" t="e">
        <f t="shared" si="8"/>
        <v>#N/A</v>
      </c>
      <c r="AI90" s="3" t="e">
        <f t="shared" si="8"/>
        <v>#N/A</v>
      </c>
      <c r="AJ90" s="3" t="e">
        <f t="shared" si="8"/>
        <v>#N/A</v>
      </c>
      <c r="AK90" s="3" t="e">
        <f t="shared" si="8"/>
        <v>#N/A</v>
      </c>
      <c r="AL90" s="3" t="e">
        <f t="shared" si="8"/>
        <v>#N/A</v>
      </c>
      <c r="AM90" s="3" t="e">
        <f t="shared" si="8"/>
        <v>#N/A</v>
      </c>
      <c r="AN90" s="3" t="e">
        <f t="shared" si="8"/>
        <v>#N/A</v>
      </c>
      <c r="AP90" s="3" t="e">
        <f t="shared" si="3"/>
        <v>#N/A</v>
      </c>
    </row>
    <row r="91" spans="2:42" x14ac:dyDescent="0.3">
      <c r="B91" t="str">
        <f t="shared" si="5"/>
        <v>y_sehy_0/ems_ci_co2_sehy_0</v>
      </c>
      <c r="D91" t="s">
        <v>173</v>
      </c>
      <c r="E91" s="3" t="e">
        <f t="shared" si="6"/>
        <v>#N/A</v>
      </c>
      <c r="F91" s="3" t="e">
        <f t="shared" si="8"/>
        <v>#N/A</v>
      </c>
      <c r="G91" s="3" t="e">
        <f t="shared" si="8"/>
        <v>#N/A</v>
      </c>
      <c r="H91" s="3" t="e">
        <f t="shared" si="8"/>
        <v>#N/A</v>
      </c>
      <c r="I91" s="3" t="e">
        <f t="shared" si="8"/>
        <v>#N/A</v>
      </c>
      <c r="J91" s="3" t="e">
        <f t="shared" si="8"/>
        <v>#N/A</v>
      </c>
      <c r="K91" s="3" t="e">
        <f t="shared" si="8"/>
        <v>#N/A</v>
      </c>
      <c r="L91" s="3" t="e">
        <f t="shared" si="8"/>
        <v>#N/A</v>
      </c>
      <c r="M91" s="3" t="e">
        <f t="shared" si="8"/>
        <v>#N/A</v>
      </c>
      <c r="N91" s="3" t="e">
        <f t="shared" si="8"/>
        <v>#N/A</v>
      </c>
      <c r="O91" s="3" t="e">
        <f t="shared" si="8"/>
        <v>#N/A</v>
      </c>
      <c r="P91" s="3" t="e">
        <f t="shared" si="8"/>
        <v>#N/A</v>
      </c>
      <c r="Q91" s="3" t="e">
        <f t="shared" si="8"/>
        <v>#N/A</v>
      </c>
      <c r="R91" s="3" t="e">
        <f t="shared" si="8"/>
        <v>#N/A</v>
      </c>
      <c r="S91" s="3" t="e">
        <f t="shared" si="8"/>
        <v>#N/A</v>
      </c>
      <c r="T91" s="3" t="e">
        <f t="shared" si="8"/>
        <v>#N/A</v>
      </c>
      <c r="U91" s="3" t="e">
        <f t="shared" si="8"/>
        <v>#N/A</v>
      </c>
      <c r="V91" s="3" t="e">
        <f t="shared" si="8"/>
        <v>#N/A</v>
      </c>
      <c r="W91" s="3" t="e">
        <f t="shared" si="8"/>
        <v>#N/A</v>
      </c>
      <c r="X91" s="3" t="e">
        <f t="shared" si="8"/>
        <v>#N/A</v>
      </c>
      <c r="Y91" s="3" t="e">
        <f t="shared" si="8"/>
        <v>#N/A</v>
      </c>
      <c r="Z91" s="3" t="e">
        <f t="shared" si="8"/>
        <v>#N/A</v>
      </c>
      <c r="AA91" s="3" t="e">
        <f t="shared" si="8"/>
        <v>#N/A</v>
      </c>
      <c r="AB91" s="3" t="e">
        <f t="shared" si="8"/>
        <v>#N/A</v>
      </c>
      <c r="AC91" s="3" t="e">
        <f t="shared" si="8"/>
        <v>#N/A</v>
      </c>
      <c r="AD91" s="3" t="e">
        <f t="shared" si="8"/>
        <v>#N/A</v>
      </c>
      <c r="AE91" s="3" t="e">
        <f t="shared" si="8"/>
        <v>#N/A</v>
      </c>
      <c r="AF91" s="3" t="e">
        <f t="shared" si="8"/>
        <v>#N/A</v>
      </c>
      <c r="AG91" s="3" t="e">
        <f t="shared" si="8"/>
        <v>#N/A</v>
      </c>
      <c r="AH91" s="3" t="e">
        <f t="shared" si="8"/>
        <v>#N/A</v>
      </c>
      <c r="AI91" s="3" t="e">
        <f t="shared" si="8"/>
        <v>#N/A</v>
      </c>
      <c r="AJ91" s="3" t="e">
        <f t="shared" si="8"/>
        <v>#N/A</v>
      </c>
      <c r="AK91" s="3" t="e">
        <f t="shared" si="8"/>
        <v>#N/A</v>
      </c>
      <c r="AL91" s="3" t="e">
        <f t="shared" si="8"/>
        <v>#N/A</v>
      </c>
      <c r="AM91" s="3" t="e">
        <f t="shared" si="8"/>
        <v>#N/A</v>
      </c>
      <c r="AN91" s="3" t="e">
        <f t="shared" si="8"/>
        <v>#N/A</v>
      </c>
      <c r="AP91" s="3" t="e">
        <f t="shared" si="3"/>
        <v>#N/A</v>
      </c>
    </row>
    <row r="92" spans="2:42" x14ac:dyDescent="0.3">
      <c r="B92" t="str">
        <f t="shared" si="5"/>
        <v>y_sewi_0/ems_ci_co2_sewi_0</v>
      </c>
      <c r="D92" t="s">
        <v>173</v>
      </c>
      <c r="E92" s="3" t="e">
        <f t="shared" si="6"/>
        <v>#N/A</v>
      </c>
      <c r="F92" s="3" t="e">
        <f t="shared" si="8"/>
        <v>#N/A</v>
      </c>
      <c r="G92" s="3" t="e">
        <f t="shared" si="8"/>
        <v>#N/A</v>
      </c>
      <c r="H92" s="3" t="e">
        <f t="shared" si="8"/>
        <v>#N/A</v>
      </c>
      <c r="I92" s="3" t="e">
        <f t="shared" si="8"/>
        <v>#N/A</v>
      </c>
      <c r="J92" s="3" t="e">
        <f t="shared" si="8"/>
        <v>#N/A</v>
      </c>
      <c r="K92" s="3" t="e">
        <f t="shared" si="8"/>
        <v>#N/A</v>
      </c>
      <c r="L92" s="3" t="e">
        <f t="shared" si="8"/>
        <v>#N/A</v>
      </c>
      <c r="M92" s="3" t="e">
        <f t="shared" si="8"/>
        <v>#N/A</v>
      </c>
      <c r="N92" s="3" t="e">
        <f t="shared" si="8"/>
        <v>#N/A</v>
      </c>
      <c r="O92" s="3" t="e">
        <f t="shared" si="8"/>
        <v>#N/A</v>
      </c>
      <c r="P92" s="3" t="e">
        <f t="shared" ref="F92:AN96" si="9">P34/P64*1000</f>
        <v>#N/A</v>
      </c>
      <c r="Q92" s="3" t="e">
        <f t="shared" si="9"/>
        <v>#N/A</v>
      </c>
      <c r="R92" s="3" t="e">
        <f t="shared" si="9"/>
        <v>#N/A</v>
      </c>
      <c r="S92" s="3" t="e">
        <f t="shared" si="9"/>
        <v>#N/A</v>
      </c>
      <c r="T92" s="3" t="e">
        <f t="shared" si="9"/>
        <v>#N/A</v>
      </c>
      <c r="U92" s="3" t="e">
        <f t="shared" si="9"/>
        <v>#N/A</v>
      </c>
      <c r="V92" s="3" t="e">
        <f t="shared" si="9"/>
        <v>#N/A</v>
      </c>
      <c r="W92" s="3" t="e">
        <f t="shared" si="9"/>
        <v>#N/A</v>
      </c>
      <c r="X92" s="3" t="e">
        <f t="shared" si="9"/>
        <v>#N/A</v>
      </c>
      <c r="Y92" s="3" t="e">
        <f t="shared" si="9"/>
        <v>#N/A</v>
      </c>
      <c r="Z92" s="3" t="e">
        <f t="shared" si="9"/>
        <v>#N/A</v>
      </c>
      <c r="AA92" s="3" t="e">
        <f t="shared" si="9"/>
        <v>#N/A</v>
      </c>
      <c r="AB92" s="3" t="e">
        <f t="shared" si="9"/>
        <v>#N/A</v>
      </c>
      <c r="AC92" s="3" t="e">
        <f t="shared" si="9"/>
        <v>#N/A</v>
      </c>
      <c r="AD92" s="3" t="e">
        <f t="shared" si="9"/>
        <v>#N/A</v>
      </c>
      <c r="AE92" s="3" t="e">
        <f t="shared" si="9"/>
        <v>#N/A</v>
      </c>
      <c r="AF92" s="3" t="e">
        <f t="shared" si="9"/>
        <v>#N/A</v>
      </c>
      <c r="AG92" s="3" t="e">
        <f t="shared" si="9"/>
        <v>#N/A</v>
      </c>
      <c r="AH92" s="3" t="e">
        <f t="shared" si="9"/>
        <v>#N/A</v>
      </c>
      <c r="AI92" s="3" t="e">
        <f t="shared" si="9"/>
        <v>#N/A</v>
      </c>
      <c r="AJ92" s="3" t="e">
        <f t="shared" si="9"/>
        <v>#N/A</v>
      </c>
      <c r="AK92" s="3" t="e">
        <f t="shared" si="9"/>
        <v>#N/A</v>
      </c>
      <c r="AL92" s="3" t="e">
        <f t="shared" si="9"/>
        <v>#N/A</v>
      </c>
      <c r="AM92" s="3" t="e">
        <f t="shared" si="9"/>
        <v>#N/A</v>
      </c>
      <c r="AN92" s="3" t="e">
        <f t="shared" si="9"/>
        <v>#N/A</v>
      </c>
      <c r="AP92" s="3" t="e">
        <f t="shared" si="3"/>
        <v>#N/A</v>
      </c>
    </row>
    <row r="93" spans="2:42" x14ac:dyDescent="0.3">
      <c r="B93" t="str">
        <f t="shared" si="5"/>
        <v>y_seso_0/ems_ci_co2_seso_0</v>
      </c>
      <c r="D93" t="s">
        <v>173</v>
      </c>
      <c r="E93" s="3" t="e">
        <f t="shared" si="6"/>
        <v>#N/A</v>
      </c>
      <c r="F93" s="3" t="e">
        <f t="shared" si="9"/>
        <v>#N/A</v>
      </c>
      <c r="G93" s="3" t="e">
        <f t="shared" si="9"/>
        <v>#N/A</v>
      </c>
      <c r="H93" s="3" t="e">
        <f t="shared" si="9"/>
        <v>#N/A</v>
      </c>
      <c r="I93" s="3" t="e">
        <f t="shared" si="9"/>
        <v>#N/A</v>
      </c>
      <c r="J93" s="3" t="e">
        <f t="shared" si="9"/>
        <v>#N/A</v>
      </c>
      <c r="K93" s="3" t="e">
        <f t="shared" si="9"/>
        <v>#N/A</v>
      </c>
      <c r="L93" s="3" t="e">
        <f t="shared" si="9"/>
        <v>#N/A</v>
      </c>
      <c r="M93" s="3" t="e">
        <f t="shared" si="9"/>
        <v>#N/A</v>
      </c>
      <c r="N93" s="3" t="e">
        <f t="shared" si="9"/>
        <v>#N/A</v>
      </c>
      <c r="O93" s="3" t="e">
        <f t="shared" si="9"/>
        <v>#N/A</v>
      </c>
      <c r="P93" s="3" t="e">
        <f t="shared" si="9"/>
        <v>#N/A</v>
      </c>
      <c r="Q93" s="3" t="e">
        <f t="shared" si="9"/>
        <v>#N/A</v>
      </c>
      <c r="R93" s="3" t="e">
        <f t="shared" si="9"/>
        <v>#N/A</v>
      </c>
      <c r="S93" s="3" t="e">
        <f t="shared" si="9"/>
        <v>#N/A</v>
      </c>
      <c r="T93" s="3" t="e">
        <f t="shared" si="9"/>
        <v>#N/A</v>
      </c>
      <c r="U93" s="3" t="e">
        <f t="shared" si="9"/>
        <v>#N/A</v>
      </c>
      <c r="V93" s="3" t="e">
        <f t="shared" si="9"/>
        <v>#N/A</v>
      </c>
      <c r="W93" s="3" t="e">
        <f t="shared" si="9"/>
        <v>#N/A</v>
      </c>
      <c r="X93" s="3" t="e">
        <f t="shared" si="9"/>
        <v>#N/A</v>
      </c>
      <c r="Y93" s="3" t="e">
        <f t="shared" si="9"/>
        <v>#N/A</v>
      </c>
      <c r="Z93" s="3" t="e">
        <f t="shared" si="9"/>
        <v>#N/A</v>
      </c>
      <c r="AA93" s="3" t="e">
        <f t="shared" si="9"/>
        <v>#N/A</v>
      </c>
      <c r="AB93" s="3" t="e">
        <f t="shared" si="9"/>
        <v>#N/A</v>
      </c>
      <c r="AC93" s="3" t="e">
        <f t="shared" si="9"/>
        <v>#N/A</v>
      </c>
      <c r="AD93" s="3" t="e">
        <f t="shared" si="9"/>
        <v>#N/A</v>
      </c>
      <c r="AE93" s="3" t="e">
        <f t="shared" si="9"/>
        <v>#N/A</v>
      </c>
      <c r="AF93" s="3" t="e">
        <f t="shared" si="9"/>
        <v>#N/A</v>
      </c>
      <c r="AG93" s="3" t="e">
        <f t="shared" si="9"/>
        <v>#N/A</v>
      </c>
      <c r="AH93" s="3" t="e">
        <f t="shared" si="9"/>
        <v>#N/A</v>
      </c>
      <c r="AI93" s="3" t="e">
        <f t="shared" si="9"/>
        <v>#N/A</v>
      </c>
      <c r="AJ93" s="3" t="e">
        <f t="shared" si="9"/>
        <v>#N/A</v>
      </c>
      <c r="AK93" s="3" t="e">
        <f t="shared" si="9"/>
        <v>#N/A</v>
      </c>
      <c r="AL93" s="3" t="e">
        <f t="shared" si="9"/>
        <v>#N/A</v>
      </c>
      <c r="AM93" s="3" t="e">
        <f t="shared" si="9"/>
        <v>#N/A</v>
      </c>
      <c r="AN93" s="3" t="e">
        <f t="shared" si="9"/>
        <v>#N/A</v>
      </c>
      <c r="AP93" s="3" t="e">
        <f t="shared" si="3"/>
        <v>#N/A</v>
      </c>
    </row>
    <row r="94" spans="2:42" x14ac:dyDescent="0.3">
      <c r="B94" t="str">
        <f t="shared" si="5"/>
        <v>y_sebi_0/ems_ci_co2_sebi_0</v>
      </c>
      <c r="D94" t="s">
        <v>173</v>
      </c>
      <c r="E94" s="3" t="e">
        <f t="shared" si="6"/>
        <v>#N/A</v>
      </c>
      <c r="F94" s="3" t="e">
        <f t="shared" si="9"/>
        <v>#N/A</v>
      </c>
      <c r="G94" s="3" t="e">
        <f t="shared" si="9"/>
        <v>#N/A</v>
      </c>
      <c r="H94" s="3" t="e">
        <f t="shared" si="9"/>
        <v>#N/A</v>
      </c>
      <c r="I94" s="3" t="e">
        <f t="shared" si="9"/>
        <v>#N/A</v>
      </c>
      <c r="J94" s="3" t="e">
        <f t="shared" si="9"/>
        <v>#N/A</v>
      </c>
      <c r="K94" s="3" t="e">
        <f t="shared" si="9"/>
        <v>#N/A</v>
      </c>
      <c r="L94" s="3" t="e">
        <f t="shared" si="9"/>
        <v>#N/A</v>
      </c>
      <c r="M94" s="3" t="e">
        <f t="shared" si="9"/>
        <v>#N/A</v>
      </c>
      <c r="N94" s="3" t="e">
        <f t="shared" si="9"/>
        <v>#N/A</v>
      </c>
      <c r="O94" s="3" t="e">
        <f t="shared" si="9"/>
        <v>#N/A</v>
      </c>
      <c r="P94" s="3" t="e">
        <f t="shared" si="9"/>
        <v>#N/A</v>
      </c>
      <c r="Q94" s="3" t="e">
        <f t="shared" si="9"/>
        <v>#N/A</v>
      </c>
      <c r="R94" s="3" t="e">
        <f t="shared" si="9"/>
        <v>#N/A</v>
      </c>
      <c r="S94" s="3" t="e">
        <f t="shared" si="9"/>
        <v>#N/A</v>
      </c>
      <c r="T94" s="3" t="e">
        <f t="shared" si="9"/>
        <v>#N/A</v>
      </c>
      <c r="U94" s="3" t="e">
        <f t="shared" si="9"/>
        <v>#N/A</v>
      </c>
      <c r="V94" s="3" t="e">
        <f t="shared" si="9"/>
        <v>#N/A</v>
      </c>
      <c r="W94" s="3" t="e">
        <f t="shared" si="9"/>
        <v>#N/A</v>
      </c>
      <c r="X94" s="3" t="e">
        <f t="shared" si="9"/>
        <v>#N/A</v>
      </c>
      <c r="Y94" s="3" t="e">
        <f t="shared" si="9"/>
        <v>#N/A</v>
      </c>
      <c r="Z94" s="3" t="e">
        <f t="shared" si="9"/>
        <v>#N/A</v>
      </c>
      <c r="AA94" s="3" t="e">
        <f t="shared" si="9"/>
        <v>#N/A</v>
      </c>
      <c r="AB94" s="3" t="e">
        <f t="shared" si="9"/>
        <v>#N/A</v>
      </c>
      <c r="AC94" s="3" t="e">
        <f t="shared" si="9"/>
        <v>#N/A</v>
      </c>
      <c r="AD94" s="3" t="e">
        <f t="shared" si="9"/>
        <v>#N/A</v>
      </c>
      <c r="AE94" s="3" t="e">
        <f t="shared" si="9"/>
        <v>#N/A</v>
      </c>
      <c r="AF94" s="3" t="e">
        <f t="shared" si="9"/>
        <v>#N/A</v>
      </c>
      <c r="AG94" s="3" t="e">
        <f t="shared" si="9"/>
        <v>#N/A</v>
      </c>
      <c r="AH94" s="3" t="e">
        <f t="shared" si="9"/>
        <v>#N/A</v>
      </c>
      <c r="AI94" s="3" t="e">
        <f t="shared" si="9"/>
        <v>#N/A</v>
      </c>
      <c r="AJ94" s="3" t="e">
        <f t="shared" si="9"/>
        <v>#N/A</v>
      </c>
      <c r="AK94" s="3" t="e">
        <f t="shared" si="9"/>
        <v>#N/A</v>
      </c>
      <c r="AL94" s="3" t="e">
        <f t="shared" si="9"/>
        <v>#N/A</v>
      </c>
      <c r="AM94" s="3" t="e">
        <f t="shared" si="9"/>
        <v>#N/A</v>
      </c>
      <c r="AN94" s="3" t="e">
        <f t="shared" si="9"/>
        <v>#N/A</v>
      </c>
      <c r="AP94" s="3" t="e">
        <f t="shared" si="3"/>
        <v>#N/A</v>
      </c>
    </row>
    <row r="95" spans="2:42" x14ac:dyDescent="0.3">
      <c r="B95" t="str">
        <f t="shared" si="5"/>
        <v>y_senu_0/ems_ci_co2_senu_0</v>
      </c>
      <c r="D95" t="s">
        <v>173</v>
      </c>
      <c r="E95" s="3" t="e">
        <f t="shared" si="6"/>
        <v>#N/A</v>
      </c>
      <c r="F95" s="3" t="e">
        <f t="shared" si="9"/>
        <v>#N/A</v>
      </c>
      <c r="G95" s="3" t="e">
        <f t="shared" si="9"/>
        <v>#N/A</v>
      </c>
      <c r="H95" s="3" t="e">
        <f t="shared" si="9"/>
        <v>#N/A</v>
      </c>
      <c r="I95" s="3" t="e">
        <f t="shared" si="9"/>
        <v>#N/A</v>
      </c>
      <c r="J95" s="3" t="e">
        <f t="shared" si="9"/>
        <v>#N/A</v>
      </c>
      <c r="K95" s="3" t="e">
        <f t="shared" si="9"/>
        <v>#N/A</v>
      </c>
      <c r="L95" s="3" t="e">
        <f t="shared" si="9"/>
        <v>#N/A</v>
      </c>
      <c r="M95" s="3" t="e">
        <f t="shared" si="9"/>
        <v>#N/A</v>
      </c>
      <c r="N95" s="3" t="e">
        <f t="shared" si="9"/>
        <v>#N/A</v>
      </c>
      <c r="O95" s="3" t="e">
        <f t="shared" si="9"/>
        <v>#N/A</v>
      </c>
      <c r="P95" s="3" t="e">
        <f t="shared" si="9"/>
        <v>#N/A</v>
      </c>
      <c r="Q95" s="3" t="e">
        <f t="shared" si="9"/>
        <v>#N/A</v>
      </c>
      <c r="R95" s="3" t="e">
        <f t="shared" si="9"/>
        <v>#N/A</v>
      </c>
      <c r="S95" s="3" t="e">
        <f t="shared" si="9"/>
        <v>#N/A</v>
      </c>
      <c r="T95" s="3" t="e">
        <f t="shared" si="9"/>
        <v>#N/A</v>
      </c>
      <c r="U95" s="3" t="e">
        <f t="shared" si="9"/>
        <v>#N/A</v>
      </c>
      <c r="V95" s="3" t="e">
        <f t="shared" si="9"/>
        <v>#N/A</v>
      </c>
      <c r="W95" s="3" t="e">
        <f t="shared" si="9"/>
        <v>#N/A</v>
      </c>
      <c r="X95" s="3" t="e">
        <f t="shared" si="9"/>
        <v>#N/A</v>
      </c>
      <c r="Y95" s="3" t="e">
        <f t="shared" si="9"/>
        <v>#N/A</v>
      </c>
      <c r="Z95" s="3" t="e">
        <f t="shared" si="9"/>
        <v>#N/A</v>
      </c>
      <c r="AA95" s="3" t="e">
        <f t="shared" si="9"/>
        <v>#N/A</v>
      </c>
      <c r="AB95" s="3" t="e">
        <f t="shared" si="9"/>
        <v>#N/A</v>
      </c>
      <c r="AC95" s="3" t="e">
        <f t="shared" si="9"/>
        <v>#N/A</v>
      </c>
      <c r="AD95" s="3" t="e">
        <f t="shared" si="9"/>
        <v>#N/A</v>
      </c>
      <c r="AE95" s="3" t="e">
        <f t="shared" si="9"/>
        <v>#N/A</v>
      </c>
      <c r="AF95" s="3" t="e">
        <f t="shared" si="9"/>
        <v>#N/A</v>
      </c>
      <c r="AG95" s="3" t="e">
        <f t="shared" si="9"/>
        <v>#N/A</v>
      </c>
      <c r="AH95" s="3" t="e">
        <f t="shared" si="9"/>
        <v>#N/A</v>
      </c>
      <c r="AI95" s="3" t="e">
        <f t="shared" si="9"/>
        <v>#N/A</v>
      </c>
      <c r="AJ95" s="3" t="e">
        <f t="shared" si="9"/>
        <v>#N/A</v>
      </c>
      <c r="AK95" s="3" t="e">
        <f t="shared" si="9"/>
        <v>#N/A</v>
      </c>
      <c r="AL95" s="3" t="e">
        <f t="shared" si="9"/>
        <v>#N/A</v>
      </c>
      <c r="AM95" s="3" t="e">
        <f t="shared" si="9"/>
        <v>#N/A</v>
      </c>
      <c r="AN95" s="3" t="e">
        <f t="shared" si="9"/>
        <v>#N/A</v>
      </c>
      <c r="AP95" s="3" t="e">
        <f t="shared" si="3"/>
        <v>#N/A</v>
      </c>
    </row>
    <row r="96" spans="2:42" x14ac:dyDescent="0.3">
      <c r="B96" t="str">
        <f t="shared" si="5"/>
        <v>y_shea_0/ems_ci_co2_shea_0</v>
      </c>
      <c r="D96" t="s">
        <v>173</v>
      </c>
      <c r="E96" s="3" t="e">
        <f t="shared" si="6"/>
        <v>#N/A</v>
      </c>
      <c r="F96" s="3" t="e">
        <f t="shared" si="9"/>
        <v>#N/A</v>
      </c>
      <c r="G96" s="3" t="e">
        <f t="shared" si="9"/>
        <v>#N/A</v>
      </c>
      <c r="H96" s="3" t="e">
        <f t="shared" si="9"/>
        <v>#N/A</v>
      </c>
      <c r="I96" s="3" t="e">
        <f t="shared" si="9"/>
        <v>#N/A</v>
      </c>
      <c r="J96" s="3" t="e">
        <f t="shared" si="9"/>
        <v>#N/A</v>
      </c>
      <c r="K96" s="3" t="e">
        <f t="shared" si="9"/>
        <v>#N/A</v>
      </c>
      <c r="L96" s="3" t="e">
        <f t="shared" si="9"/>
        <v>#N/A</v>
      </c>
      <c r="M96" s="3" t="e">
        <f t="shared" si="9"/>
        <v>#N/A</v>
      </c>
      <c r="N96" s="3" t="e">
        <f t="shared" si="9"/>
        <v>#N/A</v>
      </c>
      <c r="O96" s="3" t="e">
        <f t="shared" si="9"/>
        <v>#N/A</v>
      </c>
      <c r="P96" s="3" t="e">
        <f t="shared" si="9"/>
        <v>#N/A</v>
      </c>
      <c r="Q96" s="3" t="e">
        <f t="shared" si="9"/>
        <v>#N/A</v>
      </c>
      <c r="R96" s="3" t="e">
        <f t="shared" si="9"/>
        <v>#N/A</v>
      </c>
      <c r="S96" s="3" t="e">
        <f t="shared" si="9"/>
        <v>#N/A</v>
      </c>
      <c r="T96" s="3" t="e">
        <f t="shared" si="9"/>
        <v>#N/A</v>
      </c>
      <c r="U96" s="3" t="e">
        <f t="shared" si="9"/>
        <v>#N/A</v>
      </c>
      <c r="V96" s="3" t="e">
        <f t="shared" si="9"/>
        <v>#N/A</v>
      </c>
      <c r="W96" s="3" t="e">
        <f t="shared" si="9"/>
        <v>#N/A</v>
      </c>
      <c r="X96" s="3" t="e">
        <f t="shared" si="9"/>
        <v>#N/A</v>
      </c>
      <c r="Y96" s="3" t="e">
        <f t="shared" si="9"/>
        <v>#N/A</v>
      </c>
      <c r="Z96" s="3" t="e">
        <f t="shared" si="9"/>
        <v>#N/A</v>
      </c>
      <c r="AA96" s="3" t="e">
        <f t="shared" si="9"/>
        <v>#N/A</v>
      </c>
      <c r="AB96" s="3" t="e">
        <f t="shared" si="9"/>
        <v>#N/A</v>
      </c>
      <c r="AC96" s="3" t="e">
        <f t="shared" si="9"/>
        <v>#N/A</v>
      </c>
      <c r="AD96" s="3" t="e">
        <f t="shared" si="9"/>
        <v>#N/A</v>
      </c>
      <c r="AE96" s="3" t="e">
        <f t="shared" si="9"/>
        <v>#N/A</v>
      </c>
      <c r="AF96" s="3" t="e">
        <f t="shared" si="9"/>
        <v>#N/A</v>
      </c>
      <c r="AG96" s="3" t="e">
        <f t="shared" si="9"/>
        <v>#N/A</v>
      </c>
      <c r="AH96" s="3" t="e">
        <f t="shared" si="9"/>
        <v>#N/A</v>
      </c>
      <c r="AI96" s="3" t="e">
        <f t="shared" si="9"/>
        <v>#N/A</v>
      </c>
      <c r="AJ96" s="3" t="e">
        <f t="shared" si="9"/>
        <v>#N/A</v>
      </c>
      <c r="AK96" s="3" t="e">
        <f t="shared" si="9"/>
        <v>#N/A</v>
      </c>
      <c r="AL96" s="3" t="e">
        <f t="shared" si="9"/>
        <v>#N/A</v>
      </c>
      <c r="AM96" s="3" t="e">
        <f t="shared" si="9"/>
        <v>#N/A</v>
      </c>
      <c r="AN96" s="3" t="e">
        <f t="shared" si="9"/>
        <v>#N/A</v>
      </c>
      <c r="AP96" s="3" t="e">
        <f t="shared" si="3"/>
        <v>#N/A</v>
      </c>
    </row>
    <row r="97" spans="3:42" x14ac:dyDescent="0.3">
      <c r="C97" s="5" t="s">
        <v>174</v>
      </c>
      <c r="E97" s="17" t="e">
        <f>(E7+E8+E6)/SUM(E42:E68)*1000</f>
        <v>#N/A</v>
      </c>
      <c r="F97" s="17" t="e">
        <f t="shared" ref="F97:AN97" si="10">(F7+F8+F6)/SUM(F42:F68)*1000</f>
        <v>#N/A</v>
      </c>
      <c r="G97" s="17" t="e">
        <f t="shared" si="10"/>
        <v>#N/A</v>
      </c>
      <c r="H97" s="17" t="e">
        <f t="shared" si="10"/>
        <v>#N/A</v>
      </c>
      <c r="I97" s="17" t="e">
        <f t="shared" si="10"/>
        <v>#N/A</v>
      </c>
      <c r="J97" s="17" t="e">
        <f t="shared" si="10"/>
        <v>#N/A</v>
      </c>
      <c r="K97" s="17" t="e">
        <f t="shared" si="10"/>
        <v>#N/A</v>
      </c>
      <c r="L97" s="17" t="e">
        <f t="shared" si="10"/>
        <v>#N/A</v>
      </c>
      <c r="M97" s="17" t="e">
        <f t="shared" si="10"/>
        <v>#N/A</v>
      </c>
      <c r="N97" s="17" t="e">
        <f t="shared" si="10"/>
        <v>#N/A</v>
      </c>
      <c r="O97" s="17" t="e">
        <f t="shared" si="10"/>
        <v>#N/A</v>
      </c>
      <c r="P97" s="17" t="e">
        <f t="shared" si="10"/>
        <v>#N/A</v>
      </c>
      <c r="Q97" s="17" t="e">
        <f t="shared" si="10"/>
        <v>#N/A</v>
      </c>
      <c r="R97" s="17" t="e">
        <f t="shared" si="10"/>
        <v>#N/A</v>
      </c>
      <c r="S97" s="17" t="e">
        <f t="shared" si="10"/>
        <v>#N/A</v>
      </c>
      <c r="T97" s="17" t="e">
        <f t="shared" si="10"/>
        <v>#N/A</v>
      </c>
      <c r="U97" s="17" t="e">
        <f t="shared" si="10"/>
        <v>#N/A</v>
      </c>
      <c r="V97" s="17" t="e">
        <f t="shared" si="10"/>
        <v>#N/A</v>
      </c>
      <c r="W97" s="17" t="e">
        <f t="shared" si="10"/>
        <v>#N/A</v>
      </c>
      <c r="X97" s="17" t="e">
        <f t="shared" si="10"/>
        <v>#N/A</v>
      </c>
      <c r="Y97" s="17" t="e">
        <f t="shared" si="10"/>
        <v>#N/A</v>
      </c>
      <c r="Z97" s="17" t="e">
        <f t="shared" si="10"/>
        <v>#N/A</v>
      </c>
      <c r="AA97" s="17" t="e">
        <f t="shared" si="10"/>
        <v>#N/A</v>
      </c>
      <c r="AB97" s="17" t="e">
        <f t="shared" si="10"/>
        <v>#N/A</v>
      </c>
      <c r="AC97" s="17" t="e">
        <f t="shared" si="10"/>
        <v>#N/A</v>
      </c>
      <c r="AD97" s="17" t="e">
        <f t="shared" si="10"/>
        <v>#N/A</v>
      </c>
      <c r="AE97" s="17" t="e">
        <f t="shared" si="10"/>
        <v>#N/A</v>
      </c>
      <c r="AF97" s="17" t="e">
        <f t="shared" si="10"/>
        <v>#N/A</v>
      </c>
      <c r="AG97" s="17" t="e">
        <f t="shared" si="10"/>
        <v>#N/A</v>
      </c>
      <c r="AH97" s="17" t="e">
        <f t="shared" si="10"/>
        <v>#N/A</v>
      </c>
      <c r="AI97" s="17" t="e">
        <f t="shared" si="10"/>
        <v>#N/A</v>
      </c>
      <c r="AJ97" s="17" t="e">
        <f t="shared" si="10"/>
        <v>#N/A</v>
      </c>
      <c r="AK97" s="17" t="e">
        <f t="shared" si="10"/>
        <v>#N/A</v>
      </c>
      <c r="AL97" s="17" t="e">
        <f t="shared" si="10"/>
        <v>#N/A</v>
      </c>
      <c r="AM97" s="17" t="e">
        <f t="shared" si="10"/>
        <v>#N/A</v>
      </c>
      <c r="AN97" s="17" t="e">
        <f t="shared" si="10"/>
        <v>#N/A</v>
      </c>
      <c r="AO97" s="5"/>
      <c r="AP97" s="17" t="e">
        <f t="shared" si="3"/>
        <v>#N/A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A3862-28E5-4B9E-B934-30AC78A14A0B}">
  <sheetPr>
    <tabColor theme="5"/>
  </sheetPr>
  <dimension ref="A1:AV60"/>
  <sheetViews>
    <sheetView topLeftCell="B48" zoomScale="90" zoomScaleNormal="70" workbookViewId="0">
      <selection activeCell="AC69" sqref="AC69"/>
    </sheetView>
  </sheetViews>
  <sheetFormatPr defaultRowHeight="14.4" x14ac:dyDescent="0.3"/>
  <sheetData>
    <row r="1" spans="1:48" s="12" customFormat="1" ht="19.8" x14ac:dyDescent="0.4">
      <c r="A1" s="11" t="s">
        <v>231</v>
      </c>
      <c r="C1" s="11"/>
      <c r="D1" s="16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</row>
    <row r="2" spans="1:48" x14ac:dyDescent="0.3">
      <c r="E2" s="14">
        <v>2</v>
      </c>
      <c r="F2" s="14">
        <v>3</v>
      </c>
      <c r="G2" s="14">
        <v>4</v>
      </c>
      <c r="H2" s="14">
        <v>5</v>
      </c>
      <c r="I2" s="14">
        <v>6</v>
      </c>
      <c r="J2" s="14">
        <v>7</v>
      </c>
      <c r="K2" s="14">
        <v>8</v>
      </c>
      <c r="L2" s="14">
        <v>9</v>
      </c>
      <c r="M2" s="14">
        <v>10</v>
      </c>
      <c r="N2" s="14">
        <v>11</v>
      </c>
      <c r="O2" s="14">
        <v>12</v>
      </c>
      <c r="P2" s="14">
        <v>13</v>
      </c>
      <c r="Q2" s="14">
        <v>14</v>
      </c>
      <c r="R2" s="14">
        <v>15</v>
      </c>
      <c r="S2" s="14">
        <v>16</v>
      </c>
      <c r="T2" s="14">
        <v>17</v>
      </c>
      <c r="U2" s="14">
        <v>18</v>
      </c>
      <c r="V2" s="14">
        <v>19</v>
      </c>
      <c r="W2" s="14">
        <v>20</v>
      </c>
      <c r="X2" s="14">
        <v>21</v>
      </c>
      <c r="Y2" s="14">
        <v>22</v>
      </c>
      <c r="Z2" s="14">
        <v>23</v>
      </c>
      <c r="AA2" s="14">
        <v>24</v>
      </c>
      <c r="AB2" s="14">
        <v>25</v>
      </c>
      <c r="AC2" s="14">
        <v>26</v>
      </c>
      <c r="AD2" s="14">
        <v>27</v>
      </c>
      <c r="AE2" s="14">
        <v>28</v>
      </c>
      <c r="AF2" s="14">
        <v>29</v>
      </c>
      <c r="AG2" s="14">
        <v>30</v>
      </c>
      <c r="AH2" s="14">
        <v>31</v>
      </c>
      <c r="AI2" s="14">
        <v>32</v>
      </c>
      <c r="AJ2" s="14">
        <v>33</v>
      </c>
      <c r="AK2" s="14">
        <v>34</v>
      </c>
      <c r="AL2" s="14">
        <v>35</v>
      </c>
      <c r="AM2" s="14">
        <v>36</v>
      </c>
      <c r="AN2" s="14">
        <v>37</v>
      </c>
    </row>
    <row r="3" spans="1:48" x14ac:dyDescent="0.3">
      <c r="E3" s="5">
        <v>2015</v>
      </c>
      <c r="F3" s="5">
        <v>2016</v>
      </c>
      <c r="G3" s="5">
        <v>2017</v>
      </c>
      <c r="H3" s="5">
        <v>2018</v>
      </c>
      <c r="I3" s="5">
        <v>2019</v>
      </c>
      <c r="J3" s="5">
        <v>2020</v>
      </c>
      <c r="K3" s="5">
        <v>2021</v>
      </c>
      <c r="L3" s="5">
        <v>2022</v>
      </c>
      <c r="M3" s="5">
        <v>2023</v>
      </c>
      <c r="N3" s="5">
        <v>2024</v>
      </c>
      <c r="O3" s="5">
        <v>2025</v>
      </c>
      <c r="P3" s="5">
        <v>2026</v>
      </c>
      <c r="Q3" s="5">
        <v>2027</v>
      </c>
      <c r="R3" s="5">
        <v>2028</v>
      </c>
      <c r="S3" s="5">
        <v>2029</v>
      </c>
      <c r="T3" s="5">
        <v>2030</v>
      </c>
      <c r="U3" s="5">
        <v>2031</v>
      </c>
      <c r="V3" s="5">
        <v>2032</v>
      </c>
      <c r="W3" s="5">
        <v>2033</v>
      </c>
      <c r="X3" s="5">
        <v>2034</v>
      </c>
      <c r="Y3" s="5">
        <v>2035</v>
      </c>
      <c r="Z3" s="5">
        <v>2036</v>
      </c>
      <c r="AA3" s="5">
        <v>2037</v>
      </c>
      <c r="AB3" s="5">
        <v>2038</v>
      </c>
      <c r="AC3" s="5">
        <v>2039</v>
      </c>
      <c r="AD3" s="5">
        <v>2040</v>
      </c>
      <c r="AE3" s="5">
        <v>2041</v>
      </c>
      <c r="AF3" s="5">
        <v>2042</v>
      </c>
      <c r="AG3" s="5">
        <v>2043</v>
      </c>
      <c r="AH3" s="5">
        <v>2044</v>
      </c>
      <c r="AI3" s="5">
        <v>2045</v>
      </c>
      <c r="AJ3" s="5">
        <v>2046</v>
      </c>
      <c r="AK3" s="5">
        <v>2047</v>
      </c>
      <c r="AL3" s="5">
        <v>2048</v>
      </c>
      <c r="AM3" s="5">
        <v>2049</v>
      </c>
      <c r="AN3" s="5">
        <v>2050</v>
      </c>
    </row>
    <row r="4" spans="1:48" x14ac:dyDescent="0.3">
      <c r="B4" t="s">
        <v>28</v>
      </c>
      <c r="D4" t="s">
        <v>172</v>
      </c>
      <c r="E4" s="13" t="e">
        <f>VLOOKUP($B4,baseline!$A:$AK,E$2,FALSE)</f>
        <v>#N/A</v>
      </c>
      <c r="F4" s="13" t="e">
        <f>VLOOKUP($B4,baseline!$A:$AK,F$2,FALSE)</f>
        <v>#N/A</v>
      </c>
      <c r="G4" s="13" t="e">
        <f>VLOOKUP($B4,baseline!$A:$AK,G$2,FALSE)</f>
        <v>#N/A</v>
      </c>
      <c r="H4" s="13" t="e">
        <f>VLOOKUP($B4,baseline!$A:$AK,H$2,FALSE)</f>
        <v>#N/A</v>
      </c>
      <c r="I4" s="13" t="e">
        <f>VLOOKUP($B4,baseline!$A:$AK,I$2,FALSE)</f>
        <v>#N/A</v>
      </c>
      <c r="J4" s="13" t="e">
        <f>VLOOKUP($B4,baseline!$A:$AK,J$2,FALSE)</f>
        <v>#N/A</v>
      </c>
      <c r="K4" s="13" t="e">
        <f>VLOOKUP($B4,baseline!$A:$AK,K$2,FALSE)</f>
        <v>#N/A</v>
      </c>
      <c r="L4" s="13" t="e">
        <f>VLOOKUP($B4,baseline!$A:$AK,L$2,FALSE)</f>
        <v>#N/A</v>
      </c>
      <c r="M4" s="13" t="e">
        <f>VLOOKUP($B4,baseline!$A:$AK,M$2,FALSE)</f>
        <v>#N/A</v>
      </c>
      <c r="N4" s="13" t="e">
        <f>VLOOKUP($B4,baseline!$A:$AK,N$2,FALSE)</f>
        <v>#N/A</v>
      </c>
      <c r="O4" s="13" t="e">
        <f>VLOOKUP($B4,baseline!$A:$AK,O$2,FALSE)</f>
        <v>#N/A</v>
      </c>
      <c r="P4" s="13" t="e">
        <f>VLOOKUP($B4,baseline!$A:$AK,P$2,FALSE)</f>
        <v>#N/A</v>
      </c>
      <c r="Q4" s="13" t="e">
        <f>VLOOKUP($B4,baseline!$A:$AK,Q$2,FALSE)</f>
        <v>#N/A</v>
      </c>
      <c r="R4" s="13" t="e">
        <f>VLOOKUP($B4,baseline!$A:$AK,R$2,FALSE)</f>
        <v>#N/A</v>
      </c>
      <c r="S4" s="13" t="e">
        <f>VLOOKUP($B4,baseline!$A:$AK,S$2,FALSE)</f>
        <v>#N/A</v>
      </c>
      <c r="T4" s="13" t="e">
        <f>VLOOKUP($B4,baseline!$A:$AK,T$2,FALSE)</f>
        <v>#N/A</v>
      </c>
      <c r="U4" s="13" t="e">
        <f>VLOOKUP($B4,baseline!$A:$AK,U$2,FALSE)</f>
        <v>#N/A</v>
      </c>
      <c r="V4" s="13" t="e">
        <f>VLOOKUP($B4,baseline!$A:$AK,V$2,FALSE)</f>
        <v>#N/A</v>
      </c>
      <c r="W4" s="13" t="e">
        <f>VLOOKUP($B4,baseline!$A:$AK,W$2,FALSE)</f>
        <v>#N/A</v>
      </c>
      <c r="X4" s="13" t="e">
        <f>VLOOKUP($B4,baseline!$A:$AK,X$2,FALSE)</f>
        <v>#N/A</v>
      </c>
      <c r="Y4" s="13" t="e">
        <f>VLOOKUP($B4,baseline!$A:$AK,Y$2,FALSE)</f>
        <v>#N/A</v>
      </c>
      <c r="Z4" s="13" t="e">
        <f>VLOOKUP($B4,baseline!$A:$AK,Z$2,FALSE)</f>
        <v>#N/A</v>
      </c>
      <c r="AA4" s="13" t="e">
        <f>VLOOKUP($B4,baseline!$A:$AK,AA$2,FALSE)</f>
        <v>#N/A</v>
      </c>
      <c r="AB4" s="13" t="e">
        <f>VLOOKUP($B4,baseline!$A:$AK,AB$2,FALSE)</f>
        <v>#N/A</v>
      </c>
      <c r="AC4" s="13" t="e">
        <f>VLOOKUP($B4,baseline!$A:$AK,AC$2,FALSE)</f>
        <v>#N/A</v>
      </c>
      <c r="AD4" s="13" t="e">
        <f>VLOOKUP($B4,baseline!$A:$AK,AD$2,FALSE)</f>
        <v>#N/A</v>
      </c>
      <c r="AE4" s="13" t="e">
        <f>VLOOKUP($B4,baseline!$A:$AK,AE$2,FALSE)</f>
        <v>#N/A</v>
      </c>
      <c r="AF4" s="13" t="e">
        <f>VLOOKUP($B4,baseline!$A:$AK,AF$2,FALSE)</f>
        <v>#N/A</v>
      </c>
      <c r="AG4" s="13" t="e">
        <f>VLOOKUP($B4,baseline!$A:$AK,AG$2,FALSE)</f>
        <v>#N/A</v>
      </c>
      <c r="AH4" s="13" t="e">
        <f>VLOOKUP($B4,baseline!$A:$AK,AH$2,FALSE)</f>
        <v>#N/A</v>
      </c>
      <c r="AI4" s="13" t="e">
        <f>VLOOKUP($B4,baseline!$A:$AK,AI$2,FALSE)</f>
        <v>#N/A</v>
      </c>
      <c r="AJ4" s="13" t="e">
        <f>VLOOKUP($B4,baseline!$A:$AK,AJ$2,FALSE)</f>
        <v>#N/A</v>
      </c>
      <c r="AK4" s="13" t="e">
        <f>VLOOKUP($B4,baseline!$A:$AK,AK$2,FALSE)</f>
        <v>#N/A</v>
      </c>
      <c r="AL4" s="13" t="e">
        <f>VLOOKUP($B4,baseline!$A:$AK,AL$2,FALSE)</f>
        <v>#N/A</v>
      </c>
      <c r="AM4" s="13" t="e">
        <f>VLOOKUP($B4,baseline!$A:$AK,AM$2,FALSE)</f>
        <v>#N/A</v>
      </c>
      <c r="AN4" s="13" t="e">
        <f>VLOOKUP($B4,baseline!$A:$AK,AN$2,FALSE)</f>
        <v>#N/A</v>
      </c>
      <c r="AP4" s="3" t="e">
        <f t="shared" ref="AP4:AP30" si="0">AN4/E4</f>
        <v>#N/A</v>
      </c>
    </row>
    <row r="5" spans="1:48" x14ac:dyDescent="0.3">
      <c r="B5" t="s">
        <v>29</v>
      </c>
      <c r="D5" t="s">
        <v>172</v>
      </c>
      <c r="E5" s="13" t="e">
        <f>VLOOKUP($B5,baseline!$A:$AK,E$2,FALSE)</f>
        <v>#N/A</v>
      </c>
      <c r="F5" s="13" t="e">
        <f>VLOOKUP($B5,baseline!$A:$AK,F$2,FALSE)</f>
        <v>#N/A</v>
      </c>
      <c r="G5" s="13" t="e">
        <f>VLOOKUP($B5,baseline!$A:$AK,G$2,FALSE)</f>
        <v>#N/A</v>
      </c>
      <c r="H5" s="13" t="e">
        <f>VLOOKUP($B5,baseline!$A:$AK,H$2,FALSE)</f>
        <v>#N/A</v>
      </c>
      <c r="I5" s="13" t="e">
        <f>VLOOKUP($B5,baseline!$A:$AK,I$2,FALSE)</f>
        <v>#N/A</v>
      </c>
      <c r="J5" s="13" t="e">
        <f>VLOOKUP($B5,baseline!$A:$AK,J$2,FALSE)</f>
        <v>#N/A</v>
      </c>
      <c r="K5" s="13" t="e">
        <f>VLOOKUP($B5,baseline!$A:$AK,K$2,FALSE)</f>
        <v>#N/A</v>
      </c>
      <c r="L5" s="13" t="e">
        <f>VLOOKUP($B5,baseline!$A:$AK,L$2,FALSE)</f>
        <v>#N/A</v>
      </c>
      <c r="M5" s="13" t="e">
        <f>VLOOKUP($B5,baseline!$A:$AK,M$2,FALSE)</f>
        <v>#N/A</v>
      </c>
      <c r="N5" s="13" t="e">
        <f>VLOOKUP($B5,baseline!$A:$AK,N$2,FALSE)</f>
        <v>#N/A</v>
      </c>
      <c r="O5" s="13" t="e">
        <f>VLOOKUP($B5,baseline!$A:$AK,O$2,FALSE)</f>
        <v>#N/A</v>
      </c>
      <c r="P5" s="13" t="e">
        <f>VLOOKUP($B5,baseline!$A:$AK,P$2,FALSE)</f>
        <v>#N/A</v>
      </c>
      <c r="Q5" s="13" t="e">
        <f>VLOOKUP($B5,baseline!$A:$AK,Q$2,FALSE)</f>
        <v>#N/A</v>
      </c>
      <c r="R5" s="13" t="e">
        <f>VLOOKUP($B5,baseline!$A:$AK,R$2,FALSE)</f>
        <v>#N/A</v>
      </c>
      <c r="S5" s="13" t="e">
        <f>VLOOKUP($B5,baseline!$A:$AK,S$2,FALSE)</f>
        <v>#N/A</v>
      </c>
      <c r="T5" s="13" t="e">
        <f>VLOOKUP($B5,baseline!$A:$AK,T$2,FALSE)</f>
        <v>#N/A</v>
      </c>
      <c r="U5" s="13" t="e">
        <f>VLOOKUP($B5,baseline!$A:$AK,U$2,FALSE)</f>
        <v>#N/A</v>
      </c>
      <c r="V5" s="13" t="e">
        <f>VLOOKUP($B5,baseline!$A:$AK,V$2,FALSE)</f>
        <v>#N/A</v>
      </c>
      <c r="W5" s="13" t="e">
        <f>VLOOKUP($B5,baseline!$A:$AK,W$2,FALSE)</f>
        <v>#N/A</v>
      </c>
      <c r="X5" s="13" t="e">
        <f>VLOOKUP($B5,baseline!$A:$AK,X$2,FALSE)</f>
        <v>#N/A</v>
      </c>
      <c r="Y5" s="13" t="e">
        <f>VLOOKUP($B5,baseline!$A:$AK,Y$2,FALSE)</f>
        <v>#N/A</v>
      </c>
      <c r="Z5" s="13" t="e">
        <f>VLOOKUP($B5,baseline!$A:$AK,Z$2,FALSE)</f>
        <v>#N/A</v>
      </c>
      <c r="AA5" s="13" t="e">
        <f>VLOOKUP($B5,baseline!$A:$AK,AA$2,FALSE)</f>
        <v>#N/A</v>
      </c>
      <c r="AB5" s="13" t="e">
        <f>VLOOKUP($B5,baseline!$A:$AK,AB$2,FALSE)</f>
        <v>#N/A</v>
      </c>
      <c r="AC5" s="13" t="e">
        <f>VLOOKUP($B5,baseline!$A:$AK,AC$2,FALSE)</f>
        <v>#N/A</v>
      </c>
      <c r="AD5" s="13" t="e">
        <f>VLOOKUP($B5,baseline!$A:$AK,AD$2,FALSE)</f>
        <v>#N/A</v>
      </c>
      <c r="AE5" s="13" t="e">
        <f>VLOOKUP($B5,baseline!$A:$AK,AE$2,FALSE)</f>
        <v>#N/A</v>
      </c>
      <c r="AF5" s="13" t="e">
        <f>VLOOKUP($B5,baseline!$A:$AK,AF$2,FALSE)</f>
        <v>#N/A</v>
      </c>
      <c r="AG5" s="13" t="e">
        <f>VLOOKUP($B5,baseline!$A:$AK,AG$2,FALSE)</f>
        <v>#N/A</v>
      </c>
      <c r="AH5" s="13" t="e">
        <f>VLOOKUP($B5,baseline!$A:$AK,AH$2,FALSE)</f>
        <v>#N/A</v>
      </c>
      <c r="AI5" s="13" t="e">
        <f>VLOOKUP($B5,baseline!$A:$AK,AI$2,FALSE)</f>
        <v>#N/A</v>
      </c>
      <c r="AJ5" s="13" t="e">
        <f>VLOOKUP($B5,baseline!$A:$AK,AJ$2,FALSE)</f>
        <v>#N/A</v>
      </c>
      <c r="AK5" s="13" t="e">
        <f>VLOOKUP($B5,baseline!$A:$AK,AK$2,FALSE)</f>
        <v>#N/A</v>
      </c>
      <c r="AL5" s="13" t="e">
        <f>VLOOKUP($B5,baseline!$A:$AK,AL$2,FALSE)</f>
        <v>#N/A</v>
      </c>
      <c r="AM5" s="13" t="e">
        <f>VLOOKUP($B5,baseline!$A:$AK,AM$2,FALSE)</f>
        <v>#N/A</v>
      </c>
      <c r="AN5" s="13" t="e">
        <f>VLOOKUP($B5,baseline!$A:$AK,AN$2,FALSE)</f>
        <v>#N/A</v>
      </c>
      <c r="AP5" s="3" t="e">
        <f t="shared" si="0"/>
        <v>#N/A</v>
      </c>
    </row>
    <row r="6" spans="1:48" x14ac:dyDescent="0.3">
      <c r="B6" t="s">
        <v>30</v>
      </c>
      <c r="D6" t="s">
        <v>172</v>
      </c>
      <c r="E6" s="13" t="e">
        <f>VLOOKUP($B6,baseline!$A:$AK,E$2,FALSE)</f>
        <v>#N/A</v>
      </c>
      <c r="F6" s="13" t="e">
        <f>VLOOKUP($B6,baseline!$A:$AK,F$2,FALSE)</f>
        <v>#N/A</v>
      </c>
      <c r="G6" s="13" t="e">
        <f>VLOOKUP($B6,baseline!$A:$AK,G$2,FALSE)</f>
        <v>#N/A</v>
      </c>
      <c r="H6" s="13" t="e">
        <f>VLOOKUP($B6,baseline!$A:$AK,H$2,FALSE)</f>
        <v>#N/A</v>
      </c>
      <c r="I6" s="13" t="e">
        <f>VLOOKUP($B6,baseline!$A:$AK,I$2,FALSE)</f>
        <v>#N/A</v>
      </c>
      <c r="J6" s="13" t="e">
        <f>VLOOKUP($B6,baseline!$A:$AK,J$2,FALSE)</f>
        <v>#N/A</v>
      </c>
      <c r="K6" s="13" t="e">
        <f>VLOOKUP($B6,baseline!$A:$AK,K$2,FALSE)</f>
        <v>#N/A</v>
      </c>
      <c r="L6" s="13" t="e">
        <f>VLOOKUP($B6,baseline!$A:$AK,L$2,FALSE)</f>
        <v>#N/A</v>
      </c>
      <c r="M6" s="13" t="e">
        <f>VLOOKUP($B6,baseline!$A:$AK,M$2,FALSE)</f>
        <v>#N/A</v>
      </c>
      <c r="N6" s="13" t="e">
        <f>VLOOKUP($B6,baseline!$A:$AK,N$2,FALSE)</f>
        <v>#N/A</v>
      </c>
      <c r="O6" s="13" t="e">
        <f>VLOOKUP($B6,baseline!$A:$AK,O$2,FALSE)</f>
        <v>#N/A</v>
      </c>
      <c r="P6" s="13" t="e">
        <f>VLOOKUP($B6,baseline!$A:$AK,P$2,FALSE)</f>
        <v>#N/A</v>
      </c>
      <c r="Q6" s="13" t="e">
        <f>VLOOKUP($B6,baseline!$A:$AK,Q$2,FALSE)</f>
        <v>#N/A</v>
      </c>
      <c r="R6" s="13" t="e">
        <f>VLOOKUP($B6,baseline!$A:$AK,R$2,FALSE)</f>
        <v>#N/A</v>
      </c>
      <c r="S6" s="13" t="e">
        <f>VLOOKUP($B6,baseline!$A:$AK,S$2,FALSE)</f>
        <v>#N/A</v>
      </c>
      <c r="T6" s="13" t="e">
        <f>VLOOKUP($B6,baseline!$A:$AK,T$2,FALSE)</f>
        <v>#N/A</v>
      </c>
      <c r="U6" s="13" t="e">
        <f>VLOOKUP($B6,baseline!$A:$AK,U$2,FALSE)</f>
        <v>#N/A</v>
      </c>
      <c r="V6" s="13" t="e">
        <f>VLOOKUP($B6,baseline!$A:$AK,V$2,FALSE)</f>
        <v>#N/A</v>
      </c>
      <c r="W6" s="13" t="e">
        <f>VLOOKUP($B6,baseline!$A:$AK,W$2,FALSE)</f>
        <v>#N/A</v>
      </c>
      <c r="X6" s="13" t="e">
        <f>VLOOKUP($B6,baseline!$A:$AK,X$2,FALSE)</f>
        <v>#N/A</v>
      </c>
      <c r="Y6" s="13" t="e">
        <f>VLOOKUP($B6,baseline!$A:$AK,Y$2,FALSE)</f>
        <v>#N/A</v>
      </c>
      <c r="Z6" s="13" t="e">
        <f>VLOOKUP($B6,baseline!$A:$AK,Z$2,FALSE)</f>
        <v>#N/A</v>
      </c>
      <c r="AA6" s="13" t="e">
        <f>VLOOKUP($B6,baseline!$A:$AK,AA$2,FALSE)</f>
        <v>#N/A</v>
      </c>
      <c r="AB6" s="13" t="e">
        <f>VLOOKUP($B6,baseline!$A:$AK,AB$2,FALSE)</f>
        <v>#N/A</v>
      </c>
      <c r="AC6" s="13" t="e">
        <f>VLOOKUP($B6,baseline!$A:$AK,AC$2,FALSE)</f>
        <v>#N/A</v>
      </c>
      <c r="AD6" s="13" t="e">
        <f>VLOOKUP($B6,baseline!$A:$AK,AD$2,FALSE)</f>
        <v>#N/A</v>
      </c>
      <c r="AE6" s="13" t="e">
        <f>VLOOKUP($B6,baseline!$A:$AK,AE$2,FALSE)</f>
        <v>#N/A</v>
      </c>
      <c r="AF6" s="13" t="e">
        <f>VLOOKUP($B6,baseline!$A:$AK,AF$2,FALSE)</f>
        <v>#N/A</v>
      </c>
      <c r="AG6" s="13" t="e">
        <f>VLOOKUP($B6,baseline!$A:$AK,AG$2,FALSE)</f>
        <v>#N/A</v>
      </c>
      <c r="AH6" s="13" t="e">
        <f>VLOOKUP($B6,baseline!$A:$AK,AH$2,FALSE)</f>
        <v>#N/A</v>
      </c>
      <c r="AI6" s="13" t="e">
        <f>VLOOKUP($B6,baseline!$A:$AK,AI$2,FALSE)</f>
        <v>#N/A</v>
      </c>
      <c r="AJ6" s="13" t="e">
        <f>VLOOKUP($B6,baseline!$A:$AK,AJ$2,FALSE)</f>
        <v>#N/A</v>
      </c>
      <c r="AK6" s="13" t="e">
        <f>VLOOKUP($B6,baseline!$A:$AK,AK$2,FALSE)</f>
        <v>#N/A</v>
      </c>
      <c r="AL6" s="13" t="e">
        <f>VLOOKUP($B6,baseline!$A:$AK,AL$2,FALSE)</f>
        <v>#N/A</v>
      </c>
      <c r="AM6" s="13" t="e">
        <f>VLOOKUP($B6,baseline!$A:$AK,AM$2,FALSE)</f>
        <v>#N/A</v>
      </c>
      <c r="AN6" s="13" t="e">
        <f>VLOOKUP($B6,baseline!$A:$AK,AN$2,FALSE)</f>
        <v>#N/A</v>
      </c>
      <c r="AP6" s="3" t="e">
        <f t="shared" si="0"/>
        <v>#N/A</v>
      </c>
    </row>
    <row r="7" spans="1:48" x14ac:dyDescent="0.3">
      <c r="B7" t="s">
        <v>31</v>
      </c>
      <c r="D7" t="s">
        <v>172</v>
      </c>
      <c r="E7" s="13" t="e">
        <f>VLOOKUP($B7,baseline!$A:$AK,E$2,FALSE)</f>
        <v>#N/A</v>
      </c>
      <c r="F7" s="13" t="e">
        <f>VLOOKUP($B7,baseline!$A:$AK,F$2,FALSE)</f>
        <v>#N/A</v>
      </c>
      <c r="G7" s="13" t="e">
        <f>VLOOKUP($B7,baseline!$A:$AK,G$2,FALSE)</f>
        <v>#N/A</v>
      </c>
      <c r="H7" s="13" t="e">
        <f>VLOOKUP($B7,baseline!$A:$AK,H$2,FALSE)</f>
        <v>#N/A</v>
      </c>
      <c r="I7" s="13" t="e">
        <f>VLOOKUP($B7,baseline!$A:$AK,I$2,FALSE)</f>
        <v>#N/A</v>
      </c>
      <c r="J7" s="13" t="e">
        <f>VLOOKUP($B7,baseline!$A:$AK,J$2,FALSE)</f>
        <v>#N/A</v>
      </c>
      <c r="K7" s="13" t="e">
        <f>VLOOKUP($B7,baseline!$A:$AK,K$2,FALSE)</f>
        <v>#N/A</v>
      </c>
      <c r="L7" s="13" t="e">
        <f>VLOOKUP($B7,baseline!$A:$AK,L$2,FALSE)</f>
        <v>#N/A</v>
      </c>
      <c r="M7" s="13" t="e">
        <f>VLOOKUP($B7,baseline!$A:$AK,M$2,FALSE)</f>
        <v>#N/A</v>
      </c>
      <c r="N7" s="13" t="e">
        <f>VLOOKUP($B7,baseline!$A:$AK,N$2,FALSE)</f>
        <v>#N/A</v>
      </c>
      <c r="O7" s="13" t="e">
        <f>VLOOKUP($B7,baseline!$A:$AK,O$2,FALSE)</f>
        <v>#N/A</v>
      </c>
      <c r="P7" s="13" t="e">
        <f>VLOOKUP($B7,baseline!$A:$AK,P$2,FALSE)</f>
        <v>#N/A</v>
      </c>
      <c r="Q7" s="13" t="e">
        <f>VLOOKUP($B7,baseline!$A:$AK,Q$2,FALSE)</f>
        <v>#N/A</v>
      </c>
      <c r="R7" s="13" t="e">
        <f>VLOOKUP($B7,baseline!$A:$AK,R$2,FALSE)</f>
        <v>#N/A</v>
      </c>
      <c r="S7" s="13" t="e">
        <f>VLOOKUP($B7,baseline!$A:$AK,S$2,FALSE)</f>
        <v>#N/A</v>
      </c>
      <c r="T7" s="13" t="e">
        <f>VLOOKUP($B7,baseline!$A:$AK,T$2,FALSE)</f>
        <v>#N/A</v>
      </c>
      <c r="U7" s="13" t="e">
        <f>VLOOKUP($B7,baseline!$A:$AK,U$2,FALSE)</f>
        <v>#N/A</v>
      </c>
      <c r="V7" s="13" t="e">
        <f>VLOOKUP($B7,baseline!$A:$AK,V$2,FALSE)</f>
        <v>#N/A</v>
      </c>
      <c r="W7" s="13" t="e">
        <f>VLOOKUP($B7,baseline!$A:$AK,W$2,FALSE)</f>
        <v>#N/A</v>
      </c>
      <c r="X7" s="13" t="e">
        <f>VLOOKUP($B7,baseline!$A:$AK,X$2,FALSE)</f>
        <v>#N/A</v>
      </c>
      <c r="Y7" s="13" t="e">
        <f>VLOOKUP($B7,baseline!$A:$AK,Y$2,FALSE)</f>
        <v>#N/A</v>
      </c>
      <c r="Z7" s="13" t="e">
        <f>VLOOKUP($B7,baseline!$A:$AK,Z$2,FALSE)</f>
        <v>#N/A</v>
      </c>
      <c r="AA7" s="13" t="e">
        <f>VLOOKUP($B7,baseline!$A:$AK,AA$2,FALSE)</f>
        <v>#N/A</v>
      </c>
      <c r="AB7" s="13" t="e">
        <f>VLOOKUP($B7,baseline!$A:$AK,AB$2,FALSE)</f>
        <v>#N/A</v>
      </c>
      <c r="AC7" s="13" t="e">
        <f>VLOOKUP($B7,baseline!$A:$AK,AC$2,FALSE)</f>
        <v>#N/A</v>
      </c>
      <c r="AD7" s="13" t="e">
        <f>VLOOKUP($B7,baseline!$A:$AK,AD$2,FALSE)</f>
        <v>#N/A</v>
      </c>
      <c r="AE7" s="13" t="e">
        <f>VLOOKUP($B7,baseline!$A:$AK,AE$2,FALSE)</f>
        <v>#N/A</v>
      </c>
      <c r="AF7" s="13" t="e">
        <f>VLOOKUP($B7,baseline!$A:$AK,AF$2,FALSE)</f>
        <v>#N/A</v>
      </c>
      <c r="AG7" s="13" t="e">
        <f>VLOOKUP($B7,baseline!$A:$AK,AG$2,FALSE)</f>
        <v>#N/A</v>
      </c>
      <c r="AH7" s="13" t="e">
        <f>VLOOKUP($B7,baseline!$A:$AK,AH$2,FALSE)</f>
        <v>#N/A</v>
      </c>
      <c r="AI7" s="13" t="e">
        <f>VLOOKUP($B7,baseline!$A:$AK,AI$2,FALSE)</f>
        <v>#N/A</v>
      </c>
      <c r="AJ7" s="13" t="e">
        <f>VLOOKUP($B7,baseline!$A:$AK,AJ$2,FALSE)</f>
        <v>#N/A</v>
      </c>
      <c r="AK7" s="13" t="e">
        <f>VLOOKUP($B7,baseline!$A:$AK,AK$2,FALSE)</f>
        <v>#N/A</v>
      </c>
      <c r="AL7" s="13" t="e">
        <f>VLOOKUP($B7,baseline!$A:$AK,AL$2,FALSE)</f>
        <v>#N/A</v>
      </c>
      <c r="AM7" s="13" t="e">
        <f>VLOOKUP($B7,baseline!$A:$AK,AM$2,FALSE)</f>
        <v>#N/A</v>
      </c>
      <c r="AN7" s="13" t="e">
        <f>VLOOKUP($B7,baseline!$A:$AK,AN$2,FALSE)</f>
        <v>#N/A</v>
      </c>
      <c r="AP7" s="3" t="e">
        <f t="shared" si="0"/>
        <v>#N/A</v>
      </c>
    </row>
    <row r="8" spans="1:48" x14ac:dyDescent="0.3">
      <c r="B8" t="s">
        <v>32</v>
      </c>
      <c r="D8" t="s">
        <v>172</v>
      </c>
      <c r="E8" s="13" t="e">
        <f>VLOOKUP($B8,baseline!$A:$AK,E$2,FALSE)</f>
        <v>#N/A</v>
      </c>
      <c r="F8" s="13" t="e">
        <f>VLOOKUP($B8,baseline!$A:$AK,F$2,FALSE)</f>
        <v>#N/A</v>
      </c>
      <c r="G8" s="13" t="e">
        <f>VLOOKUP($B8,baseline!$A:$AK,G$2,FALSE)</f>
        <v>#N/A</v>
      </c>
      <c r="H8" s="13" t="e">
        <f>VLOOKUP($B8,baseline!$A:$AK,H$2,FALSE)</f>
        <v>#N/A</v>
      </c>
      <c r="I8" s="13" t="e">
        <f>VLOOKUP($B8,baseline!$A:$AK,I$2,FALSE)</f>
        <v>#N/A</v>
      </c>
      <c r="J8" s="13" t="e">
        <f>VLOOKUP($B8,baseline!$A:$AK,J$2,FALSE)</f>
        <v>#N/A</v>
      </c>
      <c r="K8" s="13" t="e">
        <f>VLOOKUP($B8,baseline!$A:$AK,K$2,FALSE)</f>
        <v>#N/A</v>
      </c>
      <c r="L8" s="13" t="e">
        <f>VLOOKUP($B8,baseline!$A:$AK,L$2,FALSE)</f>
        <v>#N/A</v>
      </c>
      <c r="M8" s="13" t="e">
        <f>VLOOKUP($B8,baseline!$A:$AK,M$2,FALSE)</f>
        <v>#N/A</v>
      </c>
      <c r="N8" s="13" t="e">
        <f>VLOOKUP($B8,baseline!$A:$AK,N$2,FALSE)</f>
        <v>#N/A</v>
      </c>
      <c r="O8" s="13" t="e">
        <f>VLOOKUP($B8,baseline!$A:$AK,O$2,FALSE)</f>
        <v>#N/A</v>
      </c>
      <c r="P8" s="13" t="e">
        <f>VLOOKUP($B8,baseline!$A:$AK,P$2,FALSE)</f>
        <v>#N/A</v>
      </c>
      <c r="Q8" s="13" t="e">
        <f>VLOOKUP($B8,baseline!$A:$AK,Q$2,FALSE)</f>
        <v>#N/A</v>
      </c>
      <c r="R8" s="13" t="e">
        <f>VLOOKUP($B8,baseline!$A:$AK,R$2,FALSE)</f>
        <v>#N/A</v>
      </c>
      <c r="S8" s="13" t="e">
        <f>VLOOKUP($B8,baseline!$A:$AK,S$2,FALSE)</f>
        <v>#N/A</v>
      </c>
      <c r="T8" s="13" t="e">
        <f>VLOOKUP($B8,baseline!$A:$AK,T$2,FALSE)</f>
        <v>#N/A</v>
      </c>
      <c r="U8" s="13" t="e">
        <f>VLOOKUP($B8,baseline!$A:$AK,U$2,FALSE)</f>
        <v>#N/A</v>
      </c>
      <c r="V8" s="13" t="e">
        <f>VLOOKUP($B8,baseline!$A:$AK,V$2,FALSE)</f>
        <v>#N/A</v>
      </c>
      <c r="W8" s="13" t="e">
        <f>VLOOKUP($B8,baseline!$A:$AK,W$2,FALSE)</f>
        <v>#N/A</v>
      </c>
      <c r="X8" s="13" t="e">
        <f>VLOOKUP($B8,baseline!$A:$AK,X$2,FALSE)</f>
        <v>#N/A</v>
      </c>
      <c r="Y8" s="13" t="e">
        <f>VLOOKUP($B8,baseline!$A:$AK,Y$2,FALSE)</f>
        <v>#N/A</v>
      </c>
      <c r="Z8" s="13" t="e">
        <f>VLOOKUP($B8,baseline!$A:$AK,Z$2,FALSE)</f>
        <v>#N/A</v>
      </c>
      <c r="AA8" s="13" t="e">
        <f>VLOOKUP($B8,baseline!$A:$AK,AA$2,FALSE)</f>
        <v>#N/A</v>
      </c>
      <c r="AB8" s="13" t="e">
        <f>VLOOKUP($B8,baseline!$A:$AK,AB$2,FALSE)</f>
        <v>#N/A</v>
      </c>
      <c r="AC8" s="13" t="e">
        <f>VLOOKUP($B8,baseline!$A:$AK,AC$2,FALSE)</f>
        <v>#N/A</v>
      </c>
      <c r="AD8" s="13" t="e">
        <f>VLOOKUP($B8,baseline!$A:$AK,AD$2,FALSE)</f>
        <v>#N/A</v>
      </c>
      <c r="AE8" s="13" t="e">
        <f>VLOOKUP($B8,baseline!$A:$AK,AE$2,FALSE)</f>
        <v>#N/A</v>
      </c>
      <c r="AF8" s="13" t="e">
        <f>VLOOKUP($B8,baseline!$A:$AK,AF$2,FALSE)</f>
        <v>#N/A</v>
      </c>
      <c r="AG8" s="13" t="e">
        <f>VLOOKUP($B8,baseline!$A:$AK,AG$2,FALSE)</f>
        <v>#N/A</v>
      </c>
      <c r="AH8" s="13" t="e">
        <f>VLOOKUP($B8,baseline!$A:$AK,AH$2,FALSE)</f>
        <v>#N/A</v>
      </c>
      <c r="AI8" s="13" t="e">
        <f>VLOOKUP($B8,baseline!$A:$AK,AI$2,FALSE)</f>
        <v>#N/A</v>
      </c>
      <c r="AJ8" s="13" t="e">
        <f>VLOOKUP($B8,baseline!$A:$AK,AJ$2,FALSE)</f>
        <v>#N/A</v>
      </c>
      <c r="AK8" s="13" t="e">
        <f>VLOOKUP($B8,baseline!$A:$AK,AK$2,FALSE)</f>
        <v>#N/A</v>
      </c>
      <c r="AL8" s="13" t="e">
        <f>VLOOKUP($B8,baseline!$A:$AK,AL$2,FALSE)</f>
        <v>#N/A</v>
      </c>
      <c r="AM8" s="13" t="e">
        <f>VLOOKUP($B8,baseline!$A:$AK,AM$2,FALSE)</f>
        <v>#N/A</v>
      </c>
      <c r="AN8" s="13" t="e">
        <f>VLOOKUP($B8,baseline!$A:$AK,AN$2,FALSE)</f>
        <v>#N/A</v>
      </c>
      <c r="AP8" s="3" t="e">
        <f t="shared" si="0"/>
        <v>#N/A</v>
      </c>
    </row>
    <row r="9" spans="1:48" x14ac:dyDescent="0.3">
      <c r="B9" t="s">
        <v>33</v>
      </c>
      <c r="D9" t="s">
        <v>172</v>
      </c>
      <c r="E9" s="13" t="e">
        <f>VLOOKUP($B9,baseline!$A:$AK,E$2,FALSE)</f>
        <v>#N/A</v>
      </c>
      <c r="F9" s="13" t="e">
        <f>VLOOKUP($B9,baseline!$A:$AK,F$2,FALSE)</f>
        <v>#N/A</v>
      </c>
      <c r="G9" s="13" t="e">
        <f>VLOOKUP($B9,baseline!$A:$AK,G$2,FALSE)</f>
        <v>#N/A</v>
      </c>
      <c r="H9" s="13" t="e">
        <f>VLOOKUP($B9,baseline!$A:$AK,H$2,FALSE)</f>
        <v>#N/A</v>
      </c>
      <c r="I9" s="13" t="e">
        <f>VLOOKUP($B9,baseline!$A:$AK,I$2,FALSE)</f>
        <v>#N/A</v>
      </c>
      <c r="J9" s="13" t="e">
        <f>VLOOKUP($B9,baseline!$A:$AK,J$2,FALSE)</f>
        <v>#N/A</v>
      </c>
      <c r="K9" s="13" t="e">
        <f>VLOOKUP($B9,baseline!$A:$AK,K$2,FALSE)</f>
        <v>#N/A</v>
      </c>
      <c r="L9" s="13" t="e">
        <f>VLOOKUP($B9,baseline!$A:$AK,L$2,FALSE)</f>
        <v>#N/A</v>
      </c>
      <c r="M9" s="13" t="e">
        <f>VLOOKUP($B9,baseline!$A:$AK,M$2,FALSE)</f>
        <v>#N/A</v>
      </c>
      <c r="N9" s="13" t="e">
        <f>VLOOKUP($B9,baseline!$A:$AK,N$2,FALSE)</f>
        <v>#N/A</v>
      </c>
      <c r="O9" s="13" t="e">
        <f>VLOOKUP($B9,baseline!$A:$AK,O$2,FALSE)</f>
        <v>#N/A</v>
      </c>
      <c r="P9" s="13" t="e">
        <f>VLOOKUP($B9,baseline!$A:$AK,P$2,FALSE)</f>
        <v>#N/A</v>
      </c>
      <c r="Q9" s="13" t="e">
        <f>VLOOKUP($B9,baseline!$A:$AK,Q$2,FALSE)</f>
        <v>#N/A</v>
      </c>
      <c r="R9" s="13" t="e">
        <f>VLOOKUP($B9,baseline!$A:$AK,R$2,FALSE)</f>
        <v>#N/A</v>
      </c>
      <c r="S9" s="13" t="e">
        <f>VLOOKUP($B9,baseline!$A:$AK,S$2,FALSE)</f>
        <v>#N/A</v>
      </c>
      <c r="T9" s="13" t="e">
        <f>VLOOKUP($B9,baseline!$A:$AK,T$2,FALSE)</f>
        <v>#N/A</v>
      </c>
      <c r="U9" s="13" t="e">
        <f>VLOOKUP($B9,baseline!$A:$AK,U$2,FALSE)</f>
        <v>#N/A</v>
      </c>
      <c r="V9" s="13" t="e">
        <f>VLOOKUP($B9,baseline!$A:$AK,V$2,FALSE)</f>
        <v>#N/A</v>
      </c>
      <c r="W9" s="13" t="e">
        <f>VLOOKUP($B9,baseline!$A:$AK,W$2,FALSE)</f>
        <v>#N/A</v>
      </c>
      <c r="X9" s="13" t="e">
        <f>VLOOKUP($B9,baseline!$A:$AK,X$2,FALSE)</f>
        <v>#N/A</v>
      </c>
      <c r="Y9" s="13" t="e">
        <f>VLOOKUP($B9,baseline!$A:$AK,Y$2,FALSE)</f>
        <v>#N/A</v>
      </c>
      <c r="Z9" s="13" t="e">
        <f>VLOOKUP($B9,baseline!$A:$AK,Z$2,FALSE)</f>
        <v>#N/A</v>
      </c>
      <c r="AA9" s="13" t="e">
        <f>VLOOKUP($B9,baseline!$A:$AK,AA$2,FALSE)</f>
        <v>#N/A</v>
      </c>
      <c r="AB9" s="13" t="e">
        <f>VLOOKUP($B9,baseline!$A:$AK,AB$2,FALSE)</f>
        <v>#N/A</v>
      </c>
      <c r="AC9" s="13" t="e">
        <f>VLOOKUP($B9,baseline!$A:$AK,AC$2,FALSE)</f>
        <v>#N/A</v>
      </c>
      <c r="AD9" s="13" t="e">
        <f>VLOOKUP($B9,baseline!$A:$AK,AD$2,FALSE)</f>
        <v>#N/A</v>
      </c>
      <c r="AE9" s="13" t="e">
        <f>VLOOKUP($B9,baseline!$A:$AK,AE$2,FALSE)</f>
        <v>#N/A</v>
      </c>
      <c r="AF9" s="13" t="e">
        <f>VLOOKUP($B9,baseline!$A:$AK,AF$2,FALSE)</f>
        <v>#N/A</v>
      </c>
      <c r="AG9" s="13" t="e">
        <f>VLOOKUP($B9,baseline!$A:$AK,AG$2,FALSE)</f>
        <v>#N/A</v>
      </c>
      <c r="AH9" s="13" t="e">
        <f>VLOOKUP($B9,baseline!$A:$AK,AH$2,FALSE)</f>
        <v>#N/A</v>
      </c>
      <c r="AI9" s="13" t="e">
        <f>VLOOKUP($B9,baseline!$A:$AK,AI$2,FALSE)</f>
        <v>#N/A</v>
      </c>
      <c r="AJ9" s="13" t="e">
        <f>VLOOKUP($B9,baseline!$A:$AK,AJ$2,FALSE)</f>
        <v>#N/A</v>
      </c>
      <c r="AK9" s="13" t="e">
        <f>VLOOKUP($B9,baseline!$A:$AK,AK$2,FALSE)</f>
        <v>#N/A</v>
      </c>
      <c r="AL9" s="13" t="e">
        <f>VLOOKUP($B9,baseline!$A:$AK,AL$2,FALSE)</f>
        <v>#N/A</v>
      </c>
      <c r="AM9" s="13" t="e">
        <f>VLOOKUP($B9,baseline!$A:$AK,AM$2,FALSE)</f>
        <v>#N/A</v>
      </c>
      <c r="AN9" s="13" t="e">
        <f>VLOOKUP($B9,baseline!$A:$AK,AN$2,FALSE)</f>
        <v>#N/A</v>
      </c>
      <c r="AP9" s="3" t="e">
        <f t="shared" si="0"/>
        <v>#N/A</v>
      </c>
    </row>
    <row r="10" spans="1:48" x14ac:dyDescent="0.3">
      <c r="B10" t="s">
        <v>34</v>
      </c>
      <c r="D10" t="s">
        <v>172</v>
      </c>
      <c r="E10" s="13" t="e">
        <f>VLOOKUP($B10,baseline!$A:$AK,E$2,FALSE)</f>
        <v>#N/A</v>
      </c>
      <c r="F10" s="13" t="e">
        <f>VLOOKUP($B10,baseline!$A:$AK,F$2,FALSE)</f>
        <v>#N/A</v>
      </c>
      <c r="G10" s="13" t="e">
        <f>VLOOKUP($B10,baseline!$A:$AK,G$2,FALSE)</f>
        <v>#N/A</v>
      </c>
      <c r="H10" s="13" t="e">
        <f>VLOOKUP($B10,baseline!$A:$AK,H$2,FALSE)</f>
        <v>#N/A</v>
      </c>
      <c r="I10" s="13" t="e">
        <f>VLOOKUP($B10,baseline!$A:$AK,I$2,FALSE)</f>
        <v>#N/A</v>
      </c>
      <c r="J10" s="13" t="e">
        <f>VLOOKUP($B10,baseline!$A:$AK,J$2,FALSE)</f>
        <v>#N/A</v>
      </c>
      <c r="K10" s="13" t="e">
        <f>VLOOKUP($B10,baseline!$A:$AK,K$2,FALSE)</f>
        <v>#N/A</v>
      </c>
      <c r="L10" s="13" t="e">
        <f>VLOOKUP($B10,baseline!$A:$AK,L$2,FALSE)</f>
        <v>#N/A</v>
      </c>
      <c r="M10" s="13" t="e">
        <f>VLOOKUP($B10,baseline!$A:$AK,M$2,FALSE)</f>
        <v>#N/A</v>
      </c>
      <c r="N10" s="13" t="e">
        <f>VLOOKUP($B10,baseline!$A:$AK,N$2,FALSE)</f>
        <v>#N/A</v>
      </c>
      <c r="O10" s="13" t="e">
        <f>VLOOKUP($B10,baseline!$A:$AK,O$2,FALSE)</f>
        <v>#N/A</v>
      </c>
      <c r="P10" s="13" t="e">
        <f>VLOOKUP($B10,baseline!$A:$AK,P$2,FALSE)</f>
        <v>#N/A</v>
      </c>
      <c r="Q10" s="13" t="e">
        <f>VLOOKUP($B10,baseline!$A:$AK,Q$2,FALSE)</f>
        <v>#N/A</v>
      </c>
      <c r="R10" s="13" t="e">
        <f>VLOOKUP($B10,baseline!$A:$AK,R$2,FALSE)</f>
        <v>#N/A</v>
      </c>
      <c r="S10" s="13" t="e">
        <f>VLOOKUP($B10,baseline!$A:$AK,S$2,FALSE)</f>
        <v>#N/A</v>
      </c>
      <c r="T10" s="13" t="e">
        <f>VLOOKUP($B10,baseline!$A:$AK,T$2,FALSE)</f>
        <v>#N/A</v>
      </c>
      <c r="U10" s="13" t="e">
        <f>VLOOKUP($B10,baseline!$A:$AK,U$2,FALSE)</f>
        <v>#N/A</v>
      </c>
      <c r="V10" s="13" t="e">
        <f>VLOOKUP($B10,baseline!$A:$AK,V$2,FALSE)</f>
        <v>#N/A</v>
      </c>
      <c r="W10" s="13" t="e">
        <f>VLOOKUP($B10,baseline!$A:$AK,W$2,FALSE)</f>
        <v>#N/A</v>
      </c>
      <c r="X10" s="13" t="e">
        <f>VLOOKUP($B10,baseline!$A:$AK,X$2,FALSE)</f>
        <v>#N/A</v>
      </c>
      <c r="Y10" s="13" t="e">
        <f>VLOOKUP($B10,baseline!$A:$AK,Y$2,FALSE)</f>
        <v>#N/A</v>
      </c>
      <c r="Z10" s="13" t="e">
        <f>VLOOKUP($B10,baseline!$A:$AK,Z$2,FALSE)</f>
        <v>#N/A</v>
      </c>
      <c r="AA10" s="13" t="e">
        <f>VLOOKUP($B10,baseline!$A:$AK,AA$2,FALSE)</f>
        <v>#N/A</v>
      </c>
      <c r="AB10" s="13" t="e">
        <f>VLOOKUP($B10,baseline!$A:$AK,AB$2,FALSE)</f>
        <v>#N/A</v>
      </c>
      <c r="AC10" s="13" t="e">
        <f>VLOOKUP($B10,baseline!$A:$AK,AC$2,FALSE)</f>
        <v>#N/A</v>
      </c>
      <c r="AD10" s="13" t="e">
        <f>VLOOKUP($B10,baseline!$A:$AK,AD$2,FALSE)</f>
        <v>#N/A</v>
      </c>
      <c r="AE10" s="13" t="e">
        <f>VLOOKUP($B10,baseline!$A:$AK,AE$2,FALSE)</f>
        <v>#N/A</v>
      </c>
      <c r="AF10" s="13" t="e">
        <f>VLOOKUP($B10,baseline!$A:$AK,AF$2,FALSE)</f>
        <v>#N/A</v>
      </c>
      <c r="AG10" s="13" t="e">
        <f>VLOOKUP($B10,baseline!$A:$AK,AG$2,FALSE)</f>
        <v>#N/A</v>
      </c>
      <c r="AH10" s="13" t="e">
        <f>VLOOKUP($B10,baseline!$A:$AK,AH$2,FALSE)</f>
        <v>#N/A</v>
      </c>
      <c r="AI10" s="13" t="e">
        <f>VLOOKUP($B10,baseline!$A:$AK,AI$2,FALSE)</f>
        <v>#N/A</v>
      </c>
      <c r="AJ10" s="13" t="e">
        <f>VLOOKUP($B10,baseline!$A:$AK,AJ$2,FALSE)</f>
        <v>#N/A</v>
      </c>
      <c r="AK10" s="13" t="e">
        <f>VLOOKUP($B10,baseline!$A:$AK,AK$2,FALSE)</f>
        <v>#N/A</v>
      </c>
      <c r="AL10" s="13" t="e">
        <f>VLOOKUP($B10,baseline!$A:$AK,AL$2,FALSE)</f>
        <v>#N/A</v>
      </c>
      <c r="AM10" s="13" t="e">
        <f>VLOOKUP($B10,baseline!$A:$AK,AM$2,FALSE)</f>
        <v>#N/A</v>
      </c>
      <c r="AN10" s="13" t="e">
        <f>VLOOKUP($B10,baseline!$A:$AK,AN$2,FALSE)</f>
        <v>#N/A</v>
      </c>
      <c r="AP10" s="3" t="e">
        <f t="shared" si="0"/>
        <v>#N/A</v>
      </c>
    </row>
    <row r="11" spans="1:48" x14ac:dyDescent="0.3">
      <c r="B11" t="s">
        <v>35</v>
      </c>
      <c r="D11" t="s">
        <v>172</v>
      </c>
      <c r="E11" s="13" t="e">
        <f>VLOOKUP($B11,baseline!$A:$AK,E$2,FALSE)</f>
        <v>#N/A</v>
      </c>
      <c r="F11" s="13" t="e">
        <f>VLOOKUP($B11,baseline!$A:$AK,F$2,FALSE)</f>
        <v>#N/A</v>
      </c>
      <c r="G11" s="13" t="e">
        <f>VLOOKUP($B11,baseline!$A:$AK,G$2,FALSE)</f>
        <v>#N/A</v>
      </c>
      <c r="H11" s="13" t="e">
        <f>VLOOKUP($B11,baseline!$A:$AK,H$2,FALSE)</f>
        <v>#N/A</v>
      </c>
      <c r="I11" s="13" t="e">
        <f>VLOOKUP($B11,baseline!$A:$AK,I$2,FALSE)</f>
        <v>#N/A</v>
      </c>
      <c r="J11" s="13" t="e">
        <f>VLOOKUP($B11,baseline!$A:$AK,J$2,FALSE)</f>
        <v>#N/A</v>
      </c>
      <c r="K11" s="13" t="e">
        <f>VLOOKUP($B11,baseline!$A:$AK,K$2,FALSE)</f>
        <v>#N/A</v>
      </c>
      <c r="L11" s="13" t="e">
        <f>VLOOKUP($B11,baseline!$A:$AK,L$2,FALSE)</f>
        <v>#N/A</v>
      </c>
      <c r="M11" s="13" t="e">
        <f>VLOOKUP($B11,baseline!$A:$AK,M$2,FALSE)</f>
        <v>#N/A</v>
      </c>
      <c r="N11" s="13" t="e">
        <f>VLOOKUP($B11,baseline!$A:$AK,N$2,FALSE)</f>
        <v>#N/A</v>
      </c>
      <c r="O11" s="13" t="e">
        <f>VLOOKUP($B11,baseline!$A:$AK,O$2,FALSE)</f>
        <v>#N/A</v>
      </c>
      <c r="P11" s="13" t="e">
        <f>VLOOKUP($B11,baseline!$A:$AK,P$2,FALSE)</f>
        <v>#N/A</v>
      </c>
      <c r="Q11" s="13" t="e">
        <f>VLOOKUP($B11,baseline!$A:$AK,Q$2,FALSE)</f>
        <v>#N/A</v>
      </c>
      <c r="R11" s="13" t="e">
        <f>VLOOKUP($B11,baseline!$A:$AK,R$2,FALSE)</f>
        <v>#N/A</v>
      </c>
      <c r="S11" s="13" t="e">
        <f>VLOOKUP($B11,baseline!$A:$AK,S$2,FALSE)</f>
        <v>#N/A</v>
      </c>
      <c r="T11" s="13" t="e">
        <f>VLOOKUP($B11,baseline!$A:$AK,T$2,FALSE)</f>
        <v>#N/A</v>
      </c>
      <c r="U11" s="13" t="e">
        <f>VLOOKUP($B11,baseline!$A:$AK,U$2,FALSE)</f>
        <v>#N/A</v>
      </c>
      <c r="V11" s="13" t="e">
        <f>VLOOKUP($B11,baseline!$A:$AK,V$2,FALSE)</f>
        <v>#N/A</v>
      </c>
      <c r="W11" s="13" t="e">
        <f>VLOOKUP($B11,baseline!$A:$AK,W$2,FALSE)</f>
        <v>#N/A</v>
      </c>
      <c r="X11" s="13" t="e">
        <f>VLOOKUP($B11,baseline!$A:$AK,X$2,FALSE)</f>
        <v>#N/A</v>
      </c>
      <c r="Y11" s="13" t="e">
        <f>VLOOKUP($B11,baseline!$A:$AK,Y$2,FALSE)</f>
        <v>#N/A</v>
      </c>
      <c r="Z11" s="13" t="e">
        <f>VLOOKUP($B11,baseline!$A:$AK,Z$2,FALSE)</f>
        <v>#N/A</v>
      </c>
      <c r="AA11" s="13" t="e">
        <f>VLOOKUP($B11,baseline!$A:$AK,AA$2,FALSE)</f>
        <v>#N/A</v>
      </c>
      <c r="AB11" s="13" t="e">
        <f>VLOOKUP($B11,baseline!$A:$AK,AB$2,FALSE)</f>
        <v>#N/A</v>
      </c>
      <c r="AC11" s="13" t="e">
        <f>VLOOKUP($B11,baseline!$A:$AK,AC$2,FALSE)</f>
        <v>#N/A</v>
      </c>
      <c r="AD11" s="13" t="e">
        <f>VLOOKUP($B11,baseline!$A:$AK,AD$2,FALSE)</f>
        <v>#N/A</v>
      </c>
      <c r="AE11" s="13" t="e">
        <f>VLOOKUP($B11,baseline!$A:$AK,AE$2,FALSE)</f>
        <v>#N/A</v>
      </c>
      <c r="AF11" s="13" t="e">
        <f>VLOOKUP($B11,baseline!$A:$AK,AF$2,FALSE)</f>
        <v>#N/A</v>
      </c>
      <c r="AG11" s="13" t="e">
        <f>VLOOKUP($B11,baseline!$A:$AK,AG$2,FALSE)</f>
        <v>#N/A</v>
      </c>
      <c r="AH11" s="13" t="e">
        <f>VLOOKUP($B11,baseline!$A:$AK,AH$2,FALSE)</f>
        <v>#N/A</v>
      </c>
      <c r="AI11" s="13" t="e">
        <f>VLOOKUP($B11,baseline!$A:$AK,AI$2,FALSE)</f>
        <v>#N/A</v>
      </c>
      <c r="AJ11" s="13" t="e">
        <f>VLOOKUP($B11,baseline!$A:$AK,AJ$2,FALSE)</f>
        <v>#N/A</v>
      </c>
      <c r="AK11" s="13" t="e">
        <f>VLOOKUP($B11,baseline!$A:$AK,AK$2,FALSE)</f>
        <v>#N/A</v>
      </c>
      <c r="AL11" s="13" t="e">
        <f>VLOOKUP($B11,baseline!$A:$AK,AL$2,FALSE)</f>
        <v>#N/A</v>
      </c>
      <c r="AM11" s="13" t="e">
        <f>VLOOKUP($B11,baseline!$A:$AK,AM$2,FALSE)</f>
        <v>#N/A</v>
      </c>
      <c r="AN11" s="13" t="e">
        <f>VLOOKUP($B11,baseline!$A:$AK,AN$2,FALSE)</f>
        <v>#N/A</v>
      </c>
      <c r="AP11" s="3" t="e">
        <f t="shared" si="0"/>
        <v>#N/A</v>
      </c>
    </row>
    <row r="12" spans="1:48" x14ac:dyDescent="0.3">
      <c r="B12" t="s">
        <v>36</v>
      </c>
      <c r="D12" t="s">
        <v>172</v>
      </c>
      <c r="E12" s="13" t="e">
        <f>VLOOKUP($B12,baseline!$A:$AK,E$2,FALSE)</f>
        <v>#N/A</v>
      </c>
      <c r="F12" s="13" t="e">
        <f>VLOOKUP($B12,baseline!$A:$AK,F$2,FALSE)</f>
        <v>#N/A</v>
      </c>
      <c r="G12" s="13" t="e">
        <f>VLOOKUP($B12,baseline!$A:$AK,G$2,FALSE)</f>
        <v>#N/A</v>
      </c>
      <c r="H12" s="13" t="e">
        <f>VLOOKUP($B12,baseline!$A:$AK,H$2,FALSE)</f>
        <v>#N/A</v>
      </c>
      <c r="I12" s="13" t="e">
        <f>VLOOKUP($B12,baseline!$A:$AK,I$2,FALSE)</f>
        <v>#N/A</v>
      </c>
      <c r="J12" s="13" t="e">
        <f>VLOOKUP($B12,baseline!$A:$AK,J$2,FALSE)</f>
        <v>#N/A</v>
      </c>
      <c r="K12" s="13" t="e">
        <f>VLOOKUP($B12,baseline!$A:$AK,K$2,FALSE)</f>
        <v>#N/A</v>
      </c>
      <c r="L12" s="13" t="e">
        <f>VLOOKUP($B12,baseline!$A:$AK,L$2,FALSE)</f>
        <v>#N/A</v>
      </c>
      <c r="M12" s="13" t="e">
        <f>VLOOKUP($B12,baseline!$A:$AK,M$2,FALSE)</f>
        <v>#N/A</v>
      </c>
      <c r="N12" s="13" t="e">
        <f>VLOOKUP($B12,baseline!$A:$AK,N$2,FALSE)</f>
        <v>#N/A</v>
      </c>
      <c r="O12" s="13" t="e">
        <f>VLOOKUP($B12,baseline!$A:$AK,O$2,FALSE)</f>
        <v>#N/A</v>
      </c>
      <c r="P12" s="13" t="e">
        <f>VLOOKUP($B12,baseline!$A:$AK,P$2,FALSE)</f>
        <v>#N/A</v>
      </c>
      <c r="Q12" s="13" t="e">
        <f>VLOOKUP($B12,baseline!$A:$AK,Q$2,FALSE)</f>
        <v>#N/A</v>
      </c>
      <c r="R12" s="13" t="e">
        <f>VLOOKUP($B12,baseline!$A:$AK,R$2,FALSE)</f>
        <v>#N/A</v>
      </c>
      <c r="S12" s="13" t="e">
        <f>VLOOKUP($B12,baseline!$A:$AK,S$2,FALSE)</f>
        <v>#N/A</v>
      </c>
      <c r="T12" s="13" t="e">
        <f>VLOOKUP($B12,baseline!$A:$AK,T$2,FALSE)</f>
        <v>#N/A</v>
      </c>
      <c r="U12" s="13" t="e">
        <f>VLOOKUP($B12,baseline!$A:$AK,U$2,FALSE)</f>
        <v>#N/A</v>
      </c>
      <c r="V12" s="13" t="e">
        <f>VLOOKUP($B12,baseline!$A:$AK,V$2,FALSE)</f>
        <v>#N/A</v>
      </c>
      <c r="W12" s="13" t="e">
        <f>VLOOKUP($B12,baseline!$A:$AK,W$2,FALSE)</f>
        <v>#N/A</v>
      </c>
      <c r="X12" s="13" t="e">
        <f>VLOOKUP($B12,baseline!$A:$AK,X$2,FALSE)</f>
        <v>#N/A</v>
      </c>
      <c r="Y12" s="13" t="e">
        <f>VLOOKUP($B12,baseline!$A:$AK,Y$2,FALSE)</f>
        <v>#N/A</v>
      </c>
      <c r="Z12" s="13" t="e">
        <f>VLOOKUP($B12,baseline!$A:$AK,Z$2,FALSE)</f>
        <v>#N/A</v>
      </c>
      <c r="AA12" s="13" t="e">
        <f>VLOOKUP($B12,baseline!$A:$AK,AA$2,FALSE)</f>
        <v>#N/A</v>
      </c>
      <c r="AB12" s="13" t="e">
        <f>VLOOKUP($B12,baseline!$A:$AK,AB$2,FALSE)</f>
        <v>#N/A</v>
      </c>
      <c r="AC12" s="13" t="e">
        <f>VLOOKUP($B12,baseline!$A:$AK,AC$2,FALSE)</f>
        <v>#N/A</v>
      </c>
      <c r="AD12" s="13" t="e">
        <f>VLOOKUP($B12,baseline!$A:$AK,AD$2,FALSE)</f>
        <v>#N/A</v>
      </c>
      <c r="AE12" s="13" t="e">
        <f>VLOOKUP($B12,baseline!$A:$AK,AE$2,FALSE)</f>
        <v>#N/A</v>
      </c>
      <c r="AF12" s="13" t="e">
        <f>VLOOKUP($B12,baseline!$A:$AK,AF$2,FALSE)</f>
        <v>#N/A</v>
      </c>
      <c r="AG12" s="13" t="e">
        <f>VLOOKUP($B12,baseline!$A:$AK,AG$2,FALSE)</f>
        <v>#N/A</v>
      </c>
      <c r="AH12" s="13" t="e">
        <f>VLOOKUP($B12,baseline!$A:$AK,AH$2,FALSE)</f>
        <v>#N/A</v>
      </c>
      <c r="AI12" s="13" t="e">
        <f>VLOOKUP($B12,baseline!$A:$AK,AI$2,FALSE)</f>
        <v>#N/A</v>
      </c>
      <c r="AJ12" s="13" t="e">
        <f>VLOOKUP($B12,baseline!$A:$AK,AJ$2,FALSE)</f>
        <v>#N/A</v>
      </c>
      <c r="AK12" s="13" t="e">
        <f>VLOOKUP($B12,baseline!$A:$AK,AK$2,FALSE)</f>
        <v>#N/A</v>
      </c>
      <c r="AL12" s="13" t="e">
        <f>VLOOKUP($B12,baseline!$A:$AK,AL$2,FALSE)</f>
        <v>#N/A</v>
      </c>
      <c r="AM12" s="13" t="e">
        <f>VLOOKUP($B12,baseline!$A:$AK,AM$2,FALSE)</f>
        <v>#N/A</v>
      </c>
      <c r="AN12" s="13" t="e">
        <f>VLOOKUP($B12,baseline!$A:$AK,AN$2,FALSE)</f>
        <v>#N/A</v>
      </c>
      <c r="AP12" s="3" t="e">
        <f t="shared" si="0"/>
        <v>#N/A</v>
      </c>
    </row>
    <row r="13" spans="1:48" x14ac:dyDescent="0.3">
      <c r="B13" t="s">
        <v>37</v>
      </c>
      <c r="D13" t="s">
        <v>172</v>
      </c>
      <c r="E13" s="13" t="e">
        <f>VLOOKUP($B13,baseline!$A:$AK,E$2,FALSE)</f>
        <v>#N/A</v>
      </c>
      <c r="F13" s="13" t="e">
        <f>VLOOKUP($B13,baseline!$A:$AK,F$2,FALSE)</f>
        <v>#N/A</v>
      </c>
      <c r="G13" s="13" t="e">
        <f>VLOOKUP($B13,baseline!$A:$AK,G$2,FALSE)</f>
        <v>#N/A</v>
      </c>
      <c r="H13" s="13" t="e">
        <f>VLOOKUP($B13,baseline!$A:$AK,H$2,FALSE)</f>
        <v>#N/A</v>
      </c>
      <c r="I13" s="13" t="e">
        <f>VLOOKUP($B13,baseline!$A:$AK,I$2,FALSE)</f>
        <v>#N/A</v>
      </c>
      <c r="J13" s="13" t="e">
        <f>VLOOKUP($B13,baseline!$A:$AK,J$2,FALSE)</f>
        <v>#N/A</v>
      </c>
      <c r="K13" s="13" t="e">
        <f>VLOOKUP($B13,baseline!$A:$AK,K$2,FALSE)</f>
        <v>#N/A</v>
      </c>
      <c r="L13" s="13" t="e">
        <f>VLOOKUP($B13,baseline!$A:$AK,L$2,FALSE)</f>
        <v>#N/A</v>
      </c>
      <c r="M13" s="13" t="e">
        <f>VLOOKUP($B13,baseline!$A:$AK,M$2,FALSE)</f>
        <v>#N/A</v>
      </c>
      <c r="N13" s="13" t="e">
        <f>VLOOKUP($B13,baseline!$A:$AK,N$2,FALSE)</f>
        <v>#N/A</v>
      </c>
      <c r="O13" s="13" t="e">
        <f>VLOOKUP($B13,baseline!$A:$AK,O$2,FALSE)</f>
        <v>#N/A</v>
      </c>
      <c r="P13" s="13" t="e">
        <f>VLOOKUP($B13,baseline!$A:$AK,P$2,FALSE)</f>
        <v>#N/A</v>
      </c>
      <c r="Q13" s="13" t="e">
        <f>VLOOKUP($B13,baseline!$A:$AK,Q$2,FALSE)</f>
        <v>#N/A</v>
      </c>
      <c r="R13" s="13" t="e">
        <f>VLOOKUP($B13,baseline!$A:$AK,R$2,FALSE)</f>
        <v>#N/A</v>
      </c>
      <c r="S13" s="13" t="e">
        <f>VLOOKUP($B13,baseline!$A:$AK,S$2,FALSE)</f>
        <v>#N/A</v>
      </c>
      <c r="T13" s="13" t="e">
        <f>VLOOKUP($B13,baseline!$A:$AK,T$2,FALSE)</f>
        <v>#N/A</v>
      </c>
      <c r="U13" s="13" t="e">
        <f>VLOOKUP($B13,baseline!$A:$AK,U$2,FALSE)</f>
        <v>#N/A</v>
      </c>
      <c r="V13" s="13" t="e">
        <f>VLOOKUP($B13,baseline!$A:$AK,V$2,FALSE)</f>
        <v>#N/A</v>
      </c>
      <c r="W13" s="13" t="e">
        <f>VLOOKUP($B13,baseline!$A:$AK,W$2,FALSE)</f>
        <v>#N/A</v>
      </c>
      <c r="X13" s="13" t="e">
        <f>VLOOKUP($B13,baseline!$A:$AK,X$2,FALSE)</f>
        <v>#N/A</v>
      </c>
      <c r="Y13" s="13" t="e">
        <f>VLOOKUP($B13,baseline!$A:$AK,Y$2,FALSE)</f>
        <v>#N/A</v>
      </c>
      <c r="Z13" s="13" t="e">
        <f>VLOOKUP($B13,baseline!$A:$AK,Z$2,FALSE)</f>
        <v>#N/A</v>
      </c>
      <c r="AA13" s="13" t="e">
        <f>VLOOKUP($B13,baseline!$A:$AK,AA$2,FALSE)</f>
        <v>#N/A</v>
      </c>
      <c r="AB13" s="13" t="e">
        <f>VLOOKUP($B13,baseline!$A:$AK,AB$2,FALSE)</f>
        <v>#N/A</v>
      </c>
      <c r="AC13" s="13" t="e">
        <f>VLOOKUP($B13,baseline!$A:$AK,AC$2,FALSE)</f>
        <v>#N/A</v>
      </c>
      <c r="AD13" s="13" t="e">
        <f>VLOOKUP($B13,baseline!$A:$AK,AD$2,FALSE)</f>
        <v>#N/A</v>
      </c>
      <c r="AE13" s="13" t="e">
        <f>VLOOKUP($B13,baseline!$A:$AK,AE$2,FALSE)</f>
        <v>#N/A</v>
      </c>
      <c r="AF13" s="13" t="e">
        <f>VLOOKUP($B13,baseline!$A:$AK,AF$2,FALSE)</f>
        <v>#N/A</v>
      </c>
      <c r="AG13" s="13" t="e">
        <f>VLOOKUP($B13,baseline!$A:$AK,AG$2,FALSE)</f>
        <v>#N/A</v>
      </c>
      <c r="AH13" s="13" t="e">
        <f>VLOOKUP($B13,baseline!$A:$AK,AH$2,FALSE)</f>
        <v>#N/A</v>
      </c>
      <c r="AI13" s="13" t="e">
        <f>VLOOKUP($B13,baseline!$A:$AK,AI$2,FALSE)</f>
        <v>#N/A</v>
      </c>
      <c r="AJ13" s="13" t="e">
        <f>VLOOKUP($B13,baseline!$A:$AK,AJ$2,FALSE)</f>
        <v>#N/A</v>
      </c>
      <c r="AK13" s="13" t="e">
        <f>VLOOKUP($B13,baseline!$A:$AK,AK$2,FALSE)</f>
        <v>#N/A</v>
      </c>
      <c r="AL13" s="13" t="e">
        <f>VLOOKUP($B13,baseline!$A:$AK,AL$2,FALSE)</f>
        <v>#N/A</v>
      </c>
      <c r="AM13" s="13" t="e">
        <f>VLOOKUP($B13,baseline!$A:$AK,AM$2,FALSE)</f>
        <v>#N/A</v>
      </c>
      <c r="AN13" s="13" t="e">
        <f>VLOOKUP($B13,baseline!$A:$AK,AN$2,FALSE)</f>
        <v>#N/A</v>
      </c>
      <c r="AP13" s="3" t="e">
        <f t="shared" si="0"/>
        <v>#N/A</v>
      </c>
    </row>
    <row r="14" spans="1:48" x14ac:dyDescent="0.3">
      <c r="B14" t="s">
        <v>38</v>
      </c>
      <c r="D14" t="s">
        <v>172</v>
      </c>
      <c r="E14" s="13" t="e">
        <f>VLOOKUP($B14,baseline!$A:$AK,E$2,FALSE)</f>
        <v>#N/A</v>
      </c>
      <c r="F14" s="13" t="e">
        <f>VLOOKUP($B14,baseline!$A:$AK,F$2,FALSE)</f>
        <v>#N/A</v>
      </c>
      <c r="G14" s="13" t="e">
        <f>VLOOKUP($B14,baseline!$A:$AK,G$2,FALSE)</f>
        <v>#N/A</v>
      </c>
      <c r="H14" s="13" t="e">
        <f>VLOOKUP($B14,baseline!$A:$AK,H$2,FALSE)</f>
        <v>#N/A</v>
      </c>
      <c r="I14" s="13" t="e">
        <f>VLOOKUP($B14,baseline!$A:$AK,I$2,FALSE)</f>
        <v>#N/A</v>
      </c>
      <c r="J14" s="13" t="e">
        <f>VLOOKUP($B14,baseline!$A:$AK,J$2,FALSE)</f>
        <v>#N/A</v>
      </c>
      <c r="K14" s="13" t="e">
        <f>VLOOKUP($B14,baseline!$A:$AK,K$2,FALSE)</f>
        <v>#N/A</v>
      </c>
      <c r="L14" s="13" t="e">
        <f>VLOOKUP($B14,baseline!$A:$AK,L$2,FALSE)</f>
        <v>#N/A</v>
      </c>
      <c r="M14" s="13" t="e">
        <f>VLOOKUP($B14,baseline!$A:$AK,M$2,FALSE)</f>
        <v>#N/A</v>
      </c>
      <c r="N14" s="13" t="e">
        <f>VLOOKUP($B14,baseline!$A:$AK,N$2,FALSE)</f>
        <v>#N/A</v>
      </c>
      <c r="O14" s="13" t="e">
        <f>VLOOKUP($B14,baseline!$A:$AK,O$2,FALSE)</f>
        <v>#N/A</v>
      </c>
      <c r="P14" s="13" t="e">
        <f>VLOOKUP($B14,baseline!$A:$AK,P$2,FALSE)</f>
        <v>#N/A</v>
      </c>
      <c r="Q14" s="13" t="e">
        <f>VLOOKUP($B14,baseline!$A:$AK,Q$2,FALSE)</f>
        <v>#N/A</v>
      </c>
      <c r="R14" s="13" t="e">
        <f>VLOOKUP($B14,baseline!$A:$AK,R$2,FALSE)</f>
        <v>#N/A</v>
      </c>
      <c r="S14" s="13" t="e">
        <f>VLOOKUP($B14,baseline!$A:$AK,S$2,FALSE)</f>
        <v>#N/A</v>
      </c>
      <c r="T14" s="13" t="e">
        <f>VLOOKUP($B14,baseline!$A:$AK,T$2,FALSE)</f>
        <v>#N/A</v>
      </c>
      <c r="U14" s="13" t="e">
        <f>VLOOKUP($B14,baseline!$A:$AK,U$2,FALSE)</f>
        <v>#N/A</v>
      </c>
      <c r="V14" s="13" t="e">
        <f>VLOOKUP($B14,baseline!$A:$AK,V$2,FALSE)</f>
        <v>#N/A</v>
      </c>
      <c r="W14" s="13" t="e">
        <f>VLOOKUP($B14,baseline!$A:$AK,W$2,FALSE)</f>
        <v>#N/A</v>
      </c>
      <c r="X14" s="13" t="e">
        <f>VLOOKUP($B14,baseline!$A:$AK,X$2,FALSE)</f>
        <v>#N/A</v>
      </c>
      <c r="Y14" s="13" t="e">
        <f>VLOOKUP($B14,baseline!$A:$AK,Y$2,FALSE)</f>
        <v>#N/A</v>
      </c>
      <c r="Z14" s="13" t="e">
        <f>VLOOKUP($B14,baseline!$A:$AK,Z$2,FALSE)</f>
        <v>#N/A</v>
      </c>
      <c r="AA14" s="13" t="e">
        <f>VLOOKUP($B14,baseline!$A:$AK,AA$2,FALSE)</f>
        <v>#N/A</v>
      </c>
      <c r="AB14" s="13" t="e">
        <f>VLOOKUP($B14,baseline!$A:$AK,AB$2,FALSE)</f>
        <v>#N/A</v>
      </c>
      <c r="AC14" s="13" t="e">
        <f>VLOOKUP($B14,baseline!$A:$AK,AC$2,FALSE)</f>
        <v>#N/A</v>
      </c>
      <c r="AD14" s="13" t="e">
        <f>VLOOKUP($B14,baseline!$A:$AK,AD$2,FALSE)</f>
        <v>#N/A</v>
      </c>
      <c r="AE14" s="13" t="e">
        <f>VLOOKUP($B14,baseline!$A:$AK,AE$2,FALSE)</f>
        <v>#N/A</v>
      </c>
      <c r="AF14" s="13" t="e">
        <f>VLOOKUP($B14,baseline!$A:$AK,AF$2,FALSE)</f>
        <v>#N/A</v>
      </c>
      <c r="AG14" s="13" t="e">
        <f>VLOOKUP($B14,baseline!$A:$AK,AG$2,FALSE)</f>
        <v>#N/A</v>
      </c>
      <c r="AH14" s="13" t="e">
        <f>VLOOKUP($B14,baseline!$A:$AK,AH$2,FALSE)</f>
        <v>#N/A</v>
      </c>
      <c r="AI14" s="13" t="e">
        <f>VLOOKUP($B14,baseline!$A:$AK,AI$2,FALSE)</f>
        <v>#N/A</v>
      </c>
      <c r="AJ14" s="13" t="e">
        <f>VLOOKUP($B14,baseline!$A:$AK,AJ$2,FALSE)</f>
        <v>#N/A</v>
      </c>
      <c r="AK14" s="13" t="e">
        <f>VLOOKUP($B14,baseline!$A:$AK,AK$2,FALSE)</f>
        <v>#N/A</v>
      </c>
      <c r="AL14" s="13" t="e">
        <f>VLOOKUP($B14,baseline!$A:$AK,AL$2,FALSE)</f>
        <v>#N/A</v>
      </c>
      <c r="AM14" s="13" t="e">
        <f>VLOOKUP($B14,baseline!$A:$AK,AM$2,FALSE)</f>
        <v>#N/A</v>
      </c>
      <c r="AN14" s="13" t="e">
        <f>VLOOKUP($B14,baseline!$A:$AK,AN$2,FALSE)</f>
        <v>#N/A</v>
      </c>
      <c r="AP14" s="3" t="e">
        <f t="shared" si="0"/>
        <v>#N/A</v>
      </c>
    </row>
    <row r="15" spans="1:48" x14ac:dyDescent="0.3">
      <c r="B15" t="s">
        <v>39</v>
      </c>
      <c r="D15" t="s">
        <v>172</v>
      </c>
      <c r="E15" s="13" t="e">
        <f>VLOOKUP($B15,baseline!$A:$AK,E$2,FALSE)</f>
        <v>#N/A</v>
      </c>
      <c r="F15" s="13" t="e">
        <f>VLOOKUP($B15,baseline!$A:$AK,F$2,FALSE)</f>
        <v>#N/A</v>
      </c>
      <c r="G15" s="13" t="e">
        <f>VLOOKUP($B15,baseline!$A:$AK,G$2,FALSE)</f>
        <v>#N/A</v>
      </c>
      <c r="H15" s="13" t="e">
        <f>VLOOKUP($B15,baseline!$A:$AK,H$2,FALSE)</f>
        <v>#N/A</v>
      </c>
      <c r="I15" s="13" t="e">
        <f>VLOOKUP($B15,baseline!$A:$AK,I$2,FALSE)</f>
        <v>#N/A</v>
      </c>
      <c r="J15" s="13" t="e">
        <f>VLOOKUP($B15,baseline!$A:$AK,J$2,FALSE)</f>
        <v>#N/A</v>
      </c>
      <c r="K15" s="13" t="e">
        <f>VLOOKUP($B15,baseline!$A:$AK,K$2,FALSE)</f>
        <v>#N/A</v>
      </c>
      <c r="L15" s="13" t="e">
        <f>VLOOKUP($B15,baseline!$A:$AK,L$2,FALSE)</f>
        <v>#N/A</v>
      </c>
      <c r="M15" s="13" t="e">
        <f>VLOOKUP($B15,baseline!$A:$AK,M$2,FALSE)</f>
        <v>#N/A</v>
      </c>
      <c r="N15" s="13" t="e">
        <f>VLOOKUP($B15,baseline!$A:$AK,N$2,FALSE)</f>
        <v>#N/A</v>
      </c>
      <c r="O15" s="13" t="e">
        <f>VLOOKUP($B15,baseline!$A:$AK,O$2,FALSE)</f>
        <v>#N/A</v>
      </c>
      <c r="P15" s="13" t="e">
        <f>VLOOKUP($B15,baseline!$A:$AK,P$2,FALSE)</f>
        <v>#N/A</v>
      </c>
      <c r="Q15" s="13" t="e">
        <f>VLOOKUP($B15,baseline!$A:$AK,Q$2,FALSE)</f>
        <v>#N/A</v>
      </c>
      <c r="R15" s="13" t="e">
        <f>VLOOKUP($B15,baseline!$A:$AK,R$2,FALSE)</f>
        <v>#N/A</v>
      </c>
      <c r="S15" s="13" t="e">
        <f>VLOOKUP($B15,baseline!$A:$AK,S$2,FALSE)</f>
        <v>#N/A</v>
      </c>
      <c r="T15" s="13" t="e">
        <f>VLOOKUP($B15,baseline!$A:$AK,T$2,FALSE)</f>
        <v>#N/A</v>
      </c>
      <c r="U15" s="13" t="e">
        <f>VLOOKUP($B15,baseline!$A:$AK,U$2,FALSE)</f>
        <v>#N/A</v>
      </c>
      <c r="V15" s="13" t="e">
        <f>VLOOKUP($B15,baseline!$A:$AK,V$2,FALSE)</f>
        <v>#N/A</v>
      </c>
      <c r="W15" s="13" t="e">
        <f>VLOOKUP($B15,baseline!$A:$AK,W$2,FALSE)</f>
        <v>#N/A</v>
      </c>
      <c r="X15" s="13" t="e">
        <f>VLOOKUP($B15,baseline!$A:$AK,X$2,FALSE)</f>
        <v>#N/A</v>
      </c>
      <c r="Y15" s="13" t="e">
        <f>VLOOKUP($B15,baseline!$A:$AK,Y$2,FALSE)</f>
        <v>#N/A</v>
      </c>
      <c r="Z15" s="13" t="e">
        <f>VLOOKUP($B15,baseline!$A:$AK,Z$2,FALSE)</f>
        <v>#N/A</v>
      </c>
      <c r="AA15" s="13" t="e">
        <f>VLOOKUP($B15,baseline!$A:$AK,AA$2,FALSE)</f>
        <v>#N/A</v>
      </c>
      <c r="AB15" s="13" t="e">
        <f>VLOOKUP($B15,baseline!$A:$AK,AB$2,FALSE)</f>
        <v>#N/A</v>
      </c>
      <c r="AC15" s="13" t="e">
        <f>VLOOKUP($B15,baseline!$A:$AK,AC$2,FALSE)</f>
        <v>#N/A</v>
      </c>
      <c r="AD15" s="13" t="e">
        <f>VLOOKUP($B15,baseline!$A:$AK,AD$2,FALSE)</f>
        <v>#N/A</v>
      </c>
      <c r="AE15" s="13" t="e">
        <f>VLOOKUP($B15,baseline!$A:$AK,AE$2,FALSE)</f>
        <v>#N/A</v>
      </c>
      <c r="AF15" s="13" t="e">
        <f>VLOOKUP($B15,baseline!$A:$AK,AF$2,FALSE)</f>
        <v>#N/A</v>
      </c>
      <c r="AG15" s="13" t="e">
        <f>VLOOKUP($B15,baseline!$A:$AK,AG$2,FALSE)</f>
        <v>#N/A</v>
      </c>
      <c r="AH15" s="13" t="e">
        <f>VLOOKUP($B15,baseline!$A:$AK,AH$2,FALSE)</f>
        <v>#N/A</v>
      </c>
      <c r="AI15" s="13" t="e">
        <f>VLOOKUP($B15,baseline!$A:$AK,AI$2,FALSE)</f>
        <v>#N/A</v>
      </c>
      <c r="AJ15" s="13" t="e">
        <f>VLOOKUP($B15,baseline!$A:$AK,AJ$2,FALSE)</f>
        <v>#N/A</v>
      </c>
      <c r="AK15" s="13" t="e">
        <f>VLOOKUP($B15,baseline!$A:$AK,AK$2,FALSE)</f>
        <v>#N/A</v>
      </c>
      <c r="AL15" s="13" t="e">
        <f>VLOOKUP($B15,baseline!$A:$AK,AL$2,FALSE)</f>
        <v>#N/A</v>
      </c>
      <c r="AM15" s="13" t="e">
        <f>VLOOKUP($B15,baseline!$A:$AK,AM$2,FALSE)</f>
        <v>#N/A</v>
      </c>
      <c r="AN15" s="13" t="e">
        <f>VLOOKUP($B15,baseline!$A:$AK,AN$2,FALSE)</f>
        <v>#N/A</v>
      </c>
      <c r="AP15" s="3" t="e">
        <f t="shared" si="0"/>
        <v>#N/A</v>
      </c>
    </row>
    <row r="16" spans="1:48" x14ac:dyDescent="0.3">
      <c r="B16" t="s">
        <v>40</v>
      </c>
      <c r="D16" t="s">
        <v>172</v>
      </c>
      <c r="E16" s="13" t="e">
        <f>VLOOKUP($B16,baseline!$A:$AK,E$2,FALSE)</f>
        <v>#N/A</v>
      </c>
      <c r="F16" s="13" t="e">
        <f>VLOOKUP($B16,baseline!$A:$AK,F$2,FALSE)</f>
        <v>#N/A</v>
      </c>
      <c r="G16" s="13" t="e">
        <f>VLOOKUP($B16,baseline!$A:$AK,G$2,FALSE)</f>
        <v>#N/A</v>
      </c>
      <c r="H16" s="13" t="e">
        <f>VLOOKUP($B16,baseline!$A:$AK,H$2,FALSE)</f>
        <v>#N/A</v>
      </c>
      <c r="I16" s="13" t="e">
        <f>VLOOKUP($B16,baseline!$A:$AK,I$2,FALSE)</f>
        <v>#N/A</v>
      </c>
      <c r="J16" s="13" t="e">
        <f>VLOOKUP($B16,baseline!$A:$AK,J$2,FALSE)</f>
        <v>#N/A</v>
      </c>
      <c r="K16" s="13" t="e">
        <f>VLOOKUP($B16,baseline!$A:$AK,K$2,FALSE)</f>
        <v>#N/A</v>
      </c>
      <c r="L16" s="13" t="e">
        <f>VLOOKUP($B16,baseline!$A:$AK,L$2,FALSE)</f>
        <v>#N/A</v>
      </c>
      <c r="M16" s="13" t="e">
        <f>VLOOKUP($B16,baseline!$A:$AK,M$2,FALSE)</f>
        <v>#N/A</v>
      </c>
      <c r="N16" s="13" t="e">
        <f>VLOOKUP($B16,baseline!$A:$AK,N$2,FALSE)</f>
        <v>#N/A</v>
      </c>
      <c r="O16" s="13" t="e">
        <f>VLOOKUP($B16,baseline!$A:$AK,O$2,FALSE)</f>
        <v>#N/A</v>
      </c>
      <c r="P16" s="13" t="e">
        <f>VLOOKUP($B16,baseline!$A:$AK,P$2,FALSE)</f>
        <v>#N/A</v>
      </c>
      <c r="Q16" s="13" t="e">
        <f>VLOOKUP($B16,baseline!$A:$AK,Q$2,FALSE)</f>
        <v>#N/A</v>
      </c>
      <c r="R16" s="13" t="e">
        <f>VLOOKUP($B16,baseline!$A:$AK,R$2,FALSE)</f>
        <v>#N/A</v>
      </c>
      <c r="S16" s="13" t="e">
        <f>VLOOKUP($B16,baseline!$A:$AK,S$2,FALSE)</f>
        <v>#N/A</v>
      </c>
      <c r="T16" s="13" t="e">
        <f>VLOOKUP($B16,baseline!$A:$AK,T$2,FALSE)</f>
        <v>#N/A</v>
      </c>
      <c r="U16" s="13" t="e">
        <f>VLOOKUP($B16,baseline!$A:$AK,U$2,FALSE)</f>
        <v>#N/A</v>
      </c>
      <c r="V16" s="13" t="e">
        <f>VLOOKUP($B16,baseline!$A:$AK,V$2,FALSE)</f>
        <v>#N/A</v>
      </c>
      <c r="W16" s="13" t="e">
        <f>VLOOKUP($B16,baseline!$A:$AK,W$2,FALSE)</f>
        <v>#N/A</v>
      </c>
      <c r="X16" s="13" t="e">
        <f>VLOOKUP($B16,baseline!$A:$AK,X$2,FALSE)</f>
        <v>#N/A</v>
      </c>
      <c r="Y16" s="13" t="e">
        <f>VLOOKUP($B16,baseline!$A:$AK,Y$2,FALSE)</f>
        <v>#N/A</v>
      </c>
      <c r="Z16" s="13" t="e">
        <f>VLOOKUP($B16,baseline!$A:$AK,Z$2,FALSE)</f>
        <v>#N/A</v>
      </c>
      <c r="AA16" s="13" t="e">
        <f>VLOOKUP($B16,baseline!$A:$AK,AA$2,FALSE)</f>
        <v>#N/A</v>
      </c>
      <c r="AB16" s="13" t="e">
        <f>VLOOKUP($B16,baseline!$A:$AK,AB$2,FALSE)</f>
        <v>#N/A</v>
      </c>
      <c r="AC16" s="13" t="e">
        <f>VLOOKUP($B16,baseline!$A:$AK,AC$2,FALSE)</f>
        <v>#N/A</v>
      </c>
      <c r="AD16" s="13" t="e">
        <f>VLOOKUP($B16,baseline!$A:$AK,AD$2,FALSE)</f>
        <v>#N/A</v>
      </c>
      <c r="AE16" s="13" t="e">
        <f>VLOOKUP($B16,baseline!$A:$AK,AE$2,FALSE)</f>
        <v>#N/A</v>
      </c>
      <c r="AF16" s="13" t="e">
        <f>VLOOKUP($B16,baseline!$A:$AK,AF$2,FALSE)</f>
        <v>#N/A</v>
      </c>
      <c r="AG16" s="13" t="e">
        <f>VLOOKUP($B16,baseline!$A:$AK,AG$2,FALSE)</f>
        <v>#N/A</v>
      </c>
      <c r="AH16" s="13" t="e">
        <f>VLOOKUP($B16,baseline!$A:$AK,AH$2,FALSE)</f>
        <v>#N/A</v>
      </c>
      <c r="AI16" s="13" t="e">
        <f>VLOOKUP($B16,baseline!$A:$AK,AI$2,FALSE)</f>
        <v>#N/A</v>
      </c>
      <c r="AJ16" s="13" t="e">
        <f>VLOOKUP($B16,baseline!$A:$AK,AJ$2,FALSE)</f>
        <v>#N/A</v>
      </c>
      <c r="AK16" s="13" t="e">
        <f>VLOOKUP($B16,baseline!$A:$AK,AK$2,FALSE)</f>
        <v>#N/A</v>
      </c>
      <c r="AL16" s="13" t="e">
        <f>VLOOKUP($B16,baseline!$A:$AK,AL$2,FALSE)</f>
        <v>#N/A</v>
      </c>
      <c r="AM16" s="13" t="e">
        <f>VLOOKUP($B16,baseline!$A:$AK,AM$2,FALSE)</f>
        <v>#N/A</v>
      </c>
      <c r="AN16" s="13" t="e">
        <f>VLOOKUP($B16,baseline!$A:$AK,AN$2,FALSE)</f>
        <v>#N/A</v>
      </c>
      <c r="AP16" s="3" t="e">
        <f t="shared" si="0"/>
        <v>#N/A</v>
      </c>
    </row>
    <row r="17" spans="1:48" x14ac:dyDescent="0.3">
      <c r="B17" t="s">
        <v>41</v>
      </c>
      <c r="D17" t="s">
        <v>172</v>
      </c>
      <c r="E17" s="13" t="e">
        <f>VLOOKUP($B17,baseline!$A:$AK,E$2,FALSE)</f>
        <v>#N/A</v>
      </c>
      <c r="F17" s="13" t="e">
        <f>VLOOKUP($B17,baseline!$A:$AK,F$2,FALSE)</f>
        <v>#N/A</v>
      </c>
      <c r="G17" s="13" t="e">
        <f>VLOOKUP($B17,baseline!$A:$AK,G$2,FALSE)</f>
        <v>#N/A</v>
      </c>
      <c r="H17" s="13" t="e">
        <f>VLOOKUP($B17,baseline!$A:$AK,H$2,FALSE)</f>
        <v>#N/A</v>
      </c>
      <c r="I17" s="13" t="e">
        <f>VLOOKUP($B17,baseline!$A:$AK,I$2,FALSE)</f>
        <v>#N/A</v>
      </c>
      <c r="J17" s="13" t="e">
        <f>VLOOKUP($B17,baseline!$A:$AK,J$2,FALSE)</f>
        <v>#N/A</v>
      </c>
      <c r="K17" s="13" t="e">
        <f>VLOOKUP($B17,baseline!$A:$AK,K$2,FALSE)</f>
        <v>#N/A</v>
      </c>
      <c r="L17" s="13" t="e">
        <f>VLOOKUP($B17,baseline!$A:$AK,L$2,FALSE)</f>
        <v>#N/A</v>
      </c>
      <c r="M17" s="13" t="e">
        <f>VLOOKUP($B17,baseline!$A:$AK,M$2,FALSE)</f>
        <v>#N/A</v>
      </c>
      <c r="N17" s="13" t="e">
        <f>VLOOKUP($B17,baseline!$A:$AK,N$2,FALSE)</f>
        <v>#N/A</v>
      </c>
      <c r="O17" s="13" t="e">
        <f>VLOOKUP($B17,baseline!$A:$AK,O$2,FALSE)</f>
        <v>#N/A</v>
      </c>
      <c r="P17" s="13" t="e">
        <f>VLOOKUP($B17,baseline!$A:$AK,P$2,FALSE)</f>
        <v>#N/A</v>
      </c>
      <c r="Q17" s="13" t="e">
        <f>VLOOKUP($B17,baseline!$A:$AK,Q$2,FALSE)</f>
        <v>#N/A</v>
      </c>
      <c r="R17" s="13" t="e">
        <f>VLOOKUP($B17,baseline!$A:$AK,R$2,FALSE)</f>
        <v>#N/A</v>
      </c>
      <c r="S17" s="13" t="e">
        <f>VLOOKUP($B17,baseline!$A:$AK,S$2,FALSE)</f>
        <v>#N/A</v>
      </c>
      <c r="T17" s="13" t="e">
        <f>VLOOKUP($B17,baseline!$A:$AK,T$2,FALSE)</f>
        <v>#N/A</v>
      </c>
      <c r="U17" s="13" t="e">
        <f>VLOOKUP($B17,baseline!$A:$AK,U$2,FALSE)</f>
        <v>#N/A</v>
      </c>
      <c r="V17" s="13" t="e">
        <f>VLOOKUP($B17,baseline!$A:$AK,V$2,FALSE)</f>
        <v>#N/A</v>
      </c>
      <c r="W17" s="13" t="e">
        <f>VLOOKUP($B17,baseline!$A:$AK,W$2,FALSE)</f>
        <v>#N/A</v>
      </c>
      <c r="X17" s="13" t="e">
        <f>VLOOKUP($B17,baseline!$A:$AK,X$2,FALSE)</f>
        <v>#N/A</v>
      </c>
      <c r="Y17" s="13" t="e">
        <f>VLOOKUP($B17,baseline!$A:$AK,Y$2,FALSE)</f>
        <v>#N/A</v>
      </c>
      <c r="Z17" s="13" t="e">
        <f>VLOOKUP($B17,baseline!$A:$AK,Z$2,FALSE)</f>
        <v>#N/A</v>
      </c>
      <c r="AA17" s="13" t="e">
        <f>VLOOKUP($B17,baseline!$A:$AK,AA$2,FALSE)</f>
        <v>#N/A</v>
      </c>
      <c r="AB17" s="13" t="e">
        <f>VLOOKUP($B17,baseline!$A:$AK,AB$2,FALSE)</f>
        <v>#N/A</v>
      </c>
      <c r="AC17" s="13" t="e">
        <f>VLOOKUP($B17,baseline!$A:$AK,AC$2,FALSE)</f>
        <v>#N/A</v>
      </c>
      <c r="AD17" s="13" t="e">
        <f>VLOOKUP($B17,baseline!$A:$AK,AD$2,FALSE)</f>
        <v>#N/A</v>
      </c>
      <c r="AE17" s="13" t="e">
        <f>VLOOKUP($B17,baseline!$A:$AK,AE$2,FALSE)</f>
        <v>#N/A</v>
      </c>
      <c r="AF17" s="13" t="e">
        <f>VLOOKUP($B17,baseline!$A:$AK,AF$2,FALSE)</f>
        <v>#N/A</v>
      </c>
      <c r="AG17" s="13" t="e">
        <f>VLOOKUP($B17,baseline!$A:$AK,AG$2,FALSE)</f>
        <v>#N/A</v>
      </c>
      <c r="AH17" s="13" t="e">
        <f>VLOOKUP($B17,baseline!$A:$AK,AH$2,FALSE)</f>
        <v>#N/A</v>
      </c>
      <c r="AI17" s="13" t="e">
        <f>VLOOKUP($B17,baseline!$A:$AK,AI$2,FALSE)</f>
        <v>#N/A</v>
      </c>
      <c r="AJ17" s="13" t="e">
        <f>VLOOKUP($B17,baseline!$A:$AK,AJ$2,FALSE)</f>
        <v>#N/A</v>
      </c>
      <c r="AK17" s="13" t="e">
        <f>VLOOKUP($B17,baseline!$A:$AK,AK$2,FALSE)</f>
        <v>#N/A</v>
      </c>
      <c r="AL17" s="13" t="e">
        <f>VLOOKUP($B17,baseline!$A:$AK,AL$2,FALSE)</f>
        <v>#N/A</v>
      </c>
      <c r="AM17" s="13" t="e">
        <f>VLOOKUP($B17,baseline!$A:$AK,AM$2,FALSE)</f>
        <v>#N/A</v>
      </c>
      <c r="AN17" s="13" t="e">
        <f>VLOOKUP($B17,baseline!$A:$AK,AN$2,FALSE)</f>
        <v>#N/A</v>
      </c>
      <c r="AP17" s="3" t="e">
        <f t="shared" si="0"/>
        <v>#N/A</v>
      </c>
    </row>
    <row r="18" spans="1:48" x14ac:dyDescent="0.3">
      <c r="B18" t="s">
        <v>42</v>
      </c>
      <c r="D18" t="s">
        <v>172</v>
      </c>
      <c r="E18" s="13" t="e">
        <f>VLOOKUP($B18,baseline!$A:$AK,E$2,FALSE)</f>
        <v>#N/A</v>
      </c>
      <c r="F18" s="13" t="e">
        <f>VLOOKUP($B18,baseline!$A:$AK,F$2,FALSE)</f>
        <v>#N/A</v>
      </c>
      <c r="G18" s="13" t="e">
        <f>VLOOKUP($B18,baseline!$A:$AK,G$2,FALSE)</f>
        <v>#N/A</v>
      </c>
      <c r="H18" s="13" t="e">
        <f>VLOOKUP($B18,baseline!$A:$AK,H$2,FALSE)</f>
        <v>#N/A</v>
      </c>
      <c r="I18" s="13" t="e">
        <f>VLOOKUP($B18,baseline!$A:$AK,I$2,FALSE)</f>
        <v>#N/A</v>
      </c>
      <c r="J18" s="13" t="e">
        <f>VLOOKUP($B18,baseline!$A:$AK,J$2,FALSE)</f>
        <v>#N/A</v>
      </c>
      <c r="K18" s="13" t="e">
        <f>VLOOKUP($B18,baseline!$A:$AK,K$2,FALSE)</f>
        <v>#N/A</v>
      </c>
      <c r="L18" s="13" t="e">
        <f>VLOOKUP($B18,baseline!$A:$AK,L$2,FALSE)</f>
        <v>#N/A</v>
      </c>
      <c r="M18" s="13" t="e">
        <f>VLOOKUP($B18,baseline!$A:$AK,M$2,FALSE)</f>
        <v>#N/A</v>
      </c>
      <c r="N18" s="13" t="e">
        <f>VLOOKUP($B18,baseline!$A:$AK,N$2,FALSE)</f>
        <v>#N/A</v>
      </c>
      <c r="O18" s="13" t="e">
        <f>VLOOKUP($B18,baseline!$A:$AK,O$2,FALSE)</f>
        <v>#N/A</v>
      </c>
      <c r="P18" s="13" t="e">
        <f>VLOOKUP($B18,baseline!$A:$AK,P$2,FALSE)</f>
        <v>#N/A</v>
      </c>
      <c r="Q18" s="13" t="e">
        <f>VLOOKUP($B18,baseline!$A:$AK,Q$2,FALSE)</f>
        <v>#N/A</v>
      </c>
      <c r="R18" s="13" t="e">
        <f>VLOOKUP($B18,baseline!$A:$AK,R$2,FALSE)</f>
        <v>#N/A</v>
      </c>
      <c r="S18" s="13" t="e">
        <f>VLOOKUP($B18,baseline!$A:$AK,S$2,FALSE)</f>
        <v>#N/A</v>
      </c>
      <c r="T18" s="13" t="e">
        <f>VLOOKUP($B18,baseline!$A:$AK,T$2,FALSE)</f>
        <v>#N/A</v>
      </c>
      <c r="U18" s="13" t="e">
        <f>VLOOKUP($B18,baseline!$A:$AK,U$2,FALSE)</f>
        <v>#N/A</v>
      </c>
      <c r="V18" s="13" t="e">
        <f>VLOOKUP($B18,baseline!$A:$AK,V$2,FALSE)</f>
        <v>#N/A</v>
      </c>
      <c r="W18" s="13" t="e">
        <f>VLOOKUP($B18,baseline!$A:$AK,W$2,FALSE)</f>
        <v>#N/A</v>
      </c>
      <c r="X18" s="13" t="e">
        <f>VLOOKUP($B18,baseline!$A:$AK,X$2,FALSE)</f>
        <v>#N/A</v>
      </c>
      <c r="Y18" s="13" t="e">
        <f>VLOOKUP($B18,baseline!$A:$AK,Y$2,FALSE)</f>
        <v>#N/A</v>
      </c>
      <c r="Z18" s="13" t="e">
        <f>VLOOKUP($B18,baseline!$A:$AK,Z$2,FALSE)</f>
        <v>#N/A</v>
      </c>
      <c r="AA18" s="13" t="e">
        <f>VLOOKUP($B18,baseline!$A:$AK,AA$2,FALSE)</f>
        <v>#N/A</v>
      </c>
      <c r="AB18" s="13" t="e">
        <f>VLOOKUP($B18,baseline!$A:$AK,AB$2,FALSE)</f>
        <v>#N/A</v>
      </c>
      <c r="AC18" s="13" t="e">
        <f>VLOOKUP($B18,baseline!$A:$AK,AC$2,FALSE)</f>
        <v>#N/A</v>
      </c>
      <c r="AD18" s="13" t="e">
        <f>VLOOKUP($B18,baseline!$A:$AK,AD$2,FALSE)</f>
        <v>#N/A</v>
      </c>
      <c r="AE18" s="13" t="e">
        <f>VLOOKUP($B18,baseline!$A:$AK,AE$2,FALSE)</f>
        <v>#N/A</v>
      </c>
      <c r="AF18" s="13" t="e">
        <f>VLOOKUP($B18,baseline!$A:$AK,AF$2,FALSE)</f>
        <v>#N/A</v>
      </c>
      <c r="AG18" s="13" t="e">
        <f>VLOOKUP($B18,baseline!$A:$AK,AG$2,FALSE)</f>
        <v>#N/A</v>
      </c>
      <c r="AH18" s="13" t="e">
        <f>VLOOKUP($B18,baseline!$A:$AK,AH$2,FALSE)</f>
        <v>#N/A</v>
      </c>
      <c r="AI18" s="13" t="e">
        <f>VLOOKUP($B18,baseline!$A:$AK,AI$2,FALSE)</f>
        <v>#N/A</v>
      </c>
      <c r="AJ18" s="13" t="e">
        <f>VLOOKUP($B18,baseline!$A:$AK,AJ$2,FALSE)</f>
        <v>#N/A</v>
      </c>
      <c r="AK18" s="13" t="e">
        <f>VLOOKUP($B18,baseline!$A:$AK,AK$2,FALSE)</f>
        <v>#N/A</v>
      </c>
      <c r="AL18" s="13" t="e">
        <f>VLOOKUP($B18,baseline!$A:$AK,AL$2,FALSE)</f>
        <v>#N/A</v>
      </c>
      <c r="AM18" s="13" t="e">
        <f>VLOOKUP($B18,baseline!$A:$AK,AM$2,FALSE)</f>
        <v>#N/A</v>
      </c>
      <c r="AN18" s="13" t="e">
        <f>VLOOKUP($B18,baseline!$A:$AK,AN$2,FALSE)</f>
        <v>#N/A</v>
      </c>
      <c r="AP18" s="3" t="e">
        <f t="shared" si="0"/>
        <v>#N/A</v>
      </c>
    </row>
    <row r="19" spans="1:48" x14ac:dyDescent="0.3">
      <c r="B19" t="s">
        <v>43</v>
      </c>
      <c r="D19" t="s">
        <v>172</v>
      </c>
      <c r="E19" s="13" t="e">
        <f>VLOOKUP($B19,baseline!$A:$AK,E$2,FALSE)</f>
        <v>#N/A</v>
      </c>
      <c r="F19" s="13" t="e">
        <f>VLOOKUP($B19,baseline!$A:$AK,F$2,FALSE)</f>
        <v>#N/A</v>
      </c>
      <c r="G19" s="13" t="e">
        <f>VLOOKUP($B19,baseline!$A:$AK,G$2,FALSE)</f>
        <v>#N/A</v>
      </c>
      <c r="H19" s="13" t="e">
        <f>VLOOKUP($B19,baseline!$A:$AK,H$2,FALSE)</f>
        <v>#N/A</v>
      </c>
      <c r="I19" s="13" t="e">
        <f>VLOOKUP($B19,baseline!$A:$AK,I$2,FALSE)</f>
        <v>#N/A</v>
      </c>
      <c r="J19" s="13" t="e">
        <f>VLOOKUP($B19,baseline!$A:$AK,J$2,FALSE)</f>
        <v>#N/A</v>
      </c>
      <c r="K19" s="13" t="e">
        <f>VLOOKUP($B19,baseline!$A:$AK,K$2,FALSE)</f>
        <v>#N/A</v>
      </c>
      <c r="L19" s="13" t="e">
        <f>VLOOKUP($B19,baseline!$A:$AK,L$2,FALSE)</f>
        <v>#N/A</v>
      </c>
      <c r="M19" s="13" t="e">
        <f>VLOOKUP($B19,baseline!$A:$AK,M$2,FALSE)</f>
        <v>#N/A</v>
      </c>
      <c r="N19" s="13" t="e">
        <f>VLOOKUP($B19,baseline!$A:$AK,N$2,FALSE)</f>
        <v>#N/A</v>
      </c>
      <c r="O19" s="13" t="e">
        <f>VLOOKUP($B19,baseline!$A:$AK,O$2,FALSE)</f>
        <v>#N/A</v>
      </c>
      <c r="P19" s="13" t="e">
        <f>VLOOKUP($B19,baseline!$A:$AK,P$2,FALSE)</f>
        <v>#N/A</v>
      </c>
      <c r="Q19" s="13" t="e">
        <f>VLOOKUP($B19,baseline!$A:$AK,Q$2,FALSE)</f>
        <v>#N/A</v>
      </c>
      <c r="R19" s="13" t="e">
        <f>VLOOKUP($B19,baseline!$A:$AK,R$2,FALSE)</f>
        <v>#N/A</v>
      </c>
      <c r="S19" s="13" t="e">
        <f>VLOOKUP($B19,baseline!$A:$AK,S$2,FALSE)</f>
        <v>#N/A</v>
      </c>
      <c r="T19" s="13" t="e">
        <f>VLOOKUP($B19,baseline!$A:$AK,T$2,FALSE)</f>
        <v>#N/A</v>
      </c>
      <c r="U19" s="13" t="e">
        <f>VLOOKUP($B19,baseline!$A:$AK,U$2,FALSE)</f>
        <v>#N/A</v>
      </c>
      <c r="V19" s="13" t="e">
        <f>VLOOKUP($B19,baseline!$A:$AK,V$2,FALSE)</f>
        <v>#N/A</v>
      </c>
      <c r="W19" s="13" t="e">
        <f>VLOOKUP($B19,baseline!$A:$AK,W$2,FALSE)</f>
        <v>#N/A</v>
      </c>
      <c r="X19" s="13" t="e">
        <f>VLOOKUP($B19,baseline!$A:$AK,X$2,FALSE)</f>
        <v>#N/A</v>
      </c>
      <c r="Y19" s="13" t="e">
        <f>VLOOKUP($B19,baseline!$A:$AK,Y$2,FALSE)</f>
        <v>#N/A</v>
      </c>
      <c r="Z19" s="13" t="e">
        <f>VLOOKUP($B19,baseline!$A:$AK,Z$2,FALSE)</f>
        <v>#N/A</v>
      </c>
      <c r="AA19" s="13" t="e">
        <f>VLOOKUP($B19,baseline!$A:$AK,AA$2,FALSE)</f>
        <v>#N/A</v>
      </c>
      <c r="AB19" s="13" t="e">
        <f>VLOOKUP($B19,baseline!$A:$AK,AB$2,FALSE)</f>
        <v>#N/A</v>
      </c>
      <c r="AC19" s="13" t="e">
        <f>VLOOKUP($B19,baseline!$A:$AK,AC$2,FALSE)</f>
        <v>#N/A</v>
      </c>
      <c r="AD19" s="13" t="e">
        <f>VLOOKUP($B19,baseline!$A:$AK,AD$2,FALSE)</f>
        <v>#N/A</v>
      </c>
      <c r="AE19" s="13" t="e">
        <f>VLOOKUP($B19,baseline!$A:$AK,AE$2,FALSE)</f>
        <v>#N/A</v>
      </c>
      <c r="AF19" s="13" t="e">
        <f>VLOOKUP($B19,baseline!$A:$AK,AF$2,FALSE)</f>
        <v>#N/A</v>
      </c>
      <c r="AG19" s="13" t="e">
        <f>VLOOKUP($B19,baseline!$A:$AK,AG$2,FALSE)</f>
        <v>#N/A</v>
      </c>
      <c r="AH19" s="13" t="e">
        <f>VLOOKUP($B19,baseline!$A:$AK,AH$2,FALSE)</f>
        <v>#N/A</v>
      </c>
      <c r="AI19" s="13" t="e">
        <f>VLOOKUP($B19,baseline!$A:$AK,AI$2,FALSE)</f>
        <v>#N/A</v>
      </c>
      <c r="AJ19" s="13" t="e">
        <f>VLOOKUP($B19,baseline!$A:$AK,AJ$2,FALSE)</f>
        <v>#N/A</v>
      </c>
      <c r="AK19" s="13" t="e">
        <f>VLOOKUP($B19,baseline!$A:$AK,AK$2,FALSE)</f>
        <v>#N/A</v>
      </c>
      <c r="AL19" s="13" t="e">
        <f>VLOOKUP($B19,baseline!$A:$AK,AL$2,FALSE)</f>
        <v>#N/A</v>
      </c>
      <c r="AM19" s="13" t="e">
        <f>VLOOKUP($B19,baseline!$A:$AK,AM$2,FALSE)</f>
        <v>#N/A</v>
      </c>
      <c r="AN19" s="13" t="e">
        <f>VLOOKUP($B19,baseline!$A:$AK,AN$2,FALSE)</f>
        <v>#N/A</v>
      </c>
      <c r="AP19" s="3" t="e">
        <f t="shared" si="0"/>
        <v>#N/A</v>
      </c>
    </row>
    <row r="20" spans="1:48" x14ac:dyDescent="0.3">
      <c r="B20" t="s">
        <v>44</v>
      </c>
      <c r="D20" t="s">
        <v>172</v>
      </c>
      <c r="E20" s="13" t="e">
        <f>VLOOKUP($B20,baseline!$A:$AK,E$2,FALSE)</f>
        <v>#N/A</v>
      </c>
      <c r="F20" s="13" t="e">
        <f>VLOOKUP($B20,baseline!$A:$AK,F$2,FALSE)</f>
        <v>#N/A</v>
      </c>
      <c r="G20" s="13" t="e">
        <f>VLOOKUP($B20,baseline!$A:$AK,G$2,FALSE)</f>
        <v>#N/A</v>
      </c>
      <c r="H20" s="13" t="e">
        <f>VLOOKUP($B20,baseline!$A:$AK,H$2,FALSE)</f>
        <v>#N/A</v>
      </c>
      <c r="I20" s="13" t="e">
        <f>VLOOKUP($B20,baseline!$A:$AK,I$2,FALSE)</f>
        <v>#N/A</v>
      </c>
      <c r="J20" s="13" t="e">
        <f>VLOOKUP($B20,baseline!$A:$AK,J$2,FALSE)</f>
        <v>#N/A</v>
      </c>
      <c r="K20" s="13" t="e">
        <f>VLOOKUP($B20,baseline!$A:$AK,K$2,FALSE)</f>
        <v>#N/A</v>
      </c>
      <c r="L20" s="13" t="e">
        <f>VLOOKUP($B20,baseline!$A:$AK,L$2,FALSE)</f>
        <v>#N/A</v>
      </c>
      <c r="M20" s="13" t="e">
        <f>VLOOKUP($B20,baseline!$A:$AK,M$2,FALSE)</f>
        <v>#N/A</v>
      </c>
      <c r="N20" s="13" t="e">
        <f>VLOOKUP($B20,baseline!$A:$AK,N$2,FALSE)</f>
        <v>#N/A</v>
      </c>
      <c r="O20" s="13" t="e">
        <f>VLOOKUP($B20,baseline!$A:$AK,O$2,FALSE)</f>
        <v>#N/A</v>
      </c>
      <c r="P20" s="13" t="e">
        <f>VLOOKUP($B20,baseline!$A:$AK,P$2,FALSE)</f>
        <v>#N/A</v>
      </c>
      <c r="Q20" s="13" t="e">
        <f>VLOOKUP($B20,baseline!$A:$AK,Q$2,FALSE)</f>
        <v>#N/A</v>
      </c>
      <c r="R20" s="13" t="e">
        <f>VLOOKUP($B20,baseline!$A:$AK,R$2,FALSE)</f>
        <v>#N/A</v>
      </c>
      <c r="S20" s="13" t="e">
        <f>VLOOKUP($B20,baseline!$A:$AK,S$2,FALSE)</f>
        <v>#N/A</v>
      </c>
      <c r="T20" s="13" t="e">
        <f>VLOOKUP($B20,baseline!$A:$AK,T$2,FALSE)</f>
        <v>#N/A</v>
      </c>
      <c r="U20" s="13" t="e">
        <f>VLOOKUP($B20,baseline!$A:$AK,U$2,FALSE)</f>
        <v>#N/A</v>
      </c>
      <c r="V20" s="13" t="e">
        <f>VLOOKUP($B20,baseline!$A:$AK,V$2,FALSE)</f>
        <v>#N/A</v>
      </c>
      <c r="W20" s="13" t="e">
        <f>VLOOKUP($B20,baseline!$A:$AK,W$2,FALSE)</f>
        <v>#N/A</v>
      </c>
      <c r="X20" s="13" t="e">
        <f>VLOOKUP($B20,baseline!$A:$AK,X$2,FALSE)</f>
        <v>#N/A</v>
      </c>
      <c r="Y20" s="13" t="e">
        <f>VLOOKUP($B20,baseline!$A:$AK,Y$2,FALSE)</f>
        <v>#N/A</v>
      </c>
      <c r="Z20" s="13" t="e">
        <f>VLOOKUP($B20,baseline!$A:$AK,Z$2,FALSE)</f>
        <v>#N/A</v>
      </c>
      <c r="AA20" s="13" t="e">
        <f>VLOOKUP($B20,baseline!$A:$AK,AA$2,FALSE)</f>
        <v>#N/A</v>
      </c>
      <c r="AB20" s="13" t="e">
        <f>VLOOKUP($B20,baseline!$A:$AK,AB$2,FALSE)</f>
        <v>#N/A</v>
      </c>
      <c r="AC20" s="13" t="e">
        <f>VLOOKUP($B20,baseline!$A:$AK,AC$2,FALSE)</f>
        <v>#N/A</v>
      </c>
      <c r="AD20" s="13" t="e">
        <f>VLOOKUP($B20,baseline!$A:$AK,AD$2,FALSE)</f>
        <v>#N/A</v>
      </c>
      <c r="AE20" s="13" t="e">
        <f>VLOOKUP($B20,baseline!$A:$AK,AE$2,FALSE)</f>
        <v>#N/A</v>
      </c>
      <c r="AF20" s="13" t="e">
        <f>VLOOKUP($B20,baseline!$A:$AK,AF$2,FALSE)</f>
        <v>#N/A</v>
      </c>
      <c r="AG20" s="13" t="e">
        <f>VLOOKUP($B20,baseline!$A:$AK,AG$2,FALSE)</f>
        <v>#N/A</v>
      </c>
      <c r="AH20" s="13" t="e">
        <f>VLOOKUP($B20,baseline!$A:$AK,AH$2,FALSE)</f>
        <v>#N/A</v>
      </c>
      <c r="AI20" s="13" t="e">
        <f>VLOOKUP($B20,baseline!$A:$AK,AI$2,FALSE)</f>
        <v>#N/A</v>
      </c>
      <c r="AJ20" s="13" t="e">
        <f>VLOOKUP($B20,baseline!$A:$AK,AJ$2,FALSE)</f>
        <v>#N/A</v>
      </c>
      <c r="AK20" s="13" t="e">
        <f>VLOOKUP($B20,baseline!$A:$AK,AK$2,FALSE)</f>
        <v>#N/A</v>
      </c>
      <c r="AL20" s="13" t="e">
        <f>VLOOKUP($B20,baseline!$A:$AK,AL$2,FALSE)</f>
        <v>#N/A</v>
      </c>
      <c r="AM20" s="13" t="e">
        <f>VLOOKUP($B20,baseline!$A:$AK,AM$2,FALSE)</f>
        <v>#N/A</v>
      </c>
      <c r="AN20" s="13" t="e">
        <f>VLOOKUP($B20,baseline!$A:$AK,AN$2,FALSE)</f>
        <v>#N/A</v>
      </c>
      <c r="AP20" s="3" t="e">
        <f t="shared" si="0"/>
        <v>#N/A</v>
      </c>
    </row>
    <row r="21" spans="1:48" x14ac:dyDescent="0.3">
      <c r="B21" t="s">
        <v>45</v>
      </c>
      <c r="D21" t="s">
        <v>172</v>
      </c>
      <c r="E21" s="13" t="e">
        <f>VLOOKUP($B21,baseline!$A:$AK,E$2,FALSE)</f>
        <v>#N/A</v>
      </c>
      <c r="F21" s="13" t="e">
        <f>VLOOKUP($B21,baseline!$A:$AK,F$2,FALSE)</f>
        <v>#N/A</v>
      </c>
      <c r="G21" s="13" t="e">
        <f>VLOOKUP($B21,baseline!$A:$AK,G$2,FALSE)</f>
        <v>#N/A</v>
      </c>
      <c r="H21" s="13" t="e">
        <f>VLOOKUP($B21,baseline!$A:$AK,H$2,FALSE)</f>
        <v>#N/A</v>
      </c>
      <c r="I21" s="13" t="e">
        <f>VLOOKUP($B21,baseline!$A:$AK,I$2,FALSE)</f>
        <v>#N/A</v>
      </c>
      <c r="J21" s="13" t="e">
        <f>VLOOKUP($B21,baseline!$A:$AK,J$2,FALSE)</f>
        <v>#N/A</v>
      </c>
      <c r="K21" s="13" t="e">
        <f>VLOOKUP($B21,baseline!$A:$AK,K$2,FALSE)</f>
        <v>#N/A</v>
      </c>
      <c r="L21" s="13" t="e">
        <f>VLOOKUP($B21,baseline!$A:$AK,L$2,FALSE)</f>
        <v>#N/A</v>
      </c>
      <c r="M21" s="13" t="e">
        <f>VLOOKUP($B21,baseline!$A:$AK,M$2,FALSE)</f>
        <v>#N/A</v>
      </c>
      <c r="N21" s="13" t="e">
        <f>VLOOKUP($B21,baseline!$A:$AK,N$2,FALSE)</f>
        <v>#N/A</v>
      </c>
      <c r="O21" s="13" t="e">
        <f>VLOOKUP($B21,baseline!$A:$AK,O$2,FALSE)</f>
        <v>#N/A</v>
      </c>
      <c r="P21" s="13" t="e">
        <f>VLOOKUP($B21,baseline!$A:$AK,P$2,FALSE)</f>
        <v>#N/A</v>
      </c>
      <c r="Q21" s="13" t="e">
        <f>VLOOKUP($B21,baseline!$A:$AK,Q$2,FALSE)</f>
        <v>#N/A</v>
      </c>
      <c r="R21" s="13" t="e">
        <f>VLOOKUP($B21,baseline!$A:$AK,R$2,FALSE)</f>
        <v>#N/A</v>
      </c>
      <c r="S21" s="13" t="e">
        <f>VLOOKUP($B21,baseline!$A:$AK,S$2,FALSE)</f>
        <v>#N/A</v>
      </c>
      <c r="T21" s="13" t="e">
        <f>VLOOKUP($B21,baseline!$A:$AK,T$2,FALSE)</f>
        <v>#N/A</v>
      </c>
      <c r="U21" s="13" t="e">
        <f>VLOOKUP($B21,baseline!$A:$AK,U$2,FALSE)</f>
        <v>#N/A</v>
      </c>
      <c r="V21" s="13" t="e">
        <f>VLOOKUP($B21,baseline!$A:$AK,V$2,FALSE)</f>
        <v>#N/A</v>
      </c>
      <c r="W21" s="13" t="e">
        <f>VLOOKUP($B21,baseline!$A:$AK,W$2,FALSE)</f>
        <v>#N/A</v>
      </c>
      <c r="X21" s="13" t="e">
        <f>VLOOKUP($B21,baseline!$A:$AK,X$2,FALSE)</f>
        <v>#N/A</v>
      </c>
      <c r="Y21" s="13" t="e">
        <f>VLOOKUP($B21,baseline!$A:$AK,Y$2,FALSE)</f>
        <v>#N/A</v>
      </c>
      <c r="Z21" s="13" t="e">
        <f>VLOOKUP($B21,baseline!$A:$AK,Z$2,FALSE)</f>
        <v>#N/A</v>
      </c>
      <c r="AA21" s="13" t="e">
        <f>VLOOKUP($B21,baseline!$A:$AK,AA$2,FALSE)</f>
        <v>#N/A</v>
      </c>
      <c r="AB21" s="13" t="e">
        <f>VLOOKUP($B21,baseline!$A:$AK,AB$2,FALSE)</f>
        <v>#N/A</v>
      </c>
      <c r="AC21" s="13" t="e">
        <f>VLOOKUP($B21,baseline!$A:$AK,AC$2,FALSE)</f>
        <v>#N/A</v>
      </c>
      <c r="AD21" s="13" t="e">
        <f>VLOOKUP($B21,baseline!$A:$AK,AD$2,FALSE)</f>
        <v>#N/A</v>
      </c>
      <c r="AE21" s="13" t="e">
        <f>VLOOKUP($B21,baseline!$A:$AK,AE$2,FALSE)</f>
        <v>#N/A</v>
      </c>
      <c r="AF21" s="13" t="e">
        <f>VLOOKUP($B21,baseline!$A:$AK,AF$2,FALSE)</f>
        <v>#N/A</v>
      </c>
      <c r="AG21" s="13" t="e">
        <f>VLOOKUP($B21,baseline!$A:$AK,AG$2,FALSE)</f>
        <v>#N/A</v>
      </c>
      <c r="AH21" s="13" t="e">
        <f>VLOOKUP($B21,baseline!$A:$AK,AH$2,FALSE)</f>
        <v>#N/A</v>
      </c>
      <c r="AI21" s="13" t="e">
        <f>VLOOKUP($B21,baseline!$A:$AK,AI$2,FALSE)</f>
        <v>#N/A</v>
      </c>
      <c r="AJ21" s="13" t="e">
        <f>VLOOKUP($B21,baseline!$A:$AK,AJ$2,FALSE)</f>
        <v>#N/A</v>
      </c>
      <c r="AK21" s="13" t="e">
        <f>VLOOKUP($B21,baseline!$A:$AK,AK$2,FALSE)</f>
        <v>#N/A</v>
      </c>
      <c r="AL21" s="13" t="e">
        <f>VLOOKUP($B21,baseline!$A:$AK,AL$2,FALSE)</f>
        <v>#N/A</v>
      </c>
      <c r="AM21" s="13" t="e">
        <f>VLOOKUP($B21,baseline!$A:$AK,AM$2,FALSE)</f>
        <v>#N/A</v>
      </c>
      <c r="AN21" s="13" t="e">
        <f>VLOOKUP($B21,baseline!$A:$AK,AN$2,FALSE)</f>
        <v>#N/A</v>
      </c>
      <c r="AP21" s="3" t="e">
        <f t="shared" si="0"/>
        <v>#N/A</v>
      </c>
    </row>
    <row r="22" spans="1:48" x14ac:dyDescent="0.3">
      <c r="B22" t="s">
        <v>46</v>
      </c>
      <c r="D22" t="s">
        <v>172</v>
      </c>
      <c r="E22" s="13" t="e">
        <f>VLOOKUP($B22,baseline!$A:$AK,E$2,FALSE)</f>
        <v>#N/A</v>
      </c>
      <c r="F22" s="13" t="e">
        <f>VLOOKUP($B22,baseline!$A:$AK,F$2,FALSE)</f>
        <v>#N/A</v>
      </c>
      <c r="G22" s="13" t="e">
        <f>VLOOKUP($B22,baseline!$A:$AK,G$2,FALSE)</f>
        <v>#N/A</v>
      </c>
      <c r="H22" s="13" t="e">
        <f>VLOOKUP($B22,baseline!$A:$AK,H$2,FALSE)</f>
        <v>#N/A</v>
      </c>
      <c r="I22" s="13" t="e">
        <f>VLOOKUP($B22,baseline!$A:$AK,I$2,FALSE)</f>
        <v>#N/A</v>
      </c>
      <c r="J22" s="13" t="e">
        <f>VLOOKUP($B22,baseline!$A:$AK,J$2,FALSE)</f>
        <v>#N/A</v>
      </c>
      <c r="K22" s="13" t="e">
        <f>VLOOKUP($B22,baseline!$A:$AK,K$2,FALSE)</f>
        <v>#N/A</v>
      </c>
      <c r="L22" s="13" t="e">
        <f>VLOOKUP($B22,baseline!$A:$AK,L$2,FALSE)</f>
        <v>#N/A</v>
      </c>
      <c r="M22" s="13" t="e">
        <f>VLOOKUP($B22,baseline!$A:$AK,M$2,FALSE)</f>
        <v>#N/A</v>
      </c>
      <c r="N22" s="13" t="e">
        <f>VLOOKUP($B22,baseline!$A:$AK,N$2,FALSE)</f>
        <v>#N/A</v>
      </c>
      <c r="O22" s="13" t="e">
        <f>VLOOKUP($B22,baseline!$A:$AK,O$2,FALSE)</f>
        <v>#N/A</v>
      </c>
      <c r="P22" s="13" t="e">
        <f>VLOOKUP($B22,baseline!$A:$AK,P$2,FALSE)</f>
        <v>#N/A</v>
      </c>
      <c r="Q22" s="13" t="e">
        <f>VLOOKUP($B22,baseline!$A:$AK,Q$2,FALSE)</f>
        <v>#N/A</v>
      </c>
      <c r="R22" s="13" t="e">
        <f>VLOOKUP($B22,baseline!$A:$AK,R$2,FALSE)</f>
        <v>#N/A</v>
      </c>
      <c r="S22" s="13" t="e">
        <f>VLOOKUP($B22,baseline!$A:$AK,S$2,FALSE)</f>
        <v>#N/A</v>
      </c>
      <c r="T22" s="13" t="e">
        <f>VLOOKUP($B22,baseline!$A:$AK,T$2,FALSE)</f>
        <v>#N/A</v>
      </c>
      <c r="U22" s="13" t="e">
        <f>VLOOKUP($B22,baseline!$A:$AK,U$2,FALSE)</f>
        <v>#N/A</v>
      </c>
      <c r="V22" s="13" t="e">
        <f>VLOOKUP($B22,baseline!$A:$AK,V$2,FALSE)</f>
        <v>#N/A</v>
      </c>
      <c r="W22" s="13" t="e">
        <f>VLOOKUP($B22,baseline!$A:$AK,W$2,FALSE)</f>
        <v>#N/A</v>
      </c>
      <c r="X22" s="13" t="e">
        <f>VLOOKUP($B22,baseline!$A:$AK,X$2,FALSE)</f>
        <v>#N/A</v>
      </c>
      <c r="Y22" s="13" t="e">
        <f>VLOOKUP($B22,baseline!$A:$AK,Y$2,FALSE)</f>
        <v>#N/A</v>
      </c>
      <c r="Z22" s="13" t="e">
        <f>VLOOKUP($B22,baseline!$A:$AK,Z$2,FALSE)</f>
        <v>#N/A</v>
      </c>
      <c r="AA22" s="13" t="e">
        <f>VLOOKUP($B22,baseline!$A:$AK,AA$2,FALSE)</f>
        <v>#N/A</v>
      </c>
      <c r="AB22" s="13" t="e">
        <f>VLOOKUP($B22,baseline!$A:$AK,AB$2,FALSE)</f>
        <v>#N/A</v>
      </c>
      <c r="AC22" s="13" t="e">
        <f>VLOOKUP($B22,baseline!$A:$AK,AC$2,FALSE)</f>
        <v>#N/A</v>
      </c>
      <c r="AD22" s="13" t="e">
        <f>VLOOKUP($B22,baseline!$A:$AK,AD$2,FALSE)</f>
        <v>#N/A</v>
      </c>
      <c r="AE22" s="13" t="e">
        <f>VLOOKUP($B22,baseline!$A:$AK,AE$2,FALSE)</f>
        <v>#N/A</v>
      </c>
      <c r="AF22" s="13" t="e">
        <f>VLOOKUP($B22,baseline!$A:$AK,AF$2,FALSE)</f>
        <v>#N/A</v>
      </c>
      <c r="AG22" s="13" t="e">
        <f>VLOOKUP($B22,baseline!$A:$AK,AG$2,FALSE)</f>
        <v>#N/A</v>
      </c>
      <c r="AH22" s="13" t="e">
        <f>VLOOKUP($B22,baseline!$A:$AK,AH$2,FALSE)</f>
        <v>#N/A</v>
      </c>
      <c r="AI22" s="13" t="e">
        <f>VLOOKUP($B22,baseline!$A:$AK,AI$2,FALSE)</f>
        <v>#N/A</v>
      </c>
      <c r="AJ22" s="13" t="e">
        <f>VLOOKUP($B22,baseline!$A:$AK,AJ$2,FALSE)</f>
        <v>#N/A</v>
      </c>
      <c r="AK22" s="13" t="e">
        <f>VLOOKUP($B22,baseline!$A:$AK,AK$2,FALSE)</f>
        <v>#N/A</v>
      </c>
      <c r="AL22" s="13" t="e">
        <f>VLOOKUP($B22,baseline!$A:$AK,AL$2,FALSE)</f>
        <v>#N/A</v>
      </c>
      <c r="AM22" s="13" t="e">
        <f>VLOOKUP($B22,baseline!$A:$AK,AM$2,FALSE)</f>
        <v>#N/A</v>
      </c>
      <c r="AN22" s="13" t="e">
        <f>VLOOKUP($B22,baseline!$A:$AK,AN$2,FALSE)</f>
        <v>#N/A</v>
      </c>
      <c r="AP22" s="3" t="e">
        <f t="shared" si="0"/>
        <v>#N/A</v>
      </c>
    </row>
    <row r="23" spans="1:48" x14ac:dyDescent="0.3">
      <c r="B23" t="s">
        <v>47</v>
      </c>
      <c r="D23" t="s">
        <v>172</v>
      </c>
      <c r="E23" s="13" t="e">
        <f>VLOOKUP($B23,baseline!$A:$AK,E$2,FALSE)</f>
        <v>#N/A</v>
      </c>
      <c r="F23" s="13" t="e">
        <f>VLOOKUP($B23,baseline!$A:$AK,F$2,FALSE)</f>
        <v>#N/A</v>
      </c>
      <c r="G23" s="13" t="e">
        <f>VLOOKUP($B23,baseline!$A:$AK,G$2,FALSE)</f>
        <v>#N/A</v>
      </c>
      <c r="H23" s="13" t="e">
        <f>VLOOKUP($B23,baseline!$A:$AK,H$2,FALSE)</f>
        <v>#N/A</v>
      </c>
      <c r="I23" s="13" t="e">
        <f>VLOOKUP($B23,baseline!$A:$AK,I$2,FALSE)</f>
        <v>#N/A</v>
      </c>
      <c r="J23" s="13" t="e">
        <f>VLOOKUP($B23,baseline!$A:$AK,J$2,FALSE)</f>
        <v>#N/A</v>
      </c>
      <c r="K23" s="13" t="e">
        <f>VLOOKUP($B23,baseline!$A:$AK,K$2,FALSE)</f>
        <v>#N/A</v>
      </c>
      <c r="L23" s="13" t="e">
        <f>VLOOKUP($B23,baseline!$A:$AK,L$2,FALSE)</f>
        <v>#N/A</v>
      </c>
      <c r="M23" s="13" t="e">
        <f>VLOOKUP($B23,baseline!$A:$AK,M$2,FALSE)</f>
        <v>#N/A</v>
      </c>
      <c r="N23" s="13" t="e">
        <f>VLOOKUP($B23,baseline!$A:$AK,N$2,FALSE)</f>
        <v>#N/A</v>
      </c>
      <c r="O23" s="13" t="e">
        <f>VLOOKUP($B23,baseline!$A:$AK,O$2,FALSE)</f>
        <v>#N/A</v>
      </c>
      <c r="P23" s="13" t="e">
        <f>VLOOKUP($B23,baseline!$A:$AK,P$2,FALSE)</f>
        <v>#N/A</v>
      </c>
      <c r="Q23" s="13" t="e">
        <f>VLOOKUP($B23,baseline!$A:$AK,Q$2,FALSE)</f>
        <v>#N/A</v>
      </c>
      <c r="R23" s="13" t="e">
        <f>VLOOKUP($B23,baseline!$A:$AK,R$2,FALSE)</f>
        <v>#N/A</v>
      </c>
      <c r="S23" s="13" t="e">
        <f>VLOOKUP($B23,baseline!$A:$AK,S$2,FALSE)</f>
        <v>#N/A</v>
      </c>
      <c r="T23" s="13" t="e">
        <f>VLOOKUP($B23,baseline!$A:$AK,T$2,FALSE)</f>
        <v>#N/A</v>
      </c>
      <c r="U23" s="13" t="e">
        <f>VLOOKUP($B23,baseline!$A:$AK,U$2,FALSE)</f>
        <v>#N/A</v>
      </c>
      <c r="V23" s="13" t="e">
        <f>VLOOKUP($B23,baseline!$A:$AK,V$2,FALSE)</f>
        <v>#N/A</v>
      </c>
      <c r="W23" s="13" t="e">
        <f>VLOOKUP($B23,baseline!$A:$AK,W$2,FALSE)</f>
        <v>#N/A</v>
      </c>
      <c r="X23" s="13" t="e">
        <f>VLOOKUP($B23,baseline!$A:$AK,X$2,FALSE)</f>
        <v>#N/A</v>
      </c>
      <c r="Y23" s="13" t="e">
        <f>VLOOKUP($B23,baseline!$A:$AK,Y$2,FALSE)</f>
        <v>#N/A</v>
      </c>
      <c r="Z23" s="13" t="e">
        <f>VLOOKUP($B23,baseline!$A:$AK,Z$2,FALSE)</f>
        <v>#N/A</v>
      </c>
      <c r="AA23" s="13" t="e">
        <f>VLOOKUP($B23,baseline!$A:$AK,AA$2,FALSE)</f>
        <v>#N/A</v>
      </c>
      <c r="AB23" s="13" t="e">
        <f>VLOOKUP($B23,baseline!$A:$AK,AB$2,FALSE)</f>
        <v>#N/A</v>
      </c>
      <c r="AC23" s="13" t="e">
        <f>VLOOKUP($B23,baseline!$A:$AK,AC$2,FALSE)</f>
        <v>#N/A</v>
      </c>
      <c r="AD23" s="13" t="e">
        <f>VLOOKUP($B23,baseline!$A:$AK,AD$2,FALSE)</f>
        <v>#N/A</v>
      </c>
      <c r="AE23" s="13" t="e">
        <f>VLOOKUP($B23,baseline!$A:$AK,AE$2,FALSE)</f>
        <v>#N/A</v>
      </c>
      <c r="AF23" s="13" t="e">
        <f>VLOOKUP($B23,baseline!$A:$AK,AF$2,FALSE)</f>
        <v>#N/A</v>
      </c>
      <c r="AG23" s="13" t="e">
        <f>VLOOKUP($B23,baseline!$A:$AK,AG$2,FALSE)</f>
        <v>#N/A</v>
      </c>
      <c r="AH23" s="13" t="e">
        <f>VLOOKUP($B23,baseline!$A:$AK,AH$2,FALSE)</f>
        <v>#N/A</v>
      </c>
      <c r="AI23" s="13" t="e">
        <f>VLOOKUP($B23,baseline!$A:$AK,AI$2,FALSE)</f>
        <v>#N/A</v>
      </c>
      <c r="AJ23" s="13" t="e">
        <f>VLOOKUP($B23,baseline!$A:$AK,AJ$2,FALSE)</f>
        <v>#N/A</v>
      </c>
      <c r="AK23" s="13" t="e">
        <f>VLOOKUP($B23,baseline!$A:$AK,AK$2,FALSE)</f>
        <v>#N/A</v>
      </c>
      <c r="AL23" s="13" t="e">
        <f>VLOOKUP($B23,baseline!$A:$AK,AL$2,FALSE)</f>
        <v>#N/A</v>
      </c>
      <c r="AM23" s="13" t="e">
        <f>VLOOKUP($B23,baseline!$A:$AK,AM$2,FALSE)</f>
        <v>#N/A</v>
      </c>
      <c r="AN23" s="13" t="e">
        <f>VLOOKUP($B23,baseline!$A:$AK,AN$2,FALSE)</f>
        <v>#N/A</v>
      </c>
      <c r="AP23" s="3" t="e">
        <f t="shared" si="0"/>
        <v>#N/A</v>
      </c>
    </row>
    <row r="24" spans="1:48" x14ac:dyDescent="0.3">
      <c r="B24" t="s">
        <v>48</v>
      </c>
      <c r="D24" t="s">
        <v>172</v>
      </c>
      <c r="E24" s="13" t="e">
        <f>VLOOKUP($B24,baseline!$A:$AK,E$2,FALSE)</f>
        <v>#N/A</v>
      </c>
      <c r="F24" s="13" t="e">
        <f>VLOOKUP($B24,baseline!$A:$AK,F$2,FALSE)</f>
        <v>#N/A</v>
      </c>
      <c r="G24" s="13" t="e">
        <f>VLOOKUP($B24,baseline!$A:$AK,G$2,FALSE)</f>
        <v>#N/A</v>
      </c>
      <c r="H24" s="13" t="e">
        <f>VLOOKUP($B24,baseline!$A:$AK,H$2,FALSE)</f>
        <v>#N/A</v>
      </c>
      <c r="I24" s="13" t="e">
        <f>VLOOKUP($B24,baseline!$A:$AK,I$2,FALSE)</f>
        <v>#N/A</v>
      </c>
      <c r="J24" s="13" t="e">
        <f>VLOOKUP($B24,baseline!$A:$AK,J$2,FALSE)</f>
        <v>#N/A</v>
      </c>
      <c r="K24" s="13" t="e">
        <f>VLOOKUP($B24,baseline!$A:$AK,K$2,FALSE)</f>
        <v>#N/A</v>
      </c>
      <c r="L24" s="13" t="e">
        <f>VLOOKUP($B24,baseline!$A:$AK,L$2,FALSE)</f>
        <v>#N/A</v>
      </c>
      <c r="M24" s="13" t="e">
        <f>VLOOKUP($B24,baseline!$A:$AK,M$2,FALSE)</f>
        <v>#N/A</v>
      </c>
      <c r="N24" s="13" t="e">
        <f>VLOOKUP($B24,baseline!$A:$AK,N$2,FALSE)</f>
        <v>#N/A</v>
      </c>
      <c r="O24" s="13" t="e">
        <f>VLOOKUP($B24,baseline!$A:$AK,O$2,FALSE)</f>
        <v>#N/A</v>
      </c>
      <c r="P24" s="13" t="e">
        <f>VLOOKUP($B24,baseline!$A:$AK,P$2,FALSE)</f>
        <v>#N/A</v>
      </c>
      <c r="Q24" s="13" t="e">
        <f>VLOOKUP($B24,baseline!$A:$AK,Q$2,FALSE)</f>
        <v>#N/A</v>
      </c>
      <c r="R24" s="13" t="e">
        <f>VLOOKUP($B24,baseline!$A:$AK,R$2,FALSE)</f>
        <v>#N/A</v>
      </c>
      <c r="S24" s="13" t="e">
        <f>VLOOKUP($B24,baseline!$A:$AK,S$2,FALSE)</f>
        <v>#N/A</v>
      </c>
      <c r="T24" s="13" t="e">
        <f>VLOOKUP($B24,baseline!$A:$AK,T$2,FALSE)</f>
        <v>#N/A</v>
      </c>
      <c r="U24" s="13" t="e">
        <f>VLOOKUP($B24,baseline!$A:$AK,U$2,FALSE)</f>
        <v>#N/A</v>
      </c>
      <c r="V24" s="13" t="e">
        <f>VLOOKUP($B24,baseline!$A:$AK,V$2,FALSE)</f>
        <v>#N/A</v>
      </c>
      <c r="W24" s="13" t="e">
        <f>VLOOKUP($B24,baseline!$A:$AK,W$2,FALSE)</f>
        <v>#N/A</v>
      </c>
      <c r="X24" s="13" t="e">
        <f>VLOOKUP($B24,baseline!$A:$AK,X$2,FALSE)</f>
        <v>#N/A</v>
      </c>
      <c r="Y24" s="13" t="e">
        <f>VLOOKUP($B24,baseline!$A:$AK,Y$2,FALSE)</f>
        <v>#N/A</v>
      </c>
      <c r="Z24" s="13" t="e">
        <f>VLOOKUP($B24,baseline!$A:$AK,Z$2,FALSE)</f>
        <v>#N/A</v>
      </c>
      <c r="AA24" s="13" t="e">
        <f>VLOOKUP($B24,baseline!$A:$AK,AA$2,FALSE)</f>
        <v>#N/A</v>
      </c>
      <c r="AB24" s="13" t="e">
        <f>VLOOKUP($B24,baseline!$A:$AK,AB$2,FALSE)</f>
        <v>#N/A</v>
      </c>
      <c r="AC24" s="13" t="e">
        <f>VLOOKUP($B24,baseline!$A:$AK,AC$2,FALSE)</f>
        <v>#N/A</v>
      </c>
      <c r="AD24" s="13" t="e">
        <f>VLOOKUP($B24,baseline!$A:$AK,AD$2,FALSE)</f>
        <v>#N/A</v>
      </c>
      <c r="AE24" s="13" t="e">
        <f>VLOOKUP($B24,baseline!$A:$AK,AE$2,FALSE)</f>
        <v>#N/A</v>
      </c>
      <c r="AF24" s="13" t="e">
        <f>VLOOKUP($B24,baseline!$A:$AK,AF$2,FALSE)</f>
        <v>#N/A</v>
      </c>
      <c r="AG24" s="13" t="e">
        <f>VLOOKUP($B24,baseline!$A:$AK,AG$2,FALSE)</f>
        <v>#N/A</v>
      </c>
      <c r="AH24" s="13" t="e">
        <f>VLOOKUP($B24,baseline!$A:$AK,AH$2,FALSE)</f>
        <v>#N/A</v>
      </c>
      <c r="AI24" s="13" t="e">
        <f>VLOOKUP($B24,baseline!$A:$AK,AI$2,FALSE)</f>
        <v>#N/A</v>
      </c>
      <c r="AJ24" s="13" t="e">
        <f>VLOOKUP($B24,baseline!$A:$AK,AJ$2,FALSE)</f>
        <v>#N/A</v>
      </c>
      <c r="AK24" s="13" t="e">
        <f>VLOOKUP($B24,baseline!$A:$AK,AK$2,FALSE)</f>
        <v>#N/A</v>
      </c>
      <c r="AL24" s="13" t="e">
        <f>VLOOKUP($B24,baseline!$A:$AK,AL$2,FALSE)</f>
        <v>#N/A</v>
      </c>
      <c r="AM24" s="13" t="e">
        <f>VLOOKUP($B24,baseline!$A:$AK,AM$2,FALSE)</f>
        <v>#N/A</v>
      </c>
      <c r="AN24" s="13" t="e">
        <f>VLOOKUP($B24,baseline!$A:$AK,AN$2,FALSE)</f>
        <v>#N/A</v>
      </c>
      <c r="AP24" s="3" t="e">
        <f t="shared" si="0"/>
        <v>#N/A</v>
      </c>
    </row>
    <row r="25" spans="1:48" x14ac:dyDescent="0.3">
      <c r="B25" t="s">
        <v>49</v>
      </c>
      <c r="D25" t="s">
        <v>172</v>
      </c>
      <c r="E25" s="13" t="e">
        <f>VLOOKUP($B25,baseline!$A:$AK,E$2,FALSE)</f>
        <v>#N/A</v>
      </c>
      <c r="F25" s="13" t="e">
        <f>VLOOKUP($B25,baseline!$A:$AK,F$2,FALSE)</f>
        <v>#N/A</v>
      </c>
      <c r="G25" s="13" t="e">
        <f>VLOOKUP($B25,baseline!$A:$AK,G$2,FALSE)</f>
        <v>#N/A</v>
      </c>
      <c r="H25" s="13" t="e">
        <f>VLOOKUP($B25,baseline!$A:$AK,H$2,FALSE)</f>
        <v>#N/A</v>
      </c>
      <c r="I25" s="13" t="e">
        <f>VLOOKUP($B25,baseline!$A:$AK,I$2,FALSE)</f>
        <v>#N/A</v>
      </c>
      <c r="J25" s="13" t="e">
        <f>VLOOKUP($B25,baseline!$A:$AK,J$2,FALSE)</f>
        <v>#N/A</v>
      </c>
      <c r="K25" s="13" t="e">
        <f>VLOOKUP($B25,baseline!$A:$AK,K$2,FALSE)</f>
        <v>#N/A</v>
      </c>
      <c r="L25" s="13" t="e">
        <f>VLOOKUP($B25,baseline!$A:$AK,L$2,FALSE)</f>
        <v>#N/A</v>
      </c>
      <c r="M25" s="13" t="e">
        <f>VLOOKUP($B25,baseline!$A:$AK,M$2,FALSE)</f>
        <v>#N/A</v>
      </c>
      <c r="N25" s="13" t="e">
        <f>VLOOKUP($B25,baseline!$A:$AK,N$2,FALSE)</f>
        <v>#N/A</v>
      </c>
      <c r="O25" s="13" t="e">
        <f>VLOOKUP($B25,baseline!$A:$AK,O$2,FALSE)</f>
        <v>#N/A</v>
      </c>
      <c r="P25" s="13" t="e">
        <f>VLOOKUP($B25,baseline!$A:$AK,P$2,FALSE)</f>
        <v>#N/A</v>
      </c>
      <c r="Q25" s="13" t="e">
        <f>VLOOKUP($B25,baseline!$A:$AK,Q$2,FALSE)</f>
        <v>#N/A</v>
      </c>
      <c r="R25" s="13" t="e">
        <f>VLOOKUP($B25,baseline!$A:$AK,R$2,FALSE)</f>
        <v>#N/A</v>
      </c>
      <c r="S25" s="13" t="e">
        <f>VLOOKUP($B25,baseline!$A:$AK,S$2,FALSE)</f>
        <v>#N/A</v>
      </c>
      <c r="T25" s="13" t="e">
        <f>VLOOKUP($B25,baseline!$A:$AK,T$2,FALSE)</f>
        <v>#N/A</v>
      </c>
      <c r="U25" s="13" t="e">
        <f>VLOOKUP($B25,baseline!$A:$AK,U$2,FALSE)</f>
        <v>#N/A</v>
      </c>
      <c r="V25" s="13" t="e">
        <f>VLOOKUP($B25,baseline!$A:$AK,V$2,FALSE)</f>
        <v>#N/A</v>
      </c>
      <c r="W25" s="13" t="e">
        <f>VLOOKUP($B25,baseline!$A:$AK,W$2,FALSE)</f>
        <v>#N/A</v>
      </c>
      <c r="X25" s="13" t="e">
        <f>VLOOKUP($B25,baseline!$A:$AK,X$2,FALSE)</f>
        <v>#N/A</v>
      </c>
      <c r="Y25" s="13" t="e">
        <f>VLOOKUP($B25,baseline!$A:$AK,Y$2,FALSE)</f>
        <v>#N/A</v>
      </c>
      <c r="Z25" s="13" t="e">
        <f>VLOOKUP($B25,baseline!$A:$AK,Z$2,FALSE)</f>
        <v>#N/A</v>
      </c>
      <c r="AA25" s="13" t="e">
        <f>VLOOKUP($B25,baseline!$A:$AK,AA$2,FALSE)</f>
        <v>#N/A</v>
      </c>
      <c r="AB25" s="13" t="e">
        <f>VLOOKUP($B25,baseline!$A:$AK,AB$2,FALSE)</f>
        <v>#N/A</v>
      </c>
      <c r="AC25" s="13" t="e">
        <f>VLOOKUP($B25,baseline!$A:$AK,AC$2,FALSE)</f>
        <v>#N/A</v>
      </c>
      <c r="AD25" s="13" t="e">
        <f>VLOOKUP($B25,baseline!$A:$AK,AD$2,FALSE)</f>
        <v>#N/A</v>
      </c>
      <c r="AE25" s="13" t="e">
        <f>VLOOKUP($B25,baseline!$A:$AK,AE$2,FALSE)</f>
        <v>#N/A</v>
      </c>
      <c r="AF25" s="13" t="e">
        <f>VLOOKUP($B25,baseline!$A:$AK,AF$2,FALSE)</f>
        <v>#N/A</v>
      </c>
      <c r="AG25" s="13" t="e">
        <f>VLOOKUP($B25,baseline!$A:$AK,AG$2,FALSE)</f>
        <v>#N/A</v>
      </c>
      <c r="AH25" s="13" t="e">
        <f>VLOOKUP($B25,baseline!$A:$AK,AH$2,FALSE)</f>
        <v>#N/A</v>
      </c>
      <c r="AI25" s="13" t="e">
        <f>VLOOKUP($B25,baseline!$A:$AK,AI$2,FALSE)</f>
        <v>#N/A</v>
      </c>
      <c r="AJ25" s="13" t="e">
        <f>VLOOKUP($B25,baseline!$A:$AK,AJ$2,FALSE)</f>
        <v>#N/A</v>
      </c>
      <c r="AK25" s="13" t="e">
        <f>VLOOKUP($B25,baseline!$A:$AK,AK$2,FALSE)</f>
        <v>#N/A</v>
      </c>
      <c r="AL25" s="13" t="e">
        <f>VLOOKUP($B25,baseline!$A:$AK,AL$2,FALSE)</f>
        <v>#N/A</v>
      </c>
      <c r="AM25" s="13" t="e">
        <f>VLOOKUP($B25,baseline!$A:$AK,AM$2,FALSE)</f>
        <v>#N/A</v>
      </c>
      <c r="AN25" s="13" t="e">
        <f>VLOOKUP($B25,baseline!$A:$AK,AN$2,FALSE)</f>
        <v>#N/A</v>
      </c>
      <c r="AP25" s="3" t="e">
        <f t="shared" si="0"/>
        <v>#N/A</v>
      </c>
    </row>
    <row r="26" spans="1:48" x14ac:dyDescent="0.3">
      <c r="B26" t="s">
        <v>50</v>
      </c>
      <c r="D26" t="s">
        <v>172</v>
      </c>
      <c r="E26" s="13" t="e">
        <f>VLOOKUP($B26,baseline!$A:$AK,E$2,FALSE)</f>
        <v>#N/A</v>
      </c>
      <c r="F26" s="13" t="e">
        <f>VLOOKUP($B26,baseline!$A:$AK,F$2,FALSE)</f>
        <v>#N/A</v>
      </c>
      <c r="G26" s="13" t="e">
        <f>VLOOKUP($B26,baseline!$A:$AK,G$2,FALSE)</f>
        <v>#N/A</v>
      </c>
      <c r="H26" s="13" t="e">
        <f>VLOOKUP($B26,baseline!$A:$AK,H$2,FALSE)</f>
        <v>#N/A</v>
      </c>
      <c r="I26" s="13" t="e">
        <f>VLOOKUP($B26,baseline!$A:$AK,I$2,FALSE)</f>
        <v>#N/A</v>
      </c>
      <c r="J26" s="13" t="e">
        <f>VLOOKUP($B26,baseline!$A:$AK,J$2,FALSE)</f>
        <v>#N/A</v>
      </c>
      <c r="K26" s="13" t="e">
        <f>VLOOKUP($B26,baseline!$A:$AK,K$2,FALSE)</f>
        <v>#N/A</v>
      </c>
      <c r="L26" s="13" t="e">
        <f>VLOOKUP($B26,baseline!$A:$AK,L$2,FALSE)</f>
        <v>#N/A</v>
      </c>
      <c r="M26" s="13" t="e">
        <f>VLOOKUP($B26,baseline!$A:$AK,M$2,FALSE)</f>
        <v>#N/A</v>
      </c>
      <c r="N26" s="13" t="e">
        <f>VLOOKUP($B26,baseline!$A:$AK,N$2,FALSE)</f>
        <v>#N/A</v>
      </c>
      <c r="O26" s="13" t="e">
        <f>VLOOKUP($B26,baseline!$A:$AK,O$2,FALSE)</f>
        <v>#N/A</v>
      </c>
      <c r="P26" s="13" t="e">
        <f>VLOOKUP($B26,baseline!$A:$AK,P$2,FALSE)</f>
        <v>#N/A</v>
      </c>
      <c r="Q26" s="13" t="e">
        <f>VLOOKUP($B26,baseline!$A:$AK,Q$2,FALSE)</f>
        <v>#N/A</v>
      </c>
      <c r="R26" s="13" t="e">
        <f>VLOOKUP($B26,baseline!$A:$AK,R$2,FALSE)</f>
        <v>#N/A</v>
      </c>
      <c r="S26" s="13" t="e">
        <f>VLOOKUP($B26,baseline!$A:$AK,S$2,FALSE)</f>
        <v>#N/A</v>
      </c>
      <c r="T26" s="13" t="e">
        <f>VLOOKUP($B26,baseline!$A:$AK,T$2,FALSE)</f>
        <v>#N/A</v>
      </c>
      <c r="U26" s="13" t="e">
        <f>VLOOKUP($B26,baseline!$A:$AK,U$2,FALSE)</f>
        <v>#N/A</v>
      </c>
      <c r="V26" s="13" t="e">
        <f>VLOOKUP($B26,baseline!$A:$AK,V$2,FALSE)</f>
        <v>#N/A</v>
      </c>
      <c r="W26" s="13" t="e">
        <f>VLOOKUP($B26,baseline!$A:$AK,W$2,FALSE)</f>
        <v>#N/A</v>
      </c>
      <c r="X26" s="13" t="e">
        <f>VLOOKUP($B26,baseline!$A:$AK,X$2,FALSE)</f>
        <v>#N/A</v>
      </c>
      <c r="Y26" s="13" t="e">
        <f>VLOOKUP($B26,baseline!$A:$AK,Y$2,FALSE)</f>
        <v>#N/A</v>
      </c>
      <c r="Z26" s="13" t="e">
        <f>VLOOKUP($B26,baseline!$A:$AK,Z$2,FALSE)</f>
        <v>#N/A</v>
      </c>
      <c r="AA26" s="13" t="e">
        <f>VLOOKUP($B26,baseline!$A:$AK,AA$2,FALSE)</f>
        <v>#N/A</v>
      </c>
      <c r="AB26" s="13" t="e">
        <f>VLOOKUP($B26,baseline!$A:$AK,AB$2,FALSE)</f>
        <v>#N/A</v>
      </c>
      <c r="AC26" s="13" t="e">
        <f>VLOOKUP($B26,baseline!$A:$AK,AC$2,FALSE)</f>
        <v>#N/A</v>
      </c>
      <c r="AD26" s="13" t="e">
        <f>VLOOKUP($B26,baseline!$A:$AK,AD$2,FALSE)</f>
        <v>#N/A</v>
      </c>
      <c r="AE26" s="13" t="e">
        <f>VLOOKUP($B26,baseline!$A:$AK,AE$2,FALSE)</f>
        <v>#N/A</v>
      </c>
      <c r="AF26" s="13" t="e">
        <f>VLOOKUP($B26,baseline!$A:$AK,AF$2,FALSE)</f>
        <v>#N/A</v>
      </c>
      <c r="AG26" s="13" t="e">
        <f>VLOOKUP($B26,baseline!$A:$AK,AG$2,FALSE)</f>
        <v>#N/A</v>
      </c>
      <c r="AH26" s="13" t="e">
        <f>VLOOKUP($B26,baseline!$A:$AK,AH$2,FALSE)</f>
        <v>#N/A</v>
      </c>
      <c r="AI26" s="13" t="e">
        <f>VLOOKUP($B26,baseline!$A:$AK,AI$2,FALSE)</f>
        <v>#N/A</v>
      </c>
      <c r="AJ26" s="13" t="e">
        <f>VLOOKUP($B26,baseline!$A:$AK,AJ$2,FALSE)</f>
        <v>#N/A</v>
      </c>
      <c r="AK26" s="13" t="e">
        <f>VLOOKUP($B26,baseline!$A:$AK,AK$2,FALSE)</f>
        <v>#N/A</v>
      </c>
      <c r="AL26" s="13" t="e">
        <f>VLOOKUP($B26,baseline!$A:$AK,AL$2,FALSE)</f>
        <v>#N/A</v>
      </c>
      <c r="AM26" s="13" t="e">
        <f>VLOOKUP($B26,baseline!$A:$AK,AM$2,FALSE)</f>
        <v>#N/A</v>
      </c>
      <c r="AN26" s="13" t="e">
        <f>VLOOKUP($B26,baseline!$A:$AK,AN$2,FALSE)</f>
        <v>#N/A</v>
      </c>
      <c r="AP26" s="3" t="e">
        <f t="shared" si="0"/>
        <v>#N/A</v>
      </c>
    </row>
    <row r="27" spans="1:48" x14ac:dyDescent="0.3">
      <c r="B27" t="s">
        <v>51</v>
      </c>
      <c r="D27" t="s">
        <v>172</v>
      </c>
      <c r="E27" s="13" t="e">
        <f>VLOOKUP($B27,baseline!$A:$AK,E$2,FALSE)</f>
        <v>#N/A</v>
      </c>
      <c r="F27" s="13" t="e">
        <f>VLOOKUP($B27,baseline!$A:$AK,F$2,FALSE)</f>
        <v>#N/A</v>
      </c>
      <c r="G27" s="13" t="e">
        <f>VLOOKUP($B27,baseline!$A:$AK,G$2,FALSE)</f>
        <v>#N/A</v>
      </c>
      <c r="H27" s="13" t="e">
        <f>VLOOKUP($B27,baseline!$A:$AK,H$2,FALSE)</f>
        <v>#N/A</v>
      </c>
      <c r="I27" s="13" t="e">
        <f>VLOOKUP($B27,baseline!$A:$AK,I$2,FALSE)</f>
        <v>#N/A</v>
      </c>
      <c r="J27" s="13" t="e">
        <f>VLOOKUP($B27,baseline!$A:$AK,J$2,FALSE)</f>
        <v>#N/A</v>
      </c>
      <c r="K27" s="13" t="e">
        <f>VLOOKUP($B27,baseline!$A:$AK,K$2,FALSE)</f>
        <v>#N/A</v>
      </c>
      <c r="L27" s="13" t="e">
        <f>VLOOKUP($B27,baseline!$A:$AK,L$2,FALSE)</f>
        <v>#N/A</v>
      </c>
      <c r="M27" s="13" t="e">
        <f>VLOOKUP($B27,baseline!$A:$AK,M$2,FALSE)</f>
        <v>#N/A</v>
      </c>
      <c r="N27" s="13" t="e">
        <f>VLOOKUP($B27,baseline!$A:$AK,N$2,FALSE)</f>
        <v>#N/A</v>
      </c>
      <c r="O27" s="13" t="e">
        <f>VLOOKUP($B27,baseline!$A:$AK,O$2,FALSE)</f>
        <v>#N/A</v>
      </c>
      <c r="P27" s="13" t="e">
        <f>VLOOKUP($B27,baseline!$A:$AK,P$2,FALSE)</f>
        <v>#N/A</v>
      </c>
      <c r="Q27" s="13" t="e">
        <f>VLOOKUP($B27,baseline!$A:$AK,Q$2,FALSE)</f>
        <v>#N/A</v>
      </c>
      <c r="R27" s="13" t="e">
        <f>VLOOKUP($B27,baseline!$A:$AK,R$2,FALSE)</f>
        <v>#N/A</v>
      </c>
      <c r="S27" s="13" t="e">
        <f>VLOOKUP($B27,baseline!$A:$AK,S$2,FALSE)</f>
        <v>#N/A</v>
      </c>
      <c r="T27" s="13" t="e">
        <f>VLOOKUP($B27,baseline!$A:$AK,T$2,FALSE)</f>
        <v>#N/A</v>
      </c>
      <c r="U27" s="13" t="e">
        <f>VLOOKUP($B27,baseline!$A:$AK,U$2,FALSE)</f>
        <v>#N/A</v>
      </c>
      <c r="V27" s="13" t="e">
        <f>VLOOKUP($B27,baseline!$A:$AK,V$2,FALSE)</f>
        <v>#N/A</v>
      </c>
      <c r="W27" s="13" t="e">
        <f>VLOOKUP($B27,baseline!$A:$AK,W$2,FALSE)</f>
        <v>#N/A</v>
      </c>
      <c r="X27" s="13" t="e">
        <f>VLOOKUP($B27,baseline!$A:$AK,X$2,FALSE)</f>
        <v>#N/A</v>
      </c>
      <c r="Y27" s="13" t="e">
        <f>VLOOKUP($B27,baseline!$A:$AK,Y$2,FALSE)</f>
        <v>#N/A</v>
      </c>
      <c r="Z27" s="13" t="e">
        <f>VLOOKUP($B27,baseline!$A:$AK,Z$2,FALSE)</f>
        <v>#N/A</v>
      </c>
      <c r="AA27" s="13" t="e">
        <f>VLOOKUP($B27,baseline!$A:$AK,AA$2,FALSE)</f>
        <v>#N/A</v>
      </c>
      <c r="AB27" s="13" t="e">
        <f>VLOOKUP($B27,baseline!$A:$AK,AB$2,FALSE)</f>
        <v>#N/A</v>
      </c>
      <c r="AC27" s="13" t="e">
        <f>VLOOKUP($B27,baseline!$A:$AK,AC$2,FALSE)</f>
        <v>#N/A</v>
      </c>
      <c r="AD27" s="13" t="e">
        <f>VLOOKUP($B27,baseline!$A:$AK,AD$2,FALSE)</f>
        <v>#N/A</v>
      </c>
      <c r="AE27" s="13" t="e">
        <f>VLOOKUP($B27,baseline!$A:$AK,AE$2,FALSE)</f>
        <v>#N/A</v>
      </c>
      <c r="AF27" s="13" t="e">
        <f>VLOOKUP($B27,baseline!$A:$AK,AF$2,FALSE)</f>
        <v>#N/A</v>
      </c>
      <c r="AG27" s="13" t="e">
        <f>VLOOKUP($B27,baseline!$A:$AK,AG$2,FALSE)</f>
        <v>#N/A</v>
      </c>
      <c r="AH27" s="13" t="e">
        <f>VLOOKUP($B27,baseline!$A:$AK,AH$2,FALSE)</f>
        <v>#N/A</v>
      </c>
      <c r="AI27" s="13" t="e">
        <f>VLOOKUP($B27,baseline!$A:$AK,AI$2,FALSE)</f>
        <v>#N/A</v>
      </c>
      <c r="AJ27" s="13" t="e">
        <f>VLOOKUP($B27,baseline!$A:$AK,AJ$2,FALSE)</f>
        <v>#N/A</v>
      </c>
      <c r="AK27" s="13" t="e">
        <f>VLOOKUP($B27,baseline!$A:$AK,AK$2,FALSE)</f>
        <v>#N/A</v>
      </c>
      <c r="AL27" s="13" t="e">
        <f>VLOOKUP($B27,baseline!$A:$AK,AL$2,FALSE)</f>
        <v>#N/A</v>
      </c>
      <c r="AM27" s="13" t="e">
        <f>VLOOKUP($B27,baseline!$A:$AK,AM$2,FALSE)</f>
        <v>#N/A</v>
      </c>
      <c r="AN27" s="13" t="e">
        <f>VLOOKUP($B27,baseline!$A:$AK,AN$2,FALSE)</f>
        <v>#N/A</v>
      </c>
      <c r="AP27" s="3" t="e">
        <f t="shared" si="0"/>
        <v>#N/A</v>
      </c>
    </row>
    <row r="28" spans="1:48" x14ac:dyDescent="0.3">
      <c r="B28" t="s">
        <v>52</v>
      </c>
      <c r="D28" t="s">
        <v>172</v>
      </c>
      <c r="E28" s="13" t="e">
        <f>VLOOKUP($B28,baseline!$A:$AK,E$2,FALSE)</f>
        <v>#N/A</v>
      </c>
      <c r="F28" s="13" t="e">
        <f>VLOOKUP($B28,baseline!$A:$AK,F$2,FALSE)</f>
        <v>#N/A</v>
      </c>
      <c r="G28" s="13" t="e">
        <f>VLOOKUP($B28,baseline!$A:$AK,G$2,FALSE)</f>
        <v>#N/A</v>
      </c>
      <c r="H28" s="13" t="e">
        <f>VLOOKUP($B28,baseline!$A:$AK,H$2,FALSE)</f>
        <v>#N/A</v>
      </c>
      <c r="I28" s="13" t="e">
        <f>VLOOKUP($B28,baseline!$A:$AK,I$2,FALSE)</f>
        <v>#N/A</v>
      </c>
      <c r="J28" s="13" t="e">
        <f>VLOOKUP($B28,baseline!$A:$AK,J$2,FALSE)</f>
        <v>#N/A</v>
      </c>
      <c r="K28" s="13" t="e">
        <f>VLOOKUP($B28,baseline!$A:$AK,K$2,FALSE)</f>
        <v>#N/A</v>
      </c>
      <c r="L28" s="13" t="e">
        <f>VLOOKUP($B28,baseline!$A:$AK,L$2,FALSE)</f>
        <v>#N/A</v>
      </c>
      <c r="M28" s="13" t="e">
        <f>VLOOKUP($B28,baseline!$A:$AK,M$2,FALSE)</f>
        <v>#N/A</v>
      </c>
      <c r="N28" s="13" t="e">
        <f>VLOOKUP($B28,baseline!$A:$AK,N$2,FALSE)</f>
        <v>#N/A</v>
      </c>
      <c r="O28" s="13" t="e">
        <f>VLOOKUP($B28,baseline!$A:$AK,O$2,FALSE)</f>
        <v>#N/A</v>
      </c>
      <c r="P28" s="13" t="e">
        <f>VLOOKUP($B28,baseline!$A:$AK,P$2,FALSE)</f>
        <v>#N/A</v>
      </c>
      <c r="Q28" s="13" t="e">
        <f>VLOOKUP($B28,baseline!$A:$AK,Q$2,FALSE)</f>
        <v>#N/A</v>
      </c>
      <c r="R28" s="13" t="e">
        <f>VLOOKUP($B28,baseline!$A:$AK,R$2,FALSE)</f>
        <v>#N/A</v>
      </c>
      <c r="S28" s="13" t="e">
        <f>VLOOKUP($B28,baseline!$A:$AK,S$2,FALSE)</f>
        <v>#N/A</v>
      </c>
      <c r="T28" s="13" t="e">
        <f>VLOOKUP($B28,baseline!$A:$AK,T$2,FALSE)</f>
        <v>#N/A</v>
      </c>
      <c r="U28" s="13" t="e">
        <f>VLOOKUP($B28,baseline!$A:$AK,U$2,FALSE)</f>
        <v>#N/A</v>
      </c>
      <c r="V28" s="13" t="e">
        <f>VLOOKUP($B28,baseline!$A:$AK,V$2,FALSE)</f>
        <v>#N/A</v>
      </c>
      <c r="W28" s="13" t="e">
        <f>VLOOKUP($B28,baseline!$A:$AK,W$2,FALSE)</f>
        <v>#N/A</v>
      </c>
      <c r="X28" s="13" t="e">
        <f>VLOOKUP($B28,baseline!$A:$AK,X$2,FALSE)</f>
        <v>#N/A</v>
      </c>
      <c r="Y28" s="13" t="e">
        <f>VLOOKUP($B28,baseline!$A:$AK,Y$2,FALSE)</f>
        <v>#N/A</v>
      </c>
      <c r="Z28" s="13" t="e">
        <f>VLOOKUP($B28,baseline!$A:$AK,Z$2,FALSE)</f>
        <v>#N/A</v>
      </c>
      <c r="AA28" s="13" t="e">
        <f>VLOOKUP($B28,baseline!$A:$AK,AA$2,FALSE)</f>
        <v>#N/A</v>
      </c>
      <c r="AB28" s="13" t="e">
        <f>VLOOKUP($B28,baseline!$A:$AK,AB$2,FALSE)</f>
        <v>#N/A</v>
      </c>
      <c r="AC28" s="13" t="e">
        <f>VLOOKUP($B28,baseline!$A:$AK,AC$2,FALSE)</f>
        <v>#N/A</v>
      </c>
      <c r="AD28" s="13" t="e">
        <f>VLOOKUP($B28,baseline!$A:$AK,AD$2,FALSE)</f>
        <v>#N/A</v>
      </c>
      <c r="AE28" s="13" t="e">
        <f>VLOOKUP($B28,baseline!$A:$AK,AE$2,FALSE)</f>
        <v>#N/A</v>
      </c>
      <c r="AF28" s="13" t="e">
        <f>VLOOKUP($B28,baseline!$A:$AK,AF$2,FALSE)</f>
        <v>#N/A</v>
      </c>
      <c r="AG28" s="13" t="e">
        <f>VLOOKUP($B28,baseline!$A:$AK,AG$2,FALSE)</f>
        <v>#N/A</v>
      </c>
      <c r="AH28" s="13" t="e">
        <f>VLOOKUP($B28,baseline!$A:$AK,AH$2,FALSE)</f>
        <v>#N/A</v>
      </c>
      <c r="AI28" s="13" t="e">
        <f>VLOOKUP($B28,baseline!$A:$AK,AI$2,FALSE)</f>
        <v>#N/A</v>
      </c>
      <c r="AJ28" s="13" t="e">
        <f>VLOOKUP($B28,baseline!$A:$AK,AJ$2,FALSE)</f>
        <v>#N/A</v>
      </c>
      <c r="AK28" s="13" t="e">
        <f>VLOOKUP($B28,baseline!$A:$AK,AK$2,FALSE)</f>
        <v>#N/A</v>
      </c>
      <c r="AL28" s="13" t="e">
        <f>VLOOKUP($B28,baseline!$A:$AK,AL$2,FALSE)</f>
        <v>#N/A</v>
      </c>
      <c r="AM28" s="13" t="e">
        <f>VLOOKUP($B28,baseline!$A:$AK,AM$2,FALSE)</f>
        <v>#N/A</v>
      </c>
      <c r="AN28" s="13" t="e">
        <f>VLOOKUP($B28,baseline!$A:$AK,AN$2,FALSE)</f>
        <v>#N/A</v>
      </c>
      <c r="AP28" s="3" t="e">
        <f t="shared" si="0"/>
        <v>#N/A</v>
      </c>
    </row>
    <row r="29" spans="1:48" x14ac:dyDescent="0.3">
      <c r="B29" t="s">
        <v>53</v>
      </c>
      <c r="D29" t="s">
        <v>172</v>
      </c>
      <c r="E29" s="13" t="e">
        <f>VLOOKUP($B29,baseline!$A:$AK,E$2,FALSE)</f>
        <v>#N/A</v>
      </c>
      <c r="F29" s="13" t="e">
        <f>VLOOKUP($B29,baseline!$A:$AK,F$2,FALSE)</f>
        <v>#N/A</v>
      </c>
      <c r="G29" s="13" t="e">
        <f>VLOOKUP($B29,baseline!$A:$AK,G$2,FALSE)</f>
        <v>#N/A</v>
      </c>
      <c r="H29" s="13" t="e">
        <f>VLOOKUP($B29,baseline!$A:$AK,H$2,FALSE)</f>
        <v>#N/A</v>
      </c>
      <c r="I29" s="13" t="e">
        <f>VLOOKUP($B29,baseline!$A:$AK,I$2,FALSE)</f>
        <v>#N/A</v>
      </c>
      <c r="J29" s="13" t="e">
        <f>VLOOKUP($B29,baseline!$A:$AK,J$2,FALSE)</f>
        <v>#N/A</v>
      </c>
      <c r="K29" s="13" t="e">
        <f>VLOOKUP($B29,baseline!$A:$AK,K$2,FALSE)</f>
        <v>#N/A</v>
      </c>
      <c r="L29" s="13" t="e">
        <f>VLOOKUP($B29,baseline!$A:$AK,L$2,FALSE)</f>
        <v>#N/A</v>
      </c>
      <c r="M29" s="13" t="e">
        <f>VLOOKUP($B29,baseline!$A:$AK,M$2,FALSE)</f>
        <v>#N/A</v>
      </c>
      <c r="N29" s="13" t="e">
        <f>VLOOKUP($B29,baseline!$A:$AK,N$2,FALSE)</f>
        <v>#N/A</v>
      </c>
      <c r="O29" s="13" t="e">
        <f>VLOOKUP($B29,baseline!$A:$AK,O$2,FALSE)</f>
        <v>#N/A</v>
      </c>
      <c r="P29" s="13" t="e">
        <f>VLOOKUP($B29,baseline!$A:$AK,P$2,FALSE)</f>
        <v>#N/A</v>
      </c>
      <c r="Q29" s="13" t="e">
        <f>VLOOKUP($B29,baseline!$A:$AK,Q$2,FALSE)</f>
        <v>#N/A</v>
      </c>
      <c r="R29" s="13" t="e">
        <f>VLOOKUP($B29,baseline!$A:$AK,R$2,FALSE)</f>
        <v>#N/A</v>
      </c>
      <c r="S29" s="13" t="e">
        <f>VLOOKUP($B29,baseline!$A:$AK,S$2,FALSE)</f>
        <v>#N/A</v>
      </c>
      <c r="T29" s="13" t="e">
        <f>VLOOKUP($B29,baseline!$A:$AK,T$2,FALSE)</f>
        <v>#N/A</v>
      </c>
      <c r="U29" s="13" t="e">
        <f>VLOOKUP($B29,baseline!$A:$AK,U$2,FALSE)</f>
        <v>#N/A</v>
      </c>
      <c r="V29" s="13" t="e">
        <f>VLOOKUP($B29,baseline!$A:$AK,V$2,FALSE)</f>
        <v>#N/A</v>
      </c>
      <c r="W29" s="13" t="e">
        <f>VLOOKUP($B29,baseline!$A:$AK,W$2,FALSE)</f>
        <v>#N/A</v>
      </c>
      <c r="X29" s="13" t="e">
        <f>VLOOKUP($B29,baseline!$A:$AK,X$2,FALSE)</f>
        <v>#N/A</v>
      </c>
      <c r="Y29" s="13" t="e">
        <f>VLOOKUP($B29,baseline!$A:$AK,Y$2,FALSE)</f>
        <v>#N/A</v>
      </c>
      <c r="Z29" s="13" t="e">
        <f>VLOOKUP($B29,baseline!$A:$AK,Z$2,FALSE)</f>
        <v>#N/A</v>
      </c>
      <c r="AA29" s="13" t="e">
        <f>VLOOKUP($B29,baseline!$A:$AK,AA$2,FALSE)</f>
        <v>#N/A</v>
      </c>
      <c r="AB29" s="13" t="e">
        <f>VLOOKUP($B29,baseline!$A:$AK,AB$2,FALSE)</f>
        <v>#N/A</v>
      </c>
      <c r="AC29" s="13" t="e">
        <f>VLOOKUP($B29,baseline!$A:$AK,AC$2,FALSE)</f>
        <v>#N/A</v>
      </c>
      <c r="AD29" s="13" t="e">
        <f>VLOOKUP($B29,baseline!$A:$AK,AD$2,FALSE)</f>
        <v>#N/A</v>
      </c>
      <c r="AE29" s="13" t="e">
        <f>VLOOKUP($B29,baseline!$A:$AK,AE$2,FALSE)</f>
        <v>#N/A</v>
      </c>
      <c r="AF29" s="13" t="e">
        <f>VLOOKUP($B29,baseline!$A:$AK,AF$2,FALSE)</f>
        <v>#N/A</v>
      </c>
      <c r="AG29" s="13" t="e">
        <f>VLOOKUP($B29,baseline!$A:$AK,AG$2,FALSE)</f>
        <v>#N/A</v>
      </c>
      <c r="AH29" s="13" t="e">
        <f>VLOOKUP($B29,baseline!$A:$AK,AH$2,FALSE)</f>
        <v>#N/A</v>
      </c>
      <c r="AI29" s="13" t="e">
        <f>VLOOKUP($B29,baseline!$A:$AK,AI$2,FALSE)</f>
        <v>#N/A</v>
      </c>
      <c r="AJ29" s="13" t="e">
        <f>VLOOKUP($B29,baseline!$A:$AK,AJ$2,FALSE)</f>
        <v>#N/A</v>
      </c>
      <c r="AK29" s="13" t="e">
        <f>VLOOKUP($B29,baseline!$A:$AK,AK$2,FALSE)</f>
        <v>#N/A</v>
      </c>
      <c r="AL29" s="13" t="e">
        <f>VLOOKUP($B29,baseline!$A:$AK,AL$2,FALSE)</f>
        <v>#N/A</v>
      </c>
      <c r="AM29" s="13" t="e">
        <f>VLOOKUP($B29,baseline!$A:$AK,AM$2,FALSE)</f>
        <v>#N/A</v>
      </c>
      <c r="AN29" s="13" t="e">
        <f>VLOOKUP($B29,baseline!$A:$AK,AN$2,FALSE)</f>
        <v>#N/A</v>
      </c>
      <c r="AP29" s="3" t="e">
        <f t="shared" si="0"/>
        <v>#N/A</v>
      </c>
    </row>
    <row r="30" spans="1:48" x14ac:dyDescent="0.3">
      <c r="B30" t="s">
        <v>54</v>
      </c>
      <c r="D30" t="s">
        <v>172</v>
      </c>
      <c r="E30" s="13" t="e">
        <f>VLOOKUP($B30,baseline!$A:$AK,E$2,FALSE)</f>
        <v>#N/A</v>
      </c>
      <c r="F30" s="13" t="e">
        <f>VLOOKUP($B30,baseline!$A:$AK,F$2,FALSE)</f>
        <v>#N/A</v>
      </c>
      <c r="G30" s="13" t="e">
        <f>VLOOKUP($B30,baseline!$A:$AK,G$2,FALSE)</f>
        <v>#N/A</v>
      </c>
      <c r="H30" s="13" t="e">
        <f>VLOOKUP($B30,baseline!$A:$AK,H$2,FALSE)</f>
        <v>#N/A</v>
      </c>
      <c r="I30" s="13" t="e">
        <f>VLOOKUP($B30,baseline!$A:$AK,I$2,FALSE)</f>
        <v>#N/A</v>
      </c>
      <c r="J30" s="13" t="e">
        <f>VLOOKUP($B30,baseline!$A:$AK,J$2,FALSE)</f>
        <v>#N/A</v>
      </c>
      <c r="K30" s="13" t="e">
        <f>VLOOKUP($B30,baseline!$A:$AK,K$2,FALSE)</f>
        <v>#N/A</v>
      </c>
      <c r="L30" s="13" t="e">
        <f>VLOOKUP($B30,baseline!$A:$AK,L$2,FALSE)</f>
        <v>#N/A</v>
      </c>
      <c r="M30" s="13" t="e">
        <f>VLOOKUP($B30,baseline!$A:$AK,M$2,FALSE)</f>
        <v>#N/A</v>
      </c>
      <c r="N30" s="13" t="e">
        <f>VLOOKUP($B30,baseline!$A:$AK,N$2,FALSE)</f>
        <v>#N/A</v>
      </c>
      <c r="O30" s="13" t="e">
        <f>VLOOKUP($B30,baseline!$A:$AK,O$2,FALSE)</f>
        <v>#N/A</v>
      </c>
      <c r="P30" s="13" t="e">
        <f>VLOOKUP($B30,baseline!$A:$AK,P$2,FALSE)</f>
        <v>#N/A</v>
      </c>
      <c r="Q30" s="13" t="e">
        <f>VLOOKUP($B30,baseline!$A:$AK,Q$2,FALSE)</f>
        <v>#N/A</v>
      </c>
      <c r="R30" s="13" t="e">
        <f>VLOOKUP($B30,baseline!$A:$AK,R$2,FALSE)</f>
        <v>#N/A</v>
      </c>
      <c r="S30" s="13" t="e">
        <f>VLOOKUP($B30,baseline!$A:$AK,S$2,FALSE)</f>
        <v>#N/A</v>
      </c>
      <c r="T30" s="13" t="e">
        <f>VLOOKUP($B30,baseline!$A:$AK,T$2,FALSE)</f>
        <v>#N/A</v>
      </c>
      <c r="U30" s="13" t="e">
        <f>VLOOKUP($B30,baseline!$A:$AK,U$2,FALSE)</f>
        <v>#N/A</v>
      </c>
      <c r="V30" s="13" t="e">
        <f>VLOOKUP($B30,baseline!$A:$AK,V$2,FALSE)</f>
        <v>#N/A</v>
      </c>
      <c r="W30" s="13" t="e">
        <f>VLOOKUP($B30,baseline!$A:$AK,W$2,FALSE)</f>
        <v>#N/A</v>
      </c>
      <c r="X30" s="13" t="e">
        <f>VLOOKUP($B30,baseline!$A:$AK,X$2,FALSE)</f>
        <v>#N/A</v>
      </c>
      <c r="Y30" s="13" t="e">
        <f>VLOOKUP($B30,baseline!$A:$AK,Y$2,FALSE)</f>
        <v>#N/A</v>
      </c>
      <c r="Z30" s="13" t="e">
        <f>VLOOKUP($B30,baseline!$A:$AK,Z$2,FALSE)</f>
        <v>#N/A</v>
      </c>
      <c r="AA30" s="13" t="e">
        <f>VLOOKUP($B30,baseline!$A:$AK,AA$2,FALSE)</f>
        <v>#N/A</v>
      </c>
      <c r="AB30" s="13" t="e">
        <f>VLOOKUP($B30,baseline!$A:$AK,AB$2,FALSE)</f>
        <v>#N/A</v>
      </c>
      <c r="AC30" s="13" t="e">
        <f>VLOOKUP($B30,baseline!$A:$AK,AC$2,FALSE)</f>
        <v>#N/A</v>
      </c>
      <c r="AD30" s="13" t="e">
        <f>VLOOKUP($B30,baseline!$A:$AK,AD$2,FALSE)</f>
        <v>#N/A</v>
      </c>
      <c r="AE30" s="13" t="e">
        <f>VLOOKUP($B30,baseline!$A:$AK,AE$2,FALSE)</f>
        <v>#N/A</v>
      </c>
      <c r="AF30" s="13" t="e">
        <f>VLOOKUP($B30,baseline!$A:$AK,AF$2,FALSE)</f>
        <v>#N/A</v>
      </c>
      <c r="AG30" s="13" t="e">
        <f>VLOOKUP($B30,baseline!$A:$AK,AG$2,FALSE)</f>
        <v>#N/A</v>
      </c>
      <c r="AH30" s="13" t="e">
        <f>VLOOKUP($B30,baseline!$A:$AK,AH$2,FALSE)</f>
        <v>#N/A</v>
      </c>
      <c r="AI30" s="13" t="e">
        <f>VLOOKUP($B30,baseline!$A:$AK,AI$2,FALSE)</f>
        <v>#N/A</v>
      </c>
      <c r="AJ30" s="13" t="e">
        <f>VLOOKUP($B30,baseline!$A:$AK,AJ$2,FALSE)</f>
        <v>#N/A</v>
      </c>
      <c r="AK30" s="13" t="e">
        <f>VLOOKUP($B30,baseline!$A:$AK,AK$2,FALSE)</f>
        <v>#N/A</v>
      </c>
      <c r="AL30" s="13" t="e">
        <f>VLOOKUP($B30,baseline!$A:$AK,AL$2,FALSE)</f>
        <v>#N/A</v>
      </c>
      <c r="AM30" s="13" t="e">
        <f>VLOOKUP($B30,baseline!$A:$AK,AM$2,FALSE)</f>
        <v>#N/A</v>
      </c>
      <c r="AN30" s="13" t="e">
        <f>VLOOKUP($B30,baseline!$A:$AK,AN$2,FALSE)</f>
        <v>#N/A</v>
      </c>
      <c r="AP30" s="3" t="e">
        <f t="shared" si="0"/>
        <v>#N/A</v>
      </c>
    </row>
    <row r="32" spans="1:48" s="12" customFormat="1" ht="19.8" x14ac:dyDescent="0.4">
      <c r="A32" s="11" t="s">
        <v>232</v>
      </c>
      <c r="C32" s="11"/>
      <c r="D32" s="16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</row>
    <row r="33" spans="2:40" x14ac:dyDescent="0.3">
      <c r="E33" s="5">
        <v>2015</v>
      </c>
      <c r="F33" s="5">
        <v>2016</v>
      </c>
      <c r="G33" s="5">
        <v>2017</v>
      </c>
      <c r="H33" s="5">
        <v>2018</v>
      </c>
      <c r="I33" s="5">
        <v>2019</v>
      </c>
      <c r="J33" s="5">
        <v>2020</v>
      </c>
      <c r="K33" s="5">
        <v>2021</v>
      </c>
      <c r="L33" s="5">
        <v>2022</v>
      </c>
      <c r="M33" s="5">
        <v>2023</v>
      </c>
      <c r="N33" s="5">
        <v>2024</v>
      </c>
      <c r="O33" s="5">
        <v>2025</v>
      </c>
      <c r="P33" s="5">
        <v>2026</v>
      </c>
      <c r="Q33" s="5">
        <v>2027</v>
      </c>
      <c r="R33" s="5">
        <v>2028</v>
      </c>
      <c r="S33" s="5">
        <v>2029</v>
      </c>
      <c r="T33" s="5">
        <v>2030</v>
      </c>
      <c r="U33" s="5">
        <v>2031</v>
      </c>
      <c r="V33" s="5">
        <v>2032</v>
      </c>
      <c r="W33" s="5">
        <v>2033</v>
      </c>
      <c r="X33" s="5">
        <v>2034</v>
      </c>
      <c r="Y33" s="5">
        <v>2035</v>
      </c>
      <c r="Z33" s="5">
        <v>2036</v>
      </c>
      <c r="AA33" s="5">
        <v>2037</v>
      </c>
      <c r="AB33" s="5">
        <v>2038</v>
      </c>
      <c r="AC33" s="5">
        <v>2039</v>
      </c>
      <c r="AD33" s="5">
        <v>2040</v>
      </c>
      <c r="AE33" s="5">
        <v>2041</v>
      </c>
      <c r="AF33" s="5">
        <v>2042</v>
      </c>
      <c r="AG33" s="5">
        <v>2043</v>
      </c>
      <c r="AH33" s="5">
        <v>2044</v>
      </c>
      <c r="AI33" s="5">
        <v>2045</v>
      </c>
      <c r="AJ33" s="5">
        <v>2046</v>
      </c>
      <c r="AK33" s="5">
        <v>2047</v>
      </c>
      <c r="AL33" s="5">
        <v>2048</v>
      </c>
      <c r="AM33" s="5">
        <v>2049</v>
      </c>
      <c r="AN33" s="5">
        <v>2050</v>
      </c>
    </row>
    <row r="34" spans="2:40" x14ac:dyDescent="0.3">
      <c r="B34" t="s">
        <v>28</v>
      </c>
      <c r="D34" t="s">
        <v>229</v>
      </c>
      <c r="E34" s="3" t="e">
        <f>E4/$E4</f>
        <v>#N/A</v>
      </c>
      <c r="F34" s="3" t="e">
        <f t="shared" ref="F34:AN41" si="1">F4/$E4</f>
        <v>#N/A</v>
      </c>
      <c r="G34" s="3" t="e">
        <f t="shared" si="1"/>
        <v>#N/A</v>
      </c>
      <c r="H34" s="3" t="e">
        <f t="shared" si="1"/>
        <v>#N/A</v>
      </c>
      <c r="I34" s="3" t="e">
        <f t="shared" si="1"/>
        <v>#N/A</v>
      </c>
      <c r="J34" s="3" t="e">
        <f t="shared" si="1"/>
        <v>#N/A</v>
      </c>
      <c r="K34" s="3" t="e">
        <f t="shared" si="1"/>
        <v>#N/A</v>
      </c>
      <c r="L34" s="3" t="e">
        <f t="shared" si="1"/>
        <v>#N/A</v>
      </c>
      <c r="M34" s="3" t="e">
        <f t="shared" si="1"/>
        <v>#N/A</v>
      </c>
      <c r="N34" s="3" t="e">
        <f t="shared" si="1"/>
        <v>#N/A</v>
      </c>
      <c r="O34" s="3" t="e">
        <f t="shared" si="1"/>
        <v>#N/A</v>
      </c>
      <c r="P34" s="3" t="e">
        <f t="shared" si="1"/>
        <v>#N/A</v>
      </c>
      <c r="Q34" s="3" t="e">
        <f t="shared" si="1"/>
        <v>#N/A</v>
      </c>
      <c r="R34" s="3" t="e">
        <f t="shared" si="1"/>
        <v>#N/A</v>
      </c>
      <c r="S34" s="3" t="e">
        <f t="shared" si="1"/>
        <v>#N/A</v>
      </c>
      <c r="T34" s="3" t="e">
        <f t="shared" si="1"/>
        <v>#N/A</v>
      </c>
      <c r="U34" s="3" t="e">
        <f t="shared" si="1"/>
        <v>#N/A</v>
      </c>
      <c r="V34" s="3" t="e">
        <f t="shared" si="1"/>
        <v>#N/A</v>
      </c>
      <c r="W34" s="3" t="e">
        <f t="shared" si="1"/>
        <v>#N/A</v>
      </c>
      <c r="X34" s="3" t="e">
        <f t="shared" si="1"/>
        <v>#N/A</v>
      </c>
      <c r="Y34" s="3" t="e">
        <f t="shared" si="1"/>
        <v>#N/A</v>
      </c>
      <c r="Z34" s="3" t="e">
        <f t="shared" si="1"/>
        <v>#N/A</v>
      </c>
      <c r="AA34" s="3" t="e">
        <f t="shared" si="1"/>
        <v>#N/A</v>
      </c>
      <c r="AB34" s="3" t="e">
        <f t="shared" si="1"/>
        <v>#N/A</v>
      </c>
      <c r="AC34" s="3" t="e">
        <f t="shared" si="1"/>
        <v>#N/A</v>
      </c>
      <c r="AD34" s="3" t="e">
        <f t="shared" si="1"/>
        <v>#N/A</v>
      </c>
      <c r="AE34" s="3" t="e">
        <f t="shared" si="1"/>
        <v>#N/A</v>
      </c>
      <c r="AF34" s="3" t="e">
        <f t="shared" si="1"/>
        <v>#N/A</v>
      </c>
      <c r="AG34" s="3" t="e">
        <f t="shared" si="1"/>
        <v>#N/A</v>
      </c>
      <c r="AH34" s="3" t="e">
        <f t="shared" si="1"/>
        <v>#N/A</v>
      </c>
      <c r="AI34" s="3" t="e">
        <f t="shared" si="1"/>
        <v>#N/A</v>
      </c>
      <c r="AJ34" s="3" t="e">
        <f t="shared" si="1"/>
        <v>#N/A</v>
      </c>
      <c r="AK34" s="3" t="e">
        <f t="shared" si="1"/>
        <v>#N/A</v>
      </c>
      <c r="AL34" s="3" t="e">
        <f t="shared" si="1"/>
        <v>#N/A</v>
      </c>
      <c r="AM34" s="3" t="e">
        <f t="shared" si="1"/>
        <v>#N/A</v>
      </c>
      <c r="AN34" s="3" t="e">
        <f t="shared" si="1"/>
        <v>#N/A</v>
      </c>
    </row>
    <row r="35" spans="2:40" x14ac:dyDescent="0.3">
      <c r="B35" t="s">
        <v>29</v>
      </c>
      <c r="D35" t="s">
        <v>229</v>
      </c>
      <c r="E35" s="3" t="e">
        <f t="shared" ref="E35:T50" si="2">E5/$E5</f>
        <v>#N/A</v>
      </c>
      <c r="F35" s="3" t="e">
        <f t="shared" si="2"/>
        <v>#N/A</v>
      </c>
      <c r="G35" s="3" t="e">
        <f t="shared" si="2"/>
        <v>#N/A</v>
      </c>
      <c r="H35" s="3" t="e">
        <f t="shared" si="2"/>
        <v>#N/A</v>
      </c>
      <c r="I35" s="3" t="e">
        <f t="shared" si="2"/>
        <v>#N/A</v>
      </c>
      <c r="J35" s="3" t="e">
        <f t="shared" si="2"/>
        <v>#N/A</v>
      </c>
      <c r="K35" s="3" t="e">
        <f t="shared" si="2"/>
        <v>#N/A</v>
      </c>
      <c r="L35" s="3" t="e">
        <f t="shared" si="2"/>
        <v>#N/A</v>
      </c>
      <c r="M35" s="3" t="e">
        <f t="shared" si="2"/>
        <v>#N/A</v>
      </c>
      <c r="N35" s="3" t="e">
        <f t="shared" si="2"/>
        <v>#N/A</v>
      </c>
      <c r="O35" s="3" t="e">
        <f t="shared" si="2"/>
        <v>#N/A</v>
      </c>
      <c r="P35" s="3" t="e">
        <f t="shared" si="2"/>
        <v>#N/A</v>
      </c>
      <c r="Q35" s="3" t="e">
        <f t="shared" si="2"/>
        <v>#N/A</v>
      </c>
      <c r="R35" s="3" t="e">
        <f t="shared" si="2"/>
        <v>#N/A</v>
      </c>
      <c r="S35" s="3" t="e">
        <f t="shared" si="2"/>
        <v>#N/A</v>
      </c>
      <c r="T35" s="3" t="e">
        <f t="shared" si="2"/>
        <v>#N/A</v>
      </c>
      <c r="U35" s="3" t="e">
        <f t="shared" si="1"/>
        <v>#N/A</v>
      </c>
      <c r="V35" s="3" t="e">
        <f t="shared" si="1"/>
        <v>#N/A</v>
      </c>
      <c r="W35" s="3" t="e">
        <f t="shared" si="1"/>
        <v>#N/A</v>
      </c>
      <c r="X35" s="3" t="e">
        <f t="shared" si="1"/>
        <v>#N/A</v>
      </c>
      <c r="Y35" s="3" t="e">
        <f t="shared" si="1"/>
        <v>#N/A</v>
      </c>
      <c r="Z35" s="3" t="e">
        <f t="shared" si="1"/>
        <v>#N/A</v>
      </c>
      <c r="AA35" s="3" t="e">
        <f t="shared" si="1"/>
        <v>#N/A</v>
      </c>
      <c r="AB35" s="3" t="e">
        <f t="shared" si="1"/>
        <v>#N/A</v>
      </c>
      <c r="AC35" s="3" t="e">
        <f t="shared" si="1"/>
        <v>#N/A</v>
      </c>
      <c r="AD35" s="3" t="e">
        <f t="shared" si="1"/>
        <v>#N/A</v>
      </c>
      <c r="AE35" s="3" t="e">
        <f t="shared" si="1"/>
        <v>#N/A</v>
      </c>
      <c r="AF35" s="3" t="e">
        <f t="shared" si="1"/>
        <v>#N/A</v>
      </c>
      <c r="AG35" s="3" t="e">
        <f t="shared" si="1"/>
        <v>#N/A</v>
      </c>
      <c r="AH35" s="3" t="e">
        <f t="shared" si="1"/>
        <v>#N/A</v>
      </c>
      <c r="AI35" s="3" t="e">
        <f t="shared" si="1"/>
        <v>#N/A</v>
      </c>
      <c r="AJ35" s="3" t="e">
        <f t="shared" si="1"/>
        <v>#N/A</v>
      </c>
      <c r="AK35" s="3" t="e">
        <f t="shared" si="1"/>
        <v>#N/A</v>
      </c>
      <c r="AL35" s="3" t="e">
        <f t="shared" si="1"/>
        <v>#N/A</v>
      </c>
      <c r="AM35" s="3" t="e">
        <f t="shared" si="1"/>
        <v>#N/A</v>
      </c>
      <c r="AN35" s="3" t="e">
        <f t="shared" si="1"/>
        <v>#N/A</v>
      </c>
    </row>
    <row r="36" spans="2:40" x14ac:dyDescent="0.3">
      <c r="B36" t="s">
        <v>30</v>
      </c>
      <c r="D36" t="s">
        <v>229</v>
      </c>
      <c r="E36" s="3" t="e">
        <f t="shared" si="2"/>
        <v>#N/A</v>
      </c>
      <c r="F36" s="3" t="e">
        <f t="shared" si="1"/>
        <v>#N/A</v>
      </c>
      <c r="G36" s="3" t="e">
        <f t="shared" si="1"/>
        <v>#N/A</v>
      </c>
      <c r="H36" s="3" t="e">
        <f t="shared" si="1"/>
        <v>#N/A</v>
      </c>
      <c r="I36" s="3" t="e">
        <f t="shared" si="1"/>
        <v>#N/A</v>
      </c>
      <c r="J36" s="3" t="e">
        <f t="shared" si="1"/>
        <v>#N/A</v>
      </c>
      <c r="K36" s="3" t="e">
        <f t="shared" si="1"/>
        <v>#N/A</v>
      </c>
      <c r="L36" s="3" t="e">
        <f t="shared" si="1"/>
        <v>#N/A</v>
      </c>
      <c r="M36" s="3" t="e">
        <f t="shared" si="1"/>
        <v>#N/A</v>
      </c>
      <c r="N36" s="3" t="e">
        <f t="shared" si="1"/>
        <v>#N/A</v>
      </c>
      <c r="O36" s="3" t="e">
        <f t="shared" si="1"/>
        <v>#N/A</v>
      </c>
      <c r="P36" s="3" t="e">
        <f t="shared" si="1"/>
        <v>#N/A</v>
      </c>
      <c r="Q36" s="3" t="e">
        <f t="shared" si="1"/>
        <v>#N/A</v>
      </c>
      <c r="R36" s="3" t="e">
        <f t="shared" si="1"/>
        <v>#N/A</v>
      </c>
      <c r="S36" s="3" t="e">
        <f t="shared" si="1"/>
        <v>#N/A</v>
      </c>
      <c r="T36" s="3" t="e">
        <f t="shared" si="1"/>
        <v>#N/A</v>
      </c>
      <c r="U36" s="3" t="e">
        <f t="shared" si="1"/>
        <v>#N/A</v>
      </c>
      <c r="V36" s="3" t="e">
        <f t="shared" si="1"/>
        <v>#N/A</v>
      </c>
      <c r="W36" s="3" t="e">
        <f t="shared" si="1"/>
        <v>#N/A</v>
      </c>
      <c r="X36" s="3" t="e">
        <f t="shared" si="1"/>
        <v>#N/A</v>
      </c>
      <c r="Y36" s="3" t="e">
        <f t="shared" si="1"/>
        <v>#N/A</v>
      </c>
      <c r="Z36" s="3" t="e">
        <f t="shared" si="1"/>
        <v>#N/A</v>
      </c>
      <c r="AA36" s="3" t="e">
        <f t="shared" si="1"/>
        <v>#N/A</v>
      </c>
      <c r="AB36" s="3" t="e">
        <f t="shared" si="1"/>
        <v>#N/A</v>
      </c>
      <c r="AC36" s="3" t="e">
        <f t="shared" si="1"/>
        <v>#N/A</v>
      </c>
      <c r="AD36" s="3" t="e">
        <f t="shared" si="1"/>
        <v>#N/A</v>
      </c>
      <c r="AE36" s="3" t="e">
        <f t="shared" si="1"/>
        <v>#N/A</v>
      </c>
      <c r="AF36" s="3" t="e">
        <f t="shared" si="1"/>
        <v>#N/A</v>
      </c>
      <c r="AG36" s="3" t="e">
        <f t="shared" si="1"/>
        <v>#N/A</v>
      </c>
      <c r="AH36" s="3" t="e">
        <f t="shared" si="1"/>
        <v>#N/A</v>
      </c>
      <c r="AI36" s="3" t="e">
        <f t="shared" si="1"/>
        <v>#N/A</v>
      </c>
      <c r="AJ36" s="3" t="e">
        <f t="shared" si="1"/>
        <v>#N/A</v>
      </c>
      <c r="AK36" s="3" t="e">
        <f t="shared" si="1"/>
        <v>#N/A</v>
      </c>
      <c r="AL36" s="3" t="e">
        <f t="shared" si="1"/>
        <v>#N/A</v>
      </c>
      <c r="AM36" s="3" t="e">
        <f t="shared" si="1"/>
        <v>#N/A</v>
      </c>
      <c r="AN36" s="3" t="e">
        <f t="shared" si="1"/>
        <v>#N/A</v>
      </c>
    </row>
    <row r="37" spans="2:40" x14ac:dyDescent="0.3">
      <c r="B37" t="s">
        <v>31</v>
      </c>
      <c r="D37" t="s">
        <v>229</v>
      </c>
      <c r="E37" s="3" t="e">
        <f t="shared" si="2"/>
        <v>#N/A</v>
      </c>
      <c r="F37" s="3" t="e">
        <f t="shared" si="1"/>
        <v>#N/A</v>
      </c>
      <c r="G37" s="3" t="e">
        <f t="shared" si="1"/>
        <v>#N/A</v>
      </c>
      <c r="H37" s="3" t="e">
        <f t="shared" si="1"/>
        <v>#N/A</v>
      </c>
      <c r="I37" s="3" t="e">
        <f t="shared" si="1"/>
        <v>#N/A</v>
      </c>
      <c r="J37" s="3" t="e">
        <f t="shared" si="1"/>
        <v>#N/A</v>
      </c>
      <c r="K37" s="3" t="e">
        <f t="shared" si="1"/>
        <v>#N/A</v>
      </c>
      <c r="L37" s="3" t="e">
        <f t="shared" si="1"/>
        <v>#N/A</v>
      </c>
      <c r="M37" s="3" t="e">
        <f t="shared" si="1"/>
        <v>#N/A</v>
      </c>
      <c r="N37" s="3" t="e">
        <f t="shared" si="1"/>
        <v>#N/A</v>
      </c>
      <c r="O37" s="3" t="e">
        <f t="shared" si="1"/>
        <v>#N/A</v>
      </c>
      <c r="P37" s="3" t="e">
        <f t="shared" si="1"/>
        <v>#N/A</v>
      </c>
      <c r="Q37" s="3" t="e">
        <f t="shared" si="1"/>
        <v>#N/A</v>
      </c>
      <c r="R37" s="3" t="e">
        <f t="shared" si="1"/>
        <v>#N/A</v>
      </c>
      <c r="S37" s="3" t="e">
        <f t="shared" si="1"/>
        <v>#N/A</v>
      </c>
      <c r="T37" s="3" t="e">
        <f t="shared" si="1"/>
        <v>#N/A</v>
      </c>
      <c r="U37" s="3" t="e">
        <f t="shared" si="1"/>
        <v>#N/A</v>
      </c>
      <c r="V37" s="3" t="e">
        <f t="shared" si="1"/>
        <v>#N/A</v>
      </c>
      <c r="W37" s="3" t="e">
        <f t="shared" si="1"/>
        <v>#N/A</v>
      </c>
      <c r="X37" s="3" t="e">
        <f t="shared" si="1"/>
        <v>#N/A</v>
      </c>
      <c r="Y37" s="3" t="e">
        <f t="shared" si="1"/>
        <v>#N/A</v>
      </c>
      <c r="Z37" s="3" t="e">
        <f t="shared" si="1"/>
        <v>#N/A</v>
      </c>
      <c r="AA37" s="3" t="e">
        <f t="shared" si="1"/>
        <v>#N/A</v>
      </c>
      <c r="AB37" s="3" t="e">
        <f t="shared" si="1"/>
        <v>#N/A</v>
      </c>
      <c r="AC37" s="3" t="e">
        <f t="shared" si="1"/>
        <v>#N/A</v>
      </c>
      <c r="AD37" s="3" t="e">
        <f t="shared" si="1"/>
        <v>#N/A</v>
      </c>
      <c r="AE37" s="3" t="e">
        <f t="shared" si="1"/>
        <v>#N/A</v>
      </c>
      <c r="AF37" s="3" t="e">
        <f t="shared" si="1"/>
        <v>#N/A</v>
      </c>
      <c r="AG37" s="3" t="e">
        <f t="shared" si="1"/>
        <v>#N/A</v>
      </c>
      <c r="AH37" s="3" t="e">
        <f t="shared" si="1"/>
        <v>#N/A</v>
      </c>
      <c r="AI37" s="3" t="e">
        <f t="shared" si="1"/>
        <v>#N/A</v>
      </c>
      <c r="AJ37" s="3" t="e">
        <f t="shared" si="1"/>
        <v>#N/A</v>
      </c>
      <c r="AK37" s="3" t="e">
        <f t="shared" si="1"/>
        <v>#N/A</v>
      </c>
      <c r="AL37" s="3" t="e">
        <f t="shared" si="1"/>
        <v>#N/A</v>
      </c>
      <c r="AM37" s="3" t="e">
        <f t="shared" si="1"/>
        <v>#N/A</v>
      </c>
      <c r="AN37" s="3" t="e">
        <f t="shared" si="1"/>
        <v>#N/A</v>
      </c>
    </row>
    <row r="38" spans="2:40" x14ac:dyDescent="0.3">
      <c r="B38" t="s">
        <v>32</v>
      </c>
      <c r="D38" t="s">
        <v>229</v>
      </c>
      <c r="E38" s="3" t="e">
        <f t="shared" si="2"/>
        <v>#N/A</v>
      </c>
      <c r="F38" s="3" t="e">
        <f t="shared" si="1"/>
        <v>#N/A</v>
      </c>
      <c r="G38" s="3" t="e">
        <f t="shared" si="1"/>
        <v>#N/A</v>
      </c>
      <c r="H38" s="3" t="e">
        <f t="shared" si="1"/>
        <v>#N/A</v>
      </c>
      <c r="I38" s="3" t="e">
        <f t="shared" si="1"/>
        <v>#N/A</v>
      </c>
      <c r="J38" s="3" t="e">
        <f t="shared" si="1"/>
        <v>#N/A</v>
      </c>
      <c r="K38" s="3" t="e">
        <f t="shared" si="1"/>
        <v>#N/A</v>
      </c>
      <c r="L38" s="3" t="e">
        <f t="shared" si="1"/>
        <v>#N/A</v>
      </c>
      <c r="M38" s="3" t="e">
        <f t="shared" si="1"/>
        <v>#N/A</v>
      </c>
      <c r="N38" s="3" t="e">
        <f t="shared" si="1"/>
        <v>#N/A</v>
      </c>
      <c r="O38" s="3" t="e">
        <f t="shared" si="1"/>
        <v>#N/A</v>
      </c>
      <c r="P38" s="3" t="e">
        <f t="shared" si="1"/>
        <v>#N/A</v>
      </c>
      <c r="Q38" s="3" t="e">
        <f t="shared" si="1"/>
        <v>#N/A</v>
      </c>
      <c r="R38" s="3" t="e">
        <f t="shared" si="1"/>
        <v>#N/A</v>
      </c>
      <c r="S38" s="3" t="e">
        <f t="shared" si="1"/>
        <v>#N/A</v>
      </c>
      <c r="T38" s="3" t="e">
        <f t="shared" si="1"/>
        <v>#N/A</v>
      </c>
      <c r="U38" s="3" t="e">
        <f t="shared" si="1"/>
        <v>#N/A</v>
      </c>
      <c r="V38" s="3" t="e">
        <f t="shared" si="1"/>
        <v>#N/A</v>
      </c>
      <c r="W38" s="3" t="e">
        <f t="shared" si="1"/>
        <v>#N/A</v>
      </c>
      <c r="X38" s="3" t="e">
        <f t="shared" si="1"/>
        <v>#N/A</v>
      </c>
      <c r="Y38" s="3" t="e">
        <f t="shared" si="1"/>
        <v>#N/A</v>
      </c>
      <c r="Z38" s="3" t="e">
        <f t="shared" si="1"/>
        <v>#N/A</v>
      </c>
      <c r="AA38" s="3" t="e">
        <f t="shared" si="1"/>
        <v>#N/A</v>
      </c>
      <c r="AB38" s="3" t="e">
        <f t="shared" si="1"/>
        <v>#N/A</v>
      </c>
      <c r="AC38" s="3" t="e">
        <f t="shared" si="1"/>
        <v>#N/A</v>
      </c>
      <c r="AD38" s="3" t="e">
        <f t="shared" si="1"/>
        <v>#N/A</v>
      </c>
      <c r="AE38" s="3" t="e">
        <f t="shared" si="1"/>
        <v>#N/A</v>
      </c>
      <c r="AF38" s="3" t="e">
        <f t="shared" si="1"/>
        <v>#N/A</v>
      </c>
      <c r="AG38" s="3" t="e">
        <f t="shared" si="1"/>
        <v>#N/A</v>
      </c>
      <c r="AH38" s="3" t="e">
        <f t="shared" si="1"/>
        <v>#N/A</v>
      </c>
      <c r="AI38" s="3" t="e">
        <f t="shared" si="1"/>
        <v>#N/A</v>
      </c>
      <c r="AJ38" s="3" t="e">
        <f t="shared" si="1"/>
        <v>#N/A</v>
      </c>
      <c r="AK38" s="3" t="e">
        <f t="shared" si="1"/>
        <v>#N/A</v>
      </c>
      <c r="AL38" s="3" t="e">
        <f t="shared" si="1"/>
        <v>#N/A</v>
      </c>
      <c r="AM38" s="3" t="e">
        <f t="shared" si="1"/>
        <v>#N/A</v>
      </c>
      <c r="AN38" s="3" t="e">
        <f t="shared" si="1"/>
        <v>#N/A</v>
      </c>
    </row>
    <row r="39" spans="2:40" x14ac:dyDescent="0.3">
      <c r="B39" t="s">
        <v>33</v>
      </c>
      <c r="D39" t="s">
        <v>229</v>
      </c>
      <c r="E39" s="3" t="e">
        <f t="shared" si="2"/>
        <v>#N/A</v>
      </c>
      <c r="F39" s="3" t="e">
        <f t="shared" si="1"/>
        <v>#N/A</v>
      </c>
      <c r="G39" s="3" t="e">
        <f t="shared" si="1"/>
        <v>#N/A</v>
      </c>
      <c r="H39" s="3" t="e">
        <f t="shared" si="1"/>
        <v>#N/A</v>
      </c>
      <c r="I39" s="3" t="e">
        <f t="shared" si="1"/>
        <v>#N/A</v>
      </c>
      <c r="J39" s="3" t="e">
        <f t="shared" si="1"/>
        <v>#N/A</v>
      </c>
      <c r="K39" s="3" t="e">
        <f t="shared" si="1"/>
        <v>#N/A</v>
      </c>
      <c r="L39" s="3" t="e">
        <f t="shared" si="1"/>
        <v>#N/A</v>
      </c>
      <c r="M39" s="3" t="e">
        <f t="shared" si="1"/>
        <v>#N/A</v>
      </c>
      <c r="N39" s="3" t="e">
        <f t="shared" si="1"/>
        <v>#N/A</v>
      </c>
      <c r="O39" s="3" t="e">
        <f t="shared" si="1"/>
        <v>#N/A</v>
      </c>
      <c r="P39" s="3" t="e">
        <f t="shared" si="1"/>
        <v>#N/A</v>
      </c>
      <c r="Q39" s="3" t="e">
        <f t="shared" si="1"/>
        <v>#N/A</v>
      </c>
      <c r="R39" s="3" t="e">
        <f t="shared" si="1"/>
        <v>#N/A</v>
      </c>
      <c r="S39" s="3" t="e">
        <f t="shared" si="1"/>
        <v>#N/A</v>
      </c>
      <c r="T39" s="3" t="e">
        <f t="shared" si="1"/>
        <v>#N/A</v>
      </c>
      <c r="U39" s="3" t="e">
        <f t="shared" si="1"/>
        <v>#N/A</v>
      </c>
      <c r="V39" s="3" t="e">
        <f t="shared" si="1"/>
        <v>#N/A</v>
      </c>
      <c r="W39" s="3" t="e">
        <f t="shared" si="1"/>
        <v>#N/A</v>
      </c>
      <c r="X39" s="3" t="e">
        <f t="shared" si="1"/>
        <v>#N/A</v>
      </c>
      <c r="Y39" s="3" t="e">
        <f t="shared" si="1"/>
        <v>#N/A</v>
      </c>
      <c r="Z39" s="3" t="e">
        <f t="shared" si="1"/>
        <v>#N/A</v>
      </c>
      <c r="AA39" s="3" t="e">
        <f t="shared" si="1"/>
        <v>#N/A</v>
      </c>
      <c r="AB39" s="3" t="e">
        <f t="shared" si="1"/>
        <v>#N/A</v>
      </c>
      <c r="AC39" s="3" t="e">
        <f t="shared" si="1"/>
        <v>#N/A</v>
      </c>
      <c r="AD39" s="3" t="e">
        <f t="shared" si="1"/>
        <v>#N/A</v>
      </c>
      <c r="AE39" s="3" t="e">
        <f t="shared" si="1"/>
        <v>#N/A</v>
      </c>
      <c r="AF39" s="3" t="e">
        <f t="shared" si="1"/>
        <v>#N/A</v>
      </c>
      <c r="AG39" s="3" t="e">
        <f t="shared" si="1"/>
        <v>#N/A</v>
      </c>
      <c r="AH39" s="3" t="e">
        <f t="shared" si="1"/>
        <v>#N/A</v>
      </c>
      <c r="AI39" s="3" t="e">
        <f t="shared" si="1"/>
        <v>#N/A</v>
      </c>
      <c r="AJ39" s="3" t="e">
        <f t="shared" si="1"/>
        <v>#N/A</v>
      </c>
      <c r="AK39" s="3" t="e">
        <f t="shared" si="1"/>
        <v>#N/A</v>
      </c>
      <c r="AL39" s="3" t="e">
        <f t="shared" si="1"/>
        <v>#N/A</v>
      </c>
      <c r="AM39" s="3" t="e">
        <f t="shared" si="1"/>
        <v>#N/A</v>
      </c>
      <c r="AN39" s="3" t="e">
        <f t="shared" si="1"/>
        <v>#N/A</v>
      </c>
    </row>
    <row r="40" spans="2:40" x14ac:dyDescent="0.3">
      <c r="B40" t="s">
        <v>34</v>
      </c>
      <c r="D40" t="s">
        <v>229</v>
      </c>
      <c r="E40" s="3" t="e">
        <f t="shared" si="2"/>
        <v>#N/A</v>
      </c>
      <c r="F40" s="3" t="e">
        <f t="shared" si="1"/>
        <v>#N/A</v>
      </c>
      <c r="G40" s="3" t="e">
        <f t="shared" si="1"/>
        <v>#N/A</v>
      </c>
      <c r="H40" s="3" t="e">
        <f t="shared" si="1"/>
        <v>#N/A</v>
      </c>
      <c r="I40" s="3" t="e">
        <f t="shared" si="1"/>
        <v>#N/A</v>
      </c>
      <c r="J40" s="3" t="e">
        <f t="shared" si="1"/>
        <v>#N/A</v>
      </c>
      <c r="K40" s="3" t="e">
        <f t="shared" si="1"/>
        <v>#N/A</v>
      </c>
      <c r="L40" s="3" t="e">
        <f t="shared" si="1"/>
        <v>#N/A</v>
      </c>
      <c r="M40" s="3" t="e">
        <f t="shared" si="1"/>
        <v>#N/A</v>
      </c>
      <c r="N40" s="3" t="e">
        <f t="shared" si="1"/>
        <v>#N/A</v>
      </c>
      <c r="O40" s="3" t="e">
        <f t="shared" si="1"/>
        <v>#N/A</v>
      </c>
      <c r="P40" s="3" t="e">
        <f t="shared" si="1"/>
        <v>#N/A</v>
      </c>
      <c r="Q40" s="3" t="e">
        <f t="shared" si="1"/>
        <v>#N/A</v>
      </c>
      <c r="R40" s="3" t="e">
        <f t="shared" si="1"/>
        <v>#N/A</v>
      </c>
      <c r="S40" s="3" t="e">
        <f t="shared" si="1"/>
        <v>#N/A</v>
      </c>
      <c r="T40" s="3" t="e">
        <f t="shared" si="1"/>
        <v>#N/A</v>
      </c>
      <c r="U40" s="3" t="e">
        <f t="shared" si="1"/>
        <v>#N/A</v>
      </c>
      <c r="V40" s="3" t="e">
        <f t="shared" si="1"/>
        <v>#N/A</v>
      </c>
      <c r="W40" s="3" t="e">
        <f t="shared" si="1"/>
        <v>#N/A</v>
      </c>
      <c r="X40" s="3" t="e">
        <f t="shared" si="1"/>
        <v>#N/A</v>
      </c>
      <c r="Y40" s="3" t="e">
        <f t="shared" si="1"/>
        <v>#N/A</v>
      </c>
      <c r="Z40" s="3" t="e">
        <f t="shared" si="1"/>
        <v>#N/A</v>
      </c>
      <c r="AA40" s="3" t="e">
        <f t="shared" si="1"/>
        <v>#N/A</v>
      </c>
      <c r="AB40" s="3" t="e">
        <f t="shared" si="1"/>
        <v>#N/A</v>
      </c>
      <c r="AC40" s="3" t="e">
        <f t="shared" si="1"/>
        <v>#N/A</v>
      </c>
      <c r="AD40" s="3" t="e">
        <f t="shared" si="1"/>
        <v>#N/A</v>
      </c>
      <c r="AE40" s="3" t="e">
        <f t="shared" si="1"/>
        <v>#N/A</v>
      </c>
      <c r="AF40" s="3" t="e">
        <f t="shared" si="1"/>
        <v>#N/A</v>
      </c>
      <c r="AG40" s="3" t="e">
        <f t="shared" si="1"/>
        <v>#N/A</v>
      </c>
      <c r="AH40" s="3" t="e">
        <f t="shared" si="1"/>
        <v>#N/A</v>
      </c>
      <c r="AI40" s="3" t="e">
        <f t="shared" si="1"/>
        <v>#N/A</v>
      </c>
      <c r="AJ40" s="3" t="e">
        <f t="shared" si="1"/>
        <v>#N/A</v>
      </c>
      <c r="AK40" s="3" t="e">
        <f t="shared" si="1"/>
        <v>#N/A</v>
      </c>
      <c r="AL40" s="3" t="e">
        <f t="shared" si="1"/>
        <v>#N/A</v>
      </c>
      <c r="AM40" s="3" t="e">
        <f t="shared" si="1"/>
        <v>#N/A</v>
      </c>
      <c r="AN40" s="3" t="e">
        <f t="shared" si="1"/>
        <v>#N/A</v>
      </c>
    </row>
    <row r="41" spans="2:40" x14ac:dyDescent="0.3">
      <c r="B41" t="s">
        <v>35</v>
      </c>
      <c r="D41" t="s">
        <v>229</v>
      </c>
      <c r="E41" s="3" t="e">
        <f t="shared" si="2"/>
        <v>#N/A</v>
      </c>
      <c r="F41" s="3" t="e">
        <f t="shared" si="1"/>
        <v>#N/A</v>
      </c>
      <c r="G41" s="3" t="e">
        <f t="shared" si="1"/>
        <v>#N/A</v>
      </c>
      <c r="H41" s="3" t="e">
        <f t="shared" si="1"/>
        <v>#N/A</v>
      </c>
      <c r="I41" s="3" t="e">
        <f t="shared" si="1"/>
        <v>#N/A</v>
      </c>
      <c r="J41" s="3" t="e">
        <f t="shared" si="1"/>
        <v>#N/A</v>
      </c>
      <c r="K41" s="3" t="e">
        <f t="shared" si="1"/>
        <v>#N/A</v>
      </c>
      <c r="L41" s="3" t="e">
        <f t="shared" si="1"/>
        <v>#N/A</v>
      </c>
      <c r="M41" s="3" t="e">
        <f t="shared" si="1"/>
        <v>#N/A</v>
      </c>
      <c r="N41" s="3" t="e">
        <f t="shared" si="1"/>
        <v>#N/A</v>
      </c>
      <c r="O41" s="3" t="e">
        <f t="shared" si="1"/>
        <v>#N/A</v>
      </c>
      <c r="P41" s="3" t="e">
        <f t="shared" si="1"/>
        <v>#N/A</v>
      </c>
      <c r="Q41" s="3" t="e">
        <f t="shared" si="1"/>
        <v>#N/A</v>
      </c>
      <c r="R41" s="3" t="e">
        <f t="shared" si="1"/>
        <v>#N/A</v>
      </c>
      <c r="S41" s="3" t="e">
        <f t="shared" si="1"/>
        <v>#N/A</v>
      </c>
      <c r="T41" s="3" t="e">
        <f t="shared" si="1"/>
        <v>#N/A</v>
      </c>
      <c r="U41" s="3" t="e">
        <f t="shared" si="1"/>
        <v>#N/A</v>
      </c>
      <c r="V41" s="3" t="e">
        <f t="shared" si="1"/>
        <v>#N/A</v>
      </c>
      <c r="W41" s="3" t="e">
        <f t="shared" si="1"/>
        <v>#N/A</v>
      </c>
      <c r="X41" s="3" t="e">
        <f t="shared" si="1"/>
        <v>#N/A</v>
      </c>
      <c r="Y41" s="3" t="e">
        <f t="shared" si="1"/>
        <v>#N/A</v>
      </c>
      <c r="Z41" s="3" t="e">
        <f t="shared" si="1"/>
        <v>#N/A</v>
      </c>
      <c r="AA41" s="3" t="e">
        <f t="shared" si="1"/>
        <v>#N/A</v>
      </c>
      <c r="AB41" s="3" t="e">
        <f t="shared" si="1"/>
        <v>#N/A</v>
      </c>
      <c r="AC41" s="3" t="e">
        <f t="shared" si="1"/>
        <v>#N/A</v>
      </c>
      <c r="AD41" s="3" t="e">
        <f t="shared" si="1"/>
        <v>#N/A</v>
      </c>
      <c r="AE41" s="3" t="e">
        <f t="shared" ref="AE41:AN41" si="3">AE11/$E11</f>
        <v>#N/A</v>
      </c>
      <c r="AF41" s="3" t="e">
        <f t="shared" si="3"/>
        <v>#N/A</v>
      </c>
      <c r="AG41" s="3" t="e">
        <f t="shared" si="3"/>
        <v>#N/A</v>
      </c>
      <c r="AH41" s="3" t="e">
        <f t="shared" si="3"/>
        <v>#N/A</v>
      </c>
      <c r="AI41" s="3" t="e">
        <f t="shared" si="3"/>
        <v>#N/A</v>
      </c>
      <c r="AJ41" s="3" t="e">
        <f t="shared" si="3"/>
        <v>#N/A</v>
      </c>
      <c r="AK41" s="3" t="e">
        <f t="shared" si="3"/>
        <v>#N/A</v>
      </c>
      <c r="AL41" s="3" t="e">
        <f t="shared" si="3"/>
        <v>#N/A</v>
      </c>
      <c r="AM41" s="3" t="e">
        <f t="shared" si="3"/>
        <v>#N/A</v>
      </c>
      <c r="AN41" s="3" t="e">
        <f t="shared" si="3"/>
        <v>#N/A</v>
      </c>
    </row>
    <row r="42" spans="2:40" x14ac:dyDescent="0.3">
      <c r="B42" t="s">
        <v>36</v>
      </c>
      <c r="D42" t="s">
        <v>229</v>
      </c>
      <c r="E42" s="3" t="e">
        <f t="shared" si="2"/>
        <v>#N/A</v>
      </c>
      <c r="F42" s="3" t="e">
        <f t="shared" si="2"/>
        <v>#N/A</v>
      </c>
      <c r="G42" s="3" t="e">
        <f t="shared" si="2"/>
        <v>#N/A</v>
      </c>
      <c r="H42" s="3" t="e">
        <f t="shared" si="2"/>
        <v>#N/A</v>
      </c>
      <c r="I42" s="3" t="e">
        <f t="shared" si="2"/>
        <v>#N/A</v>
      </c>
      <c r="J42" s="3" t="e">
        <f t="shared" si="2"/>
        <v>#N/A</v>
      </c>
      <c r="K42" s="3" t="e">
        <f t="shared" si="2"/>
        <v>#N/A</v>
      </c>
      <c r="L42" s="3" t="e">
        <f t="shared" si="2"/>
        <v>#N/A</v>
      </c>
      <c r="M42" s="3" t="e">
        <f t="shared" si="2"/>
        <v>#N/A</v>
      </c>
      <c r="N42" s="3" t="e">
        <f t="shared" si="2"/>
        <v>#N/A</v>
      </c>
      <c r="O42" s="3" t="e">
        <f t="shared" si="2"/>
        <v>#N/A</v>
      </c>
      <c r="P42" s="3" t="e">
        <f t="shared" si="2"/>
        <v>#N/A</v>
      </c>
      <c r="Q42" s="3" t="e">
        <f t="shared" si="2"/>
        <v>#N/A</v>
      </c>
      <c r="R42" s="3" t="e">
        <f t="shared" si="2"/>
        <v>#N/A</v>
      </c>
      <c r="S42" s="3" t="e">
        <f t="shared" si="2"/>
        <v>#N/A</v>
      </c>
      <c r="T42" s="3" t="e">
        <f t="shared" si="2"/>
        <v>#N/A</v>
      </c>
      <c r="U42" s="3" t="e">
        <f t="shared" ref="U42:AN50" si="4">U12/$E12</f>
        <v>#N/A</v>
      </c>
      <c r="V42" s="3" t="e">
        <f t="shared" si="4"/>
        <v>#N/A</v>
      </c>
      <c r="W42" s="3" t="e">
        <f t="shared" si="4"/>
        <v>#N/A</v>
      </c>
      <c r="X42" s="3" t="e">
        <f t="shared" si="4"/>
        <v>#N/A</v>
      </c>
      <c r="Y42" s="3" t="e">
        <f t="shared" si="4"/>
        <v>#N/A</v>
      </c>
      <c r="Z42" s="3" t="e">
        <f t="shared" si="4"/>
        <v>#N/A</v>
      </c>
      <c r="AA42" s="3" t="e">
        <f t="shared" si="4"/>
        <v>#N/A</v>
      </c>
      <c r="AB42" s="3" t="e">
        <f t="shared" si="4"/>
        <v>#N/A</v>
      </c>
      <c r="AC42" s="3" t="e">
        <f t="shared" si="4"/>
        <v>#N/A</v>
      </c>
      <c r="AD42" s="3" t="e">
        <f t="shared" si="4"/>
        <v>#N/A</v>
      </c>
      <c r="AE42" s="3" t="e">
        <f t="shared" si="4"/>
        <v>#N/A</v>
      </c>
      <c r="AF42" s="3" t="e">
        <f t="shared" si="4"/>
        <v>#N/A</v>
      </c>
      <c r="AG42" s="3" t="e">
        <f t="shared" si="4"/>
        <v>#N/A</v>
      </c>
      <c r="AH42" s="3" t="e">
        <f t="shared" si="4"/>
        <v>#N/A</v>
      </c>
      <c r="AI42" s="3" t="e">
        <f t="shared" si="4"/>
        <v>#N/A</v>
      </c>
      <c r="AJ42" s="3" t="e">
        <f t="shared" si="4"/>
        <v>#N/A</v>
      </c>
      <c r="AK42" s="3" t="e">
        <f t="shared" si="4"/>
        <v>#N/A</v>
      </c>
      <c r="AL42" s="3" t="e">
        <f t="shared" si="4"/>
        <v>#N/A</v>
      </c>
      <c r="AM42" s="3" t="e">
        <f t="shared" si="4"/>
        <v>#N/A</v>
      </c>
      <c r="AN42" s="3" t="e">
        <f t="shared" si="4"/>
        <v>#N/A</v>
      </c>
    </row>
    <row r="43" spans="2:40" x14ac:dyDescent="0.3">
      <c r="B43" t="s">
        <v>37</v>
      </c>
      <c r="D43" t="s">
        <v>229</v>
      </c>
      <c r="E43" s="3" t="e">
        <f t="shared" si="2"/>
        <v>#N/A</v>
      </c>
      <c r="F43" s="3" t="e">
        <f t="shared" si="2"/>
        <v>#N/A</v>
      </c>
      <c r="G43" s="3" t="e">
        <f t="shared" si="2"/>
        <v>#N/A</v>
      </c>
      <c r="H43" s="3" t="e">
        <f t="shared" si="2"/>
        <v>#N/A</v>
      </c>
      <c r="I43" s="3" t="e">
        <f t="shared" si="2"/>
        <v>#N/A</v>
      </c>
      <c r="J43" s="3" t="e">
        <f t="shared" si="2"/>
        <v>#N/A</v>
      </c>
      <c r="K43" s="3" t="e">
        <f t="shared" si="2"/>
        <v>#N/A</v>
      </c>
      <c r="L43" s="3" t="e">
        <f t="shared" si="2"/>
        <v>#N/A</v>
      </c>
      <c r="M43" s="3" t="e">
        <f t="shared" si="2"/>
        <v>#N/A</v>
      </c>
      <c r="N43" s="3" t="e">
        <f t="shared" si="2"/>
        <v>#N/A</v>
      </c>
      <c r="O43" s="3" t="e">
        <f t="shared" si="2"/>
        <v>#N/A</v>
      </c>
      <c r="P43" s="3" t="e">
        <f t="shared" si="2"/>
        <v>#N/A</v>
      </c>
      <c r="Q43" s="3" t="e">
        <f t="shared" si="2"/>
        <v>#N/A</v>
      </c>
      <c r="R43" s="3" t="e">
        <f t="shared" si="2"/>
        <v>#N/A</v>
      </c>
      <c r="S43" s="3" t="e">
        <f t="shared" si="2"/>
        <v>#N/A</v>
      </c>
      <c r="T43" s="3" t="e">
        <f t="shared" si="2"/>
        <v>#N/A</v>
      </c>
      <c r="U43" s="3" t="e">
        <f t="shared" si="4"/>
        <v>#N/A</v>
      </c>
      <c r="V43" s="3" t="e">
        <f t="shared" si="4"/>
        <v>#N/A</v>
      </c>
      <c r="W43" s="3" t="e">
        <f t="shared" si="4"/>
        <v>#N/A</v>
      </c>
      <c r="X43" s="3" t="e">
        <f t="shared" si="4"/>
        <v>#N/A</v>
      </c>
      <c r="Y43" s="3" t="e">
        <f t="shared" si="4"/>
        <v>#N/A</v>
      </c>
      <c r="Z43" s="3" t="e">
        <f t="shared" si="4"/>
        <v>#N/A</v>
      </c>
      <c r="AA43" s="3" t="e">
        <f t="shared" si="4"/>
        <v>#N/A</v>
      </c>
      <c r="AB43" s="3" t="e">
        <f t="shared" si="4"/>
        <v>#N/A</v>
      </c>
      <c r="AC43" s="3" t="e">
        <f t="shared" si="4"/>
        <v>#N/A</v>
      </c>
      <c r="AD43" s="3" t="e">
        <f t="shared" si="4"/>
        <v>#N/A</v>
      </c>
      <c r="AE43" s="3" t="e">
        <f t="shared" si="4"/>
        <v>#N/A</v>
      </c>
      <c r="AF43" s="3" t="e">
        <f t="shared" si="4"/>
        <v>#N/A</v>
      </c>
      <c r="AG43" s="3" t="e">
        <f t="shared" si="4"/>
        <v>#N/A</v>
      </c>
      <c r="AH43" s="3" t="e">
        <f t="shared" si="4"/>
        <v>#N/A</v>
      </c>
      <c r="AI43" s="3" t="e">
        <f t="shared" si="4"/>
        <v>#N/A</v>
      </c>
      <c r="AJ43" s="3" t="e">
        <f t="shared" si="4"/>
        <v>#N/A</v>
      </c>
      <c r="AK43" s="3" t="e">
        <f t="shared" si="4"/>
        <v>#N/A</v>
      </c>
      <c r="AL43" s="3" t="e">
        <f t="shared" si="4"/>
        <v>#N/A</v>
      </c>
      <c r="AM43" s="3" t="e">
        <f t="shared" si="4"/>
        <v>#N/A</v>
      </c>
      <c r="AN43" s="3" t="e">
        <f t="shared" si="4"/>
        <v>#N/A</v>
      </c>
    </row>
    <row r="44" spans="2:40" x14ac:dyDescent="0.3">
      <c r="B44" t="s">
        <v>38</v>
      </c>
      <c r="D44" t="s">
        <v>229</v>
      </c>
      <c r="E44" s="3" t="e">
        <f t="shared" si="2"/>
        <v>#N/A</v>
      </c>
      <c r="F44" s="3" t="e">
        <f t="shared" si="2"/>
        <v>#N/A</v>
      </c>
      <c r="G44" s="3" t="e">
        <f t="shared" si="2"/>
        <v>#N/A</v>
      </c>
      <c r="H44" s="3" t="e">
        <f t="shared" si="2"/>
        <v>#N/A</v>
      </c>
      <c r="I44" s="3" t="e">
        <f t="shared" si="2"/>
        <v>#N/A</v>
      </c>
      <c r="J44" s="3" t="e">
        <f t="shared" si="2"/>
        <v>#N/A</v>
      </c>
      <c r="K44" s="3" t="e">
        <f t="shared" si="2"/>
        <v>#N/A</v>
      </c>
      <c r="L44" s="3" t="e">
        <f t="shared" si="2"/>
        <v>#N/A</v>
      </c>
      <c r="M44" s="3" t="e">
        <f t="shared" si="2"/>
        <v>#N/A</v>
      </c>
      <c r="N44" s="3" t="e">
        <f t="shared" si="2"/>
        <v>#N/A</v>
      </c>
      <c r="O44" s="3" t="e">
        <f t="shared" si="2"/>
        <v>#N/A</v>
      </c>
      <c r="P44" s="3" t="e">
        <f t="shared" si="2"/>
        <v>#N/A</v>
      </c>
      <c r="Q44" s="3" t="e">
        <f t="shared" si="2"/>
        <v>#N/A</v>
      </c>
      <c r="R44" s="3" t="e">
        <f t="shared" si="2"/>
        <v>#N/A</v>
      </c>
      <c r="S44" s="3" t="e">
        <f t="shared" si="2"/>
        <v>#N/A</v>
      </c>
      <c r="T44" s="3" t="e">
        <f t="shared" si="2"/>
        <v>#N/A</v>
      </c>
      <c r="U44" s="3" t="e">
        <f t="shared" si="4"/>
        <v>#N/A</v>
      </c>
      <c r="V44" s="3" t="e">
        <f t="shared" si="4"/>
        <v>#N/A</v>
      </c>
      <c r="W44" s="3" t="e">
        <f t="shared" si="4"/>
        <v>#N/A</v>
      </c>
      <c r="X44" s="3" t="e">
        <f t="shared" si="4"/>
        <v>#N/A</v>
      </c>
      <c r="Y44" s="3" t="e">
        <f t="shared" si="4"/>
        <v>#N/A</v>
      </c>
      <c r="Z44" s="3" t="e">
        <f t="shared" si="4"/>
        <v>#N/A</v>
      </c>
      <c r="AA44" s="3" t="e">
        <f t="shared" si="4"/>
        <v>#N/A</v>
      </c>
      <c r="AB44" s="3" t="e">
        <f t="shared" si="4"/>
        <v>#N/A</v>
      </c>
      <c r="AC44" s="3" t="e">
        <f t="shared" si="4"/>
        <v>#N/A</v>
      </c>
      <c r="AD44" s="3" t="e">
        <f t="shared" si="4"/>
        <v>#N/A</v>
      </c>
      <c r="AE44" s="3" t="e">
        <f t="shared" si="4"/>
        <v>#N/A</v>
      </c>
      <c r="AF44" s="3" t="e">
        <f t="shared" si="4"/>
        <v>#N/A</v>
      </c>
      <c r="AG44" s="3" t="e">
        <f t="shared" si="4"/>
        <v>#N/A</v>
      </c>
      <c r="AH44" s="3" t="e">
        <f t="shared" si="4"/>
        <v>#N/A</v>
      </c>
      <c r="AI44" s="3" t="e">
        <f t="shared" si="4"/>
        <v>#N/A</v>
      </c>
      <c r="AJ44" s="3" t="e">
        <f t="shared" si="4"/>
        <v>#N/A</v>
      </c>
      <c r="AK44" s="3" t="e">
        <f t="shared" si="4"/>
        <v>#N/A</v>
      </c>
      <c r="AL44" s="3" t="e">
        <f t="shared" si="4"/>
        <v>#N/A</v>
      </c>
      <c r="AM44" s="3" t="e">
        <f t="shared" si="4"/>
        <v>#N/A</v>
      </c>
      <c r="AN44" s="3" t="e">
        <f t="shared" si="4"/>
        <v>#N/A</v>
      </c>
    </row>
    <row r="45" spans="2:40" x14ac:dyDescent="0.3">
      <c r="B45" t="s">
        <v>39</v>
      </c>
      <c r="D45" t="s">
        <v>229</v>
      </c>
      <c r="E45" s="3" t="e">
        <f t="shared" si="2"/>
        <v>#N/A</v>
      </c>
      <c r="F45" s="3" t="e">
        <f t="shared" si="2"/>
        <v>#N/A</v>
      </c>
      <c r="G45" s="3" t="e">
        <f t="shared" si="2"/>
        <v>#N/A</v>
      </c>
      <c r="H45" s="3" t="e">
        <f t="shared" si="2"/>
        <v>#N/A</v>
      </c>
      <c r="I45" s="3" t="e">
        <f t="shared" si="2"/>
        <v>#N/A</v>
      </c>
      <c r="J45" s="3" t="e">
        <f t="shared" si="2"/>
        <v>#N/A</v>
      </c>
      <c r="K45" s="3" t="e">
        <f t="shared" si="2"/>
        <v>#N/A</v>
      </c>
      <c r="L45" s="3" t="e">
        <f t="shared" si="2"/>
        <v>#N/A</v>
      </c>
      <c r="M45" s="3" t="e">
        <f t="shared" si="2"/>
        <v>#N/A</v>
      </c>
      <c r="N45" s="3" t="e">
        <f t="shared" si="2"/>
        <v>#N/A</v>
      </c>
      <c r="O45" s="3" t="e">
        <f t="shared" si="2"/>
        <v>#N/A</v>
      </c>
      <c r="P45" s="3" t="e">
        <f t="shared" si="2"/>
        <v>#N/A</v>
      </c>
      <c r="Q45" s="3" t="e">
        <f t="shared" si="2"/>
        <v>#N/A</v>
      </c>
      <c r="R45" s="3" t="e">
        <f t="shared" si="2"/>
        <v>#N/A</v>
      </c>
      <c r="S45" s="3" t="e">
        <f t="shared" si="2"/>
        <v>#N/A</v>
      </c>
      <c r="T45" s="3" t="e">
        <f t="shared" si="2"/>
        <v>#N/A</v>
      </c>
      <c r="U45" s="3" t="e">
        <f t="shared" si="4"/>
        <v>#N/A</v>
      </c>
      <c r="V45" s="3" t="e">
        <f t="shared" si="4"/>
        <v>#N/A</v>
      </c>
      <c r="W45" s="3" t="e">
        <f t="shared" si="4"/>
        <v>#N/A</v>
      </c>
      <c r="X45" s="3" t="e">
        <f t="shared" si="4"/>
        <v>#N/A</v>
      </c>
      <c r="Y45" s="3" t="e">
        <f t="shared" si="4"/>
        <v>#N/A</v>
      </c>
      <c r="Z45" s="3" t="e">
        <f t="shared" si="4"/>
        <v>#N/A</v>
      </c>
      <c r="AA45" s="3" t="e">
        <f t="shared" si="4"/>
        <v>#N/A</v>
      </c>
      <c r="AB45" s="3" t="e">
        <f t="shared" si="4"/>
        <v>#N/A</v>
      </c>
      <c r="AC45" s="3" t="e">
        <f t="shared" si="4"/>
        <v>#N/A</v>
      </c>
      <c r="AD45" s="3" t="e">
        <f t="shared" si="4"/>
        <v>#N/A</v>
      </c>
      <c r="AE45" s="3" t="e">
        <f t="shared" si="4"/>
        <v>#N/A</v>
      </c>
      <c r="AF45" s="3" t="e">
        <f t="shared" si="4"/>
        <v>#N/A</v>
      </c>
      <c r="AG45" s="3" t="e">
        <f t="shared" si="4"/>
        <v>#N/A</v>
      </c>
      <c r="AH45" s="3" t="e">
        <f t="shared" si="4"/>
        <v>#N/A</v>
      </c>
      <c r="AI45" s="3" t="e">
        <f t="shared" si="4"/>
        <v>#N/A</v>
      </c>
      <c r="AJ45" s="3" t="e">
        <f t="shared" si="4"/>
        <v>#N/A</v>
      </c>
      <c r="AK45" s="3" t="e">
        <f t="shared" si="4"/>
        <v>#N/A</v>
      </c>
      <c r="AL45" s="3" t="e">
        <f t="shared" si="4"/>
        <v>#N/A</v>
      </c>
      <c r="AM45" s="3" t="e">
        <f t="shared" si="4"/>
        <v>#N/A</v>
      </c>
      <c r="AN45" s="3" t="e">
        <f t="shared" si="4"/>
        <v>#N/A</v>
      </c>
    </row>
    <row r="46" spans="2:40" x14ac:dyDescent="0.3">
      <c r="B46" t="s">
        <v>40</v>
      </c>
      <c r="D46" t="s">
        <v>229</v>
      </c>
      <c r="E46" s="3" t="e">
        <f t="shared" si="2"/>
        <v>#N/A</v>
      </c>
      <c r="F46" s="3" t="e">
        <f t="shared" si="2"/>
        <v>#N/A</v>
      </c>
      <c r="G46" s="3" t="e">
        <f t="shared" si="2"/>
        <v>#N/A</v>
      </c>
      <c r="H46" s="3" t="e">
        <f t="shared" si="2"/>
        <v>#N/A</v>
      </c>
      <c r="I46" s="3" t="e">
        <f t="shared" si="2"/>
        <v>#N/A</v>
      </c>
      <c r="J46" s="3" t="e">
        <f t="shared" si="2"/>
        <v>#N/A</v>
      </c>
      <c r="K46" s="3" t="e">
        <f t="shared" si="2"/>
        <v>#N/A</v>
      </c>
      <c r="L46" s="3" t="e">
        <f t="shared" si="2"/>
        <v>#N/A</v>
      </c>
      <c r="M46" s="3" t="e">
        <f t="shared" si="2"/>
        <v>#N/A</v>
      </c>
      <c r="N46" s="3" t="e">
        <f t="shared" si="2"/>
        <v>#N/A</v>
      </c>
      <c r="O46" s="3" t="e">
        <f t="shared" si="2"/>
        <v>#N/A</v>
      </c>
      <c r="P46" s="3" t="e">
        <f t="shared" si="2"/>
        <v>#N/A</v>
      </c>
      <c r="Q46" s="3" t="e">
        <f t="shared" si="2"/>
        <v>#N/A</v>
      </c>
      <c r="R46" s="3" t="e">
        <f t="shared" si="2"/>
        <v>#N/A</v>
      </c>
      <c r="S46" s="3" t="e">
        <f t="shared" si="2"/>
        <v>#N/A</v>
      </c>
      <c r="T46" s="3" t="e">
        <f t="shared" si="2"/>
        <v>#N/A</v>
      </c>
      <c r="U46" s="3" t="e">
        <f t="shared" si="4"/>
        <v>#N/A</v>
      </c>
      <c r="V46" s="3" t="e">
        <f t="shared" si="4"/>
        <v>#N/A</v>
      </c>
      <c r="W46" s="3" t="e">
        <f t="shared" si="4"/>
        <v>#N/A</v>
      </c>
      <c r="X46" s="3" t="e">
        <f t="shared" si="4"/>
        <v>#N/A</v>
      </c>
      <c r="Y46" s="3" t="e">
        <f t="shared" si="4"/>
        <v>#N/A</v>
      </c>
      <c r="Z46" s="3" t="e">
        <f t="shared" si="4"/>
        <v>#N/A</v>
      </c>
      <c r="AA46" s="3" t="e">
        <f t="shared" si="4"/>
        <v>#N/A</v>
      </c>
      <c r="AB46" s="3" t="e">
        <f t="shared" si="4"/>
        <v>#N/A</v>
      </c>
      <c r="AC46" s="3" t="e">
        <f t="shared" si="4"/>
        <v>#N/A</v>
      </c>
      <c r="AD46" s="3" t="e">
        <f t="shared" si="4"/>
        <v>#N/A</v>
      </c>
      <c r="AE46" s="3" t="e">
        <f t="shared" si="4"/>
        <v>#N/A</v>
      </c>
      <c r="AF46" s="3" t="e">
        <f t="shared" si="4"/>
        <v>#N/A</v>
      </c>
      <c r="AG46" s="3" t="e">
        <f t="shared" si="4"/>
        <v>#N/A</v>
      </c>
      <c r="AH46" s="3" t="e">
        <f t="shared" si="4"/>
        <v>#N/A</v>
      </c>
      <c r="AI46" s="3" t="e">
        <f t="shared" si="4"/>
        <v>#N/A</v>
      </c>
      <c r="AJ46" s="3" t="e">
        <f t="shared" si="4"/>
        <v>#N/A</v>
      </c>
      <c r="AK46" s="3" t="e">
        <f t="shared" si="4"/>
        <v>#N/A</v>
      </c>
      <c r="AL46" s="3" t="e">
        <f t="shared" si="4"/>
        <v>#N/A</v>
      </c>
      <c r="AM46" s="3" t="e">
        <f t="shared" si="4"/>
        <v>#N/A</v>
      </c>
      <c r="AN46" s="3" t="e">
        <f t="shared" si="4"/>
        <v>#N/A</v>
      </c>
    </row>
    <row r="47" spans="2:40" x14ac:dyDescent="0.3">
      <c r="B47" t="s">
        <v>41</v>
      </c>
      <c r="D47" t="s">
        <v>229</v>
      </c>
      <c r="E47" s="3" t="e">
        <f t="shared" si="2"/>
        <v>#N/A</v>
      </c>
      <c r="F47" s="3" t="e">
        <f t="shared" si="2"/>
        <v>#N/A</v>
      </c>
      <c r="G47" s="3" t="e">
        <f t="shared" si="2"/>
        <v>#N/A</v>
      </c>
      <c r="H47" s="3" t="e">
        <f t="shared" si="2"/>
        <v>#N/A</v>
      </c>
      <c r="I47" s="3" t="e">
        <f t="shared" si="2"/>
        <v>#N/A</v>
      </c>
      <c r="J47" s="3" t="e">
        <f t="shared" si="2"/>
        <v>#N/A</v>
      </c>
      <c r="K47" s="3" t="e">
        <f t="shared" si="2"/>
        <v>#N/A</v>
      </c>
      <c r="L47" s="3" t="e">
        <f t="shared" si="2"/>
        <v>#N/A</v>
      </c>
      <c r="M47" s="3" t="e">
        <f t="shared" si="2"/>
        <v>#N/A</v>
      </c>
      <c r="N47" s="3" t="e">
        <f t="shared" si="2"/>
        <v>#N/A</v>
      </c>
      <c r="O47" s="3" t="e">
        <f t="shared" si="2"/>
        <v>#N/A</v>
      </c>
      <c r="P47" s="3" t="e">
        <f t="shared" si="2"/>
        <v>#N/A</v>
      </c>
      <c r="Q47" s="3" t="e">
        <f t="shared" si="2"/>
        <v>#N/A</v>
      </c>
      <c r="R47" s="3" t="e">
        <f t="shared" si="2"/>
        <v>#N/A</v>
      </c>
      <c r="S47" s="3" t="e">
        <f t="shared" si="2"/>
        <v>#N/A</v>
      </c>
      <c r="T47" s="3" t="e">
        <f t="shared" si="2"/>
        <v>#N/A</v>
      </c>
      <c r="U47" s="3" t="e">
        <f t="shared" si="4"/>
        <v>#N/A</v>
      </c>
      <c r="V47" s="3" t="e">
        <f t="shared" si="4"/>
        <v>#N/A</v>
      </c>
      <c r="W47" s="3" t="e">
        <f t="shared" si="4"/>
        <v>#N/A</v>
      </c>
      <c r="X47" s="3" t="e">
        <f t="shared" si="4"/>
        <v>#N/A</v>
      </c>
      <c r="Y47" s="3" t="e">
        <f t="shared" si="4"/>
        <v>#N/A</v>
      </c>
      <c r="Z47" s="3" t="e">
        <f t="shared" si="4"/>
        <v>#N/A</v>
      </c>
      <c r="AA47" s="3" t="e">
        <f t="shared" si="4"/>
        <v>#N/A</v>
      </c>
      <c r="AB47" s="3" t="e">
        <f t="shared" si="4"/>
        <v>#N/A</v>
      </c>
      <c r="AC47" s="3" t="e">
        <f t="shared" si="4"/>
        <v>#N/A</v>
      </c>
      <c r="AD47" s="3" t="e">
        <f t="shared" si="4"/>
        <v>#N/A</v>
      </c>
      <c r="AE47" s="3" t="e">
        <f t="shared" si="4"/>
        <v>#N/A</v>
      </c>
      <c r="AF47" s="3" t="e">
        <f t="shared" si="4"/>
        <v>#N/A</v>
      </c>
      <c r="AG47" s="3" t="e">
        <f t="shared" si="4"/>
        <v>#N/A</v>
      </c>
      <c r="AH47" s="3" t="e">
        <f t="shared" si="4"/>
        <v>#N/A</v>
      </c>
      <c r="AI47" s="3" t="e">
        <f t="shared" si="4"/>
        <v>#N/A</v>
      </c>
      <c r="AJ47" s="3" t="e">
        <f t="shared" si="4"/>
        <v>#N/A</v>
      </c>
      <c r="AK47" s="3" t="e">
        <f t="shared" si="4"/>
        <v>#N/A</v>
      </c>
      <c r="AL47" s="3" t="e">
        <f t="shared" si="4"/>
        <v>#N/A</v>
      </c>
      <c r="AM47" s="3" t="e">
        <f t="shared" si="4"/>
        <v>#N/A</v>
      </c>
      <c r="AN47" s="3" t="e">
        <f t="shared" si="4"/>
        <v>#N/A</v>
      </c>
    </row>
    <row r="48" spans="2:40" x14ac:dyDescent="0.3">
      <c r="B48" t="s">
        <v>42</v>
      </c>
      <c r="D48" t="s">
        <v>229</v>
      </c>
      <c r="E48" s="3" t="e">
        <f t="shared" si="2"/>
        <v>#N/A</v>
      </c>
      <c r="F48" s="3" t="e">
        <f t="shared" si="2"/>
        <v>#N/A</v>
      </c>
      <c r="G48" s="3" t="e">
        <f t="shared" si="2"/>
        <v>#N/A</v>
      </c>
      <c r="H48" s="3" t="e">
        <f t="shared" si="2"/>
        <v>#N/A</v>
      </c>
      <c r="I48" s="3" t="e">
        <f t="shared" si="2"/>
        <v>#N/A</v>
      </c>
      <c r="J48" s="3" t="e">
        <f t="shared" si="2"/>
        <v>#N/A</v>
      </c>
      <c r="K48" s="3" t="e">
        <f t="shared" si="2"/>
        <v>#N/A</v>
      </c>
      <c r="L48" s="3" t="e">
        <f t="shared" si="2"/>
        <v>#N/A</v>
      </c>
      <c r="M48" s="3" t="e">
        <f t="shared" si="2"/>
        <v>#N/A</v>
      </c>
      <c r="N48" s="3" t="e">
        <f t="shared" si="2"/>
        <v>#N/A</v>
      </c>
      <c r="O48" s="3" t="e">
        <f t="shared" si="2"/>
        <v>#N/A</v>
      </c>
      <c r="P48" s="3" t="e">
        <f t="shared" si="2"/>
        <v>#N/A</v>
      </c>
      <c r="Q48" s="3" t="e">
        <f t="shared" si="2"/>
        <v>#N/A</v>
      </c>
      <c r="R48" s="3" t="e">
        <f t="shared" si="2"/>
        <v>#N/A</v>
      </c>
      <c r="S48" s="3" t="e">
        <f t="shared" si="2"/>
        <v>#N/A</v>
      </c>
      <c r="T48" s="3" t="e">
        <f t="shared" si="2"/>
        <v>#N/A</v>
      </c>
      <c r="U48" s="3" t="e">
        <f t="shared" si="4"/>
        <v>#N/A</v>
      </c>
      <c r="V48" s="3" t="e">
        <f t="shared" si="4"/>
        <v>#N/A</v>
      </c>
      <c r="W48" s="3" t="e">
        <f t="shared" si="4"/>
        <v>#N/A</v>
      </c>
      <c r="X48" s="3" t="e">
        <f t="shared" si="4"/>
        <v>#N/A</v>
      </c>
      <c r="Y48" s="3" t="e">
        <f t="shared" si="4"/>
        <v>#N/A</v>
      </c>
      <c r="Z48" s="3" t="e">
        <f t="shared" si="4"/>
        <v>#N/A</v>
      </c>
      <c r="AA48" s="3" t="e">
        <f t="shared" si="4"/>
        <v>#N/A</v>
      </c>
      <c r="AB48" s="3" t="e">
        <f t="shared" si="4"/>
        <v>#N/A</v>
      </c>
      <c r="AC48" s="3" t="e">
        <f t="shared" si="4"/>
        <v>#N/A</v>
      </c>
      <c r="AD48" s="3" t="e">
        <f t="shared" si="4"/>
        <v>#N/A</v>
      </c>
      <c r="AE48" s="3" t="e">
        <f t="shared" si="4"/>
        <v>#N/A</v>
      </c>
      <c r="AF48" s="3" t="e">
        <f t="shared" si="4"/>
        <v>#N/A</v>
      </c>
      <c r="AG48" s="3" t="e">
        <f t="shared" si="4"/>
        <v>#N/A</v>
      </c>
      <c r="AH48" s="3" t="e">
        <f t="shared" si="4"/>
        <v>#N/A</v>
      </c>
      <c r="AI48" s="3" t="e">
        <f t="shared" si="4"/>
        <v>#N/A</v>
      </c>
      <c r="AJ48" s="3" t="e">
        <f t="shared" si="4"/>
        <v>#N/A</v>
      </c>
      <c r="AK48" s="3" t="e">
        <f t="shared" si="4"/>
        <v>#N/A</v>
      </c>
      <c r="AL48" s="3" t="e">
        <f t="shared" si="4"/>
        <v>#N/A</v>
      </c>
      <c r="AM48" s="3" t="e">
        <f t="shared" si="4"/>
        <v>#N/A</v>
      </c>
      <c r="AN48" s="3" t="e">
        <f t="shared" si="4"/>
        <v>#N/A</v>
      </c>
    </row>
    <row r="49" spans="2:42" x14ac:dyDescent="0.3">
      <c r="B49" t="s">
        <v>43</v>
      </c>
      <c r="D49" t="s">
        <v>229</v>
      </c>
      <c r="E49" s="3" t="e">
        <f t="shared" si="2"/>
        <v>#N/A</v>
      </c>
      <c r="F49" s="3" t="e">
        <f t="shared" si="2"/>
        <v>#N/A</v>
      </c>
      <c r="G49" s="3" t="e">
        <f t="shared" si="2"/>
        <v>#N/A</v>
      </c>
      <c r="H49" s="3" t="e">
        <f t="shared" si="2"/>
        <v>#N/A</v>
      </c>
      <c r="I49" s="3" t="e">
        <f t="shared" si="2"/>
        <v>#N/A</v>
      </c>
      <c r="J49" s="3" t="e">
        <f t="shared" si="2"/>
        <v>#N/A</v>
      </c>
      <c r="K49" s="3" t="e">
        <f t="shared" si="2"/>
        <v>#N/A</v>
      </c>
      <c r="L49" s="3" t="e">
        <f t="shared" si="2"/>
        <v>#N/A</v>
      </c>
      <c r="M49" s="3" t="e">
        <f t="shared" si="2"/>
        <v>#N/A</v>
      </c>
      <c r="N49" s="3" t="e">
        <f t="shared" si="2"/>
        <v>#N/A</v>
      </c>
      <c r="O49" s="3" t="e">
        <f t="shared" si="2"/>
        <v>#N/A</v>
      </c>
      <c r="P49" s="3" t="e">
        <f t="shared" si="2"/>
        <v>#N/A</v>
      </c>
      <c r="Q49" s="3" t="e">
        <f t="shared" si="2"/>
        <v>#N/A</v>
      </c>
      <c r="R49" s="3" t="e">
        <f t="shared" si="2"/>
        <v>#N/A</v>
      </c>
      <c r="S49" s="3" t="e">
        <f t="shared" si="2"/>
        <v>#N/A</v>
      </c>
      <c r="T49" s="3" t="e">
        <f t="shared" si="2"/>
        <v>#N/A</v>
      </c>
      <c r="U49" s="3" t="e">
        <f t="shared" si="4"/>
        <v>#N/A</v>
      </c>
      <c r="V49" s="3" t="e">
        <f t="shared" si="4"/>
        <v>#N/A</v>
      </c>
      <c r="W49" s="3" t="e">
        <f t="shared" si="4"/>
        <v>#N/A</v>
      </c>
      <c r="X49" s="3" t="e">
        <f t="shared" si="4"/>
        <v>#N/A</v>
      </c>
      <c r="Y49" s="3" t="e">
        <f t="shared" si="4"/>
        <v>#N/A</v>
      </c>
      <c r="Z49" s="3" t="e">
        <f t="shared" si="4"/>
        <v>#N/A</v>
      </c>
      <c r="AA49" s="3" t="e">
        <f t="shared" si="4"/>
        <v>#N/A</v>
      </c>
      <c r="AB49" s="3" t="e">
        <f t="shared" si="4"/>
        <v>#N/A</v>
      </c>
      <c r="AC49" s="3" t="e">
        <f t="shared" si="4"/>
        <v>#N/A</v>
      </c>
      <c r="AD49" s="3" t="e">
        <f t="shared" si="4"/>
        <v>#N/A</v>
      </c>
      <c r="AE49" s="3" t="e">
        <f t="shared" si="4"/>
        <v>#N/A</v>
      </c>
      <c r="AF49" s="3" t="e">
        <f t="shared" si="4"/>
        <v>#N/A</v>
      </c>
      <c r="AG49" s="3" t="e">
        <f t="shared" si="4"/>
        <v>#N/A</v>
      </c>
      <c r="AH49" s="3" t="e">
        <f t="shared" si="4"/>
        <v>#N/A</v>
      </c>
      <c r="AI49" s="3" t="e">
        <f t="shared" si="4"/>
        <v>#N/A</v>
      </c>
      <c r="AJ49" s="3" t="e">
        <f t="shared" si="4"/>
        <v>#N/A</v>
      </c>
      <c r="AK49" s="3" t="e">
        <f t="shared" si="4"/>
        <v>#N/A</v>
      </c>
      <c r="AL49" s="3" t="e">
        <f t="shared" si="4"/>
        <v>#N/A</v>
      </c>
      <c r="AM49" s="3" t="e">
        <f t="shared" si="4"/>
        <v>#N/A</v>
      </c>
      <c r="AN49" s="3" t="e">
        <f t="shared" si="4"/>
        <v>#N/A</v>
      </c>
    </row>
    <row r="50" spans="2:42" x14ac:dyDescent="0.3">
      <c r="B50" t="s">
        <v>44</v>
      </c>
      <c r="D50" t="s">
        <v>229</v>
      </c>
      <c r="E50" s="3" t="e">
        <f t="shared" si="2"/>
        <v>#N/A</v>
      </c>
      <c r="F50" s="3" t="e">
        <f t="shared" si="2"/>
        <v>#N/A</v>
      </c>
      <c r="G50" s="3" t="e">
        <f t="shared" si="2"/>
        <v>#N/A</v>
      </c>
      <c r="H50" s="3" t="e">
        <f t="shared" si="2"/>
        <v>#N/A</v>
      </c>
      <c r="I50" s="3" t="e">
        <f t="shared" si="2"/>
        <v>#N/A</v>
      </c>
      <c r="J50" s="3" t="e">
        <f t="shared" si="2"/>
        <v>#N/A</v>
      </c>
      <c r="K50" s="3" t="e">
        <f t="shared" si="2"/>
        <v>#N/A</v>
      </c>
      <c r="L50" s="3" t="e">
        <f t="shared" si="2"/>
        <v>#N/A</v>
      </c>
      <c r="M50" s="3" t="e">
        <f t="shared" si="2"/>
        <v>#N/A</v>
      </c>
      <c r="N50" s="3" t="e">
        <f t="shared" si="2"/>
        <v>#N/A</v>
      </c>
      <c r="O50" s="3" t="e">
        <f t="shared" si="2"/>
        <v>#N/A</v>
      </c>
      <c r="P50" s="3" t="e">
        <f t="shared" si="2"/>
        <v>#N/A</v>
      </c>
      <c r="Q50" s="3" t="e">
        <f t="shared" si="2"/>
        <v>#N/A</v>
      </c>
      <c r="R50" s="3" t="e">
        <f t="shared" si="2"/>
        <v>#N/A</v>
      </c>
      <c r="S50" s="3" t="e">
        <f t="shared" si="2"/>
        <v>#N/A</v>
      </c>
      <c r="T50" s="3" t="e">
        <f t="shared" si="2"/>
        <v>#N/A</v>
      </c>
      <c r="U50" s="3" t="e">
        <f t="shared" si="4"/>
        <v>#N/A</v>
      </c>
      <c r="V50" s="3" t="e">
        <f t="shared" si="4"/>
        <v>#N/A</v>
      </c>
      <c r="W50" s="3" t="e">
        <f t="shared" si="4"/>
        <v>#N/A</v>
      </c>
      <c r="X50" s="3" t="e">
        <f t="shared" si="4"/>
        <v>#N/A</v>
      </c>
      <c r="Y50" s="3" t="e">
        <f t="shared" si="4"/>
        <v>#N/A</v>
      </c>
      <c r="Z50" s="3" t="e">
        <f t="shared" si="4"/>
        <v>#N/A</v>
      </c>
      <c r="AA50" s="3" t="e">
        <f t="shared" si="4"/>
        <v>#N/A</v>
      </c>
      <c r="AB50" s="3" t="e">
        <f t="shared" si="4"/>
        <v>#N/A</v>
      </c>
      <c r="AC50" s="3" t="e">
        <f t="shared" si="4"/>
        <v>#N/A</v>
      </c>
      <c r="AD50" s="3" t="e">
        <f t="shared" si="4"/>
        <v>#N/A</v>
      </c>
      <c r="AE50" s="3" t="e">
        <f t="shared" si="4"/>
        <v>#N/A</v>
      </c>
      <c r="AF50" s="3" t="e">
        <f t="shared" si="4"/>
        <v>#N/A</v>
      </c>
      <c r="AG50" s="3" t="e">
        <f t="shared" si="4"/>
        <v>#N/A</v>
      </c>
      <c r="AH50" s="3" t="e">
        <f t="shared" si="4"/>
        <v>#N/A</v>
      </c>
      <c r="AI50" s="3" t="e">
        <f t="shared" si="4"/>
        <v>#N/A</v>
      </c>
      <c r="AJ50" s="3" t="e">
        <f t="shared" si="4"/>
        <v>#N/A</v>
      </c>
      <c r="AK50" s="3" t="e">
        <f t="shared" si="4"/>
        <v>#N/A</v>
      </c>
      <c r="AL50" s="3" t="e">
        <f t="shared" si="4"/>
        <v>#N/A</v>
      </c>
      <c r="AM50" s="3" t="e">
        <f t="shared" si="4"/>
        <v>#N/A</v>
      </c>
      <c r="AN50" s="3" t="e">
        <f t="shared" si="4"/>
        <v>#N/A</v>
      </c>
    </row>
    <row r="51" spans="2:42" x14ac:dyDescent="0.3">
      <c r="B51" t="s">
        <v>45</v>
      </c>
      <c r="D51" t="s">
        <v>229</v>
      </c>
      <c r="E51" s="3" t="e">
        <f t="shared" ref="E51:AN58" si="5">E21/$E21</f>
        <v>#N/A</v>
      </c>
      <c r="F51" s="3" t="e">
        <f t="shared" si="5"/>
        <v>#N/A</v>
      </c>
      <c r="G51" s="3" t="e">
        <f t="shared" si="5"/>
        <v>#N/A</v>
      </c>
      <c r="H51" s="3" t="e">
        <f t="shared" si="5"/>
        <v>#N/A</v>
      </c>
      <c r="I51" s="3" t="e">
        <f t="shared" si="5"/>
        <v>#N/A</v>
      </c>
      <c r="J51" s="3" t="e">
        <f t="shared" si="5"/>
        <v>#N/A</v>
      </c>
      <c r="K51" s="3" t="e">
        <f t="shared" si="5"/>
        <v>#N/A</v>
      </c>
      <c r="L51" s="3" t="e">
        <f t="shared" si="5"/>
        <v>#N/A</v>
      </c>
      <c r="M51" s="3" t="e">
        <f t="shared" si="5"/>
        <v>#N/A</v>
      </c>
      <c r="N51" s="3" t="e">
        <f t="shared" si="5"/>
        <v>#N/A</v>
      </c>
      <c r="O51" s="3" t="e">
        <f t="shared" si="5"/>
        <v>#N/A</v>
      </c>
      <c r="P51" s="3" t="e">
        <f t="shared" si="5"/>
        <v>#N/A</v>
      </c>
      <c r="Q51" s="3" t="e">
        <f t="shared" si="5"/>
        <v>#N/A</v>
      </c>
      <c r="R51" s="3" t="e">
        <f t="shared" si="5"/>
        <v>#N/A</v>
      </c>
      <c r="S51" s="3" t="e">
        <f t="shared" si="5"/>
        <v>#N/A</v>
      </c>
      <c r="T51" s="3" t="e">
        <f t="shared" si="5"/>
        <v>#N/A</v>
      </c>
      <c r="U51" s="3" t="e">
        <f t="shared" si="5"/>
        <v>#N/A</v>
      </c>
      <c r="V51" s="3" t="e">
        <f t="shared" si="5"/>
        <v>#N/A</v>
      </c>
      <c r="W51" s="3" t="e">
        <f t="shared" si="5"/>
        <v>#N/A</v>
      </c>
      <c r="X51" s="3" t="e">
        <f t="shared" si="5"/>
        <v>#N/A</v>
      </c>
      <c r="Y51" s="3" t="e">
        <f t="shared" si="5"/>
        <v>#N/A</v>
      </c>
      <c r="Z51" s="3" t="e">
        <f t="shared" si="5"/>
        <v>#N/A</v>
      </c>
      <c r="AA51" s="3" t="e">
        <f t="shared" si="5"/>
        <v>#N/A</v>
      </c>
      <c r="AB51" s="3" t="e">
        <f t="shared" si="5"/>
        <v>#N/A</v>
      </c>
      <c r="AC51" s="3" t="e">
        <f t="shared" si="5"/>
        <v>#N/A</v>
      </c>
      <c r="AD51" s="3" t="e">
        <f t="shared" si="5"/>
        <v>#N/A</v>
      </c>
      <c r="AE51" s="3" t="e">
        <f t="shared" si="5"/>
        <v>#N/A</v>
      </c>
      <c r="AF51" s="3" t="e">
        <f t="shared" si="5"/>
        <v>#N/A</v>
      </c>
      <c r="AG51" s="3" t="e">
        <f t="shared" si="5"/>
        <v>#N/A</v>
      </c>
      <c r="AH51" s="3" t="e">
        <f t="shared" si="5"/>
        <v>#N/A</v>
      </c>
      <c r="AI51" s="3" t="e">
        <f t="shared" si="5"/>
        <v>#N/A</v>
      </c>
      <c r="AJ51" s="3" t="e">
        <f t="shared" si="5"/>
        <v>#N/A</v>
      </c>
      <c r="AK51" s="3" t="e">
        <f t="shared" si="5"/>
        <v>#N/A</v>
      </c>
      <c r="AL51" s="3" t="e">
        <f t="shared" si="5"/>
        <v>#N/A</v>
      </c>
      <c r="AM51" s="3" t="e">
        <f t="shared" si="5"/>
        <v>#N/A</v>
      </c>
      <c r="AN51" s="3" t="e">
        <f t="shared" si="5"/>
        <v>#N/A</v>
      </c>
    </row>
    <row r="52" spans="2:42" x14ac:dyDescent="0.3">
      <c r="B52" t="s">
        <v>46</v>
      </c>
      <c r="D52" t="s">
        <v>229</v>
      </c>
      <c r="E52" s="3" t="e">
        <f t="shared" si="5"/>
        <v>#N/A</v>
      </c>
      <c r="F52" s="3" t="e">
        <f t="shared" si="5"/>
        <v>#N/A</v>
      </c>
      <c r="G52" s="3" t="e">
        <f t="shared" si="5"/>
        <v>#N/A</v>
      </c>
      <c r="H52" s="3" t="e">
        <f t="shared" si="5"/>
        <v>#N/A</v>
      </c>
      <c r="I52" s="3" t="e">
        <f t="shared" si="5"/>
        <v>#N/A</v>
      </c>
      <c r="J52" s="3" t="e">
        <f t="shared" si="5"/>
        <v>#N/A</v>
      </c>
      <c r="K52" s="3" t="e">
        <f t="shared" si="5"/>
        <v>#N/A</v>
      </c>
      <c r="L52" s="3" t="e">
        <f t="shared" si="5"/>
        <v>#N/A</v>
      </c>
      <c r="M52" s="3" t="e">
        <f t="shared" si="5"/>
        <v>#N/A</v>
      </c>
      <c r="N52" s="3" t="e">
        <f t="shared" si="5"/>
        <v>#N/A</v>
      </c>
      <c r="O52" s="3" t="e">
        <f t="shared" si="5"/>
        <v>#N/A</v>
      </c>
      <c r="P52" s="3" t="e">
        <f t="shared" si="5"/>
        <v>#N/A</v>
      </c>
      <c r="Q52" s="3" t="e">
        <f t="shared" si="5"/>
        <v>#N/A</v>
      </c>
      <c r="R52" s="3" t="e">
        <f t="shared" si="5"/>
        <v>#N/A</v>
      </c>
      <c r="S52" s="3" t="e">
        <f t="shared" si="5"/>
        <v>#N/A</v>
      </c>
      <c r="T52" s="3" t="e">
        <f t="shared" si="5"/>
        <v>#N/A</v>
      </c>
      <c r="U52" s="3" t="e">
        <f t="shared" si="5"/>
        <v>#N/A</v>
      </c>
      <c r="V52" s="3" t="e">
        <f t="shared" si="5"/>
        <v>#N/A</v>
      </c>
      <c r="W52" s="3" t="e">
        <f t="shared" si="5"/>
        <v>#N/A</v>
      </c>
      <c r="X52" s="3" t="e">
        <f t="shared" si="5"/>
        <v>#N/A</v>
      </c>
      <c r="Y52" s="3" t="e">
        <f t="shared" si="5"/>
        <v>#N/A</v>
      </c>
      <c r="Z52" s="3" t="e">
        <f t="shared" si="5"/>
        <v>#N/A</v>
      </c>
      <c r="AA52" s="3" t="e">
        <f t="shared" si="5"/>
        <v>#N/A</v>
      </c>
      <c r="AB52" s="3" t="e">
        <f t="shared" si="5"/>
        <v>#N/A</v>
      </c>
      <c r="AC52" s="3" t="e">
        <f t="shared" si="5"/>
        <v>#N/A</v>
      </c>
      <c r="AD52" s="3" t="e">
        <f t="shared" si="5"/>
        <v>#N/A</v>
      </c>
      <c r="AE52" s="3" t="e">
        <f t="shared" si="5"/>
        <v>#N/A</v>
      </c>
      <c r="AF52" s="3" t="e">
        <f t="shared" si="5"/>
        <v>#N/A</v>
      </c>
      <c r="AG52" s="3" t="e">
        <f t="shared" si="5"/>
        <v>#N/A</v>
      </c>
      <c r="AH52" s="3" t="e">
        <f t="shared" si="5"/>
        <v>#N/A</v>
      </c>
      <c r="AI52" s="3" t="e">
        <f t="shared" si="5"/>
        <v>#N/A</v>
      </c>
      <c r="AJ52" s="3" t="e">
        <f t="shared" si="5"/>
        <v>#N/A</v>
      </c>
      <c r="AK52" s="3" t="e">
        <f t="shared" si="5"/>
        <v>#N/A</v>
      </c>
      <c r="AL52" s="3" t="e">
        <f t="shared" si="5"/>
        <v>#N/A</v>
      </c>
      <c r="AM52" s="3" t="e">
        <f t="shared" si="5"/>
        <v>#N/A</v>
      </c>
      <c r="AN52" s="3" t="e">
        <f t="shared" si="5"/>
        <v>#N/A</v>
      </c>
    </row>
    <row r="53" spans="2:42" x14ac:dyDescent="0.3">
      <c r="B53" t="s">
        <v>47</v>
      </c>
      <c r="D53" t="s">
        <v>229</v>
      </c>
      <c r="E53" s="3" t="e">
        <f t="shared" si="5"/>
        <v>#N/A</v>
      </c>
      <c r="F53" s="3" t="e">
        <f t="shared" si="5"/>
        <v>#N/A</v>
      </c>
      <c r="G53" s="3" t="e">
        <f t="shared" si="5"/>
        <v>#N/A</v>
      </c>
      <c r="H53" s="3" t="e">
        <f t="shared" si="5"/>
        <v>#N/A</v>
      </c>
      <c r="I53" s="3" t="e">
        <f t="shared" si="5"/>
        <v>#N/A</v>
      </c>
      <c r="J53" s="3" t="e">
        <f t="shared" si="5"/>
        <v>#N/A</v>
      </c>
      <c r="K53" s="3" t="e">
        <f t="shared" si="5"/>
        <v>#N/A</v>
      </c>
      <c r="L53" s="3" t="e">
        <f t="shared" si="5"/>
        <v>#N/A</v>
      </c>
      <c r="M53" s="3" t="e">
        <f t="shared" si="5"/>
        <v>#N/A</v>
      </c>
      <c r="N53" s="3" t="e">
        <f t="shared" si="5"/>
        <v>#N/A</v>
      </c>
      <c r="O53" s="3" t="e">
        <f t="shared" si="5"/>
        <v>#N/A</v>
      </c>
      <c r="P53" s="3" t="e">
        <f t="shared" si="5"/>
        <v>#N/A</v>
      </c>
      <c r="Q53" s="3" t="e">
        <f t="shared" si="5"/>
        <v>#N/A</v>
      </c>
      <c r="R53" s="3" t="e">
        <f t="shared" si="5"/>
        <v>#N/A</v>
      </c>
      <c r="S53" s="3" t="e">
        <f t="shared" si="5"/>
        <v>#N/A</v>
      </c>
      <c r="T53" s="3" t="e">
        <f t="shared" si="5"/>
        <v>#N/A</v>
      </c>
      <c r="U53" s="3" t="e">
        <f t="shared" si="5"/>
        <v>#N/A</v>
      </c>
      <c r="V53" s="3" t="e">
        <f t="shared" si="5"/>
        <v>#N/A</v>
      </c>
      <c r="W53" s="3" t="e">
        <f t="shared" si="5"/>
        <v>#N/A</v>
      </c>
      <c r="X53" s="3" t="e">
        <f t="shared" si="5"/>
        <v>#N/A</v>
      </c>
      <c r="Y53" s="3" t="e">
        <f t="shared" si="5"/>
        <v>#N/A</v>
      </c>
      <c r="Z53" s="3" t="e">
        <f t="shared" si="5"/>
        <v>#N/A</v>
      </c>
      <c r="AA53" s="3" t="e">
        <f t="shared" si="5"/>
        <v>#N/A</v>
      </c>
      <c r="AB53" s="3" t="e">
        <f t="shared" si="5"/>
        <v>#N/A</v>
      </c>
      <c r="AC53" s="3" t="e">
        <f t="shared" si="5"/>
        <v>#N/A</v>
      </c>
      <c r="AD53" s="3" t="e">
        <f t="shared" si="5"/>
        <v>#N/A</v>
      </c>
      <c r="AE53" s="3" t="e">
        <f t="shared" si="5"/>
        <v>#N/A</v>
      </c>
      <c r="AF53" s="3" t="e">
        <f t="shared" si="5"/>
        <v>#N/A</v>
      </c>
      <c r="AG53" s="3" t="e">
        <f t="shared" si="5"/>
        <v>#N/A</v>
      </c>
      <c r="AH53" s="3" t="e">
        <f t="shared" si="5"/>
        <v>#N/A</v>
      </c>
      <c r="AI53" s="3" t="e">
        <f t="shared" si="5"/>
        <v>#N/A</v>
      </c>
      <c r="AJ53" s="3" t="e">
        <f t="shared" si="5"/>
        <v>#N/A</v>
      </c>
      <c r="AK53" s="3" t="e">
        <f t="shared" si="5"/>
        <v>#N/A</v>
      </c>
      <c r="AL53" s="3" t="e">
        <f t="shared" si="5"/>
        <v>#N/A</v>
      </c>
      <c r="AM53" s="3" t="e">
        <f t="shared" si="5"/>
        <v>#N/A</v>
      </c>
      <c r="AN53" s="3" t="e">
        <f t="shared" si="5"/>
        <v>#N/A</v>
      </c>
    </row>
    <row r="54" spans="2:42" x14ac:dyDescent="0.3">
      <c r="B54" t="s">
        <v>48</v>
      </c>
      <c r="D54" t="s">
        <v>229</v>
      </c>
      <c r="E54" s="3" t="e">
        <f t="shared" si="5"/>
        <v>#N/A</v>
      </c>
      <c r="F54" s="3" t="e">
        <f t="shared" si="5"/>
        <v>#N/A</v>
      </c>
      <c r="G54" s="3" t="e">
        <f t="shared" si="5"/>
        <v>#N/A</v>
      </c>
      <c r="H54" s="3" t="e">
        <f t="shared" si="5"/>
        <v>#N/A</v>
      </c>
      <c r="I54" s="3" t="e">
        <f t="shared" si="5"/>
        <v>#N/A</v>
      </c>
      <c r="J54" s="3" t="e">
        <f t="shared" si="5"/>
        <v>#N/A</v>
      </c>
      <c r="K54" s="3" t="e">
        <f t="shared" si="5"/>
        <v>#N/A</v>
      </c>
      <c r="L54" s="3" t="e">
        <f t="shared" si="5"/>
        <v>#N/A</v>
      </c>
      <c r="M54" s="3" t="e">
        <f t="shared" si="5"/>
        <v>#N/A</v>
      </c>
      <c r="N54" s="3" t="e">
        <f t="shared" si="5"/>
        <v>#N/A</v>
      </c>
      <c r="O54" s="3" t="e">
        <f t="shared" si="5"/>
        <v>#N/A</v>
      </c>
      <c r="P54" s="3" t="e">
        <f t="shared" si="5"/>
        <v>#N/A</v>
      </c>
      <c r="Q54" s="3" t="e">
        <f t="shared" si="5"/>
        <v>#N/A</v>
      </c>
      <c r="R54" s="3" t="e">
        <f t="shared" si="5"/>
        <v>#N/A</v>
      </c>
      <c r="S54" s="3" t="e">
        <f t="shared" si="5"/>
        <v>#N/A</v>
      </c>
      <c r="T54" s="3" t="e">
        <f t="shared" si="5"/>
        <v>#N/A</v>
      </c>
      <c r="U54" s="3" t="e">
        <f t="shared" si="5"/>
        <v>#N/A</v>
      </c>
      <c r="V54" s="3" t="e">
        <f t="shared" si="5"/>
        <v>#N/A</v>
      </c>
      <c r="W54" s="3" t="e">
        <f t="shared" si="5"/>
        <v>#N/A</v>
      </c>
      <c r="X54" s="3" t="e">
        <f t="shared" si="5"/>
        <v>#N/A</v>
      </c>
      <c r="Y54" s="3" t="e">
        <f t="shared" si="5"/>
        <v>#N/A</v>
      </c>
      <c r="Z54" s="3" t="e">
        <f t="shared" si="5"/>
        <v>#N/A</v>
      </c>
      <c r="AA54" s="3" t="e">
        <f t="shared" si="5"/>
        <v>#N/A</v>
      </c>
      <c r="AB54" s="3" t="e">
        <f t="shared" si="5"/>
        <v>#N/A</v>
      </c>
      <c r="AC54" s="3" t="e">
        <f t="shared" si="5"/>
        <v>#N/A</v>
      </c>
      <c r="AD54" s="3" t="e">
        <f t="shared" si="5"/>
        <v>#N/A</v>
      </c>
      <c r="AE54" s="3" t="e">
        <f t="shared" si="5"/>
        <v>#N/A</v>
      </c>
      <c r="AF54" s="3" t="e">
        <f t="shared" si="5"/>
        <v>#N/A</v>
      </c>
      <c r="AG54" s="3" t="e">
        <f t="shared" si="5"/>
        <v>#N/A</v>
      </c>
      <c r="AH54" s="3" t="e">
        <f t="shared" si="5"/>
        <v>#N/A</v>
      </c>
      <c r="AI54" s="3" t="e">
        <f t="shared" si="5"/>
        <v>#N/A</v>
      </c>
      <c r="AJ54" s="3" t="e">
        <f t="shared" si="5"/>
        <v>#N/A</v>
      </c>
      <c r="AK54" s="3" t="e">
        <f t="shared" si="5"/>
        <v>#N/A</v>
      </c>
      <c r="AL54" s="3" t="e">
        <f t="shared" si="5"/>
        <v>#N/A</v>
      </c>
      <c r="AM54" s="3" t="e">
        <f t="shared" si="5"/>
        <v>#N/A</v>
      </c>
      <c r="AN54" s="3" t="e">
        <f t="shared" si="5"/>
        <v>#N/A</v>
      </c>
    </row>
    <row r="55" spans="2:42" x14ac:dyDescent="0.3">
      <c r="B55" t="s">
        <v>49</v>
      </c>
      <c r="D55" t="s">
        <v>229</v>
      </c>
      <c r="E55" s="3" t="e">
        <f t="shared" si="5"/>
        <v>#N/A</v>
      </c>
      <c r="F55" s="3" t="e">
        <f t="shared" si="5"/>
        <v>#N/A</v>
      </c>
      <c r="G55" s="3" t="e">
        <f t="shared" si="5"/>
        <v>#N/A</v>
      </c>
      <c r="H55" s="3" t="e">
        <f t="shared" si="5"/>
        <v>#N/A</v>
      </c>
      <c r="I55" s="3" t="e">
        <f t="shared" si="5"/>
        <v>#N/A</v>
      </c>
      <c r="J55" s="3" t="e">
        <f t="shared" si="5"/>
        <v>#N/A</v>
      </c>
      <c r="K55" s="3" t="e">
        <f t="shared" si="5"/>
        <v>#N/A</v>
      </c>
      <c r="L55" s="3" t="e">
        <f t="shared" si="5"/>
        <v>#N/A</v>
      </c>
      <c r="M55" s="3" t="e">
        <f t="shared" si="5"/>
        <v>#N/A</v>
      </c>
      <c r="N55" s="3" t="e">
        <f t="shared" si="5"/>
        <v>#N/A</v>
      </c>
      <c r="O55" s="3" t="e">
        <f t="shared" si="5"/>
        <v>#N/A</v>
      </c>
      <c r="P55" s="3" t="e">
        <f t="shared" si="5"/>
        <v>#N/A</v>
      </c>
      <c r="Q55" s="3" t="e">
        <f t="shared" si="5"/>
        <v>#N/A</v>
      </c>
      <c r="R55" s="3" t="e">
        <f t="shared" si="5"/>
        <v>#N/A</v>
      </c>
      <c r="S55" s="3" t="e">
        <f t="shared" si="5"/>
        <v>#N/A</v>
      </c>
      <c r="T55" s="3" t="e">
        <f t="shared" si="5"/>
        <v>#N/A</v>
      </c>
      <c r="U55" s="3" t="e">
        <f t="shared" si="5"/>
        <v>#N/A</v>
      </c>
      <c r="V55" s="3" t="e">
        <f t="shared" si="5"/>
        <v>#N/A</v>
      </c>
      <c r="W55" s="3" t="e">
        <f t="shared" si="5"/>
        <v>#N/A</v>
      </c>
      <c r="X55" s="3" t="e">
        <f t="shared" si="5"/>
        <v>#N/A</v>
      </c>
      <c r="Y55" s="3" t="e">
        <f t="shared" si="5"/>
        <v>#N/A</v>
      </c>
      <c r="Z55" s="3" t="e">
        <f t="shared" si="5"/>
        <v>#N/A</v>
      </c>
      <c r="AA55" s="3" t="e">
        <f t="shared" si="5"/>
        <v>#N/A</v>
      </c>
      <c r="AB55" s="3" t="e">
        <f t="shared" si="5"/>
        <v>#N/A</v>
      </c>
      <c r="AC55" s="3" t="e">
        <f t="shared" si="5"/>
        <v>#N/A</v>
      </c>
      <c r="AD55" s="3" t="e">
        <f t="shared" si="5"/>
        <v>#N/A</v>
      </c>
      <c r="AE55" s="3" t="e">
        <f t="shared" si="5"/>
        <v>#N/A</v>
      </c>
      <c r="AF55" s="3" t="e">
        <f t="shared" si="5"/>
        <v>#N/A</v>
      </c>
      <c r="AG55" s="3" t="e">
        <f t="shared" si="5"/>
        <v>#N/A</v>
      </c>
      <c r="AH55" s="3" t="e">
        <f t="shared" si="5"/>
        <v>#N/A</v>
      </c>
      <c r="AI55" s="3" t="e">
        <f t="shared" si="5"/>
        <v>#N/A</v>
      </c>
      <c r="AJ55" s="3" t="e">
        <f t="shared" si="5"/>
        <v>#N/A</v>
      </c>
      <c r="AK55" s="3" t="e">
        <f t="shared" si="5"/>
        <v>#N/A</v>
      </c>
      <c r="AL55" s="3" t="e">
        <f t="shared" si="5"/>
        <v>#N/A</v>
      </c>
      <c r="AM55" s="3" t="e">
        <f t="shared" si="5"/>
        <v>#N/A</v>
      </c>
      <c r="AN55" s="3" t="e">
        <f t="shared" si="5"/>
        <v>#N/A</v>
      </c>
    </row>
    <row r="56" spans="2:42" x14ac:dyDescent="0.3">
      <c r="B56" t="s">
        <v>50</v>
      </c>
      <c r="D56" t="s">
        <v>229</v>
      </c>
      <c r="E56" s="3" t="e">
        <f t="shared" si="5"/>
        <v>#N/A</v>
      </c>
      <c r="F56" s="3" t="e">
        <f t="shared" si="5"/>
        <v>#N/A</v>
      </c>
      <c r="G56" s="3" t="e">
        <f t="shared" si="5"/>
        <v>#N/A</v>
      </c>
      <c r="H56" s="3" t="e">
        <f t="shared" si="5"/>
        <v>#N/A</v>
      </c>
      <c r="I56" s="3" t="e">
        <f t="shared" si="5"/>
        <v>#N/A</v>
      </c>
      <c r="J56" s="3" t="e">
        <f t="shared" si="5"/>
        <v>#N/A</v>
      </c>
      <c r="K56" s="3" t="e">
        <f t="shared" si="5"/>
        <v>#N/A</v>
      </c>
      <c r="L56" s="3" t="e">
        <f t="shared" si="5"/>
        <v>#N/A</v>
      </c>
      <c r="M56" s="3" t="e">
        <f t="shared" si="5"/>
        <v>#N/A</v>
      </c>
      <c r="N56" s="3" t="e">
        <f t="shared" si="5"/>
        <v>#N/A</v>
      </c>
      <c r="O56" s="3" t="e">
        <f t="shared" si="5"/>
        <v>#N/A</v>
      </c>
      <c r="P56" s="3" t="e">
        <f t="shared" si="5"/>
        <v>#N/A</v>
      </c>
      <c r="Q56" s="3" t="e">
        <f t="shared" si="5"/>
        <v>#N/A</v>
      </c>
      <c r="R56" s="3" t="e">
        <f t="shared" si="5"/>
        <v>#N/A</v>
      </c>
      <c r="S56" s="3" t="e">
        <f t="shared" si="5"/>
        <v>#N/A</v>
      </c>
      <c r="T56" s="3" t="e">
        <f t="shared" si="5"/>
        <v>#N/A</v>
      </c>
      <c r="U56" s="3" t="e">
        <f t="shared" si="5"/>
        <v>#N/A</v>
      </c>
      <c r="V56" s="3" t="e">
        <f t="shared" si="5"/>
        <v>#N/A</v>
      </c>
      <c r="W56" s="3" t="e">
        <f t="shared" si="5"/>
        <v>#N/A</v>
      </c>
      <c r="X56" s="3" t="e">
        <f t="shared" si="5"/>
        <v>#N/A</v>
      </c>
      <c r="Y56" s="3" t="e">
        <f t="shared" si="5"/>
        <v>#N/A</v>
      </c>
      <c r="Z56" s="3" t="e">
        <f t="shared" si="5"/>
        <v>#N/A</v>
      </c>
      <c r="AA56" s="3" t="e">
        <f t="shared" si="5"/>
        <v>#N/A</v>
      </c>
      <c r="AB56" s="3" t="e">
        <f t="shared" si="5"/>
        <v>#N/A</v>
      </c>
      <c r="AC56" s="3" t="e">
        <f t="shared" si="5"/>
        <v>#N/A</v>
      </c>
      <c r="AD56" s="3" t="e">
        <f t="shared" si="5"/>
        <v>#N/A</v>
      </c>
      <c r="AE56" s="3" t="e">
        <f t="shared" si="5"/>
        <v>#N/A</v>
      </c>
      <c r="AF56" s="3" t="e">
        <f t="shared" si="5"/>
        <v>#N/A</v>
      </c>
      <c r="AG56" s="3" t="e">
        <f t="shared" si="5"/>
        <v>#N/A</v>
      </c>
      <c r="AH56" s="3" t="e">
        <f t="shared" si="5"/>
        <v>#N/A</v>
      </c>
      <c r="AI56" s="3" t="e">
        <f t="shared" si="5"/>
        <v>#N/A</v>
      </c>
      <c r="AJ56" s="3" t="e">
        <f t="shared" si="5"/>
        <v>#N/A</v>
      </c>
      <c r="AK56" s="3" t="e">
        <f t="shared" si="5"/>
        <v>#N/A</v>
      </c>
      <c r="AL56" s="3" t="e">
        <f t="shared" si="5"/>
        <v>#N/A</v>
      </c>
      <c r="AM56" s="3" t="e">
        <f t="shared" si="5"/>
        <v>#N/A</v>
      </c>
      <c r="AN56" s="3" t="e">
        <f t="shared" si="5"/>
        <v>#N/A</v>
      </c>
    </row>
    <row r="57" spans="2:42" x14ac:dyDescent="0.3">
      <c r="B57" t="s">
        <v>51</v>
      </c>
      <c r="D57" t="s">
        <v>229</v>
      </c>
      <c r="E57" s="3" t="e">
        <f t="shared" si="5"/>
        <v>#N/A</v>
      </c>
      <c r="F57" s="3" t="e">
        <f t="shared" si="5"/>
        <v>#N/A</v>
      </c>
      <c r="G57" s="3" t="e">
        <f t="shared" si="5"/>
        <v>#N/A</v>
      </c>
      <c r="H57" s="3" t="e">
        <f t="shared" si="5"/>
        <v>#N/A</v>
      </c>
      <c r="I57" s="3" t="e">
        <f t="shared" si="5"/>
        <v>#N/A</v>
      </c>
      <c r="J57" s="3" t="e">
        <f t="shared" si="5"/>
        <v>#N/A</v>
      </c>
      <c r="K57" s="3" t="e">
        <f t="shared" si="5"/>
        <v>#N/A</v>
      </c>
      <c r="L57" s="3" t="e">
        <f t="shared" si="5"/>
        <v>#N/A</v>
      </c>
      <c r="M57" s="3" t="e">
        <f t="shared" si="5"/>
        <v>#N/A</v>
      </c>
      <c r="N57" s="3" t="e">
        <f t="shared" si="5"/>
        <v>#N/A</v>
      </c>
      <c r="O57" s="3" t="e">
        <f t="shared" si="5"/>
        <v>#N/A</v>
      </c>
      <c r="P57" s="3" t="e">
        <f t="shared" si="5"/>
        <v>#N/A</v>
      </c>
      <c r="Q57" s="3" t="e">
        <f t="shared" si="5"/>
        <v>#N/A</v>
      </c>
      <c r="R57" s="3" t="e">
        <f t="shared" si="5"/>
        <v>#N/A</v>
      </c>
      <c r="S57" s="3" t="e">
        <f t="shared" si="5"/>
        <v>#N/A</v>
      </c>
      <c r="T57" s="3" t="e">
        <f t="shared" si="5"/>
        <v>#N/A</v>
      </c>
      <c r="U57" s="3" t="e">
        <f t="shared" si="5"/>
        <v>#N/A</v>
      </c>
      <c r="V57" s="3" t="e">
        <f t="shared" si="5"/>
        <v>#N/A</v>
      </c>
      <c r="W57" s="3" t="e">
        <f t="shared" si="5"/>
        <v>#N/A</v>
      </c>
      <c r="X57" s="3" t="e">
        <f t="shared" si="5"/>
        <v>#N/A</v>
      </c>
      <c r="Y57" s="3" t="e">
        <f t="shared" si="5"/>
        <v>#N/A</v>
      </c>
      <c r="Z57" s="3" t="e">
        <f t="shared" si="5"/>
        <v>#N/A</v>
      </c>
      <c r="AA57" s="3" t="e">
        <f t="shared" si="5"/>
        <v>#N/A</v>
      </c>
      <c r="AB57" s="3" t="e">
        <f t="shared" si="5"/>
        <v>#N/A</v>
      </c>
      <c r="AC57" s="3" t="e">
        <f t="shared" si="5"/>
        <v>#N/A</v>
      </c>
      <c r="AD57" s="3" t="e">
        <f t="shared" si="5"/>
        <v>#N/A</v>
      </c>
      <c r="AE57" s="3" t="e">
        <f t="shared" si="5"/>
        <v>#N/A</v>
      </c>
      <c r="AF57" s="3" t="e">
        <f t="shared" si="5"/>
        <v>#N/A</v>
      </c>
      <c r="AG57" s="3" t="e">
        <f t="shared" si="5"/>
        <v>#N/A</v>
      </c>
      <c r="AH57" s="3" t="e">
        <f t="shared" si="5"/>
        <v>#N/A</v>
      </c>
      <c r="AI57" s="3" t="e">
        <f t="shared" si="5"/>
        <v>#N/A</v>
      </c>
      <c r="AJ57" s="3" t="e">
        <f t="shared" si="5"/>
        <v>#N/A</v>
      </c>
      <c r="AK57" s="3" t="e">
        <f t="shared" si="5"/>
        <v>#N/A</v>
      </c>
      <c r="AL57" s="3" t="e">
        <f t="shared" si="5"/>
        <v>#N/A</v>
      </c>
      <c r="AM57" s="3" t="e">
        <f t="shared" si="5"/>
        <v>#N/A</v>
      </c>
      <c r="AN57" s="3" t="e">
        <f t="shared" si="5"/>
        <v>#N/A</v>
      </c>
      <c r="AP57" s="5" t="s">
        <v>230</v>
      </c>
    </row>
    <row r="58" spans="2:42" x14ac:dyDescent="0.3">
      <c r="B58" t="s">
        <v>52</v>
      </c>
      <c r="D58" t="s">
        <v>229</v>
      </c>
      <c r="E58" s="3" t="e">
        <f t="shared" si="5"/>
        <v>#N/A</v>
      </c>
      <c r="F58" s="3" t="e">
        <f t="shared" si="5"/>
        <v>#N/A</v>
      </c>
      <c r="G58" s="3" t="e">
        <f t="shared" si="5"/>
        <v>#N/A</v>
      </c>
      <c r="H58" s="3" t="e">
        <f t="shared" ref="F58:AN60" si="6">H28/$E28</f>
        <v>#N/A</v>
      </c>
      <c r="I58" s="3" t="e">
        <f t="shared" si="6"/>
        <v>#N/A</v>
      </c>
      <c r="J58" s="3" t="e">
        <f t="shared" si="6"/>
        <v>#N/A</v>
      </c>
      <c r="K58" s="3" t="e">
        <f t="shared" si="6"/>
        <v>#N/A</v>
      </c>
      <c r="L58" s="3" t="e">
        <f t="shared" si="6"/>
        <v>#N/A</v>
      </c>
      <c r="M58" s="3" t="e">
        <f t="shared" si="6"/>
        <v>#N/A</v>
      </c>
      <c r="N58" s="3" t="e">
        <f t="shared" si="6"/>
        <v>#N/A</v>
      </c>
      <c r="O58" s="3" t="e">
        <f t="shared" si="6"/>
        <v>#N/A</v>
      </c>
      <c r="P58" s="3" t="e">
        <f t="shared" si="6"/>
        <v>#N/A</v>
      </c>
      <c r="Q58" s="3" t="e">
        <f t="shared" si="6"/>
        <v>#N/A</v>
      </c>
      <c r="R58" s="3" t="e">
        <f t="shared" si="6"/>
        <v>#N/A</v>
      </c>
      <c r="S58" s="3" t="e">
        <f t="shared" si="6"/>
        <v>#N/A</v>
      </c>
      <c r="T58" s="3" t="e">
        <f t="shared" si="6"/>
        <v>#N/A</v>
      </c>
      <c r="U58" s="3" t="e">
        <f t="shared" si="6"/>
        <v>#N/A</v>
      </c>
      <c r="V58" s="3" t="e">
        <f t="shared" si="6"/>
        <v>#N/A</v>
      </c>
      <c r="W58" s="3" t="e">
        <f t="shared" si="6"/>
        <v>#N/A</v>
      </c>
      <c r="X58" s="3" t="e">
        <f t="shared" si="6"/>
        <v>#N/A</v>
      </c>
      <c r="Y58" s="3" t="e">
        <f t="shared" si="6"/>
        <v>#N/A</v>
      </c>
      <c r="Z58" s="3" t="e">
        <f t="shared" si="6"/>
        <v>#N/A</v>
      </c>
      <c r="AA58" s="3" t="e">
        <f t="shared" si="6"/>
        <v>#N/A</v>
      </c>
      <c r="AB58" s="3" t="e">
        <f t="shared" si="6"/>
        <v>#N/A</v>
      </c>
      <c r="AC58" s="3" t="e">
        <f t="shared" si="6"/>
        <v>#N/A</v>
      </c>
      <c r="AD58" s="3" t="e">
        <f t="shared" si="6"/>
        <v>#N/A</v>
      </c>
      <c r="AE58" s="3" t="e">
        <f t="shared" si="6"/>
        <v>#N/A</v>
      </c>
      <c r="AF58" s="3" t="e">
        <f t="shared" si="6"/>
        <v>#N/A</v>
      </c>
      <c r="AG58" s="3" t="e">
        <f t="shared" si="6"/>
        <v>#N/A</v>
      </c>
      <c r="AH58" s="3" t="e">
        <f t="shared" si="6"/>
        <v>#N/A</v>
      </c>
      <c r="AI58" s="3" t="e">
        <f t="shared" si="6"/>
        <v>#N/A</v>
      </c>
      <c r="AJ58" s="3" t="e">
        <f t="shared" si="6"/>
        <v>#N/A</v>
      </c>
      <c r="AK58" s="3" t="e">
        <f t="shared" si="6"/>
        <v>#N/A</v>
      </c>
      <c r="AL58" s="3" t="e">
        <f t="shared" si="6"/>
        <v>#N/A</v>
      </c>
      <c r="AM58" s="3" t="e">
        <f t="shared" si="6"/>
        <v>#N/A</v>
      </c>
      <c r="AN58" s="3" t="e">
        <f t="shared" si="6"/>
        <v>#N/A</v>
      </c>
    </row>
    <row r="59" spans="2:42" x14ac:dyDescent="0.3">
      <c r="B59" t="s">
        <v>53</v>
      </c>
      <c r="D59" t="s">
        <v>229</v>
      </c>
      <c r="E59" s="3" t="e">
        <f t="shared" ref="E59:E60" si="7">E29/$E29</f>
        <v>#N/A</v>
      </c>
      <c r="F59" s="3" t="e">
        <f t="shared" si="6"/>
        <v>#N/A</v>
      </c>
      <c r="G59" s="3" t="e">
        <f t="shared" si="6"/>
        <v>#N/A</v>
      </c>
      <c r="H59" s="3" t="e">
        <f t="shared" si="6"/>
        <v>#N/A</v>
      </c>
      <c r="I59" s="3" t="e">
        <f t="shared" si="6"/>
        <v>#N/A</v>
      </c>
      <c r="J59" s="3" t="e">
        <f t="shared" si="6"/>
        <v>#N/A</v>
      </c>
      <c r="K59" s="3" t="e">
        <f t="shared" si="6"/>
        <v>#N/A</v>
      </c>
      <c r="L59" s="3" t="e">
        <f t="shared" si="6"/>
        <v>#N/A</v>
      </c>
      <c r="M59" s="3" t="e">
        <f t="shared" si="6"/>
        <v>#N/A</v>
      </c>
      <c r="N59" s="3" t="e">
        <f t="shared" si="6"/>
        <v>#N/A</v>
      </c>
      <c r="O59" s="3" t="e">
        <f t="shared" si="6"/>
        <v>#N/A</v>
      </c>
      <c r="P59" s="3" t="e">
        <f t="shared" si="6"/>
        <v>#N/A</v>
      </c>
      <c r="Q59" s="3" t="e">
        <f t="shared" si="6"/>
        <v>#N/A</v>
      </c>
      <c r="R59" s="3" t="e">
        <f t="shared" si="6"/>
        <v>#N/A</v>
      </c>
      <c r="S59" s="3" t="e">
        <f t="shared" si="6"/>
        <v>#N/A</v>
      </c>
      <c r="T59" s="3" t="e">
        <f t="shared" si="6"/>
        <v>#N/A</v>
      </c>
      <c r="U59" s="3" t="e">
        <f t="shared" si="6"/>
        <v>#N/A</v>
      </c>
      <c r="V59" s="3" t="e">
        <f t="shared" si="6"/>
        <v>#N/A</v>
      </c>
      <c r="W59" s="3" t="e">
        <f t="shared" si="6"/>
        <v>#N/A</v>
      </c>
      <c r="X59" s="3" t="e">
        <f t="shared" si="6"/>
        <v>#N/A</v>
      </c>
      <c r="Y59" s="3" t="e">
        <f t="shared" si="6"/>
        <v>#N/A</v>
      </c>
      <c r="Z59" s="3" t="e">
        <f t="shared" si="6"/>
        <v>#N/A</v>
      </c>
      <c r="AA59" s="3" t="e">
        <f t="shared" si="6"/>
        <v>#N/A</v>
      </c>
      <c r="AB59" s="3" t="e">
        <f t="shared" si="6"/>
        <v>#N/A</v>
      </c>
      <c r="AC59" s="3" t="e">
        <f t="shared" si="6"/>
        <v>#N/A</v>
      </c>
      <c r="AD59" s="3" t="e">
        <f t="shared" si="6"/>
        <v>#N/A</v>
      </c>
      <c r="AE59" s="3" t="e">
        <f t="shared" si="6"/>
        <v>#N/A</v>
      </c>
      <c r="AF59" s="3" t="e">
        <f t="shared" si="6"/>
        <v>#N/A</v>
      </c>
      <c r="AG59" s="3" t="e">
        <f t="shared" si="6"/>
        <v>#N/A</v>
      </c>
      <c r="AH59" s="3" t="e">
        <f t="shared" si="6"/>
        <v>#N/A</v>
      </c>
      <c r="AI59" s="3" t="e">
        <f t="shared" si="6"/>
        <v>#N/A</v>
      </c>
      <c r="AJ59" s="3" t="e">
        <f t="shared" si="6"/>
        <v>#N/A</v>
      </c>
      <c r="AK59" s="3" t="e">
        <f t="shared" si="6"/>
        <v>#N/A</v>
      </c>
      <c r="AL59" s="3" t="e">
        <f t="shared" si="6"/>
        <v>#N/A</v>
      </c>
      <c r="AM59" s="3" t="e">
        <f t="shared" si="6"/>
        <v>#N/A</v>
      </c>
      <c r="AN59" s="3" t="e">
        <f t="shared" si="6"/>
        <v>#N/A</v>
      </c>
    </row>
    <row r="60" spans="2:42" x14ac:dyDescent="0.3">
      <c r="B60" t="s">
        <v>54</v>
      </c>
      <c r="D60" t="s">
        <v>229</v>
      </c>
      <c r="E60" s="3" t="e">
        <f t="shared" si="7"/>
        <v>#N/A</v>
      </c>
      <c r="F60" s="3" t="e">
        <f t="shared" si="6"/>
        <v>#N/A</v>
      </c>
      <c r="G60" s="3" t="e">
        <f t="shared" si="6"/>
        <v>#N/A</v>
      </c>
      <c r="H60" s="3" t="e">
        <f t="shared" si="6"/>
        <v>#N/A</v>
      </c>
      <c r="I60" s="3" t="e">
        <f t="shared" si="6"/>
        <v>#N/A</v>
      </c>
      <c r="J60" s="3" t="e">
        <f t="shared" si="6"/>
        <v>#N/A</v>
      </c>
      <c r="K60" s="3" t="e">
        <f t="shared" si="6"/>
        <v>#N/A</v>
      </c>
      <c r="L60" s="3" t="e">
        <f t="shared" si="6"/>
        <v>#N/A</v>
      </c>
      <c r="M60" s="3" t="e">
        <f t="shared" si="6"/>
        <v>#N/A</v>
      </c>
      <c r="N60" s="3" t="e">
        <f t="shared" si="6"/>
        <v>#N/A</v>
      </c>
      <c r="O60" s="3" t="e">
        <f t="shared" si="6"/>
        <v>#N/A</v>
      </c>
      <c r="P60" s="3" t="e">
        <f t="shared" si="6"/>
        <v>#N/A</v>
      </c>
      <c r="Q60" s="3" t="e">
        <f t="shared" si="6"/>
        <v>#N/A</v>
      </c>
      <c r="R60" s="3" t="e">
        <f t="shared" si="6"/>
        <v>#N/A</v>
      </c>
      <c r="S60" s="3" t="e">
        <f t="shared" si="6"/>
        <v>#N/A</v>
      </c>
      <c r="T60" s="3" t="e">
        <f t="shared" si="6"/>
        <v>#N/A</v>
      </c>
      <c r="U60" s="3" t="e">
        <f t="shared" si="6"/>
        <v>#N/A</v>
      </c>
      <c r="V60" s="3" t="e">
        <f t="shared" si="6"/>
        <v>#N/A</v>
      </c>
      <c r="W60" s="3" t="e">
        <f t="shared" si="6"/>
        <v>#N/A</v>
      </c>
      <c r="X60" s="3" t="e">
        <f t="shared" si="6"/>
        <v>#N/A</v>
      </c>
      <c r="Y60" s="3" t="e">
        <f t="shared" si="6"/>
        <v>#N/A</v>
      </c>
      <c r="Z60" s="3" t="e">
        <f t="shared" si="6"/>
        <v>#N/A</v>
      </c>
      <c r="AA60" s="3" t="e">
        <f t="shared" si="6"/>
        <v>#N/A</v>
      </c>
      <c r="AB60" s="3" t="e">
        <f t="shared" si="6"/>
        <v>#N/A</v>
      </c>
      <c r="AC60" s="3" t="e">
        <f t="shared" si="6"/>
        <v>#N/A</v>
      </c>
      <c r="AD60" s="3" t="e">
        <f t="shared" si="6"/>
        <v>#N/A</v>
      </c>
      <c r="AE60" s="3" t="e">
        <f t="shared" si="6"/>
        <v>#N/A</v>
      </c>
      <c r="AF60" s="3" t="e">
        <f t="shared" si="6"/>
        <v>#N/A</v>
      </c>
      <c r="AG60" s="3" t="e">
        <f t="shared" si="6"/>
        <v>#N/A</v>
      </c>
      <c r="AH60" s="3" t="e">
        <f t="shared" si="6"/>
        <v>#N/A</v>
      </c>
      <c r="AI60" s="3" t="e">
        <f t="shared" si="6"/>
        <v>#N/A</v>
      </c>
      <c r="AJ60" s="3" t="e">
        <f t="shared" si="6"/>
        <v>#N/A</v>
      </c>
      <c r="AK60" s="3" t="e">
        <f t="shared" si="6"/>
        <v>#N/A</v>
      </c>
      <c r="AL60" s="3" t="e">
        <f t="shared" si="6"/>
        <v>#N/A</v>
      </c>
      <c r="AM60" s="3" t="e">
        <f t="shared" si="6"/>
        <v>#N/A</v>
      </c>
      <c r="AN60" s="3" t="e">
        <f t="shared" si="6"/>
        <v>#N/A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26A87-CF5C-439C-AE9B-AA4C5792D4EA}">
  <sheetPr>
    <tabColor theme="5"/>
  </sheetPr>
  <dimension ref="A1:AV60"/>
  <sheetViews>
    <sheetView topLeftCell="A24" workbookViewId="0">
      <selection activeCell="B33" sqref="B33:AN44"/>
    </sheetView>
  </sheetViews>
  <sheetFormatPr defaultRowHeight="14.4" x14ac:dyDescent="0.3"/>
  <sheetData>
    <row r="1" spans="1:48" s="12" customFormat="1" ht="19.8" x14ac:dyDescent="0.4">
      <c r="A1" s="11" t="s">
        <v>233</v>
      </c>
      <c r="C1" s="11"/>
      <c r="D1" s="16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</row>
    <row r="2" spans="1:48" x14ac:dyDescent="0.3">
      <c r="E2" s="14">
        <v>2</v>
      </c>
      <c r="F2" s="14">
        <v>3</v>
      </c>
      <c r="G2" s="14">
        <v>4</v>
      </c>
      <c r="H2" s="14">
        <v>5</v>
      </c>
      <c r="I2" s="14">
        <v>6</v>
      </c>
      <c r="J2" s="14">
        <v>7</v>
      </c>
      <c r="K2" s="14">
        <v>8</v>
      </c>
      <c r="L2" s="14">
        <v>9</v>
      </c>
      <c r="M2" s="14">
        <v>10</v>
      </c>
      <c r="N2" s="14">
        <v>11</v>
      </c>
      <c r="O2" s="14">
        <v>12</v>
      </c>
      <c r="P2" s="14">
        <v>13</v>
      </c>
      <c r="Q2" s="14">
        <v>14</v>
      </c>
      <c r="R2" s="14">
        <v>15</v>
      </c>
      <c r="S2" s="14">
        <v>16</v>
      </c>
      <c r="T2" s="14">
        <v>17</v>
      </c>
      <c r="U2" s="14">
        <v>18</v>
      </c>
      <c r="V2" s="14">
        <v>19</v>
      </c>
      <c r="W2" s="14">
        <v>20</v>
      </c>
      <c r="X2" s="14">
        <v>21</v>
      </c>
      <c r="Y2" s="14">
        <v>22</v>
      </c>
      <c r="Z2" s="14">
        <v>23</v>
      </c>
      <c r="AA2" s="14">
        <v>24</v>
      </c>
      <c r="AB2" s="14">
        <v>25</v>
      </c>
      <c r="AC2" s="14">
        <v>26</v>
      </c>
      <c r="AD2" s="14">
        <v>27</v>
      </c>
      <c r="AE2" s="14">
        <v>28</v>
      </c>
      <c r="AF2" s="14">
        <v>29</v>
      </c>
      <c r="AG2" s="14">
        <v>30</v>
      </c>
      <c r="AH2" s="14">
        <v>31</v>
      </c>
      <c r="AI2" s="14">
        <v>32</v>
      </c>
      <c r="AJ2" s="14">
        <v>33</v>
      </c>
      <c r="AK2" s="14">
        <v>34</v>
      </c>
      <c r="AL2" s="14">
        <v>35</v>
      </c>
      <c r="AM2" s="14">
        <v>36</v>
      </c>
      <c r="AN2" s="14">
        <v>37</v>
      </c>
    </row>
    <row r="3" spans="1:48" x14ac:dyDescent="0.3">
      <c r="E3" s="5">
        <v>2015</v>
      </c>
      <c r="F3" s="5">
        <v>2016</v>
      </c>
      <c r="G3" s="5">
        <v>2017</v>
      </c>
      <c r="H3" s="5">
        <v>2018</v>
      </c>
      <c r="I3" s="5">
        <v>2019</v>
      </c>
      <c r="J3" s="5">
        <v>2020</v>
      </c>
      <c r="K3" s="5">
        <v>2021</v>
      </c>
      <c r="L3" s="5">
        <v>2022</v>
      </c>
      <c r="M3" s="5">
        <v>2023</v>
      </c>
      <c r="N3" s="5">
        <v>2024</v>
      </c>
      <c r="O3" s="5">
        <v>2025</v>
      </c>
      <c r="P3" s="5">
        <v>2026</v>
      </c>
      <c r="Q3" s="5">
        <v>2027</v>
      </c>
      <c r="R3" s="5">
        <v>2028</v>
      </c>
      <c r="S3" s="5">
        <v>2029</v>
      </c>
      <c r="T3" s="5">
        <v>2030</v>
      </c>
      <c r="U3" s="5">
        <v>2031</v>
      </c>
      <c r="V3" s="5">
        <v>2032</v>
      </c>
      <c r="W3" s="5">
        <v>2033</v>
      </c>
      <c r="X3" s="5">
        <v>2034</v>
      </c>
      <c r="Y3" s="5">
        <v>2035</v>
      </c>
      <c r="Z3" s="5">
        <v>2036</v>
      </c>
      <c r="AA3" s="5">
        <v>2037</v>
      </c>
      <c r="AB3" s="5">
        <v>2038</v>
      </c>
      <c r="AC3" s="5">
        <v>2039</v>
      </c>
      <c r="AD3" s="5">
        <v>2040</v>
      </c>
      <c r="AE3" s="5">
        <v>2041</v>
      </c>
      <c r="AF3" s="5">
        <v>2042</v>
      </c>
      <c r="AG3" s="5">
        <v>2043</v>
      </c>
      <c r="AH3" s="5">
        <v>2044</v>
      </c>
      <c r="AI3" s="5">
        <v>2045</v>
      </c>
      <c r="AJ3" s="5">
        <v>2046</v>
      </c>
      <c r="AK3" s="5">
        <v>2047</v>
      </c>
      <c r="AL3" s="5">
        <v>2048</v>
      </c>
      <c r="AM3" s="5">
        <v>2049</v>
      </c>
      <c r="AN3" s="5">
        <v>2050</v>
      </c>
    </row>
    <row r="4" spans="1:48" x14ac:dyDescent="0.3">
      <c r="B4" t="s">
        <v>55</v>
      </c>
      <c r="D4" t="s">
        <v>235</v>
      </c>
      <c r="E4" s="13" t="e">
        <f>VLOOKUP($B4,baseline!$A:$AK,E$2,FALSE)</f>
        <v>#N/A</v>
      </c>
      <c r="F4" s="13" t="e">
        <f>VLOOKUP($B4,baseline!$A:$AK,F$2,FALSE)</f>
        <v>#N/A</v>
      </c>
      <c r="G4" s="13" t="e">
        <f>VLOOKUP($B4,baseline!$A:$AK,G$2,FALSE)</f>
        <v>#N/A</v>
      </c>
      <c r="H4" s="13" t="e">
        <f>VLOOKUP($B4,baseline!$A:$AK,H$2,FALSE)</f>
        <v>#N/A</v>
      </c>
      <c r="I4" s="13" t="e">
        <f>VLOOKUP($B4,baseline!$A:$AK,I$2,FALSE)</f>
        <v>#N/A</v>
      </c>
      <c r="J4" s="13" t="e">
        <f>VLOOKUP($B4,baseline!$A:$AK,J$2,FALSE)</f>
        <v>#N/A</v>
      </c>
      <c r="K4" s="13" t="e">
        <f>VLOOKUP($B4,baseline!$A:$AK,K$2,FALSE)</f>
        <v>#N/A</v>
      </c>
      <c r="L4" s="13" t="e">
        <f>VLOOKUP($B4,baseline!$A:$AK,L$2,FALSE)</f>
        <v>#N/A</v>
      </c>
      <c r="M4" s="13" t="e">
        <f>VLOOKUP($B4,baseline!$A:$AK,M$2,FALSE)</f>
        <v>#N/A</v>
      </c>
      <c r="N4" s="13" t="e">
        <f>VLOOKUP($B4,baseline!$A:$AK,N$2,FALSE)</f>
        <v>#N/A</v>
      </c>
      <c r="O4" s="13" t="e">
        <f>VLOOKUP($B4,baseline!$A:$AK,O$2,FALSE)</f>
        <v>#N/A</v>
      </c>
      <c r="P4" s="13" t="e">
        <f>VLOOKUP($B4,baseline!$A:$AK,P$2,FALSE)</f>
        <v>#N/A</v>
      </c>
      <c r="Q4" s="13" t="e">
        <f>VLOOKUP($B4,baseline!$A:$AK,Q$2,FALSE)</f>
        <v>#N/A</v>
      </c>
      <c r="R4" s="13" t="e">
        <f>VLOOKUP($B4,baseline!$A:$AK,R$2,FALSE)</f>
        <v>#N/A</v>
      </c>
      <c r="S4" s="13" t="e">
        <f>VLOOKUP($B4,baseline!$A:$AK,S$2,FALSE)</f>
        <v>#N/A</v>
      </c>
      <c r="T4" s="13" t="e">
        <f>VLOOKUP($B4,baseline!$A:$AK,T$2,FALSE)</f>
        <v>#N/A</v>
      </c>
      <c r="U4" s="13" t="e">
        <f>VLOOKUP($B4,baseline!$A:$AK,U$2,FALSE)</f>
        <v>#N/A</v>
      </c>
      <c r="V4" s="13" t="e">
        <f>VLOOKUP($B4,baseline!$A:$AK,V$2,FALSE)</f>
        <v>#N/A</v>
      </c>
      <c r="W4" s="13" t="e">
        <f>VLOOKUP($B4,baseline!$A:$AK,W$2,FALSE)</f>
        <v>#N/A</v>
      </c>
      <c r="X4" s="13" t="e">
        <f>VLOOKUP($B4,baseline!$A:$AK,X$2,FALSE)</f>
        <v>#N/A</v>
      </c>
      <c r="Y4" s="13" t="e">
        <f>VLOOKUP($B4,baseline!$A:$AK,Y$2,FALSE)</f>
        <v>#N/A</v>
      </c>
      <c r="Z4" s="13" t="e">
        <f>VLOOKUP($B4,baseline!$A:$AK,Z$2,FALSE)</f>
        <v>#N/A</v>
      </c>
      <c r="AA4" s="13" t="e">
        <f>VLOOKUP($B4,baseline!$A:$AK,AA$2,FALSE)</f>
        <v>#N/A</v>
      </c>
      <c r="AB4" s="13" t="e">
        <f>VLOOKUP($B4,baseline!$A:$AK,AB$2,FALSE)</f>
        <v>#N/A</v>
      </c>
      <c r="AC4" s="13" t="e">
        <f>VLOOKUP($B4,baseline!$A:$AK,AC$2,FALSE)</f>
        <v>#N/A</v>
      </c>
      <c r="AD4" s="13" t="e">
        <f>VLOOKUP($B4,baseline!$A:$AK,AD$2,FALSE)</f>
        <v>#N/A</v>
      </c>
      <c r="AE4" s="13" t="e">
        <f>VLOOKUP($B4,baseline!$A:$AK,AE$2,FALSE)</f>
        <v>#N/A</v>
      </c>
      <c r="AF4" s="13" t="e">
        <f>VLOOKUP($B4,baseline!$A:$AK,AF$2,FALSE)</f>
        <v>#N/A</v>
      </c>
      <c r="AG4" s="13" t="e">
        <f>VLOOKUP($B4,baseline!$A:$AK,AG$2,FALSE)</f>
        <v>#N/A</v>
      </c>
      <c r="AH4" s="13" t="e">
        <f>VLOOKUP($B4,baseline!$A:$AK,AH$2,FALSE)</f>
        <v>#N/A</v>
      </c>
      <c r="AI4" s="13" t="e">
        <f>VLOOKUP($B4,baseline!$A:$AK,AI$2,FALSE)</f>
        <v>#N/A</v>
      </c>
      <c r="AJ4" s="13" t="e">
        <f>VLOOKUP($B4,baseline!$A:$AK,AJ$2,FALSE)</f>
        <v>#N/A</v>
      </c>
      <c r="AK4" s="13" t="e">
        <f>VLOOKUP($B4,baseline!$A:$AK,AK$2,FALSE)</f>
        <v>#N/A</v>
      </c>
      <c r="AL4" s="13" t="e">
        <f>VLOOKUP($B4,baseline!$A:$AK,AL$2,FALSE)</f>
        <v>#N/A</v>
      </c>
      <c r="AM4" s="13" t="e">
        <f>VLOOKUP($B4,baseline!$A:$AK,AM$2,FALSE)</f>
        <v>#N/A</v>
      </c>
      <c r="AN4" s="13" t="e">
        <f>VLOOKUP($B4,baseline!$A:$AK,AN$2,FALSE)</f>
        <v>#N/A</v>
      </c>
      <c r="AP4" s="3" t="e">
        <f t="shared" ref="AP4:AP30" si="0">AN4/E4</f>
        <v>#N/A</v>
      </c>
    </row>
    <row r="5" spans="1:48" x14ac:dyDescent="0.3">
      <c r="B5" t="s">
        <v>56</v>
      </c>
      <c r="D5" t="s">
        <v>236</v>
      </c>
      <c r="E5" s="13" t="e">
        <f>VLOOKUP($B5,baseline!$A:$AK,E$2,FALSE)</f>
        <v>#N/A</v>
      </c>
      <c r="F5" s="13" t="e">
        <f>VLOOKUP($B5,baseline!$A:$AK,F$2,FALSE)</f>
        <v>#N/A</v>
      </c>
      <c r="G5" s="13" t="e">
        <f>VLOOKUP($B5,baseline!$A:$AK,G$2,FALSE)</f>
        <v>#N/A</v>
      </c>
      <c r="H5" s="13" t="e">
        <f>VLOOKUP($B5,baseline!$A:$AK,H$2,FALSE)</f>
        <v>#N/A</v>
      </c>
      <c r="I5" s="13" t="e">
        <f>VLOOKUP($B5,baseline!$A:$AK,I$2,FALSE)</f>
        <v>#N/A</v>
      </c>
      <c r="J5" s="13" t="e">
        <f>VLOOKUP($B5,baseline!$A:$AK,J$2,FALSE)</f>
        <v>#N/A</v>
      </c>
      <c r="K5" s="13" t="e">
        <f>VLOOKUP($B5,baseline!$A:$AK,K$2,FALSE)</f>
        <v>#N/A</v>
      </c>
      <c r="L5" s="13" t="e">
        <f>VLOOKUP($B5,baseline!$A:$AK,L$2,FALSE)</f>
        <v>#N/A</v>
      </c>
      <c r="M5" s="13" t="e">
        <f>VLOOKUP($B5,baseline!$A:$AK,M$2,FALSE)</f>
        <v>#N/A</v>
      </c>
      <c r="N5" s="13" t="e">
        <f>VLOOKUP($B5,baseline!$A:$AK,N$2,FALSE)</f>
        <v>#N/A</v>
      </c>
      <c r="O5" s="13" t="e">
        <f>VLOOKUP($B5,baseline!$A:$AK,O$2,FALSE)</f>
        <v>#N/A</v>
      </c>
      <c r="P5" s="13" t="e">
        <f>VLOOKUP($B5,baseline!$A:$AK,P$2,FALSE)</f>
        <v>#N/A</v>
      </c>
      <c r="Q5" s="13" t="e">
        <f>VLOOKUP($B5,baseline!$A:$AK,Q$2,FALSE)</f>
        <v>#N/A</v>
      </c>
      <c r="R5" s="13" t="e">
        <f>VLOOKUP($B5,baseline!$A:$AK,R$2,FALSE)</f>
        <v>#N/A</v>
      </c>
      <c r="S5" s="13" t="e">
        <f>VLOOKUP($B5,baseline!$A:$AK,S$2,FALSE)</f>
        <v>#N/A</v>
      </c>
      <c r="T5" s="13" t="e">
        <f>VLOOKUP($B5,baseline!$A:$AK,T$2,FALSE)</f>
        <v>#N/A</v>
      </c>
      <c r="U5" s="13" t="e">
        <f>VLOOKUP($B5,baseline!$A:$AK,U$2,FALSE)</f>
        <v>#N/A</v>
      </c>
      <c r="V5" s="13" t="e">
        <f>VLOOKUP($B5,baseline!$A:$AK,V$2,FALSE)</f>
        <v>#N/A</v>
      </c>
      <c r="W5" s="13" t="e">
        <f>VLOOKUP($B5,baseline!$A:$AK,W$2,FALSE)</f>
        <v>#N/A</v>
      </c>
      <c r="X5" s="13" t="e">
        <f>VLOOKUP($B5,baseline!$A:$AK,X$2,FALSE)</f>
        <v>#N/A</v>
      </c>
      <c r="Y5" s="13" t="e">
        <f>VLOOKUP($B5,baseline!$A:$AK,Y$2,FALSE)</f>
        <v>#N/A</v>
      </c>
      <c r="Z5" s="13" t="e">
        <f>VLOOKUP($B5,baseline!$A:$AK,Z$2,FALSE)</f>
        <v>#N/A</v>
      </c>
      <c r="AA5" s="13" t="e">
        <f>VLOOKUP($B5,baseline!$A:$AK,AA$2,FALSE)</f>
        <v>#N/A</v>
      </c>
      <c r="AB5" s="13" t="e">
        <f>VLOOKUP($B5,baseline!$A:$AK,AB$2,FALSE)</f>
        <v>#N/A</v>
      </c>
      <c r="AC5" s="13" t="e">
        <f>VLOOKUP($B5,baseline!$A:$AK,AC$2,FALSE)</f>
        <v>#N/A</v>
      </c>
      <c r="AD5" s="13" t="e">
        <f>VLOOKUP($B5,baseline!$A:$AK,AD$2,FALSE)</f>
        <v>#N/A</v>
      </c>
      <c r="AE5" s="13" t="e">
        <f>VLOOKUP($B5,baseline!$A:$AK,AE$2,FALSE)</f>
        <v>#N/A</v>
      </c>
      <c r="AF5" s="13" t="e">
        <f>VLOOKUP($B5,baseline!$A:$AK,AF$2,FALSE)</f>
        <v>#N/A</v>
      </c>
      <c r="AG5" s="13" t="e">
        <f>VLOOKUP($B5,baseline!$A:$AK,AG$2,FALSE)</f>
        <v>#N/A</v>
      </c>
      <c r="AH5" s="13" t="e">
        <f>VLOOKUP($B5,baseline!$A:$AK,AH$2,FALSE)</f>
        <v>#N/A</v>
      </c>
      <c r="AI5" s="13" t="e">
        <f>VLOOKUP($B5,baseline!$A:$AK,AI$2,FALSE)</f>
        <v>#N/A</v>
      </c>
      <c r="AJ5" s="13" t="e">
        <f>VLOOKUP($B5,baseline!$A:$AK,AJ$2,FALSE)</f>
        <v>#N/A</v>
      </c>
      <c r="AK5" s="13" t="e">
        <f>VLOOKUP($B5,baseline!$A:$AK,AK$2,FALSE)</f>
        <v>#N/A</v>
      </c>
      <c r="AL5" s="13" t="e">
        <f>VLOOKUP($B5,baseline!$A:$AK,AL$2,FALSE)</f>
        <v>#N/A</v>
      </c>
      <c r="AM5" s="13" t="e">
        <f>VLOOKUP($B5,baseline!$A:$AK,AM$2,FALSE)</f>
        <v>#N/A</v>
      </c>
      <c r="AN5" s="13" t="e">
        <f>VLOOKUP($B5,baseline!$A:$AK,AN$2,FALSE)</f>
        <v>#N/A</v>
      </c>
      <c r="AP5" s="3" t="e">
        <f t="shared" si="0"/>
        <v>#N/A</v>
      </c>
    </row>
    <row r="6" spans="1:48" x14ac:dyDescent="0.3">
      <c r="B6" t="s">
        <v>57</v>
      </c>
      <c r="D6" t="s">
        <v>237</v>
      </c>
      <c r="E6" s="13" t="e">
        <f>VLOOKUP($B6,baseline!$A:$AK,E$2,FALSE)</f>
        <v>#N/A</v>
      </c>
      <c r="F6" s="13" t="e">
        <f>VLOOKUP($B6,baseline!$A:$AK,F$2,FALSE)</f>
        <v>#N/A</v>
      </c>
      <c r="G6" s="13" t="e">
        <f>VLOOKUP($B6,baseline!$A:$AK,G$2,FALSE)</f>
        <v>#N/A</v>
      </c>
      <c r="H6" s="13" t="e">
        <f>VLOOKUP($B6,baseline!$A:$AK,H$2,FALSE)</f>
        <v>#N/A</v>
      </c>
      <c r="I6" s="13" t="e">
        <f>VLOOKUP($B6,baseline!$A:$AK,I$2,FALSE)</f>
        <v>#N/A</v>
      </c>
      <c r="J6" s="13" t="e">
        <f>VLOOKUP($B6,baseline!$A:$AK,J$2,FALSE)</f>
        <v>#N/A</v>
      </c>
      <c r="K6" s="13" t="e">
        <f>VLOOKUP($B6,baseline!$A:$AK,K$2,FALSE)</f>
        <v>#N/A</v>
      </c>
      <c r="L6" s="13" t="e">
        <f>VLOOKUP($B6,baseline!$A:$AK,L$2,FALSE)</f>
        <v>#N/A</v>
      </c>
      <c r="M6" s="13" t="e">
        <f>VLOOKUP($B6,baseline!$A:$AK,M$2,FALSE)</f>
        <v>#N/A</v>
      </c>
      <c r="N6" s="13" t="e">
        <f>VLOOKUP($B6,baseline!$A:$AK,N$2,FALSE)</f>
        <v>#N/A</v>
      </c>
      <c r="O6" s="13" t="e">
        <f>VLOOKUP($B6,baseline!$A:$AK,O$2,FALSE)</f>
        <v>#N/A</v>
      </c>
      <c r="P6" s="13" t="e">
        <f>VLOOKUP($B6,baseline!$A:$AK,P$2,FALSE)</f>
        <v>#N/A</v>
      </c>
      <c r="Q6" s="13" t="e">
        <f>VLOOKUP($B6,baseline!$A:$AK,Q$2,FALSE)</f>
        <v>#N/A</v>
      </c>
      <c r="R6" s="13" t="e">
        <f>VLOOKUP($B6,baseline!$A:$AK,R$2,FALSE)</f>
        <v>#N/A</v>
      </c>
      <c r="S6" s="13" t="e">
        <f>VLOOKUP($B6,baseline!$A:$AK,S$2,FALSE)</f>
        <v>#N/A</v>
      </c>
      <c r="T6" s="13" t="e">
        <f>VLOOKUP($B6,baseline!$A:$AK,T$2,FALSE)</f>
        <v>#N/A</v>
      </c>
      <c r="U6" s="13" t="e">
        <f>VLOOKUP($B6,baseline!$A:$AK,U$2,FALSE)</f>
        <v>#N/A</v>
      </c>
      <c r="V6" s="13" t="e">
        <f>VLOOKUP($B6,baseline!$A:$AK,V$2,FALSE)</f>
        <v>#N/A</v>
      </c>
      <c r="W6" s="13" t="e">
        <f>VLOOKUP($B6,baseline!$A:$AK,W$2,FALSE)</f>
        <v>#N/A</v>
      </c>
      <c r="X6" s="13" t="e">
        <f>VLOOKUP($B6,baseline!$A:$AK,X$2,FALSE)</f>
        <v>#N/A</v>
      </c>
      <c r="Y6" s="13" t="e">
        <f>VLOOKUP($B6,baseline!$A:$AK,Y$2,FALSE)</f>
        <v>#N/A</v>
      </c>
      <c r="Z6" s="13" t="e">
        <f>VLOOKUP($B6,baseline!$A:$AK,Z$2,FALSE)</f>
        <v>#N/A</v>
      </c>
      <c r="AA6" s="13" t="e">
        <f>VLOOKUP($B6,baseline!$A:$AK,AA$2,FALSE)</f>
        <v>#N/A</v>
      </c>
      <c r="AB6" s="13" t="e">
        <f>VLOOKUP($B6,baseline!$A:$AK,AB$2,FALSE)</f>
        <v>#N/A</v>
      </c>
      <c r="AC6" s="13" t="e">
        <f>VLOOKUP($B6,baseline!$A:$AK,AC$2,FALSE)</f>
        <v>#N/A</v>
      </c>
      <c r="AD6" s="13" t="e">
        <f>VLOOKUP($B6,baseline!$A:$AK,AD$2,FALSE)</f>
        <v>#N/A</v>
      </c>
      <c r="AE6" s="13" t="e">
        <f>VLOOKUP($B6,baseline!$A:$AK,AE$2,FALSE)</f>
        <v>#N/A</v>
      </c>
      <c r="AF6" s="13" t="e">
        <f>VLOOKUP($B6,baseline!$A:$AK,AF$2,FALSE)</f>
        <v>#N/A</v>
      </c>
      <c r="AG6" s="13" t="e">
        <f>VLOOKUP($B6,baseline!$A:$AK,AG$2,FALSE)</f>
        <v>#N/A</v>
      </c>
      <c r="AH6" s="13" t="e">
        <f>VLOOKUP($B6,baseline!$A:$AK,AH$2,FALSE)</f>
        <v>#N/A</v>
      </c>
      <c r="AI6" s="13" t="e">
        <f>VLOOKUP($B6,baseline!$A:$AK,AI$2,FALSE)</f>
        <v>#N/A</v>
      </c>
      <c r="AJ6" s="13" t="e">
        <f>VLOOKUP($B6,baseline!$A:$AK,AJ$2,FALSE)</f>
        <v>#N/A</v>
      </c>
      <c r="AK6" s="13" t="e">
        <f>VLOOKUP($B6,baseline!$A:$AK,AK$2,FALSE)</f>
        <v>#N/A</v>
      </c>
      <c r="AL6" s="13" t="e">
        <f>VLOOKUP($B6,baseline!$A:$AK,AL$2,FALSE)</f>
        <v>#N/A</v>
      </c>
      <c r="AM6" s="13" t="e">
        <f>VLOOKUP($B6,baseline!$A:$AK,AM$2,FALSE)</f>
        <v>#N/A</v>
      </c>
      <c r="AN6" s="13" t="e">
        <f>VLOOKUP($B6,baseline!$A:$AK,AN$2,FALSE)</f>
        <v>#N/A</v>
      </c>
      <c r="AP6" s="3" t="e">
        <f t="shared" si="0"/>
        <v>#N/A</v>
      </c>
    </row>
    <row r="7" spans="1:48" x14ac:dyDescent="0.3">
      <c r="B7" t="s">
        <v>58</v>
      </c>
      <c r="D7" t="s">
        <v>238</v>
      </c>
      <c r="E7" s="13" t="e">
        <f>VLOOKUP($B7,baseline!$A:$AK,E$2,FALSE)</f>
        <v>#N/A</v>
      </c>
      <c r="F7" s="13" t="e">
        <f>VLOOKUP($B7,baseline!$A:$AK,F$2,FALSE)</f>
        <v>#N/A</v>
      </c>
      <c r="G7" s="13" t="e">
        <f>VLOOKUP($B7,baseline!$A:$AK,G$2,FALSE)</f>
        <v>#N/A</v>
      </c>
      <c r="H7" s="13" t="e">
        <f>VLOOKUP($B7,baseline!$A:$AK,H$2,FALSE)</f>
        <v>#N/A</v>
      </c>
      <c r="I7" s="13" t="e">
        <f>VLOOKUP($B7,baseline!$A:$AK,I$2,FALSE)</f>
        <v>#N/A</v>
      </c>
      <c r="J7" s="13" t="e">
        <f>VLOOKUP($B7,baseline!$A:$AK,J$2,FALSE)</f>
        <v>#N/A</v>
      </c>
      <c r="K7" s="13" t="e">
        <f>VLOOKUP($B7,baseline!$A:$AK,K$2,FALSE)</f>
        <v>#N/A</v>
      </c>
      <c r="L7" s="13" t="e">
        <f>VLOOKUP($B7,baseline!$A:$AK,L$2,FALSE)</f>
        <v>#N/A</v>
      </c>
      <c r="M7" s="13" t="e">
        <f>VLOOKUP($B7,baseline!$A:$AK,M$2,FALSE)</f>
        <v>#N/A</v>
      </c>
      <c r="N7" s="13" t="e">
        <f>VLOOKUP($B7,baseline!$A:$AK,N$2,FALSE)</f>
        <v>#N/A</v>
      </c>
      <c r="O7" s="13" t="e">
        <f>VLOOKUP($B7,baseline!$A:$AK,O$2,FALSE)</f>
        <v>#N/A</v>
      </c>
      <c r="P7" s="13" t="e">
        <f>VLOOKUP($B7,baseline!$A:$AK,P$2,FALSE)</f>
        <v>#N/A</v>
      </c>
      <c r="Q7" s="13" t="e">
        <f>VLOOKUP($B7,baseline!$A:$AK,Q$2,FALSE)</f>
        <v>#N/A</v>
      </c>
      <c r="R7" s="13" t="e">
        <f>VLOOKUP($B7,baseline!$A:$AK,R$2,FALSE)</f>
        <v>#N/A</v>
      </c>
      <c r="S7" s="13" t="e">
        <f>VLOOKUP($B7,baseline!$A:$AK,S$2,FALSE)</f>
        <v>#N/A</v>
      </c>
      <c r="T7" s="13" t="e">
        <f>VLOOKUP($B7,baseline!$A:$AK,T$2,FALSE)</f>
        <v>#N/A</v>
      </c>
      <c r="U7" s="13" t="e">
        <f>VLOOKUP($B7,baseline!$A:$AK,U$2,FALSE)</f>
        <v>#N/A</v>
      </c>
      <c r="V7" s="13" t="e">
        <f>VLOOKUP($B7,baseline!$A:$AK,V$2,FALSE)</f>
        <v>#N/A</v>
      </c>
      <c r="W7" s="13" t="e">
        <f>VLOOKUP($B7,baseline!$A:$AK,W$2,FALSE)</f>
        <v>#N/A</v>
      </c>
      <c r="X7" s="13" t="e">
        <f>VLOOKUP($B7,baseline!$A:$AK,X$2,FALSE)</f>
        <v>#N/A</v>
      </c>
      <c r="Y7" s="13" t="e">
        <f>VLOOKUP($B7,baseline!$A:$AK,Y$2,FALSE)</f>
        <v>#N/A</v>
      </c>
      <c r="Z7" s="13" t="e">
        <f>VLOOKUP($B7,baseline!$A:$AK,Z$2,FALSE)</f>
        <v>#N/A</v>
      </c>
      <c r="AA7" s="13" t="e">
        <f>VLOOKUP($B7,baseline!$A:$AK,AA$2,FALSE)</f>
        <v>#N/A</v>
      </c>
      <c r="AB7" s="13" t="e">
        <f>VLOOKUP($B7,baseline!$A:$AK,AB$2,FALSE)</f>
        <v>#N/A</v>
      </c>
      <c r="AC7" s="13" t="e">
        <f>VLOOKUP($B7,baseline!$A:$AK,AC$2,FALSE)</f>
        <v>#N/A</v>
      </c>
      <c r="AD7" s="13" t="e">
        <f>VLOOKUP($B7,baseline!$A:$AK,AD$2,FALSE)</f>
        <v>#N/A</v>
      </c>
      <c r="AE7" s="13" t="e">
        <f>VLOOKUP($B7,baseline!$A:$AK,AE$2,FALSE)</f>
        <v>#N/A</v>
      </c>
      <c r="AF7" s="13" t="e">
        <f>VLOOKUP($B7,baseline!$A:$AK,AF$2,FALSE)</f>
        <v>#N/A</v>
      </c>
      <c r="AG7" s="13" t="e">
        <f>VLOOKUP($B7,baseline!$A:$AK,AG$2,FALSE)</f>
        <v>#N/A</v>
      </c>
      <c r="AH7" s="13" t="e">
        <f>VLOOKUP($B7,baseline!$A:$AK,AH$2,FALSE)</f>
        <v>#N/A</v>
      </c>
      <c r="AI7" s="13" t="e">
        <f>VLOOKUP($B7,baseline!$A:$AK,AI$2,FALSE)</f>
        <v>#N/A</v>
      </c>
      <c r="AJ7" s="13" t="e">
        <f>VLOOKUP($B7,baseline!$A:$AK,AJ$2,FALSE)</f>
        <v>#N/A</v>
      </c>
      <c r="AK7" s="13" t="e">
        <f>VLOOKUP($B7,baseline!$A:$AK,AK$2,FALSE)</f>
        <v>#N/A</v>
      </c>
      <c r="AL7" s="13" t="e">
        <f>VLOOKUP($B7,baseline!$A:$AK,AL$2,FALSE)</f>
        <v>#N/A</v>
      </c>
      <c r="AM7" s="13" t="e">
        <f>VLOOKUP($B7,baseline!$A:$AK,AM$2,FALSE)</f>
        <v>#N/A</v>
      </c>
      <c r="AN7" s="13" t="e">
        <f>VLOOKUP($B7,baseline!$A:$AK,AN$2,FALSE)</f>
        <v>#N/A</v>
      </c>
      <c r="AP7" s="3" t="e">
        <f t="shared" si="0"/>
        <v>#N/A</v>
      </c>
    </row>
    <row r="8" spans="1:48" x14ac:dyDescent="0.3">
      <c r="B8" t="s">
        <v>59</v>
      </c>
      <c r="D8" t="s">
        <v>239</v>
      </c>
      <c r="E8" s="13" t="e">
        <f>VLOOKUP($B8,baseline!$A:$AK,E$2,FALSE)</f>
        <v>#N/A</v>
      </c>
      <c r="F8" s="13" t="e">
        <f>VLOOKUP($B8,baseline!$A:$AK,F$2,FALSE)</f>
        <v>#N/A</v>
      </c>
      <c r="G8" s="13" t="e">
        <f>VLOOKUP($B8,baseline!$A:$AK,G$2,FALSE)</f>
        <v>#N/A</v>
      </c>
      <c r="H8" s="13" t="e">
        <f>VLOOKUP($B8,baseline!$A:$AK,H$2,FALSE)</f>
        <v>#N/A</v>
      </c>
      <c r="I8" s="13" t="e">
        <f>VLOOKUP($B8,baseline!$A:$AK,I$2,FALSE)</f>
        <v>#N/A</v>
      </c>
      <c r="J8" s="13" t="e">
        <f>VLOOKUP($B8,baseline!$A:$AK,J$2,FALSE)</f>
        <v>#N/A</v>
      </c>
      <c r="K8" s="13" t="e">
        <f>VLOOKUP($B8,baseline!$A:$AK,K$2,FALSE)</f>
        <v>#N/A</v>
      </c>
      <c r="L8" s="13" t="e">
        <f>VLOOKUP($B8,baseline!$A:$AK,L$2,FALSE)</f>
        <v>#N/A</v>
      </c>
      <c r="M8" s="13" t="e">
        <f>VLOOKUP($B8,baseline!$A:$AK,M$2,FALSE)</f>
        <v>#N/A</v>
      </c>
      <c r="N8" s="13" t="e">
        <f>VLOOKUP($B8,baseline!$A:$AK,N$2,FALSE)</f>
        <v>#N/A</v>
      </c>
      <c r="O8" s="13" t="e">
        <f>VLOOKUP($B8,baseline!$A:$AK,O$2,FALSE)</f>
        <v>#N/A</v>
      </c>
      <c r="P8" s="13" t="e">
        <f>VLOOKUP($B8,baseline!$A:$AK,P$2,FALSE)</f>
        <v>#N/A</v>
      </c>
      <c r="Q8" s="13" t="e">
        <f>VLOOKUP($B8,baseline!$A:$AK,Q$2,FALSE)</f>
        <v>#N/A</v>
      </c>
      <c r="R8" s="13" t="e">
        <f>VLOOKUP($B8,baseline!$A:$AK,R$2,FALSE)</f>
        <v>#N/A</v>
      </c>
      <c r="S8" s="13" t="e">
        <f>VLOOKUP($B8,baseline!$A:$AK,S$2,FALSE)</f>
        <v>#N/A</v>
      </c>
      <c r="T8" s="13" t="e">
        <f>VLOOKUP($B8,baseline!$A:$AK,T$2,FALSE)</f>
        <v>#N/A</v>
      </c>
      <c r="U8" s="13" t="e">
        <f>VLOOKUP($B8,baseline!$A:$AK,U$2,FALSE)</f>
        <v>#N/A</v>
      </c>
      <c r="V8" s="13" t="e">
        <f>VLOOKUP($B8,baseline!$A:$AK,V$2,FALSE)</f>
        <v>#N/A</v>
      </c>
      <c r="W8" s="13" t="e">
        <f>VLOOKUP($B8,baseline!$A:$AK,W$2,FALSE)</f>
        <v>#N/A</v>
      </c>
      <c r="X8" s="13" t="e">
        <f>VLOOKUP($B8,baseline!$A:$AK,X$2,FALSE)</f>
        <v>#N/A</v>
      </c>
      <c r="Y8" s="13" t="e">
        <f>VLOOKUP($B8,baseline!$A:$AK,Y$2,FALSE)</f>
        <v>#N/A</v>
      </c>
      <c r="Z8" s="13" t="e">
        <f>VLOOKUP($B8,baseline!$A:$AK,Z$2,FALSE)</f>
        <v>#N/A</v>
      </c>
      <c r="AA8" s="13" t="e">
        <f>VLOOKUP($B8,baseline!$A:$AK,AA$2,FALSE)</f>
        <v>#N/A</v>
      </c>
      <c r="AB8" s="13" t="e">
        <f>VLOOKUP($B8,baseline!$A:$AK,AB$2,FALSE)</f>
        <v>#N/A</v>
      </c>
      <c r="AC8" s="13" t="e">
        <f>VLOOKUP($B8,baseline!$A:$AK,AC$2,FALSE)</f>
        <v>#N/A</v>
      </c>
      <c r="AD8" s="13" t="e">
        <f>VLOOKUP($B8,baseline!$A:$AK,AD$2,FALSE)</f>
        <v>#N/A</v>
      </c>
      <c r="AE8" s="13" t="e">
        <f>VLOOKUP($B8,baseline!$A:$AK,AE$2,FALSE)</f>
        <v>#N/A</v>
      </c>
      <c r="AF8" s="13" t="e">
        <f>VLOOKUP($B8,baseline!$A:$AK,AF$2,FALSE)</f>
        <v>#N/A</v>
      </c>
      <c r="AG8" s="13" t="e">
        <f>VLOOKUP($B8,baseline!$A:$AK,AG$2,FALSE)</f>
        <v>#N/A</v>
      </c>
      <c r="AH8" s="13" t="e">
        <f>VLOOKUP($B8,baseline!$A:$AK,AH$2,FALSE)</f>
        <v>#N/A</v>
      </c>
      <c r="AI8" s="13" t="e">
        <f>VLOOKUP($B8,baseline!$A:$AK,AI$2,FALSE)</f>
        <v>#N/A</v>
      </c>
      <c r="AJ8" s="13" t="e">
        <f>VLOOKUP($B8,baseline!$A:$AK,AJ$2,FALSE)</f>
        <v>#N/A</v>
      </c>
      <c r="AK8" s="13" t="e">
        <f>VLOOKUP($B8,baseline!$A:$AK,AK$2,FALSE)</f>
        <v>#N/A</v>
      </c>
      <c r="AL8" s="13" t="e">
        <f>VLOOKUP($B8,baseline!$A:$AK,AL$2,FALSE)</f>
        <v>#N/A</v>
      </c>
      <c r="AM8" s="13" t="e">
        <f>VLOOKUP($B8,baseline!$A:$AK,AM$2,FALSE)</f>
        <v>#N/A</v>
      </c>
      <c r="AN8" s="13" t="e">
        <f>VLOOKUP($B8,baseline!$A:$AK,AN$2,FALSE)</f>
        <v>#N/A</v>
      </c>
      <c r="AP8" s="3" t="e">
        <f t="shared" si="0"/>
        <v>#N/A</v>
      </c>
    </row>
    <row r="9" spans="1:48" x14ac:dyDescent="0.3">
      <c r="B9" t="s">
        <v>60</v>
      </c>
      <c r="D9" t="s">
        <v>240</v>
      </c>
      <c r="E9" s="13" t="e">
        <f>VLOOKUP($B9,baseline!$A:$AK,E$2,FALSE)</f>
        <v>#N/A</v>
      </c>
      <c r="F9" s="13" t="e">
        <f>VLOOKUP($B9,baseline!$A:$AK,F$2,FALSE)</f>
        <v>#N/A</v>
      </c>
      <c r="G9" s="13" t="e">
        <f>VLOOKUP($B9,baseline!$A:$AK,G$2,FALSE)</f>
        <v>#N/A</v>
      </c>
      <c r="H9" s="13" t="e">
        <f>VLOOKUP($B9,baseline!$A:$AK,H$2,FALSE)</f>
        <v>#N/A</v>
      </c>
      <c r="I9" s="13" t="e">
        <f>VLOOKUP($B9,baseline!$A:$AK,I$2,FALSE)</f>
        <v>#N/A</v>
      </c>
      <c r="J9" s="13" t="e">
        <f>VLOOKUP($B9,baseline!$A:$AK,J$2,FALSE)</f>
        <v>#N/A</v>
      </c>
      <c r="K9" s="13" t="e">
        <f>VLOOKUP($B9,baseline!$A:$AK,K$2,FALSE)</f>
        <v>#N/A</v>
      </c>
      <c r="L9" s="13" t="e">
        <f>VLOOKUP($B9,baseline!$A:$AK,L$2,FALSE)</f>
        <v>#N/A</v>
      </c>
      <c r="M9" s="13" t="e">
        <f>VLOOKUP($B9,baseline!$A:$AK,M$2,FALSE)</f>
        <v>#N/A</v>
      </c>
      <c r="N9" s="13" t="e">
        <f>VLOOKUP($B9,baseline!$A:$AK,N$2,FALSE)</f>
        <v>#N/A</v>
      </c>
      <c r="O9" s="13" t="e">
        <f>VLOOKUP($B9,baseline!$A:$AK,O$2,FALSE)</f>
        <v>#N/A</v>
      </c>
      <c r="P9" s="13" t="e">
        <f>VLOOKUP($B9,baseline!$A:$AK,P$2,FALSE)</f>
        <v>#N/A</v>
      </c>
      <c r="Q9" s="13" t="e">
        <f>VLOOKUP($B9,baseline!$A:$AK,Q$2,FALSE)</f>
        <v>#N/A</v>
      </c>
      <c r="R9" s="13" t="e">
        <f>VLOOKUP($B9,baseline!$A:$AK,R$2,FALSE)</f>
        <v>#N/A</v>
      </c>
      <c r="S9" s="13" t="e">
        <f>VLOOKUP($B9,baseline!$A:$AK,S$2,FALSE)</f>
        <v>#N/A</v>
      </c>
      <c r="T9" s="13" t="e">
        <f>VLOOKUP($B9,baseline!$A:$AK,T$2,FALSE)</f>
        <v>#N/A</v>
      </c>
      <c r="U9" s="13" t="e">
        <f>VLOOKUP($B9,baseline!$A:$AK,U$2,FALSE)</f>
        <v>#N/A</v>
      </c>
      <c r="V9" s="13" t="e">
        <f>VLOOKUP($B9,baseline!$A:$AK,V$2,FALSE)</f>
        <v>#N/A</v>
      </c>
      <c r="W9" s="13" t="e">
        <f>VLOOKUP($B9,baseline!$A:$AK,W$2,FALSE)</f>
        <v>#N/A</v>
      </c>
      <c r="X9" s="13" t="e">
        <f>VLOOKUP($B9,baseline!$A:$AK,X$2,FALSE)</f>
        <v>#N/A</v>
      </c>
      <c r="Y9" s="13" t="e">
        <f>VLOOKUP($B9,baseline!$A:$AK,Y$2,FALSE)</f>
        <v>#N/A</v>
      </c>
      <c r="Z9" s="13" t="e">
        <f>VLOOKUP($B9,baseline!$A:$AK,Z$2,FALSE)</f>
        <v>#N/A</v>
      </c>
      <c r="AA9" s="13" t="e">
        <f>VLOOKUP($B9,baseline!$A:$AK,AA$2,FALSE)</f>
        <v>#N/A</v>
      </c>
      <c r="AB9" s="13" t="e">
        <f>VLOOKUP($B9,baseline!$A:$AK,AB$2,FALSE)</f>
        <v>#N/A</v>
      </c>
      <c r="AC9" s="13" t="e">
        <f>VLOOKUP($B9,baseline!$A:$AK,AC$2,FALSE)</f>
        <v>#N/A</v>
      </c>
      <c r="AD9" s="13" t="e">
        <f>VLOOKUP($B9,baseline!$A:$AK,AD$2,FALSE)</f>
        <v>#N/A</v>
      </c>
      <c r="AE9" s="13" t="e">
        <f>VLOOKUP($B9,baseline!$A:$AK,AE$2,FALSE)</f>
        <v>#N/A</v>
      </c>
      <c r="AF9" s="13" t="e">
        <f>VLOOKUP($B9,baseline!$A:$AK,AF$2,FALSE)</f>
        <v>#N/A</v>
      </c>
      <c r="AG9" s="13" t="e">
        <f>VLOOKUP($B9,baseline!$A:$AK,AG$2,FALSE)</f>
        <v>#N/A</v>
      </c>
      <c r="AH9" s="13" t="e">
        <f>VLOOKUP($B9,baseline!$A:$AK,AH$2,FALSE)</f>
        <v>#N/A</v>
      </c>
      <c r="AI9" s="13" t="e">
        <f>VLOOKUP($B9,baseline!$A:$AK,AI$2,FALSE)</f>
        <v>#N/A</v>
      </c>
      <c r="AJ9" s="13" t="e">
        <f>VLOOKUP($B9,baseline!$A:$AK,AJ$2,FALSE)</f>
        <v>#N/A</v>
      </c>
      <c r="AK9" s="13" t="e">
        <f>VLOOKUP($B9,baseline!$A:$AK,AK$2,FALSE)</f>
        <v>#N/A</v>
      </c>
      <c r="AL9" s="13" t="e">
        <f>VLOOKUP($B9,baseline!$A:$AK,AL$2,FALSE)</f>
        <v>#N/A</v>
      </c>
      <c r="AM9" s="13" t="e">
        <f>VLOOKUP($B9,baseline!$A:$AK,AM$2,FALSE)</f>
        <v>#N/A</v>
      </c>
      <c r="AN9" s="13" t="e">
        <f>VLOOKUP($B9,baseline!$A:$AK,AN$2,FALSE)</f>
        <v>#N/A</v>
      </c>
      <c r="AP9" s="3" t="e">
        <f t="shared" si="0"/>
        <v>#N/A</v>
      </c>
    </row>
    <row r="10" spans="1:48" x14ac:dyDescent="0.3">
      <c r="B10" t="s">
        <v>61</v>
      </c>
      <c r="D10" t="s">
        <v>241</v>
      </c>
      <c r="E10" s="13" t="e">
        <f>VLOOKUP($B10,baseline!$A:$AK,E$2,FALSE)</f>
        <v>#N/A</v>
      </c>
      <c r="F10" s="13" t="e">
        <f>VLOOKUP($B10,baseline!$A:$AK,F$2,FALSE)</f>
        <v>#N/A</v>
      </c>
      <c r="G10" s="13" t="e">
        <f>VLOOKUP($B10,baseline!$A:$AK,G$2,FALSE)</f>
        <v>#N/A</v>
      </c>
      <c r="H10" s="13" t="e">
        <f>VLOOKUP($B10,baseline!$A:$AK,H$2,FALSE)</f>
        <v>#N/A</v>
      </c>
      <c r="I10" s="13" t="e">
        <f>VLOOKUP($B10,baseline!$A:$AK,I$2,FALSE)</f>
        <v>#N/A</v>
      </c>
      <c r="J10" s="13" t="e">
        <f>VLOOKUP($B10,baseline!$A:$AK,J$2,FALSE)</f>
        <v>#N/A</v>
      </c>
      <c r="K10" s="13" t="e">
        <f>VLOOKUP($B10,baseline!$A:$AK,K$2,FALSE)</f>
        <v>#N/A</v>
      </c>
      <c r="L10" s="13" t="e">
        <f>VLOOKUP($B10,baseline!$A:$AK,L$2,FALSE)</f>
        <v>#N/A</v>
      </c>
      <c r="M10" s="13" t="e">
        <f>VLOOKUP($B10,baseline!$A:$AK,M$2,FALSE)</f>
        <v>#N/A</v>
      </c>
      <c r="N10" s="13" t="e">
        <f>VLOOKUP($B10,baseline!$A:$AK,N$2,FALSE)</f>
        <v>#N/A</v>
      </c>
      <c r="O10" s="13" t="e">
        <f>VLOOKUP($B10,baseline!$A:$AK,O$2,FALSE)</f>
        <v>#N/A</v>
      </c>
      <c r="P10" s="13" t="e">
        <f>VLOOKUP($B10,baseline!$A:$AK,P$2,FALSE)</f>
        <v>#N/A</v>
      </c>
      <c r="Q10" s="13" t="e">
        <f>VLOOKUP($B10,baseline!$A:$AK,Q$2,FALSE)</f>
        <v>#N/A</v>
      </c>
      <c r="R10" s="13" t="e">
        <f>VLOOKUP($B10,baseline!$A:$AK,R$2,FALSE)</f>
        <v>#N/A</v>
      </c>
      <c r="S10" s="13" t="e">
        <f>VLOOKUP($B10,baseline!$A:$AK,S$2,FALSE)</f>
        <v>#N/A</v>
      </c>
      <c r="T10" s="13" t="e">
        <f>VLOOKUP($B10,baseline!$A:$AK,T$2,FALSE)</f>
        <v>#N/A</v>
      </c>
      <c r="U10" s="13" t="e">
        <f>VLOOKUP($B10,baseline!$A:$AK,U$2,FALSE)</f>
        <v>#N/A</v>
      </c>
      <c r="V10" s="13" t="e">
        <f>VLOOKUP($B10,baseline!$A:$AK,V$2,FALSE)</f>
        <v>#N/A</v>
      </c>
      <c r="W10" s="13" t="e">
        <f>VLOOKUP($B10,baseline!$A:$AK,W$2,FALSE)</f>
        <v>#N/A</v>
      </c>
      <c r="X10" s="13" t="e">
        <f>VLOOKUP($B10,baseline!$A:$AK,X$2,FALSE)</f>
        <v>#N/A</v>
      </c>
      <c r="Y10" s="13" t="e">
        <f>VLOOKUP($B10,baseline!$A:$AK,Y$2,FALSE)</f>
        <v>#N/A</v>
      </c>
      <c r="Z10" s="13" t="e">
        <f>VLOOKUP($B10,baseline!$A:$AK,Z$2,FALSE)</f>
        <v>#N/A</v>
      </c>
      <c r="AA10" s="13" t="e">
        <f>VLOOKUP($B10,baseline!$A:$AK,AA$2,FALSE)</f>
        <v>#N/A</v>
      </c>
      <c r="AB10" s="13" t="e">
        <f>VLOOKUP($B10,baseline!$A:$AK,AB$2,FALSE)</f>
        <v>#N/A</v>
      </c>
      <c r="AC10" s="13" t="e">
        <f>VLOOKUP($B10,baseline!$A:$AK,AC$2,FALSE)</f>
        <v>#N/A</v>
      </c>
      <c r="AD10" s="13" t="e">
        <f>VLOOKUP($B10,baseline!$A:$AK,AD$2,FALSE)</f>
        <v>#N/A</v>
      </c>
      <c r="AE10" s="13" t="e">
        <f>VLOOKUP($B10,baseline!$A:$AK,AE$2,FALSE)</f>
        <v>#N/A</v>
      </c>
      <c r="AF10" s="13" t="e">
        <f>VLOOKUP($B10,baseline!$A:$AK,AF$2,FALSE)</f>
        <v>#N/A</v>
      </c>
      <c r="AG10" s="13" t="e">
        <f>VLOOKUP($B10,baseline!$A:$AK,AG$2,FALSE)</f>
        <v>#N/A</v>
      </c>
      <c r="AH10" s="13" t="e">
        <f>VLOOKUP($B10,baseline!$A:$AK,AH$2,FALSE)</f>
        <v>#N/A</v>
      </c>
      <c r="AI10" s="13" t="e">
        <f>VLOOKUP($B10,baseline!$A:$AK,AI$2,FALSE)</f>
        <v>#N/A</v>
      </c>
      <c r="AJ10" s="13" t="e">
        <f>VLOOKUP($B10,baseline!$A:$AK,AJ$2,FALSE)</f>
        <v>#N/A</v>
      </c>
      <c r="AK10" s="13" t="e">
        <f>VLOOKUP($B10,baseline!$A:$AK,AK$2,FALSE)</f>
        <v>#N/A</v>
      </c>
      <c r="AL10" s="13" t="e">
        <f>VLOOKUP($B10,baseline!$A:$AK,AL$2,FALSE)</f>
        <v>#N/A</v>
      </c>
      <c r="AM10" s="13" t="e">
        <f>VLOOKUP($B10,baseline!$A:$AK,AM$2,FALSE)</f>
        <v>#N/A</v>
      </c>
      <c r="AN10" s="13" t="e">
        <f>VLOOKUP($B10,baseline!$A:$AK,AN$2,FALSE)</f>
        <v>#N/A</v>
      </c>
      <c r="AP10" s="3" t="e">
        <f t="shared" si="0"/>
        <v>#N/A</v>
      </c>
    </row>
    <row r="11" spans="1:48" x14ac:dyDescent="0.3">
      <c r="B11" t="s">
        <v>62</v>
      </c>
      <c r="D11" t="s">
        <v>242</v>
      </c>
      <c r="E11" s="13" t="e">
        <f>VLOOKUP($B11,baseline!$A:$AK,E$2,FALSE)</f>
        <v>#N/A</v>
      </c>
      <c r="F11" s="13" t="e">
        <f>VLOOKUP($B11,baseline!$A:$AK,F$2,FALSE)</f>
        <v>#N/A</v>
      </c>
      <c r="G11" s="13" t="e">
        <f>VLOOKUP($B11,baseline!$A:$AK,G$2,FALSE)</f>
        <v>#N/A</v>
      </c>
      <c r="H11" s="13" t="e">
        <f>VLOOKUP($B11,baseline!$A:$AK,H$2,FALSE)</f>
        <v>#N/A</v>
      </c>
      <c r="I11" s="13" t="e">
        <f>VLOOKUP($B11,baseline!$A:$AK,I$2,FALSE)</f>
        <v>#N/A</v>
      </c>
      <c r="J11" s="13" t="e">
        <f>VLOOKUP($B11,baseline!$A:$AK,J$2,FALSE)</f>
        <v>#N/A</v>
      </c>
      <c r="K11" s="13" t="e">
        <f>VLOOKUP($B11,baseline!$A:$AK,K$2,FALSE)</f>
        <v>#N/A</v>
      </c>
      <c r="L11" s="13" t="e">
        <f>VLOOKUP($B11,baseline!$A:$AK,L$2,FALSE)</f>
        <v>#N/A</v>
      </c>
      <c r="M11" s="13" t="e">
        <f>VLOOKUP($B11,baseline!$A:$AK,M$2,FALSE)</f>
        <v>#N/A</v>
      </c>
      <c r="N11" s="13" t="e">
        <f>VLOOKUP($B11,baseline!$A:$AK,N$2,FALSE)</f>
        <v>#N/A</v>
      </c>
      <c r="O11" s="13" t="e">
        <f>VLOOKUP($B11,baseline!$A:$AK,O$2,FALSE)</f>
        <v>#N/A</v>
      </c>
      <c r="P11" s="13" t="e">
        <f>VLOOKUP($B11,baseline!$A:$AK,P$2,FALSE)</f>
        <v>#N/A</v>
      </c>
      <c r="Q11" s="13" t="e">
        <f>VLOOKUP($B11,baseline!$A:$AK,Q$2,FALSE)</f>
        <v>#N/A</v>
      </c>
      <c r="R11" s="13" t="e">
        <f>VLOOKUP($B11,baseline!$A:$AK,R$2,FALSE)</f>
        <v>#N/A</v>
      </c>
      <c r="S11" s="13" t="e">
        <f>VLOOKUP($B11,baseline!$A:$AK,S$2,FALSE)</f>
        <v>#N/A</v>
      </c>
      <c r="T11" s="13" t="e">
        <f>VLOOKUP($B11,baseline!$A:$AK,T$2,FALSE)</f>
        <v>#N/A</v>
      </c>
      <c r="U11" s="13" t="e">
        <f>VLOOKUP($B11,baseline!$A:$AK,U$2,FALSE)</f>
        <v>#N/A</v>
      </c>
      <c r="V11" s="13" t="e">
        <f>VLOOKUP($B11,baseline!$A:$AK,V$2,FALSE)</f>
        <v>#N/A</v>
      </c>
      <c r="W11" s="13" t="e">
        <f>VLOOKUP($B11,baseline!$A:$AK,W$2,FALSE)</f>
        <v>#N/A</v>
      </c>
      <c r="X11" s="13" t="e">
        <f>VLOOKUP($B11,baseline!$A:$AK,X$2,FALSE)</f>
        <v>#N/A</v>
      </c>
      <c r="Y11" s="13" t="e">
        <f>VLOOKUP($B11,baseline!$A:$AK,Y$2,FALSE)</f>
        <v>#N/A</v>
      </c>
      <c r="Z11" s="13" t="e">
        <f>VLOOKUP($B11,baseline!$A:$AK,Z$2,FALSE)</f>
        <v>#N/A</v>
      </c>
      <c r="AA11" s="13" t="e">
        <f>VLOOKUP($B11,baseline!$A:$AK,AA$2,FALSE)</f>
        <v>#N/A</v>
      </c>
      <c r="AB11" s="13" t="e">
        <f>VLOOKUP($B11,baseline!$A:$AK,AB$2,FALSE)</f>
        <v>#N/A</v>
      </c>
      <c r="AC11" s="13" t="e">
        <f>VLOOKUP($B11,baseline!$A:$AK,AC$2,FALSE)</f>
        <v>#N/A</v>
      </c>
      <c r="AD11" s="13" t="e">
        <f>VLOOKUP($B11,baseline!$A:$AK,AD$2,FALSE)</f>
        <v>#N/A</v>
      </c>
      <c r="AE11" s="13" t="e">
        <f>VLOOKUP($B11,baseline!$A:$AK,AE$2,FALSE)</f>
        <v>#N/A</v>
      </c>
      <c r="AF11" s="13" t="e">
        <f>VLOOKUP($B11,baseline!$A:$AK,AF$2,FALSE)</f>
        <v>#N/A</v>
      </c>
      <c r="AG11" s="13" t="e">
        <f>VLOOKUP($B11,baseline!$A:$AK,AG$2,FALSE)</f>
        <v>#N/A</v>
      </c>
      <c r="AH11" s="13" t="e">
        <f>VLOOKUP($B11,baseline!$A:$AK,AH$2,FALSE)</f>
        <v>#N/A</v>
      </c>
      <c r="AI11" s="13" t="e">
        <f>VLOOKUP($B11,baseline!$A:$AK,AI$2,FALSE)</f>
        <v>#N/A</v>
      </c>
      <c r="AJ11" s="13" t="e">
        <f>VLOOKUP($B11,baseline!$A:$AK,AJ$2,FALSE)</f>
        <v>#N/A</v>
      </c>
      <c r="AK11" s="13" t="e">
        <f>VLOOKUP($B11,baseline!$A:$AK,AK$2,FALSE)</f>
        <v>#N/A</v>
      </c>
      <c r="AL11" s="13" t="e">
        <f>VLOOKUP($B11,baseline!$A:$AK,AL$2,FALSE)</f>
        <v>#N/A</v>
      </c>
      <c r="AM11" s="13" t="e">
        <f>VLOOKUP($B11,baseline!$A:$AK,AM$2,FALSE)</f>
        <v>#N/A</v>
      </c>
      <c r="AN11" s="13" t="e">
        <f>VLOOKUP($B11,baseline!$A:$AK,AN$2,FALSE)</f>
        <v>#N/A</v>
      </c>
      <c r="AP11" s="3" t="e">
        <f t="shared" si="0"/>
        <v>#N/A</v>
      </c>
    </row>
    <row r="12" spans="1:48" x14ac:dyDescent="0.3">
      <c r="B12" t="s">
        <v>63</v>
      </c>
      <c r="D12" t="s">
        <v>243</v>
      </c>
      <c r="E12" s="13" t="e">
        <f>VLOOKUP($B12,baseline!$A:$AK,E$2,FALSE)</f>
        <v>#N/A</v>
      </c>
      <c r="F12" s="13" t="e">
        <f>VLOOKUP($B12,baseline!$A:$AK,F$2,FALSE)</f>
        <v>#N/A</v>
      </c>
      <c r="G12" s="13" t="e">
        <f>VLOOKUP($B12,baseline!$A:$AK,G$2,FALSE)</f>
        <v>#N/A</v>
      </c>
      <c r="H12" s="13" t="e">
        <f>VLOOKUP($B12,baseline!$A:$AK,H$2,FALSE)</f>
        <v>#N/A</v>
      </c>
      <c r="I12" s="13" t="e">
        <f>VLOOKUP($B12,baseline!$A:$AK,I$2,FALSE)</f>
        <v>#N/A</v>
      </c>
      <c r="J12" s="13" t="e">
        <f>VLOOKUP($B12,baseline!$A:$AK,J$2,FALSE)</f>
        <v>#N/A</v>
      </c>
      <c r="K12" s="13" t="e">
        <f>VLOOKUP($B12,baseline!$A:$AK,K$2,FALSE)</f>
        <v>#N/A</v>
      </c>
      <c r="L12" s="13" t="e">
        <f>VLOOKUP($B12,baseline!$A:$AK,L$2,FALSE)</f>
        <v>#N/A</v>
      </c>
      <c r="M12" s="13" t="e">
        <f>VLOOKUP($B12,baseline!$A:$AK,M$2,FALSE)</f>
        <v>#N/A</v>
      </c>
      <c r="N12" s="13" t="e">
        <f>VLOOKUP($B12,baseline!$A:$AK,N$2,FALSE)</f>
        <v>#N/A</v>
      </c>
      <c r="O12" s="13" t="e">
        <f>VLOOKUP($B12,baseline!$A:$AK,O$2,FALSE)</f>
        <v>#N/A</v>
      </c>
      <c r="P12" s="13" t="e">
        <f>VLOOKUP($B12,baseline!$A:$AK,P$2,FALSE)</f>
        <v>#N/A</v>
      </c>
      <c r="Q12" s="13" t="e">
        <f>VLOOKUP($B12,baseline!$A:$AK,Q$2,FALSE)</f>
        <v>#N/A</v>
      </c>
      <c r="R12" s="13" t="e">
        <f>VLOOKUP($B12,baseline!$A:$AK,R$2,FALSE)</f>
        <v>#N/A</v>
      </c>
      <c r="S12" s="13" t="e">
        <f>VLOOKUP($B12,baseline!$A:$AK,S$2,FALSE)</f>
        <v>#N/A</v>
      </c>
      <c r="T12" s="13" t="e">
        <f>VLOOKUP($B12,baseline!$A:$AK,T$2,FALSE)</f>
        <v>#N/A</v>
      </c>
      <c r="U12" s="13" t="e">
        <f>VLOOKUP($B12,baseline!$A:$AK,U$2,FALSE)</f>
        <v>#N/A</v>
      </c>
      <c r="V12" s="13" t="e">
        <f>VLOOKUP($B12,baseline!$A:$AK,V$2,FALSE)</f>
        <v>#N/A</v>
      </c>
      <c r="W12" s="13" t="e">
        <f>VLOOKUP($B12,baseline!$A:$AK,W$2,FALSE)</f>
        <v>#N/A</v>
      </c>
      <c r="X12" s="13" t="e">
        <f>VLOOKUP($B12,baseline!$A:$AK,X$2,FALSE)</f>
        <v>#N/A</v>
      </c>
      <c r="Y12" s="13" t="e">
        <f>VLOOKUP($B12,baseline!$A:$AK,Y$2,FALSE)</f>
        <v>#N/A</v>
      </c>
      <c r="Z12" s="13" t="e">
        <f>VLOOKUP($B12,baseline!$A:$AK,Z$2,FALSE)</f>
        <v>#N/A</v>
      </c>
      <c r="AA12" s="13" t="e">
        <f>VLOOKUP($B12,baseline!$A:$AK,AA$2,FALSE)</f>
        <v>#N/A</v>
      </c>
      <c r="AB12" s="13" t="e">
        <f>VLOOKUP($B12,baseline!$A:$AK,AB$2,FALSE)</f>
        <v>#N/A</v>
      </c>
      <c r="AC12" s="13" t="e">
        <f>VLOOKUP($B12,baseline!$A:$AK,AC$2,FALSE)</f>
        <v>#N/A</v>
      </c>
      <c r="AD12" s="13" t="e">
        <f>VLOOKUP($B12,baseline!$A:$AK,AD$2,FALSE)</f>
        <v>#N/A</v>
      </c>
      <c r="AE12" s="13" t="e">
        <f>VLOOKUP($B12,baseline!$A:$AK,AE$2,FALSE)</f>
        <v>#N/A</v>
      </c>
      <c r="AF12" s="13" t="e">
        <f>VLOOKUP($B12,baseline!$A:$AK,AF$2,FALSE)</f>
        <v>#N/A</v>
      </c>
      <c r="AG12" s="13" t="e">
        <f>VLOOKUP($B12,baseline!$A:$AK,AG$2,FALSE)</f>
        <v>#N/A</v>
      </c>
      <c r="AH12" s="13" t="e">
        <f>VLOOKUP($B12,baseline!$A:$AK,AH$2,FALSE)</f>
        <v>#N/A</v>
      </c>
      <c r="AI12" s="13" t="e">
        <f>VLOOKUP($B12,baseline!$A:$AK,AI$2,FALSE)</f>
        <v>#N/A</v>
      </c>
      <c r="AJ12" s="13" t="e">
        <f>VLOOKUP($B12,baseline!$A:$AK,AJ$2,FALSE)</f>
        <v>#N/A</v>
      </c>
      <c r="AK12" s="13" t="e">
        <f>VLOOKUP($B12,baseline!$A:$AK,AK$2,FALSE)</f>
        <v>#N/A</v>
      </c>
      <c r="AL12" s="13" t="e">
        <f>VLOOKUP($B12,baseline!$A:$AK,AL$2,FALSE)</f>
        <v>#N/A</v>
      </c>
      <c r="AM12" s="13" t="e">
        <f>VLOOKUP($B12,baseline!$A:$AK,AM$2,FALSE)</f>
        <v>#N/A</v>
      </c>
      <c r="AN12" s="13" t="e">
        <f>VLOOKUP($B12,baseline!$A:$AK,AN$2,FALSE)</f>
        <v>#N/A</v>
      </c>
      <c r="AP12" s="3" t="e">
        <f t="shared" si="0"/>
        <v>#N/A</v>
      </c>
    </row>
    <row r="13" spans="1:48" x14ac:dyDescent="0.3">
      <c r="B13" t="s">
        <v>64</v>
      </c>
      <c r="D13" t="s">
        <v>244</v>
      </c>
      <c r="E13" s="13" t="e">
        <f>VLOOKUP($B13,baseline!$A:$AK,E$2,FALSE)</f>
        <v>#N/A</v>
      </c>
      <c r="F13" s="13" t="e">
        <f>VLOOKUP($B13,baseline!$A:$AK,F$2,FALSE)</f>
        <v>#N/A</v>
      </c>
      <c r="G13" s="13" t="e">
        <f>VLOOKUP($B13,baseline!$A:$AK,G$2,FALSE)</f>
        <v>#N/A</v>
      </c>
      <c r="H13" s="13" t="e">
        <f>VLOOKUP($B13,baseline!$A:$AK,H$2,FALSE)</f>
        <v>#N/A</v>
      </c>
      <c r="I13" s="13" t="e">
        <f>VLOOKUP($B13,baseline!$A:$AK,I$2,FALSE)</f>
        <v>#N/A</v>
      </c>
      <c r="J13" s="13" t="e">
        <f>VLOOKUP($B13,baseline!$A:$AK,J$2,FALSE)</f>
        <v>#N/A</v>
      </c>
      <c r="K13" s="13" t="e">
        <f>VLOOKUP($B13,baseline!$A:$AK,K$2,FALSE)</f>
        <v>#N/A</v>
      </c>
      <c r="L13" s="13" t="e">
        <f>VLOOKUP($B13,baseline!$A:$AK,L$2,FALSE)</f>
        <v>#N/A</v>
      </c>
      <c r="M13" s="13" t="e">
        <f>VLOOKUP($B13,baseline!$A:$AK,M$2,FALSE)</f>
        <v>#N/A</v>
      </c>
      <c r="N13" s="13" t="e">
        <f>VLOOKUP($B13,baseline!$A:$AK,N$2,FALSE)</f>
        <v>#N/A</v>
      </c>
      <c r="O13" s="13" t="e">
        <f>VLOOKUP($B13,baseline!$A:$AK,O$2,FALSE)</f>
        <v>#N/A</v>
      </c>
      <c r="P13" s="13" t="e">
        <f>VLOOKUP($B13,baseline!$A:$AK,P$2,FALSE)</f>
        <v>#N/A</v>
      </c>
      <c r="Q13" s="13" t="e">
        <f>VLOOKUP($B13,baseline!$A:$AK,Q$2,FALSE)</f>
        <v>#N/A</v>
      </c>
      <c r="R13" s="13" t="e">
        <f>VLOOKUP($B13,baseline!$A:$AK,R$2,FALSE)</f>
        <v>#N/A</v>
      </c>
      <c r="S13" s="13" t="e">
        <f>VLOOKUP($B13,baseline!$A:$AK,S$2,FALSE)</f>
        <v>#N/A</v>
      </c>
      <c r="T13" s="13" t="e">
        <f>VLOOKUP($B13,baseline!$A:$AK,T$2,FALSE)</f>
        <v>#N/A</v>
      </c>
      <c r="U13" s="13" t="e">
        <f>VLOOKUP($B13,baseline!$A:$AK,U$2,FALSE)</f>
        <v>#N/A</v>
      </c>
      <c r="V13" s="13" t="e">
        <f>VLOOKUP($B13,baseline!$A:$AK,V$2,FALSE)</f>
        <v>#N/A</v>
      </c>
      <c r="W13" s="13" t="e">
        <f>VLOOKUP($B13,baseline!$A:$AK,W$2,FALSE)</f>
        <v>#N/A</v>
      </c>
      <c r="X13" s="13" t="e">
        <f>VLOOKUP($B13,baseline!$A:$AK,X$2,FALSE)</f>
        <v>#N/A</v>
      </c>
      <c r="Y13" s="13" t="e">
        <f>VLOOKUP($B13,baseline!$A:$AK,Y$2,FALSE)</f>
        <v>#N/A</v>
      </c>
      <c r="Z13" s="13" t="e">
        <f>VLOOKUP($B13,baseline!$A:$AK,Z$2,FALSE)</f>
        <v>#N/A</v>
      </c>
      <c r="AA13" s="13" t="e">
        <f>VLOOKUP($B13,baseline!$A:$AK,AA$2,FALSE)</f>
        <v>#N/A</v>
      </c>
      <c r="AB13" s="13" t="e">
        <f>VLOOKUP($B13,baseline!$A:$AK,AB$2,FALSE)</f>
        <v>#N/A</v>
      </c>
      <c r="AC13" s="13" t="e">
        <f>VLOOKUP($B13,baseline!$A:$AK,AC$2,FALSE)</f>
        <v>#N/A</v>
      </c>
      <c r="AD13" s="13" t="e">
        <f>VLOOKUP($B13,baseline!$A:$AK,AD$2,FALSE)</f>
        <v>#N/A</v>
      </c>
      <c r="AE13" s="13" t="e">
        <f>VLOOKUP($B13,baseline!$A:$AK,AE$2,FALSE)</f>
        <v>#N/A</v>
      </c>
      <c r="AF13" s="13" t="e">
        <f>VLOOKUP($B13,baseline!$A:$AK,AF$2,FALSE)</f>
        <v>#N/A</v>
      </c>
      <c r="AG13" s="13" t="e">
        <f>VLOOKUP($B13,baseline!$A:$AK,AG$2,FALSE)</f>
        <v>#N/A</v>
      </c>
      <c r="AH13" s="13" t="e">
        <f>VLOOKUP($B13,baseline!$A:$AK,AH$2,FALSE)</f>
        <v>#N/A</v>
      </c>
      <c r="AI13" s="13" t="e">
        <f>VLOOKUP($B13,baseline!$A:$AK,AI$2,FALSE)</f>
        <v>#N/A</v>
      </c>
      <c r="AJ13" s="13" t="e">
        <f>VLOOKUP($B13,baseline!$A:$AK,AJ$2,FALSE)</f>
        <v>#N/A</v>
      </c>
      <c r="AK13" s="13" t="e">
        <f>VLOOKUP($B13,baseline!$A:$AK,AK$2,FALSE)</f>
        <v>#N/A</v>
      </c>
      <c r="AL13" s="13" t="e">
        <f>VLOOKUP($B13,baseline!$A:$AK,AL$2,FALSE)</f>
        <v>#N/A</v>
      </c>
      <c r="AM13" s="13" t="e">
        <f>VLOOKUP($B13,baseline!$A:$AK,AM$2,FALSE)</f>
        <v>#N/A</v>
      </c>
      <c r="AN13" s="13" t="e">
        <f>VLOOKUP($B13,baseline!$A:$AK,AN$2,FALSE)</f>
        <v>#N/A</v>
      </c>
      <c r="AP13" s="3" t="e">
        <f t="shared" si="0"/>
        <v>#N/A</v>
      </c>
    </row>
    <row r="14" spans="1:48" x14ac:dyDescent="0.3">
      <c r="B14" t="s">
        <v>65</v>
      </c>
      <c r="D14" t="s">
        <v>245</v>
      </c>
      <c r="E14" s="13" t="e">
        <f>VLOOKUP($B14,baseline!$A:$AK,E$2,FALSE)</f>
        <v>#N/A</v>
      </c>
      <c r="F14" s="13" t="e">
        <f>VLOOKUP($B14,baseline!$A:$AK,F$2,FALSE)</f>
        <v>#N/A</v>
      </c>
      <c r="G14" s="13" t="e">
        <f>VLOOKUP($B14,baseline!$A:$AK,G$2,FALSE)</f>
        <v>#N/A</v>
      </c>
      <c r="H14" s="13" t="e">
        <f>VLOOKUP($B14,baseline!$A:$AK,H$2,FALSE)</f>
        <v>#N/A</v>
      </c>
      <c r="I14" s="13" t="e">
        <f>VLOOKUP($B14,baseline!$A:$AK,I$2,FALSE)</f>
        <v>#N/A</v>
      </c>
      <c r="J14" s="13" t="e">
        <f>VLOOKUP($B14,baseline!$A:$AK,J$2,FALSE)</f>
        <v>#N/A</v>
      </c>
      <c r="K14" s="13" t="e">
        <f>VLOOKUP($B14,baseline!$A:$AK,K$2,FALSE)</f>
        <v>#N/A</v>
      </c>
      <c r="L14" s="13" t="e">
        <f>VLOOKUP($B14,baseline!$A:$AK,L$2,FALSE)</f>
        <v>#N/A</v>
      </c>
      <c r="M14" s="13" t="e">
        <f>VLOOKUP($B14,baseline!$A:$AK,M$2,FALSE)</f>
        <v>#N/A</v>
      </c>
      <c r="N14" s="13" t="e">
        <f>VLOOKUP($B14,baseline!$A:$AK,N$2,FALSE)</f>
        <v>#N/A</v>
      </c>
      <c r="O14" s="13" t="e">
        <f>VLOOKUP($B14,baseline!$A:$AK,O$2,FALSE)</f>
        <v>#N/A</v>
      </c>
      <c r="P14" s="13" t="e">
        <f>VLOOKUP($B14,baseline!$A:$AK,P$2,FALSE)</f>
        <v>#N/A</v>
      </c>
      <c r="Q14" s="13" t="e">
        <f>VLOOKUP($B14,baseline!$A:$AK,Q$2,FALSE)</f>
        <v>#N/A</v>
      </c>
      <c r="R14" s="13" t="e">
        <f>VLOOKUP($B14,baseline!$A:$AK,R$2,FALSE)</f>
        <v>#N/A</v>
      </c>
      <c r="S14" s="13" t="e">
        <f>VLOOKUP($B14,baseline!$A:$AK,S$2,FALSE)</f>
        <v>#N/A</v>
      </c>
      <c r="T14" s="13" t="e">
        <f>VLOOKUP($B14,baseline!$A:$AK,T$2,FALSE)</f>
        <v>#N/A</v>
      </c>
      <c r="U14" s="13" t="e">
        <f>VLOOKUP($B14,baseline!$A:$AK,U$2,FALSE)</f>
        <v>#N/A</v>
      </c>
      <c r="V14" s="13" t="e">
        <f>VLOOKUP($B14,baseline!$A:$AK,V$2,FALSE)</f>
        <v>#N/A</v>
      </c>
      <c r="W14" s="13" t="e">
        <f>VLOOKUP($B14,baseline!$A:$AK,W$2,FALSE)</f>
        <v>#N/A</v>
      </c>
      <c r="X14" s="13" t="e">
        <f>VLOOKUP($B14,baseline!$A:$AK,X$2,FALSE)</f>
        <v>#N/A</v>
      </c>
      <c r="Y14" s="13" t="e">
        <f>VLOOKUP($B14,baseline!$A:$AK,Y$2,FALSE)</f>
        <v>#N/A</v>
      </c>
      <c r="Z14" s="13" t="e">
        <f>VLOOKUP($B14,baseline!$A:$AK,Z$2,FALSE)</f>
        <v>#N/A</v>
      </c>
      <c r="AA14" s="13" t="e">
        <f>VLOOKUP($B14,baseline!$A:$AK,AA$2,FALSE)</f>
        <v>#N/A</v>
      </c>
      <c r="AB14" s="13" t="e">
        <f>VLOOKUP($B14,baseline!$A:$AK,AB$2,FALSE)</f>
        <v>#N/A</v>
      </c>
      <c r="AC14" s="13" t="e">
        <f>VLOOKUP($B14,baseline!$A:$AK,AC$2,FALSE)</f>
        <v>#N/A</v>
      </c>
      <c r="AD14" s="13" t="e">
        <f>VLOOKUP($B14,baseline!$A:$AK,AD$2,FALSE)</f>
        <v>#N/A</v>
      </c>
      <c r="AE14" s="13" t="e">
        <f>VLOOKUP($B14,baseline!$A:$AK,AE$2,FALSE)</f>
        <v>#N/A</v>
      </c>
      <c r="AF14" s="13" t="e">
        <f>VLOOKUP($B14,baseline!$A:$AK,AF$2,FALSE)</f>
        <v>#N/A</v>
      </c>
      <c r="AG14" s="13" t="e">
        <f>VLOOKUP($B14,baseline!$A:$AK,AG$2,FALSE)</f>
        <v>#N/A</v>
      </c>
      <c r="AH14" s="13" t="e">
        <f>VLOOKUP($B14,baseline!$A:$AK,AH$2,FALSE)</f>
        <v>#N/A</v>
      </c>
      <c r="AI14" s="13" t="e">
        <f>VLOOKUP($B14,baseline!$A:$AK,AI$2,FALSE)</f>
        <v>#N/A</v>
      </c>
      <c r="AJ14" s="13" t="e">
        <f>VLOOKUP($B14,baseline!$A:$AK,AJ$2,FALSE)</f>
        <v>#N/A</v>
      </c>
      <c r="AK14" s="13" t="e">
        <f>VLOOKUP($B14,baseline!$A:$AK,AK$2,FALSE)</f>
        <v>#N/A</v>
      </c>
      <c r="AL14" s="13" t="e">
        <f>VLOOKUP($B14,baseline!$A:$AK,AL$2,FALSE)</f>
        <v>#N/A</v>
      </c>
      <c r="AM14" s="13" t="e">
        <f>VLOOKUP($B14,baseline!$A:$AK,AM$2,FALSE)</f>
        <v>#N/A</v>
      </c>
      <c r="AN14" s="13" t="e">
        <f>VLOOKUP($B14,baseline!$A:$AK,AN$2,FALSE)</f>
        <v>#N/A</v>
      </c>
      <c r="AP14" s="3" t="e">
        <f t="shared" si="0"/>
        <v>#N/A</v>
      </c>
    </row>
    <row r="15" spans="1:48" x14ac:dyDescent="0.3">
      <c r="B15" t="s">
        <v>66</v>
      </c>
      <c r="D15" t="s">
        <v>246</v>
      </c>
      <c r="E15" s="13" t="e">
        <f>VLOOKUP($B15,baseline!$A:$AK,E$2,FALSE)</f>
        <v>#N/A</v>
      </c>
      <c r="F15" s="13" t="e">
        <f>VLOOKUP($B15,baseline!$A:$AK,F$2,FALSE)</f>
        <v>#N/A</v>
      </c>
      <c r="G15" s="13" t="e">
        <f>VLOOKUP($B15,baseline!$A:$AK,G$2,FALSE)</f>
        <v>#N/A</v>
      </c>
      <c r="H15" s="13" t="e">
        <f>VLOOKUP($B15,baseline!$A:$AK,H$2,FALSE)</f>
        <v>#N/A</v>
      </c>
      <c r="I15" s="13" t="e">
        <f>VLOOKUP($B15,baseline!$A:$AK,I$2,FALSE)</f>
        <v>#N/A</v>
      </c>
      <c r="J15" s="13" t="e">
        <f>VLOOKUP($B15,baseline!$A:$AK,J$2,FALSE)</f>
        <v>#N/A</v>
      </c>
      <c r="K15" s="13" t="e">
        <f>VLOOKUP($B15,baseline!$A:$AK,K$2,FALSE)</f>
        <v>#N/A</v>
      </c>
      <c r="L15" s="13" t="e">
        <f>VLOOKUP($B15,baseline!$A:$AK,L$2,FALSE)</f>
        <v>#N/A</v>
      </c>
      <c r="M15" s="13" t="e">
        <f>VLOOKUP($B15,baseline!$A:$AK,M$2,FALSE)</f>
        <v>#N/A</v>
      </c>
      <c r="N15" s="13" t="e">
        <f>VLOOKUP($B15,baseline!$A:$AK,N$2,FALSE)</f>
        <v>#N/A</v>
      </c>
      <c r="O15" s="13" t="e">
        <f>VLOOKUP($B15,baseline!$A:$AK,O$2,FALSE)</f>
        <v>#N/A</v>
      </c>
      <c r="P15" s="13" t="e">
        <f>VLOOKUP($B15,baseline!$A:$AK,P$2,FALSE)</f>
        <v>#N/A</v>
      </c>
      <c r="Q15" s="13" t="e">
        <f>VLOOKUP($B15,baseline!$A:$AK,Q$2,FALSE)</f>
        <v>#N/A</v>
      </c>
      <c r="R15" s="13" t="e">
        <f>VLOOKUP($B15,baseline!$A:$AK,R$2,FALSE)</f>
        <v>#N/A</v>
      </c>
      <c r="S15" s="13" t="e">
        <f>VLOOKUP($B15,baseline!$A:$AK,S$2,FALSE)</f>
        <v>#N/A</v>
      </c>
      <c r="T15" s="13" t="e">
        <f>VLOOKUP($B15,baseline!$A:$AK,T$2,FALSE)</f>
        <v>#N/A</v>
      </c>
      <c r="U15" s="13" t="e">
        <f>VLOOKUP($B15,baseline!$A:$AK,U$2,FALSE)</f>
        <v>#N/A</v>
      </c>
      <c r="V15" s="13" t="e">
        <f>VLOOKUP($B15,baseline!$A:$AK,V$2,FALSE)</f>
        <v>#N/A</v>
      </c>
      <c r="W15" s="13" t="e">
        <f>VLOOKUP($B15,baseline!$A:$AK,W$2,FALSE)</f>
        <v>#N/A</v>
      </c>
      <c r="X15" s="13" t="e">
        <f>VLOOKUP($B15,baseline!$A:$AK,X$2,FALSE)</f>
        <v>#N/A</v>
      </c>
      <c r="Y15" s="13" t="e">
        <f>VLOOKUP($B15,baseline!$A:$AK,Y$2,FALSE)</f>
        <v>#N/A</v>
      </c>
      <c r="Z15" s="13" t="e">
        <f>VLOOKUP($B15,baseline!$A:$AK,Z$2,FALSE)</f>
        <v>#N/A</v>
      </c>
      <c r="AA15" s="13" t="e">
        <f>VLOOKUP($B15,baseline!$A:$AK,AA$2,FALSE)</f>
        <v>#N/A</v>
      </c>
      <c r="AB15" s="13" t="e">
        <f>VLOOKUP($B15,baseline!$A:$AK,AB$2,FALSE)</f>
        <v>#N/A</v>
      </c>
      <c r="AC15" s="13" t="e">
        <f>VLOOKUP($B15,baseline!$A:$AK,AC$2,FALSE)</f>
        <v>#N/A</v>
      </c>
      <c r="AD15" s="13" t="e">
        <f>VLOOKUP($B15,baseline!$A:$AK,AD$2,FALSE)</f>
        <v>#N/A</v>
      </c>
      <c r="AE15" s="13" t="e">
        <f>VLOOKUP($B15,baseline!$A:$AK,AE$2,FALSE)</f>
        <v>#N/A</v>
      </c>
      <c r="AF15" s="13" t="e">
        <f>VLOOKUP($B15,baseline!$A:$AK,AF$2,FALSE)</f>
        <v>#N/A</v>
      </c>
      <c r="AG15" s="13" t="e">
        <f>VLOOKUP($B15,baseline!$A:$AK,AG$2,FALSE)</f>
        <v>#N/A</v>
      </c>
      <c r="AH15" s="13" t="e">
        <f>VLOOKUP($B15,baseline!$A:$AK,AH$2,FALSE)</f>
        <v>#N/A</v>
      </c>
      <c r="AI15" s="13" t="e">
        <f>VLOOKUP($B15,baseline!$A:$AK,AI$2,FALSE)</f>
        <v>#N/A</v>
      </c>
      <c r="AJ15" s="13" t="e">
        <f>VLOOKUP($B15,baseline!$A:$AK,AJ$2,FALSE)</f>
        <v>#N/A</v>
      </c>
      <c r="AK15" s="13" t="e">
        <f>VLOOKUP($B15,baseline!$A:$AK,AK$2,FALSE)</f>
        <v>#N/A</v>
      </c>
      <c r="AL15" s="13" t="e">
        <f>VLOOKUP($B15,baseline!$A:$AK,AL$2,FALSE)</f>
        <v>#N/A</v>
      </c>
      <c r="AM15" s="13" t="e">
        <f>VLOOKUP($B15,baseline!$A:$AK,AM$2,FALSE)</f>
        <v>#N/A</v>
      </c>
      <c r="AN15" s="13" t="e">
        <f>VLOOKUP($B15,baseline!$A:$AK,AN$2,FALSE)</f>
        <v>#N/A</v>
      </c>
      <c r="AP15" s="3" t="e">
        <f t="shared" si="0"/>
        <v>#N/A</v>
      </c>
    </row>
    <row r="16" spans="1:48" x14ac:dyDescent="0.3">
      <c r="B16" t="s">
        <v>67</v>
      </c>
      <c r="D16" t="s">
        <v>247</v>
      </c>
      <c r="E16" s="13" t="e">
        <f>VLOOKUP($B16,baseline!$A:$AK,E$2,FALSE)</f>
        <v>#N/A</v>
      </c>
      <c r="F16" s="13" t="e">
        <f>VLOOKUP($B16,baseline!$A:$AK,F$2,FALSE)</f>
        <v>#N/A</v>
      </c>
      <c r="G16" s="13" t="e">
        <f>VLOOKUP($B16,baseline!$A:$AK,G$2,FALSE)</f>
        <v>#N/A</v>
      </c>
      <c r="H16" s="13" t="e">
        <f>VLOOKUP($B16,baseline!$A:$AK,H$2,FALSE)</f>
        <v>#N/A</v>
      </c>
      <c r="I16" s="13" t="e">
        <f>VLOOKUP($B16,baseline!$A:$AK,I$2,FALSE)</f>
        <v>#N/A</v>
      </c>
      <c r="J16" s="13" t="e">
        <f>VLOOKUP($B16,baseline!$A:$AK,J$2,FALSE)</f>
        <v>#N/A</v>
      </c>
      <c r="K16" s="13" t="e">
        <f>VLOOKUP($B16,baseline!$A:$AK,K$2,FALSE)</f>
        <v>#N/A</v>
      </c>
      <c r="L16" s="13" t="e">
        <f>VLOOKUP($B16,baseline!$A:$AK,L$2,FALSE)</f>
        <v>#N/A</v>
      </c>
      <c r="M16" s="13" t="e">
        <f>VLOOKUP($B16,baseline!$A:$AK,M$2,FALSE)</f>
        <v>#N/A</v>
      </c>
      <c r="N16" s="13" t="e">
        <f>VLOOKUP($B16,baseline!$A:$AK,N$2,FALSE)</f>
        <v>#N/A</v>
      </c>
      <c r="O16" s="13" t="e">
        <f>VLOOKUP($B16,baseline!$A:$AK,O$2,FALSE)</f>
        <v>#N/A</v>
      </c>
      <c r="P16" s="13" t="e">
        <f>VLOOKUP($B16,baseline!$A:$AK,P$2,FALSE)</f>
        <v>#N/A</v>
      </c>
      <c r="Q16" s="13" t="e">
        <f>VLOOKUP($B16,baseline!$A:$AK,Q$2,FALSE)</f>
        <v>#N/A</v>
      </c>
      <c r="R16" s="13" t="e">
        <f>VLOOKUP($B16,baseline!$A:$AK,R$2,FALSE)</f>
        <v>#N/A</v>
      </c>
      <c r="S16" s="13" t="e">
        <f>VLOOKUP($B16,baseline!$A:$AK,S$2,FALSE)</f>
        <v>#N/A</v>
      </c>
      <c r="T16" s="13" t="e">
        <f>VLOOKUP($B16,baseline!$A:$AK,T$2,FALSE)</f>
        <v>#N/A</v>
      </c>
      <c r="U16" s="13" t="e">
        <f>VLOOKUP($B16,baseline!$A:$AK,U$2,FALSE)</f>
        <v>#N/A</v>
      </c>
      <c r="V16" s="13" t="e">
        <f>VLOOKUP($B16,baseline!$A:$AK,V$2,FALSE)</f>
        <v>#N/A</v>
      </c>
      <c r="W16" s="13" t="e">
        <f>VLOOKUP($B16,baseline!$A:$AK,W$2,FALSE)</f>
        <v>#N/A</v>
      </c>
      <c r="X16" s="13" t="e">
        <f>VLOOKUP($B16,baseline!$A:$AK,X$2,FALSE)</f>
        <v>#N/A</v>
      </c>
      <c r="Y16" s="13" t="e">
        <f>VLOOKUP($B16,baseline!$A:$AK,Y$2,FALSE)</f>
        <v>#N/A</v>
      </c>
      <c r="Z16" s="13" t="e">
        <f>VLOOKUP($B16,baseline!$A:$AK,Z$2,FALSE)</f>
        <v>#N/A</v>
      </c>
      <c r="AA16" s="13" t="e">
        <f>VLOOKUP($B16,baseline!$A:$AK,AA$2,FALSE)</f>
        <v>#N/A</v>
      </c>
      <c r="AB16" s="13" t="e">
        <f>VLOOKUP($B16,baseline!$A:$AK,AB$2,FALSE)</f>
        <v>#N/A</v>
      </c>
      <c r="AC16" s="13" t="e">
        <f>VLOOKUP($B16,baseline!$A:$AK,AC$2,FALSE)</f>
        <v>#N/A</v>
      </c>
      <c r="AD16" s="13" t="e">
        <f>VLOOKUP($B16,baseline!$A:$AK,AD$2,FALSE)</f>
        <v>#N/A</v>
      </c>
      <c r="AE16" s="13" t="e">
        <f>VLOOKUP($B16,baseline!$A:$AK,AE$2,FALSE)</f>
        <v>#N/A</v>
      </c>
      <c r="AF16" s="13" t="e">
        <f>VLOOKUP($B16,baseline!$A:$AK,AF$2,FALSE)</f>
        <v>#N/A</v>
      </c>
      <c r="AG16" s="13" t="e">
        <f>VLOOKUP($B16,baseline!$A:$AK,AG$2,FALSE)</f>
        <v>#N/A</v>
      </c>
      <c r="AH16" s="13" t="e">
        <f>VLOOKUP($B16,baseline!$A:$AK,AH$2,FALSE)</f>
        <v>#N/A</v>
      </c>
      <c r="AI16" s="13" t="e">
        <f>VLOOKUP($B16,baseline!$A:$AK,AI$2,FALSE)</f>
        <v>#N/A</v>
      </c>
      <c r="AJ16" s="13" t="e">
        <f>VLOOKUP($B16,baseline!$A:$AK,AJ$2,FALSE)</f>
        <v>#N/A</v>
      </c>
      <c r="AK16" s="13" t="e">
        <f>VLOOKUP($B16,baseline!$A:$AK,AK$2,FALSE)</f>
        <v>#N/A</v>
      </c>
      <c r="AL16" s="13" t="e">
        <f>VLOOKUP($B16,baseline!$A:$AK,AL$2,FALSE)</f>
        <v>#N/A</v>
      </c>
      <c r="AM16" s="13" t="e">
        <f>VLOOKUP($B16,baseline!$A:$AK,AM$2,FALSE)</f>
        <v>#N/A</v>
      </c>
      <c r="AN16" s="13" t="e">
        <f>VLOOKUP($B16,baseline!$A:$AK,AN$2,FALSE)</f>
        <v>#N/A</v>
      </c>
      <c r="AP16" s="3" t="e">
        <f t="shared" si="0"/>
        <v>#N/A</v>
      </c>
    </row>
    <row r="17" spans="1:48" x14ac:dyDescent="0.3">
      <c r="B17" t="s">
        <v>68</v>
      </c>
      <c r="D17" t="s">
        <v>248</v>
      </c>
      <c r="E17" s="13" t="e">
        <f>VLOOKUP($B17,baseline!$A:$AK,E$2,FALSE)</f>
        <v>#N/A</v>
      </c>
      <c r="F17" s="13" t="e">
        <f>VLOOKUP($B17,baseline!$A:$AK,F$2,FALSE)</f>
        <v>#N/A</v>
      </c>
      <c r="G17" s="13" t="e">
        <f>VLOOKUP($B17,baseline!$A:$AK,G$2,FALSE)</f>
        <v>#N/A</v>
      </c>
      <c r="H17" s="13" t="e">
        <f>VLOOKUP($B17,baseline!$A:$AK,H$2,FALSE)</f>
        <v>#N/A</v>
      </c>
      <c r="I17" s="13" t="e">
        <f>VLOOKUP($B17,baseline!$A:$AK,I$2,FALSE)</f>
        <v>#N/A</v>
      </c>
      <c r="J17" s="13" t="e">
        <f>VLOOKUP($B17,baseline!$A:$AK,J$2,FALSE)</f>
        <v>#N/A</v>
      </c>
      <c r="K17" s="13" t="e">
        <f>VLOOKUP($B17,baseline!$A:$AK,K$2,FALSE)</f>
        <v>#N/A</v>
      </c>
      <c r="L17" s="13" t="e">
        <f>VLOOKUP($B17,baseline!$A:$AK,L$2,FALSE)</f>
        <v>#N/A</v>
      </c>
      <c r="M17" s="13" t="e">
        <f>VLOOKUP($B17,baseline!$A:$AK,M$2,FALSE)</f>
        <v>#N/A</v>
      </c>
      <c r="N17" s="13" t="e">
        <f>VLOOKUP($B17,baseline!$A:$AK,N$2,FALSE)</f>
        <v>#N/A</v>
      </c>
      <c r="O17" s="13" t="e">
        <f>VLOOKUP($B17,baseline!$A:$AK,O$2,FALSE)</f>
        <v>#N/A</v>
      </c>
      <c r="P17" s="13" t="e">
        <f>VLOOKUP($B17,baseline!$A:$AK,P$2,FALSE)</f>
        <v>#N/A</v>
      </c>
      <c r="Q17" s="13" t="e">
        <f>VLOOKUP($B17,baseline!$A:$AK,Q$2,FALSE)</f>
        <v>#N/A</v>
      </c>
      <c r="R17" s="13" t="e">
        <f>VLOOKUP($B17,baseline!$A:$AK,R$2,FALSE)</f>
        <v>#N/A</v>
      </c>
      <c r="S17" s="13" t="e">
        <f>VLOOKUP($B17,baseline!$A:$AK,S$2,FALSE)</f>
        <v>#N/A</v>
      </c>
      <c r="T17" s="13" t="e">
        <f>VLOOKUP($B17,baseline!$A:$AK,T$2,FALSE)</f>
        <v>#N/A</v>
      </c>
      <c r="U17" s="13" t="e">
        <f>VLOOKUP($B17,baseline!$A:$AK,U$2,FALSE)</f>
        <v>#N/A</v>
      </c>
      <c r="V17" s="13" t="e">
        <f>VLOOKUP($B17,baseline!$A:$AK,V$2,FALSE)</f>
        <v>#N/A</v>
      </c>
      <c r="W17" s="13" t="e">
        <f>VLOOKUP($B17,baseline!$A:$AK,W$2,FALSE)</f>
        <v>#N/A</v>
      </c>
      <c r="X17" s="13" t="e">
        <f>VLOOKUP($B17,baseline!$A:$AK,X$2,FALSE)</f>
        <v>#N/A</v>
      </c>
      <c r="Y17" s="13" t="e">
        <f>VLOOKUP($B17,baseline!$A:$AK,Y$2,FALSE)</f>
        <v>#N/A</v>
      </c>
      <c r="Z17" s="13" t="e">
        <f>VLOOKUP($B17,baseline!$A:$AK,Z$2,FALSE)</f>
        <v>#N/A</v>
      </c>
      <c r="AA17" s="13" t="e">
        <f>VLOOKUP($B17,baseline!$A:$AK,AA$2,FALSE)</f>
        <v>#N/A</v>
      </c>
      <c r="AB17" s="13" t="e">
        <f>VLOOKUP($B17,baseline!$A:$AK,AB$2,FALSE)</f>
        <v>#N/A</v>
      </c>
      <c r="AC17" s="13" t="e">
        <f>VLOOKUP($B17,baseline!$A:$AK,AC$2,FALSE)</f>
        <v>#N/A</v>
      </c>
      <c r="AD17" s="13" t="e">
        <f>VLOOKUP($B17,baseline!$A:$AK,AD$2,FALSE)</f>
        <v>#N/A</v>
      </c>
      <c r="AE17" s="13" t="e">
        <f>VLOOKUP($B17,baseline!$A:$AK,AE$2,FALSE)</f>
        <v>#N/A</v>
      </c>
      <c r="AF17" s="13" t="e">
        <f>VLOOKUP($B17,baseline!$A:$AK,AF$2,FALSE)</f>
        <v>#N/A</v>
      </c>
      <c r="AG17" s="13" t="e">
        <f>VLOOKUP($B17,baseline!$A:$AK,AG$2,FALSE)</f>
        <v>#N/A</v>
      </c>
      <c r="AH17" s="13" t="e">
        <f>VLOOKUP($B17,baseline!$A:$AK,AH$2,FALSE)</f>
        <v>#N/A</v>
      </c>
      <c r="AI17" s="13" t="e">
        <f>VLOOKUP($B17,baseline!$A:$AK,AI$2,FALSE)</f>
        <v>#N/A</v>
      </c>
      <c r="AJ17" s="13" t="e">
        <f>VLOOKUP($B17,baseline!$A:$AK,AJ$2,FALSE)</f>
        <v>#N/A</v>
      </c>
      <c r="AK17" s="13" t="e">
        <f>VLOOKUP($B17,baseline!$A:$AK,AK$2,FALSE)</f>
        <v>#N/A</v>
      </c>
      <c r="AL17" s="13" t="e">
        <f>VLOOKUP($B17,baseline!$A:$AK,AL$2,FALSE)</f>
        <v>#N/A</v>
      </c>
      <c r="AM17" s="13" t="e">
        <f>VLOOKUP($B17,baseline!$A:$AK,AM$2,FALSE)</f>
        <v>#N/A</v>
      </c>
      <c r="AN17" s="13" t="e">
        <f>VLOOKUP($B17,baseline!$A:$AK,AN$2,FALSE)</f>
        <v>#N/A</v>
      </c>
      <c r="AP17" s="3" t="e">
        <f t="shared" si="0"/>
        <v>#N/A</v>
      </c>
    </row>
    <row r="18" spans="1:48" x14ac:dyDescent="0.3">
      <c r="B18" t="s">
        <v>69</v>
      </c>
      <c r="D18" t="s">
        <v>249</v>
      </c>
      <c r="E18" s="13" t="e">
        <f>VLOOKUP($B18,baseline!$A:$AK,E$2,FALSE)</f>
        <v>#N/A</v>
      </c>
      <c r="F18" s="13" t="e">
        <f>VLOOKUP($B18,baseline!$A:$AK,F$2,FALSE)</f>
        <v>#N/A</v>
      </c>
      <c r="G18" s="13" t="e">
        <f>VLOOKUP($B18,baseline!$A:$AK,G$2,FALSE)</f>
        <v>#N/A</v>
      </c>
      <c r="H18" s="13" t="e">
        <f>VLOOKUP($B18,baseline!$A:$AK,H$2,FALSE)</f>
        <v>#N/A</v>
      </c>
      <c r="I18" s="13" t="e">
        <f>VLOOKUP($B18,baseline!$A:$AK,I$2,FALSE)</f>
        <v>#N/A</v>
      </c>
      <c r="J18" s="13" t="e">
        <f>VLOOKUP($B18,baseline!$A:$AK,J$2,FALSE)</f>
        <v>#N/A</v>
      </c>
      <c r="K18" s="13" t="e">
        <f>VLOOKUP($B18,baseline!$A:$AK,K$2,FALSE)</f>
        <v>#N/A</v>
      </c>
      <c r="L18" s="13" t="e">
        <f>VLOOKUP($B18,baseline!$A:$AK,L$2,FALSE)</f>
        <v>#N/A</v>
      </c>
      <c r="M18" s="13" t="e">
        <f>VLOOKUP($B18,baseline!$A:$AK,M$2,FALSE)</f>
        <v>#N/A</v>
      </c>
      <c r="N18" s="13" t="e">
        <f>VLOOKUP($B18,baseline!$A:$AK,N$2,FALSE)</f>
        <v>#N/A</v>
      </c>
      <c r="O18" s="13" t="e">
        <f>VLOOKUP($B18,baseline!$A:$AK,O$2,FALSE)</f>
        <v>#N/A</v>
      </c>
      <c r="P18" s="13" t="e">
        <f>VLOOKUP($B18,baseline!$A:$AK,P$2,FALSE)</f>
        <v>#N/A</v>
      </c>
      <c r="Q18" s="13" t="e">
        <f>VLOOKUP($B18,baseline!$A:$AK,Q$2,FALSE)</f>
        <v>#N/A</v>
      </c>
      <c r="R18" s="13" t="e">
        <f>VLOOKUP($B18,baseline!$A:$AK,R$2,FALSE)</f>
        <v>#N/A</v>
      </c>
      <c r="S18" s="13" t="e">
        <f>VLOOKUP($B18,baseline!$A:$AK,S$2,FALSE)</f>
        <v>#N/A</v>
      </c>
      <c r="T18" s="13" t="e">
        <f>VLOOKUP($B18,baseline!$A:$AK,T$2,FALSE)</f>
        <v>#N/A</v>
      </c>
      <c r="U18" s="13" t="e">
        <f>VLOOKUP($B18,baseline!$A:$AK,U$2,FALSE)</f>
        <v>#N/A</v>
      </c>
      <c r="V18" s="13" t="e">
        <f>VLOOKUP($B18,baseline!$A:$AK,V$2,FALSE)</f>
        <v>#N/A</v>
      </c>
      <c r="W18" s="13" t="e">
        <f>VLOOKUP($B18,baseline!$A:$AK,W$2,FALSE)</f>
        <v>#N/A</v>
      </c>
      <c r="X18" s="13" t="e">
        <f>VLOOKUP($B18,baseline!$A:$AK,X$2,FALSE)</f>
        <v>#N/A</v>
      </c>
      <c r="Y18" s="13" t="e">
        <f>VLOOKUP($B18,baseline!$A:$AK,Y$2,FALSE)</f>
        <v>#N/A</v>
      </c>
      <c r="Z18" s="13" t="e">
        <f>VLOOKUP($B18,baseline!$A:$AK,Z$2,FALSE)</f>
        <v>#N/A</v>
      </c>
      <c r="AA18" s="13" t="e">
        <f>VLOOKUP($B18,baseline!$A:$AK,AA$2,FALSE)</f>
        <v>#N/A</v>
      </c>
      <c r="AB18" s="13" t="e">
        <f>VLOOKUP($B18,baseline!$A:$AK,AB$2,FALSE)</f>
        <v>#N/A</v>
      </c>
      <c r="AC18" s="13" t="e">
        <f>VLOOKUP($B18,baseline!$A:$AK,AC$2,FALSE)</f>
        <v>#N/A</v>
      </c>
      <c r="AD18" s="13" t="e">
        <f>VLOOKUP($B18,baseline!$A:$AK,AD$2,FALSE)</f>
        <v>#N/A</v>
      </c>
      <c r="AE18" s="13" t="e">
        <f>VLOOKUP($B18,baseline!$A:$AK,AE$2,FALSE)</f>
        <v>#N/A</v>
      </c>
      <c r="AF18" s="13" t="e">
        <f>VLOOKUP($B18,baseline!$A:$AK,AF$2,FALSE)</f>
        <v>#N/A</v>
      </c>
      <c r="AG18" s="13" t="e">
        <f>VLOOKUP($B18,baseline!$A:$AK,AG$2,FALSE)</f>
        <v>#N/A</v>
      </c>
      <c r="AH18" s="13" t="e">
        <f>VLOOKUP($B18,baseline!$A:$AK,AH$2,FALSE)</f>
        <v>#N/A</v>
      </c>
      <c r="AI18" s="13" t="e">
        <f>VLOOKUP($B18,baseline!$A:$AK,AI$2,FALSE)</f>
        <v>#N/A</v>
      </c>
      <c r="AJ18" s="13" t="e">
        <f>VLOOKUP($B18,baseline!$A:$AK,AJ$2,FALSE)</f>
        <v>#N/A</v>
      </c>
      <c r="AK18" s="13" t="e">
        <f>VLOOKUP($B18,baseline!$A:$AK,AK$2,FALSE)</f>
        <v>#N/A</v>
      </c>
      <c r="AL18" s="13" t="e">
        <f>VLOOKUP($B18,baseline!$A:$AK,AL$2,FALSE)</f>
        <v>#N/A</v>
      </c>
      <c r="AM18" s="13" t="e">
        <f>VLOOKUP($B18,baseline!$A:$AK,AM$2,FALSE)</f>
        <v>#N/A</v>
      </c>
      <c r="AN18" s="13" t="e">
        <f>VLOOKUP($B18,baseline!$A:$AK,AN$2,FALSE)</f>
        <v>#N/A</v>
      </c>
      <c r="AP18" s="3" t="e">
        <f t="shared" si="0"/>
        <v>#N/A</v>
      </c>
    </row>
    <row r="19" spans="1:48" x14ac:dyDescent="0.3">
      <c r="B19" t="s">
        <v>70</v>
      </c>
      <c r="D19" t="s">
        <v>250</v>
      </c>
      <c r="E19" s="13" t="e">
        <f>VLOOKUP($B19,baseline!$A:$AK,E$2,FALSE)</f>
        <v>#N/A</v>
      </c>
      <c r="F19" s="13" t="e">
        <f>VLOOKUP($B19,baseline!$A:$AK,F$2,FALSE)</f>
        <v>#N/A</v>
      </c>
      <c r="G19" s="13" t="e">
        <f>VLOOKUP($B19,baseline!$A:$AK,G$2,FALSE)</f>
        <v>#N/A</v>
      </c>
      <c r="H19" s="13" t="e">
        <f>VLOOKUP($B19,baseline!$A:$AK,H$2,FALSE)</f>
        <v>#N/A</v>
      </c>
      <c r="I19" s="13" t="e">
        <f>VLOOKUP($B19,baseline!$A:$AK,I$2,FALSE)</f>
        <v>#N/A</v>
      </c>
      <c r="J19" s="13" t="e">
        <f>VLOOKUP($B19,baseline!$A:$AK,J$2,FALSE)</f>
        <v>#N/A</v>
      </c>
      <c r="K19" s="13" t="e">
        <f>VLOOKUP($B19,baseline!$A:$AK,K$2,FALSE)</f>
        <v>#N/A</v>
      </c>
      <c r="L19" s="13" t="e">
        <f>VLOOKUP($B19,baseline!$A:$AK,L$2,FALSE)</f>
        <v>#N/A</v>
      </c>
      <c r="M19" s="13" t="e">
        <f>VLOOKUP($B19,baseline!$A:$AK,M$2,FALSE)</f>
        <v>#N/A</v>
      </c>
      <c r="N19" s="13" t="e">
        <f>VLOOKUP($B19,baseline!$A:$AK,N$2,FALSE)</f>
        <v>#N/A</v>
      </c>
      <c r="O19" s="13" t="e">
        <f>VLOOKUP($B19,baseline!$A:$AK,O$2,FALSE)</f>
        <v>#N/A</v>
      </c>
      <c r="P19" s="13" t="e">
        <f>VLOOKUP($B19,baseline!$A:$AK,P$2,FALSE)</f>
        <v>#N/A</v>
      </c>
      <c r="Q19" s="13" t="e">
        <f>VLOOKUP($B19,baseline!$A:$AK,Q$2,FALSE)</f>
        <v>#N/A</v>
      </c>
      <c r="R19" s="13" t="e">
        <f>VLOOKUP($B19,baseline!$A:$AK,R$2,FALSE)</f>
        <v>#N/A</v>
      </c>
      <c r="S19" s="13" t="e">
        <f>VLOOKUP($B19,baseline!$A:$AK,S$2,FALSE)</f>
        <v>#N/A</v>
      </c>
      <c r="T19" s="13" t="e">
        <f>VLOOKUP($B19,baseline!$A:$AK,T$2,FALSE)</f>
        <v>#N/A</v>
      </c>
      <c r="U19" s="13" t="e">
        <f>VLOOKUP($B19,baseline!$A:$AK,U$2,FALSE)</f>
        <v>#N/A</v>
      </c>
      <c r="V19" s="13" t="e">
        <f>VLOOKUP($B19,baseline!$A:$AK,V$2,FALSE)</f>
        <v>#N/A</v>
      </c>
      <c r="W19" s="13" t="e">
        <f>VLOOKUP($B19,baseline!$A:$AK,W$2,FALSE)</f>
        <v>#N/A</v>
      </c>
      <c r="X19" s="13" t="e">
        <f>VLOOKUP($B19,baseline!$A:$AK,X$2,FALSE)</f>
        <v>#N/A</v>
      </c>
      <c r="Y19" s="13" t="e">
        <f>VLOOKUP($B19,baseline!$A:$AK,Y$2,FALSE)</f>
        <v>#N/A</v>
      </c>
      <c r="Z19" s="13" t="e">
        <f>VLOOKUP($B19,baseline!$A:$AK,Z$2,FALSE)</f>
        <v>#N/A</v>
      </c>
      <c r="AA19" s="13" t="e">
        <f>VLOOKUP($B19,baseline!$A:$AK,AA$2,FALSE)</f>
        <v>#N/A</v>
      </c>
      <c r="AB19" s="13" t="e">
        <f>VLOOKUP($B19,baseline!$A:$AK,AB$2,FALSE)</f>
        <v>#N/A</v>
      </c>
      <c r="AC19" s="13" t="e">
        <f>VLOOKUP($B19,baseline!$A:$AK,AC$2,FALSE)</f>
        <v>#N/A</v>
      </c>
      <c r="AD19" s="13" t="e">
        <f>VLOOKUP($B19,baseline!$A:$AK,AD$2,FALSE)</f>
        <v>#N/A</v>
      </c>
      <c r="AE19" s="13" t="e">
        <f>VLOOKUP($B19,baseline!$A:$AK,AE$2,FALSE)</f>
        <v>#N/A</v>
      </c>
      <c r="AF19" s="13" t="e">
        <f>VLOOKUP($B19,baseline!$A:$AK,AF$2,FALSE)</f>
        <v>#N/A</v>
      </c>
      <c r="AG19" s="13" t="e">
        <f>VLOOKUP($B19,baseline!$A:$AK,AG$2,FALSE)</f>
        <v>#N/A</v>
      </c>
      <c r="AH19" s="13" t="e">
        <f>VLOOKUP($B19,baseline!$A:$AK,AH$2,FALSE)</f>
        <v>#N/A</v>
      </c>
      <c r="AI19" s="13" t="e">
        <f>VLOOKUP($B19,baseline!$A:$AK,AI$2,FALSE)</f>
        <v>#N/A</v>
      </c>
      <c r="AJ19" s="13" t="e">
        <f>VLOOKUP($B19,baseline!$A:$AK,AJ$2,FALSE)</f>
        <v>#N/A</v>
      </c>
      <c r="AK19" s="13" t="e">
        <f>VLOOKUP($B19,baseline!$A:$AK,AK$2,FALSE)</f>
        <v>#N/A</v>
      </c>
      <c r="AL19" s="13" t="e">
        <f>VLOOKUP($B19,baseline!$A:$AK,AL$2,FALSE)</f>
        <v>#N/A</v>
      </c>
      <c r="AM19" s="13" t="e">
        <f>VLOOKUP($B19,baseline!$A:$AK,AM$2,FALSE)</f>
        <v>#N/A</v>
      </c>
      <c r="AN19" s="13" t="e">
        <f>VLOOKUP($B19,baseline!$A:$AK,AN$2,FALSE)</f>
        <v>#N/A</v>
      </c>
      <c r="AP19" s="3" t="e">
        <f t="shared" si="0"/>
        <v>#N/A</v>
      </c>
    </row>
    <row r="20" spans="1:48" x14ac:dyDescent="0.3">
      <c r="B20" t="s">
        <v>71</v>
      </c>
      <c r="D20" t="s">
        <v>251</v>
      </c>
      <c r="E20" s="13" t="e">
        <f>VLOOKUP($B20,baseline!$A:$AK,E$2,FALSE)</f>
        <v>#N/A</v>
      </c>
      <c r="F20" s="13" t="e">
        <f>VLOOKUP($B20,baseline!$A:$AK,F$2,FALSE)</f>
        <v>#N/A</v>
      </c>
      <c r="G20" s="13" t="e">
        <f>VLOOKUP($B20,baseline!$A:$AK,G$2,FALSE)</f>
        <v>#N/A</v>
      </c>
      <c r="H20" s="13" t="e">
        <f>VLOOKUP($B20,baseline!$A:$AK,H$2,FALSE)</f>
        <v>#N/A</v>
      </c>
      <c r="I20" s="13" t="e">
        <f>VLOOKUP($B20,baseline!$A:$AK,I$2,FALSE)</f>
        <v>#N/A</v>
      </c>
      <c r="J20" s="13" t="e">
        <f>VLOOKUP($B20,baseline!$A:$AK,J$2,FALSE)</f>
        <v>#N/A</v>
      </c>
      <c r="K20" s="13" t="e">
        <f>VLOOKUP($B20,baseline!$A:$AK,K$2,FALSE)</f>
        <v>#N/A</v>
      </c>
      <c r="L20" s="13" t="e">
        <f>VLOOKUP($B20,baseline!$A:$AK,L$2,FALSE)</f>
        <v>#N/A</v>
      </c>
      <c r="M20" s="13" t="e">
        <f>VLOOKUP($B20,baseline!$A:$AK,M$2,FALSE)</f>
        <v>#N/A</v>
      </c>
      <c r="N20" s="13" t="e">
        <f>VLOOKUP($B20,baseline!$A:$AK,N$2,FALSE)</f>
        <v>#N/A</v>
      </c>
      <c r="O20" s="13" t="e">
        <f>VLOOKUP($B20,baseline!$A:$AK,O$2,FALSE)</f>
        <v>#N/A</v>
      </c>
      <c r="P20" s="13" t="e">
        <f>VLOOKUP($B20,baseline!$A:$AK,P$2,FALSE)</f>
        <v>#N/A</v>
      </c>
      <c r="Q20" s="13" t="e">
        <f>VLOOKUP($B20,baseline!$A:$AK,Q$2,FALSE)</f>
        <v>#N/A</v>
      </c>
      <c r="R20" s="13" t="e">
        <f>VLOOKUP($B20,baseline!$A:$AK,R$2,FALSE)</f>
        <v>#N/A</v>
      </c>
      <c r="S20" s="13" t="e">
        <f>VLOOKUP($B20,baseline!$A:$AK,S$2,FALSE)</f>
        <v>#N/A</v>
      </c>
      <c r="T20" s="13" t="e">
        <f>VLOOKUP($B20,baseline!$A:$AK,T$2,FALSE)</f>
        <v>#N/A</v>
      </c>
      <c r="U20" s="13" t="e">
        <f>VLOOKUP($B20,baseline!$A:$AK,U$2,FALSE)</f>
        <v>#N/A</v>
      </c>
      <c r="V20" s="13" t="e">
        <f>VLOOKUP($B20,baseline!$A:$AK,V$2,FALSE)</f>
        <v>#N/A</v>
      </c>
      <c r="W20" s="13" t="e">
        <f>VLOOKUP($B20,baseline!$A:$AK,W$2,FALSE)</f>
        <v>#N/A</v>
      </c>
      <c r="X20" s="13" t="e">
        <f>VLOOKUP($B20,baseline!$A:$AK,X$2,FALSE)</f>
        <v>#N/A</v>
      </c>
      <c r="Y20" s="13" t="e">
        <f>VLOOKUP($B20,baseline!$A:$AK,Y$2,FALSE)</f>
        <v>#N/A</v>
      </c>
      <c r="Z20" s="13" t="e">
        <f>VLOOKUP($B20,baseline!$A:$AK,Z$2,FALSE)</f>
        <v>#N/A</v>
      </c>
      <c r="AA20" s="13" t="e">
        <f>VLOOKUP($B20,baseline!$A:$AK,AA$2,FALSE)</f>
        <v>#N/A</v>
      </c>
      <c r="AB20" s="13" t="e">
        <f>VLOOKUP($B20,baseline!$A:$AK,AB$2,FALSE)</f>
        <v>#N/A</v>
      </c>
      <c r="AC20" s="13" t="e">
        <f>VLOOKUP($B20,baseline!$A:$AK,AC$2,FALSE)</f>
        <v>#N/A</v>
      </c>
      <c r="AD20" s="13" t="e">
        <f>VLOOKUP($B20,baseline!$A:$AK,AD$2,FALSE)</f>
        <v>#N/A</v>
      </c>
      <c r="AE20" s="13" t="e">
        <f>VLOOKUP($B20,baseline!$A:$AK,AE$2,FALSE)</f>
        <v>#N/A</v>
      </c>
      <c r="AF20" s="13" t="e">
        <f>VLOOKUP($B20,baseline!$A:$AK,AF$2,FALSE)</f>
        <v>#N/A</v>
      </c>
      <c r="AG20" s="13" t="e">
        <f>VLOOKUP($B20,baseline!$A:$AK,AG$2,FALSE)</f>
        <v>#N/A</v>
      </c>
      <c r="AH20" s="13" t="e">
        <f>VLOOKUP($B20,baseline!$A:$AK,AH$2,FALSE)</f>
        <v>#N/A</v>
      </c>
      <c r="AI20" s="13" t="e">
        <f>VLOOKUP($B20,baseline!$A:$AK,AI$2,FALSE)</f>
        <v>#N/A</v>
      </c>
      <c r="AJ20" s="13" t="e">
        <f>VLOOKUP($B20,baseline!$A:$AK,AJ$2,FALSE)</f>
        <v>#N/A</v>
      </c>
      <c r="AK20" s="13" t="e">
        <f>VLOOKUP($B20,baseline!$A:$AK,AK$2,FALSE)</f>
        <v>#N/A</v>
      </c>
      <c r="AL20" s="13" t="e">
        <f>VLOOKUP($B20,baseline!$A:$AK,AL$2,FALSE)</f>
        <v>#N/A</v>
      </c>
      <c r="AM20" s="13" t="e">
        <f>VLOOKUP($B20,baseline!$A:$AK,AM$2,FALSE)</f>
        <v>#N/A</v>
      </c>
      <c r="AN20" s="13" t="e">
        <f>VLOOKUP($B20,baseline!$A:$AK,AN$2,FALSE)</f>
        <v>#N/A</v>
      </c>
      <c r="AP20" s="3" t="e">
        <f t="shared" si="0"/>
        <v>#N/A</v>
      </c>
    </row>
    <row r="21" spans="1:48" x14ac:dyDescent="0.3">
      <c r="B21" t="s">
        <v>72</v>
      </c>
      <c r="D21" t="s">
        <v>252</v>
      </c>
      <c r="E21" s="13" t="e">
        <f>VLOOKUP($B21,baseline!$A:$AK,E$2,FALSE)</f>
        <v>#N/A</v>
      </c>
      <c r="F21" s="13" t="e">
        <f>VLOOKUP($B21,baseline!$A:$AK,F$2,FALSE)</f>
        <v>#N/A</v>
      </c>
      <c r="G21" s="13" t="e">
        <f>VLOOKUP($B21,baseline!$A:$AK,G$2,FALSE)</f>
        <v>#N/A</v>
      </c>
      <c r="H21" s="13" t="e">
        <f>VLOOKUP($B21,baseline!$A:$AK,H$2,FALSE)</f>
        <v>#N/A</v>
      </c>
      <c r="I21" s="13" t="e">
        <f>VLOOKUP($B21,baseline!$A:$AK,I$2,FALSE)</f>
        <v>#N/A</v>
      </c>
      <c r="J21" s="13" t="e">
        <f>VLOOKUP($B21,baseline!$A:$AK,J$2,FALSE)</f>
        <v>#N/A</v>
      </c>
      <c r="K21" s="13" t="e">
        <f>VLOOKUP($B21,baseline!$A:$AK,K$2,FALSE)</f>
        <v>#N/A</v>
      </c>
      <c r="L21" s="13" t="e">
        <f>VLOOKUP($B21,baseline!$A:$AK,L$2,FALSE)</f>
        <v>#N/A</v>
      </c>
      <c r="M21" s="13" t="e">
        <f>VLOOKUP($B21,baseline!$A:$AK,M$2,FALSE)</f>
        <v>#N/A</v>
      </c>
      <c r="N21" s="13" t="e">
        <f>VLOOKUP($B21,baseline!$A:$AK,N$2,FALSE)</f>
        <v>#N/A</v>
      </c>
      <c r="O21" s="13" t="e">
        <f>VLOOKUP($B21,baseline!$A:$AK,O$2,FALSE)</f>
        <v>#N/A</v>
      </c>
      <c r="P21" s="13" t="e">
        <f>VLOOKUP($B21,baseline!$A:$AK,P$2,FALSE)</f>
        <v>#N/A</v>
      </c>
      <c r="Q21" s="13" t="e">
        <f>VLOOKUP($B21,baseline!$A:$AK,Q$2,FALSE)</f>
        <v>#N/A</v>
      </c>
      <c r="R21" s="13" t="e">
        <f>VLOOKUP($B21,baseline!$A:$AK,R$2,FALSE)</f>
        <v>#N/A</v>
      </c>
      <c r="S21" s="13" t="e">
        <f>VLOOKUP($B21,baseline!$A:$AK,S$2,FALSE)</f>
        <v>#N/A</v>
      </c>
      <c r="T21" s="13" t="e">
        <f>VLOOKUP($B21,baseline!$A:$AK,T$2,FALSE)</f>
        <v>#N/A</v>
      </c>
      <c r="U21" s="13" t="e">
        <f>VLOOKUP($B21,baseline!$A:$AK,U$2,FALSE)</f>
        <v>#N/A</v>
      </c>
      <c r="V21" s="13" t="e">
        <f>VLOOKUP($B21,baseline!$A:$AK,V$2,FALSE)</f>
        <v>#N/A</v>
      </c>
      <c r="W21" s="13" t="e">
        <f>VLOOKUP($B21,baseline!$A:$AK,W$2,FALSE)</f>
        <v>#N/A</v>
      </c>
      <c r="X21" s="13" t="e">
        <f>VLOOKUP($B21,baseline!$A:$AK,X$2,FALSE)</f>
        <v>#N/A</v>
      </c>
      <c r="Y21" s="13" t="e">
        <f>VLOOKUP($B21,baseline!$A:$AK,Y$2,FALSE)</f>
        <v>#N/A</v>
      </c>
      <c r="Z21" s="13" t="e">
        <f>VLOOKUP($B21,baseline!$A:$AK,Z$2,FALSE)</f>
        <v>#N/A</v>
      </c>
      <c r="AA21" s="13" t="e">
        <f>VLOOKUP($B21,baseline!$A:$AK,AA$2,FALSE)</f>
        <v>#N/A</v>
      </c>
      <c r="AB21" s="13" t="e">
        <f>VLOOKUP($B21,baseline!$A:$AK,AB$2,FALSE)</f>
        <v>#N/A</v>
      </c>
      <c r="AC21" s="13" t="e">
        <f>VLOOKUP($B21,baseline!$A:$AK,AC$2,FALSE)</f>
        <v>#N/A</v>
      </c>
      <c r="AD21" s="13" t="e">
        <f>VLOOKUP($B21,baseline!$A:$AK,AD$2,FALSE)</f>
        <v>#N/A</v>
      </c>
      <c r="AE21" s="13" t="e">
        <f>VLOOKUP($B21,baseline!$A:$AK,AE$2,FALSE)</f>
        <v>#N/A</v>
      </c>
      <c r="AF21" s="13" t="e">
        <f>VLOOKUP($B21,baseline!$A:$AK,AF$2,FALSE)</f>
        <v>#N/A</v>
      </c>
      <c r="AG21" s="13" t="e">
        <f>VLOOKUP($B21,baseline!$A:$AK,AG$2,FALSE)</f>
        <v>#N/A</v>
      </c>
      <c r="AH21" s="13" t="e">
        <f>VLOOKUP($B21,baseline!$A:$AK,AH$2,FALSE)</f>
        <v>#N/A</v>
      </c>
      <c r="AI21" s="13" t="e">
        <f>VLOOKUP($B21,baseline!$A:$AK,AI$2,FALSE)</f>
        <v>#N/A</v>
      </c>
      <c r="AJ21" s="13" t="e">
        <f>VLOOKUP($B21,baseline!$A:$AK,AJ$2,FALSE)</f>
        <v>#N/A</v>
      </c>
      <c r="AK21" s="13" t="e">
        <f>VLOOKUP($B21,baseline!$A:$AK,AK$2,FALSE)</f>
        <v>#N/A</v>
      </c>
      <c r="AL21" s="13" t="e">
        <f>VLOOKUP($B21,baseline!$A:$AK,AL$2,FALSE)</f>
        <v>#N/A</v>
      </c>
      <c r="AM21" s="13" t="e">
        <f>VLOOKUP($B21,baseline!$A:$AK,AM$2,FALSE)</f>
        <v>#N/A</v>
      </c>
      <c r="AN21" s="13" t="e">
        <f>VLOOKUP($B21,baseline!$A:$AK,AN$2,FALSE)</f>
        <v>#N/A</v>
      </c>
      <c r="AP21" s="3" t="e">
        <f t="shared" si="0"/>
        <v>#N/A</v>
      </c>
    </row>
    <row r="22" spans="1:48" x14ac:dyDescent="0.3">
      <c r="B22" t="s">
        <v>73</v>
      </c>
      <c r="D22" t="s">
        <v>253</v>
      </c>
      <c r="E22" s="13" t="e">
        <f>VLOOKUP($B22,baseline!$A:$AK,E$2,FALSE)</f>
        <v>#N/A</v>
      </c>
      <c r="F22" s="13" t="e">
        <f>VLOOKUP($B22,baseline!$A:$AK,F$2,FALSE)</f>
        <v>#N/A</v>
      </c>
      <c r="G22" s="13" t="e">
        <f>VLOOKUP($B22,baseline!$A:$AK,G$2,FALSE)</f>
        <v>#N/A</v>
      </c>
      <c r="H22" s="13" t="e">
        <f>VLOOKUP($B22,baseline!$A:$AK,H$2,FALSE)</f>
        <v>#N/A</v>
      </c>
      <c r="I22" s="13" t="e">
        <f>VLOOKUP($B22,baseline!$A:$AK,I$2,FALSE)</f>
        <v>#N/A</v>
      </c>
      <c r="J22" s="13" t="e">
        <f>VLOOKUP($B22,baseline!$A:$AK,J$2,FALSE)</f>
        <v>#N/A</v>
      </c>
      <c r="K22" s="13" t="e">
        <f>VLOOKUP($B22,baseline!$A:$AK,K$2,FALSE)</f>
        <v>#N/A</v>
      </c>
      <c r="L22" s="13" t="e">
        <f>VLOOKUP($B22,baseline!$A:$AK,L$2,FALSE)</f>
        <v>#N/A</v>
      </c>
      <c r="M22" s="13" t="e">
        <f>VLOOKUP($B22,baseline!$A:$AK,M$2,FALSE)</f>
        <v>#N/A</v>
      </c>
      <c r="N22" s="13" t="e">
        <f>VLOOKUP($B22,baseline!$A:$AK,N$2,FALSE)</f>
        <v>#N/A</v>
      </c>
      <c r="O22" s="13" t="e">
        <f>VLOOKUP($B22,baseline!$A:$AK,O$2,FALSE)</f>
        <v>#N/A</v>
      </c>
      <c r="P22" s="13" t="e">
        <f>VLOOKUP($B22,baseline!$A:$AK,P$2,FALSE)</f>
        <v>#N/A</v>
      </c>
      <c r="Q22" s="13" t="e">
        <f>VLOOKUP($B22,baseline!$A:$AK,Q$2,FALSE)</f>
        <v>#N/A</v>
      </c>
      <c r="R22" s="13" t="e">
        <f>VLOOKUP($B22,baseline!$A:$AK,R$2,FALSE)</f>
        <v>#N/A</v>
      </c>
      <c r="S22" s="13" t="e">
        <f>VLOOKUP($B22,baseline!$A:$AK,S$2,FALSE)</f>
        <v>#N/A</v>
      </c>
      <c r="T22" s="13" t="e">
        <f>VLOOKUP($B22,baseline!$A:$AK,T$2,FALSE)</f>
        <v>#N/A</v>
      </c>
      <c r="U22" s="13" t="e">
        <f>VLOOKUP($B22,baseline!$A:$AK,U$2,FALSE)</f>
        <v>#N/A</v>
      </c>
      <c r="V22" s="13" t="e">
        <f>VLOOKUP($B22,baseline!$A:$AK,V$2,FALSE)</f>
        <v>#N/A</v>
      </c>
      <c r="W22" s="13" t="e">
        <f>VLOOKUP($B22,baseline!$A:$AK,W$2,FALSE)</f>
        <v>#N/A</v>
      </c>
      <c r="X22" s="13" t="e">
        <f>VLOOKUP($B22,baseline!$A:$AK,X$2,FALSE)</f>
        <v>#N/A</v>
      </c>
      <c r="Y22" s="13" t="e">
        <f>VLOOKUP($B22,baseline!$A:$AK,Y$2,FALSE)</f>
        <v>#N/A</v>
      </c>
      <c r="Z22" s="13" t="e">
        <f>VLOOKUP($B22,baseline!$A:$AK,Z$2,FALSE)</f>
        <v>#N/A</v>
      </c>
      <c r="AA22" s="13" t="e">
        <f>VLOOKUP($B22,baseline!$A:$AK,AA$2,FALSE)</f>
        <v>#N/A</v>
      </c>
      <c r="AB22" s="13" t="e">
        <f>VLOOKUP($B22,baseline!$A:$AK,AB$2,FALSE)</f>
        <v>#N/A</v>
      </c>
      <c r="AC22" s="13" t="e">
        <f>VLOOKUP($B22,baseline!$A:$AK,AC$2,FALSE)</f>
        <v>#N/A</v>
      </c>
      <c r="AD22" s="13" t="e">
        <f>VLOOKUP($B22,baseline!$A:$AK,AD$2,FALSE)</f>
        <v>#N/A</v>
      </c>
      <c r="AE22" s="13" t="e">
        <f>VLOOKUP($B22,baseline!$A:$AK,AE$2,FALSE)</f>
        <v>#N/A</v>
      </c>
      <c r="AF22" s="13" t="e">
        <f>VLOOKUP($B22,baseline!$A:$AK,AF$2,FALSE)</f>
        <v>#N/A</v>
      </c>
      <c r="AG22" s="13" t="e">
        <f>VLOOKUP($B22,baseline!$A:$AK,AG$2,FALSE)</f>
        <v>#N/A</v>
      </c>
      <c r="AH22" s="13" t="e">
        <f>VLOOKUP($B22,baseline!$A:$AK,AH$2,FALSE)</f>
        <v>#N/A</v>
      </c>
      <c r="AI22" s="13" t="e">
        <f>VLOOKUP($B22,baseline!$A:$AK,AI$2,FALSE)</f>
        <v>#N/A</v>
      </c>
      <c r="AJ22" s="13" t="e">
        <f>VLOOKUP($B22,baseline!$A:$AK,AJ$2,FALSE)</f>
        <v>#N/A</v>
      </c>
      <c r="AK22" s="13" t="e">
        <f>VLOOKUP($B22,baseline!$A:$AK,AK$2,FALSE)</f>
        <v>#N/A</v>
      </c>
      <c r="AL22" s="13" t="e">
        <f>VLOOKUP($B22,baseline!$A:$AK,AL$2,FALSE)</f>
        <v>#N/A</v>
      </c>
      <c r="AM22" s="13" t="e">
        <f>VLOOKUP($B22,baseline!$A:$AK,AM$2,FALSE)</f>
        <v>#N/A</v>
      </c>
      <c r="AN22" s="13" t="e">
        <f>VLOOKUP($B22,baseline!$A:$AK,AN$2,FALSE)</f>
        <v>#N/A</v>
      </c>
      <c r="AP22" s="3" t="e">
        <f t="shared" si="0"/>
        <v>#N/A</v>
      </c>
    </row>
    <row r="23" spans="1:48" x14ac:dyDescent="0.3">
      <c r="B23" t="s">
        <v>74</v>
      </c>
      <c r="D23" t="s">
        <v>254</v>
      </c>
      <c r="E23" s="13" t="e">
        <f>VLOOKUP($B23,baseline!$A:$AK,E$2,FALSE)</f>
        <v>#N/A</v>
      </c>
      <c r="F23" s="13" t="e">
        <f>VLOOKUP($B23,baseline!$A:$AK,F$2,FALSE)</f>
        <v>#N/A</v>
      </c>
      <c r="G23" s="13" t="e">
        <f>VLOOKUP($B23,baseline!$A:$AK,G$2,FALSE)</f>
        <v>#N/A</v>
      </c>
      <c r="H23" s="13" t="e">
        <f>VLOOKUP($B23,baseline!$A:$AK,H$2,FALSE)</f>
        <v>#N/A</v>
      </c>
      <c r="I23" s="13" t="e">
        <f>VLOOKUP($B23,baseline!$A:$AK,I$2,FALSE)</f>
        <v>#N/A</v>
      </c>
      <c r="J23" s="13" t="e">
        <f>VLOOKUP($B23,baseline!$A:$AK,J$2,FALSE)</f>
        <v>#N/A</v>
      </c>
      <c r="K23" s="13" t="e">
        <f>VLOOKUP($B23,baseline!$A:$AK,K$2,FALSE)</f>
        <v>#N/A</v>
      </c>
      <c r="L23" s="13" t="e">
        <f>VLOOKUP($B23,baseline!$A:$AK,L$2,FALSE)</f>
        <v>#N/A</v>
      </c>
      <c r="M23" s="13" t="e">
        <f>VLOOKUP($B23,baseline!$A:$AK,M$2,FALSE)</f>
        <v>#N/A</v>
      </c>
      <c r="N23" s="13" t="e">
        <f>VLOOKUP($B23,baseline!$A:$AK,N$2,FALSE)</f>
        <v>#N/A</v>
      </c>
      <c r="O23" s="13" t="e">
        <f>VLOOKUP($B23,baseline!$A:$AK,O$2,FALSE)</f>
        <v>#N/A</v>
      </c>
      <c r="P23" s="13" t="e">
        <f>VLOOKUP($B23,baseline!$A:$AK,P$2,FALSE)</f>
        <v>#N/A</v>
      </c>
      <c r="Q23" s="13" t="e">
        <f>VLOOKUP($B23,baseline!$A:$AK,Q$2,FALSE)</f>
        <v>#N/A</v>
      </c>
      <c r="R23" s="13" t="e">
        <f>VLOOKUP($B23,baseline!$A:$AK,R$2,FALSE)</f>
        <v>#N/A</v>
      </c>
      <c r="S23" s="13" t="e">
        <f>VLOOKUP($B23,baseline!$A:$AK,S$2,FALSE)</f>
        <v>#N/A</v>
      </c>
      <c r="T23" s="13" t="e">
        <f>VLOOKUP($B23,baseline!$A:$AK,T$2,FALSE)</f>
        <v>#N/A</v>
      </c>
      <c r="U23" s="13" t="e">
        <f>VLOOKUP($B23,baseline!$A:$AK,U$2,FALSE)</f>
        <v>#N/A</v>
      </c>
      <c r="V23" s="13" t="e">
        <f>VLOOKUP($B23,baseline!$A:$AK,V$2,FALSE)</f>
        <v>#N/A</v>
      </c>
      <c r="W23" s="13" t="e">
        <f>VLOOKUP($B23,baseline!$A:$AK,W$2,FALSE)</f>
        <v>#N/A</v>
      </c>
      <c r="X23" s="13" t="e">
        <f>VLOOKUP($B23,baseline!$A:$AK,X$2,FALSE)</f>
        <v>#N/A</v>
      </c>
      <c r="Y23" s="13" t="e">
        <f>VLOOKUP($B23,baseline!$A:$AK,Y$2,FALSE)</f>
        <v>#N/A</v>
      </c>
      <c r="Z23" s="13" t="e">
        <f>VLOOKUP($B23,baseline!$A:$AK,Z$2,FALSE)</f>
        <v>#N/A</v>
      </c>
      <c r="AA23" s="13" t="e">
        <f>VLOOKUP($B23,baseline!$A:$AK,AA$2,FALSE)</f>
        <v>#N/A</v>
      </c>
      <c r="AB23" s="13" t="e">
        <f>VLOOKUP($B23,baseline!$A:$AK,AB$2,FALSE)</f>
        <v>#N/A</v>
      </c>
      <c r="AC23" s="13" t="e">
        <f>VLOOKUP($B23,baseline!$A:$AK,AC$2,FALSE)</f>
        <v>#N/A</v>
      </c>
      <c r="AD23" s="13" t="e">
        <f>VLOOKUP($B23,baseline!$A:$AK,AD$2,FALSE)</f>
        <v>#N/A</v>
      </c>
      <c r="AE23" s="13" t="e">
        <f>VLOOKUP($B23,baseline!$A:$AK,AE$2,FALSE)</f>
        <v>#N/A</v>
      </c>
      <c r="AF23" s="13" t="e">
        <f>VLOOKUP($B23,baseline!$A:$AK,AF$2,FALSE)</f>
        <v>#N/A</v>
      </c>
      <c r="AG23" s="13" t="e">
        <f>VLOOKUP($B23,baseline!$A:$AK,AG$2,FALSE)</f>
        <v>#N/A</v>
      </c>
      <c r="AH23" s="13" t="e">
        <f>VLOOKUP($B23,baseline!$A:$AK,AH$2,FALSE)</f>
        <v>#N/A</v>
      </c>
      <c r="AI23" s="13" t="e">
        <f>VLOOKUP($B23,baseline!$A:$AK,AI$2,FALSE)</f>
        <v>#N/A</v>
      </c>
      <c r="AJ23" s="13" t="e">
        <f>VLOOKUP($B23,baseline!$A:$AK,AJ$2,FALSE)</f>
        <v>#N/A</v>
      </c>
      <c r="AK23" s="13" t="e">
        <f>VLOOKUP($B23,baseline!$A:$AK,AK$2,FALSE)</f>
        <v>#N/A</v>
      </c>
      <c r="AL23" s="13" t="e">
        <f>VLOOKUP($B23,baseline!$A:$AK,AL$2,FALSE)</f>
        <v>#N/A</v>
      </c>
      <c r="AM23" s="13" t="e">
        <f>VLOOKUP($B23,baseline!$A:$AK,AM$2,FALSE)</f>
        <v>#N/A</v>
      </c>
      <c r="AN23" s="13" t="e">
        <f>VLOOKUP($B23,baseline!$A:$AK,AN$2,FALSE)</f>
        <v>#N/A</v>
      </c>
      <c r="AP23" s="3" t="e">
        <f t="shared" si="0"/>
        <v>#N/A</v>
      </c>
    </row>
    <row r="24" spans="1:48" x14ac:dyDescent="0.3">
      <c r="B24" t="s">
        <v>75</v>
      </c>
      <c r="D24" t="s">
        <v>255</v>
      </c>
      <c r="E24" s="13" t="e">
        <f>VLOOKUP($B24,baseline!$A:$AK,E$2,FALSE)</f>
        <v>#N/A</v>
      </c>
      <c r="F24" s="13" t="e">
        <f>VLOOKUP($B24,baseline!$A:$AK,F$2,FALSE)</f>
        <v>#N/A</v>
      </c>
      <c r="G24" s="13" t="e">
        <f>VLOOKUP($B24,baseline!$A:$AK,G$2,FALSE)</f>
        <v>#N/A</v>
      </c>
      <c r="H24" s="13" t="e">
        <f>VLOOKUP($B24,baseline!$A:$AK,H$2,FALSE)</f>
        <v>#N/A</v>
      </c>
      <c r="I24" s="13" t="e">
        <f>VLOOKUP($B24,baseline!$A:$AK,I$2,FALSE)</f>
        <v>#N/A</v>
      </c>
      <c r="J24" s="13" t="e">
        <f>VLOOKUP($B24,baseline!$A:$AK,J$2,FALSE)</f>
        <v>#N/A</v>
      </c>
      <c r="K24" s="13" t="e">
        <f>VLOOKUP($B24,baseline!$A:$AK,K$2,FALSE)</f>
        <v>#N/A</v>
      </c>
      <c r="L24" s="13" t="e">
        <f>VLOOKUP($B24,baseline!$A:$AK,L$2,FALSE)</f>
        <v>#N/A</v>
      </c>
      <c r="M24" s="13" t="e">
        <f>VLOOKUP($B24,baseline!$A:$AK,M$2,FALSE)</f>
        <v>#N/A</v>
      </c>
      <c r="N24" s="13" t="e">
        <f>VLOOKUP($B24,baseline!$A:$AK,N$2,FALSE)</f>
        <v>#N/A</v>
      </c>
      <c r="O24" s="13" t="e">
        <f>VLOOKUP($B24,baseline!$A:$AK,O$2,FALSE)</f>
        <v>#N/A</v>
      </c>
      <c r="P24" s="13" t="e">
        <f>VLOOKUP($B24,baseline!$A:$AK,P$2,FALSE)</f>
        <v>#N/A</v>
      </c>
      <c r="Q24" s="13" t="e">
        <f>VLOOKUP($B24,baseline!$A:$AK,Q$2,FALSE)</f>
        <v>#N/A</v>
      </c>
      <c r="R24" s="13" t="e">
        <f>VLOOKUP($B24,baseline!$A:$AK,R$2,FALSE)</f>
        <v>#N/A</v>
      </c>
      <c r="S24" s="13" t="e">
        <f>VLOOKUP($B24,baseline!$A:$AK,S$2,FALSE)</f>
        <v>#N/A</v>
      </c>
      <c r="T24" s="13" t="e">
        <f>VLOOKUP($B24,baseline!$A:$AK,T$2,FALSE)</f>
        <v>#N/A</v>
      </c>
      <c r="U24" s="13" t="e">
        <f>VLOOKUP($B24,baseline!$A:$AK,U$2,FALSE)</f>
        <v>#N/A</v>
      </c>
      <c r="V24" s="13" t="e">
        <f>VLOOKUP($B24,baseline!$A:$AK,V$2,FALSE)</f>
        <v>#N/A</v>
      </c>
      <c r="W24" s="13" t="e">
        <f>VLOOKUP($B24,baseline!$A:$AK,W$2,FALSE)</f>
        <v>#N/A</v>
      </c>
      <c r="X24" s="13" t="e">
        <f>VLOOKUP($B24,baseline!$A:$AK,X$2,FALSE)</f>
        <v>#N/A</v>
      </c>
      <c r="Y24" s="13" t="e">
        <f>VLOOKUP($B24,baseline!$A:$AK,Y$2,FALSE)</f>
        <v>#N/A</v>
      </c>
      <c r="Z24" s="13" t="e">
        <f>VLOOKUP($B24,baseline!$A:$AK,Z$2,FALSE)</f>
        <v>#N/A</v>
      </c>
      <c r="AA24" s="13" t="e">
        <f>VLOOKUP($B24,baseline!$A:$AK,AA$2,FALSE)</f>
        <v>#N/A</v>
      </c>
      <c r="AB24" s="13" t="e">
        <f>VLOOKUP($B24,baseline!$A:$AK,AB$2,FALSE)</f>
        <v>#N/A</v>
      </c>
      <c r="AC24" s="13" t="e">
        <f>VLOOKUP($B24,baseline!$A:$AK,AC$2,FALSE)</f>
        <v>#N/A</v>
      </c>
      <c r="AD24" s="13" t="e">
        <f>VLOOKUP($B24,baseline!$A:$AK,AD$2,FALSE)</f>
        <v>#N/A</v>
      </c>
      <c r="AE24" s="13" t="e">
        <f>VLOOKUP($B24,baseline!$A:$AK,AE$2,FALSE)</f>
        <v>#N/A</v>
      </c>
      <c r="AF24" s="13" t="e">
        <f>VLOOKUP($B24,baseline!$A:$AK,AF$2,FALSE)</f>
        <v>#N/A</v>
      </c>
      <c r="AG24" s="13" t="e">
        <f>VLOOKUP($B24,baseline!$A:$AK,AG$2,FALSE)</f>
        <v>#N/A</v>
      </c>
      <c r="AH24" s="13" t="e">
        <f>VLOOKUP($B24,baseline!$A:$AK,AH$2,FALSE)</f>
        <v>#N/A</v>
      </c>
      <c r="AI24" s="13" t="e">
        <f>VLOOKUP($B24,baseline!$A:$AK,AI$2,FALSE)</f>
        <v>#N/A</v>
      </c>
      <c r="AJ24" s="13" t="e">
        <f>VLOOKUP($B24,baseline!$A:$AK,AJ$2,FALSE)</f>
        <v>#N/A</v>
      </c>
      <c r="AK24" s="13" t="e">
        <f>VLOOKUP($B24,baseline!$A:$AK,AK$2,FALSE)</f>
        <v>#N/A</v>
      </c>
      <c r="AL24" s="13" t="e">
        <f>VLOOKUP($B24,baseline!$A:$AK,AL$2,FALSE)</f>
        <v>#N/A</v>
      </c>
      <c r="AM24" s="13" t="e">
        <f>VLOOKUP($B24,baseline!$A:$AK,AM$2,FALSE)</f>
        <v>#N/A</v>
      </c>
      <c r="AN24" s="13" t="e">
        <f>VLOOKUP($B24,baseline!$A:$AK,AN$2,FALSE)</f>
        <v>#N/A</v>
      </c>
      <c r="AP24" s="3" t="e">
        <f t="shared" si="0"/>
        <v>#N/A</v>
      </c>
    </row>
    <row r="25" spans="1:48" x14ac:dyDescent="0.3">
      <c r="B25" t="s">
        <v>76</v>
      </c>
      <c r="D25" t="s">
        <v>256</v>
      </c>
      <c r="E25" s="13" t="e">
        <f>VLOOKUP($B25,baseline!$A:$AK,E$2,FALSE)</f>
        <v>#N/A</v>
      </c>
      <c r="F25" s="13" t="e">
        <f>VLOOKUP($B25,baseline!$A:$AK,F$2,FALSE)</f>
        <v>#N/A</v>
      </c>
      <c r="G25" s="13" t="e">
        <f>VLOOKUP($B25,baseline!$A:$AK,G$2,FALSE)</f>
        <v>#N/A</v>
      </c>
      <c r="H25" s="13" t="e">
        <f>VLOOKUP($B25,baseline!$A:$AK,H$2,FALSE)</f>
        <v>#N/A</v>
      </c>
      <c r="I25" s="13" t="e">
        <f>VLOOKUP($B25,baseline!$A:$AK,I$2,FALSE)</f>
        <v>#N/A</v>
      </c>
      <c r="J25" s="13" t="e">
        <f>VLOOKUP($B25,baseline!$A:$AK,J$2,FALSE)</f>
        <v>#N/A</v>
      </c>
      <c r="K25" s="13" t="e">
        <f>VLOOKUP($B25,baseline!$A:$AK,K$2,FALSE)</f>
        <v>#N/A</v>
      </c>
      <c r="L25" s="13" t="e">
        <f>VLOOKUP($B25,baseline!$A:$AK,L$2,FALSE)</f>
        <v>#N/A</v>
      </c>
      <c r="M25" s="13" t="e">
        <f>VLOOKUP($B25,baseline!$A:$AK,M$2,FALSE)</f>
        <v>#N/A</v>
      </c>
      <c r="N25" s="13" t="e">
        <f>VLOOKUP($B25,baseline!$A:$AK,N$2,FALSE)</f>
        <v>#N/A</v>
      </c>
      <c r="O25" s="13" t="e">
        <f>VLOOKUP($B25,baseline!$A:$AK,O$2,FALSE)</f>
        <v>#N/A</v>
      </c>
      <c r="P25" s="13" t="e">
        <f>VLOOKUP($B25,baseline!$A:$AK,P$2,FALSE)</f>
        <v>#N/A</v>
      </c>
      <c r="Q25" s="13" t="e">
        <f>VLOOKUP($B25,baseline!$A:$AK,Q$2,FALSE)</f>
        <v>#N/A</v>
      </c>
      <c r="R25" s="13" t="e">
        <f>VLOOKUP($B25,baseline!$A:$AK,R$2,FALSE)</f>
        <v>#N/A</v>
      </c>
      <c r="S25" s="13" t="e">
        <f>VLOOKUP($B25,baseline!$A:$AK,S$2,FALSE)</f>
        <v>#N/A</v>
      </c>
      <c r="T25" s="13" t="e">
        <f>VLOOKUP($B25,baseline!$A:$AK,T$2,FALSE)</f>
        <v>#N/A</v>
      </c>
      <c r="U25" s="13" t="e">
        <f>VLOOKUP($B25,baseline!$A:$AK,U$2,FALSE)</f>
        <v>#N/A</v>
      </c>
      <c r="V25" s="13" t="e">
        <f>VLOOKUP($B25,baseline!$A:$AK,V$2,FALSE)</f>
        <v>#N/A</v>
      </c>
      <c r="W25" s="13" t="e">
        <f>VLOOKUP($B25,baseline!$A:$AK,W$2,FALSE)</f>
        <v>#N/A</v>
      </c>
      <c r="X25" s="13" t="e">
        <f>VLOOKUP($B25,baseline!$A:$AK,X$2,FALSE)</f>
        <v>#N/A</v>
      </c>
      <c r="Y25" s="13" t="e">
        <f>VLOOKUP($B25,baseline!$A:$AK,Y$2,FALSE)</f>
        <v>#N/A</v>
      </c>
      <c r="Z25" s="13" t="e">
        <f>VLOOKUP($B25,baseline!$A:$AK,Z$2,FALSE)</f>
        <v>#N/A</v>
      </c>
      <c r="AA25" s="13" t="e">
        <f>VLOOKUP($B25,baseline!$A:$AK,AA$2,FALSE)</f>
        <v>#N/A</v>
      </c>
      <c r="AB25" s="13" t="e">
        <f>VLOOKUP($B25,baseline!$A:$AK,AB$2,FALSE)</f>
        <v>#N/A</v>
      </c>
      <c r="AC25" s="13" t="e">
        <f>VLOOKUP($B25,baseline!$A:$AK,AC$2,FALSE)</f>
        <v>#N/A</v>
      </c>
      <c r="AD25" s="13" t="e">
        <f>VLOOKUP($B25,baseline!$A:$AK,AD$2,FALSE)</f>
        <v>#N/A</v>
      </c>
      <c r="AE25" s="13" t="e">
        <f>VLOOKUP($B25,baseline!$A:$AK,AE$2,FALSE)</f>
        <v>#N/A</v>
      </c>
      <c r="AF25" s="13" t="e">
        <f>VLOOKUP($B25,baseline!$A:$AK,AF$2,FALSE)</f>
        <v>#N/A</v>
      </c>
      <c r="AG25" s="13" t="e">
        <f>VLOOKUP($B25,baseline!$A:$AK,AG$2,FALSE)</f>
        <v>#N/A</v>
      </c>
      <c r="AH25" s="13" t="e">
        <f>VLOOKUP($B25,baseline!$A:$AK,AH$2,FALSE)</f>
        <v>#N/A</v>
      </c>
      <c r="AI25" s="13" t="e">
        <f>VLOOKUP($B25,baseline!$A:$AK,AI$2,FALSE)</f>
        <v>#N/A</v>
      </c>
      <c r="AJ25" s="13" t="e">
        <f>VLOOKUP($B25,baseline!$A:$AK,AJ$2,FALSE)</f>
        <v>#N/A</v>
      </c>
      <c r="AK25" s="13" t="e">
        <f>VLOOKUP($B25,baseline!$A:$AK,AK$2,FALSE)</f>
        <v>#N/A</v>
      </c>
      <c r="AL25" s="13" t="e">
        <f>VLOOKUP($B25,baseline!$A:$AK,AL$2,FALSE)</f>
        <v>#N/A</v>
      </c>
      <c r="AM25" s="13" t="e">
        <f>VLOOKUP($B25,baseline!$A:$AK,AM$2,FALSE)</f>
        <v>#N/A</v>
      </c>
      <c r="AN25" s="13" t="e">
        <f>VLOOKUP($B25,baseline!$A:$AK,AN$2,FALSE)</f>
        <v>#N/A</v>
      </c>
      <c r="AP25" s="3" t="e">
        <f t="shared" si="0"/>
        <v>#N/A</v>
      </c>
    </row>
    <row r="26" spans="1:48" x14ac:dyDescent="0.3">
      <c r="B26" t="s">
        <v>77</v>
      </c>
      <c r="D26" t="s">
        <v>257</v>
      </c>
      <c r="E26" s="13" t="e">
        <f>VLOOKUP($B26,baseline!$A:$AK,E$2,FALSE)</f>
        <v>#N/A</v>
      </c>
      <c r="F26" s="13" t="e">
        <f>VLOOKUP($B26,baseline!$A:$AK,F$2,FALSE)</f>
        <v>#N/A</v>
      </c>
      <c r="G26" s="13" t="e">
        <f>VLOOKUP($B26,baseline!$A:$AK,G$2,FALSE)</f>
        <v>#N/A</v>
      </c>
      <c r="H26" s="13" t="e">
        <f>VLOOKUP($B26,baseline!$A:$AK,H$2,FALSE)</f>
        <v>#N/A</v>
      </c>
      <c r="I26" s="13" t="e">
        <f>VLOOKUP($B26,baseline!$A:$AK,I$2,FALSE)</f>
        <v>#N/A</v>
      </c>
      <c r="J26" s="13" t="e">
        <f>VLOOKUP($B26,baseline!$A:$AK,J$2,FALSE)</f>
        <v>#N/A</v>
      </c>
      <c r="K26" s="13" t="e">
        <f>VLOOKUP($B26,baseline!$A:$AK,K$2,FALSE)</f>
        <v>#N/A</v>
      </c>
      <c r="L26" s="13" t="e">
        <f>VLOOKUP($B26,baseline!$A:$AK,L$2,FALSE)</f>
        <v>#N/A</v>
      </c>
      <c r="M26" s="13" t="e">
        <f>VLOOKUP($B26,baseline!$A:$AK,M$2,FALSE)</f>
        <v>#N/A</v>
      </c>
      <c r="N26" s="13" t="e">
        <f>VLOOKUP($B26,baseline!$A:$AK,N$2,FALSE)</f>
        <v>#N/A</v>
      </c>
      <c r="O26" s="13" t="e">
        <f>VLOOKUP($B26,baseline!$A:$AK,O$2,FALSE)</f>
        <v>#N/A</v>
      </c>
      <c r="P26" s="13" t="e">
        <f>VLOOKUP($B26,baseline!$A:$AK,P$2,FALSE)</f>
        <v>#N/A</v>
      </c>
      <c r="Q26" s="13" t="e">
        <f>VLOOKUP($B26,baseline!$A:$AK,Q$2,FALSE)</f>
        <v>#N/A</v>
      </c>
      <c r="R26" s="13" t="e">
        <f>VLOOKUP($B26,baseline!$A:$AK,R$2,FALSE)</f>
        <v>#N/A</v>
      </c>
      <c r="S26" s="13" t="e">
        <f>VLOOKUP($B26,baseline!$A:$AK,S$2,FALSE)</f>
        <v>#N/A</v>
      </c>
      <c r="T26" s="13" t="e">
        <f>VLOOKUP($B26,baseline!$A:$AK,T$2,FALSE)</f>
        <v>#N/A</v>
      </c>
      <c r="U26" s="13" t="e">
        <f>VLOOKUP($B26,baseline!$A:$AK,U$2,FALSE)</f>
        <v>#N/A</v>
      </c>
      <c r="V26" s="13" t="e">
        <f>VLOOKUP($B26,baseline!$A:$AK,V$2,FALSE)</f>
        <v>#N/A</v>
      </c>
      <c r="W26" s="13" t="e">
        <f>VLOOKUP($B26,baseline!$A:$AK,W$2,FALSE)</f>
        <v>#N/A</v>
      </c>
      <c r="X26" s="13" t="e">
        <f>VLOOKUP($B26,baseline!$A:$AK,X$2,FALSE)</f>
        <v>#N/A</v>
      </c>
      <c r="Y26" s="13" t="e">
        <f>VLOOKUP($B26,baseline!$A:$AK,Y$2,FALSE)</f>
        <v>#N/A</v>
      </c>
      <c r="Z26" s="13" t="e">
        <f>VLOOKUP($B26,baseline!$A:$AK,Z$2,FALSE)</f>
        <v>#N/A</v>
      </c>
      <c r="AA26" s="13" t="e">
        <f>VLOOKUP($B26,baseline!$A:$AK,AA$2,FALSE)</f>
        <v>#N/A</v>
      </c>
      <c r="AB26" s="13" t="e">
        <f>VLOOKUP($B26,baseline!$A:$AK,AB$2,FALSE)</f>
        <v>#N/A</v>
      </c>
      <c r="AC26" s="13" t="e">
        <f>VLOOKUP($B26,baseline!$A:$AK,AC$2,FALSE)</f>
        <v>#N/A</v>
      </c>
      <c r="AD26" s="13" t="e">
        <f>VLOOKUP($B26,baseline!$A:$AK,AD$2,FALSE)</f>
        <v>#N/A</v>
      </c>
      <c r="AE26" s="13" t="e">
        <f>VLOOKUP($B26,baseline!$A:$AK,AE$2,FALSE)</f>
        <v>#N/A</v>
      </c>
      <c r="AF26" s="13" t="e">
        <f>VLOOKUP($B26,baseline!$A:$AK,AF$2,FALSE)</f>
        <v>#N/A</v>
      </c>
      <c r="AG26" s="13" t="e">
        <f>VLOOKUP($B26,baseline!$A:$AK,AG$2,FALSE)</f>
        <v>#N/A</v>
      </c>
      <c r="AH26" s="13" t="e">
        <f>VLOOKUP($B26,baseline!$A:$AK,AH$2,FALSE)</f>
        <v>#N/A</v>
      </c>
      <c r="AI26" s="13" t="e">
        <f>VLOOKUP($B26,baseline!$A:$AK,AI$2,FALSE)</f>
        <v>#N/A</v>
      </c>
      <c r="AJ26" s="13" t="e">
        <f>VLOOKUP($B26,baseline!$A:$AK,AJ$2,FALSE)</f>
        <v>#N/A</v>
      </c>
      <c r="AK26" s="13" t="e">
        <f>VLOOKUP($B26,baseline!$A:$AK,AK$2,FALSE)</f>
        <v>#N/A</v>
      </c>
      <c r="AL26" s="13" t="e">
        <f>VLOOKUP($B26,baseline!$A:$AK,AL$2,FALSE)</f>
        <v>#N/A</v>
      </c>
      <c r="AM26" s="13" t="e">
        <f>VLOOKUP($B26,baseline!$A:$AK,AM$2,FALSE)</f>
        <v>#N/A</v>
      </c>
      <c r="AN26" s="13" t="e">
        <f>VLOOKUP($B26,baseline!$A:$AK,AN$2,FALSE)</f>
        <v>#N/A</v>
      </c>
      <c r="AP26" s="3" t="e">
        <f t="shared" si="0"/>
        <v>#N/A</v>
      </c>
    </row>
    <row r="27" spans="1:48" x14ac:dyDescent="0.3">
      <c r="B27" t="s">
        <v>78</v>
      </c>
      <c r="D27" t="s">
        <v>258</v>
      </c>
      <c r="E27" s="13" t="e">
        <f>VLOOKUP($B27,baseline!$A:$AK,E$2,FALSE)</f>
        <v>#N/A</v>
      </c>
      <c r="F27" s="13" t="e">
        <f>VLOOKUP($B27,baseline!$A:$AK,F$2,FALSE)</f>
        <v>#N/A</v>
      </c>
      <c r="G27" s="13" t="e">
        <f>VLOOKUP($B27,baseline!$A:$AK,G$2,FALSE)</f>
        <v>#N/A</v>
      </c>
      <c r="H27" s="13" t="e">
        <f>VLOOKUP($B27,baseline!$A:$AK,H$2,FALSE)</f>
        <v>#N/A</v>
      </c>
      <c r="I27" s="13" t="e">
        <f>VLOOKUP($B27,baseline!$A:$AK,I$2,FALSE)</f>
        <v>#N/A</v>
      </c>
      <c r="J27" s="13" t="e">
        <f>VLOOKUP($B27,baseline!$A:$AK,J$2,FALSE)</f>
        <v>#N/A</v>
      </c>
      <c r="K27" s="13" t="e">
        <f>VLOOKUP($B27,baseline!$A:$AK,K$2,FALSE)</f>
        <v>#N/A</v>
      </c>
      <c r="L27" s="13" t="e">
        <f>VLOOKUP($B27,baseline!$A:$AK,L$2,FALSE)</f>
        <v>#N/A</v>
      </c>
      <c r="M27" s="13" t="e">
        <f>VLOOKUP($B27,baseline!$A:$AK,M$2,FALSE)</f>
        <v>#N/A</v>
      </c>
      <c r="N27" s="13" t="e">
        <f>VLOOKUP($B27,baseline!$A:$AK,N$2,FALSE)</f>
        <v>#N/A</v>
      </c>
      <c r="O27" s="13" t="e">
        <f>VLOOKUP($B27,baseline!$A:$AK,O$2,FALSE)</f>
        <v>#N/A</v>
      </c>
      <c r="P27" s="13" t="e">
        <f>VLOOKUP($B27,baseline!$A:$AK,P$2,FALSE)</f>
        <v>#N/A</v>
      </c>
      <c r="Q27" s="13" t="e">
        <f>VLOOKUP($B27,baseline!$A:$AK,Q$2,FALSE)</f>
        <v>#N/A</v>
      </c>
      <c r="R27" s="13" t="e">
        <f>VLOOKUP($B27,baseline!$A:$AK,R$2,FALSE)</f>
        <v>#N/A</v>
      </c>
      <c r="S27" s="13" t="e">
        <f>VLOOKUP($B27,baseline!$A:$AK,S$2,FALSE)</f>
        <v>#N/A</v>
      </c>
      <c r="T27" s="13" t="e">
        <f>VLOOKUP($B27,baseline!$A:$AK,T$2,FALSE)</f>
        <v>#N/A</v>
      </c>
      <c r="U27" s="13" t="e">
        <f>VLOOKUP($B27,baseline!$A:$AK,U$2,FALSE)</f>
        <v>#N/A</v>
      </c>
      <c r="V27" s="13" t="e">
        <f>VLOOKUP($B27,baseline!$A:$AK,V$2,FALSE)</f>
        <v>#N/A</v>
      </c>
      <c r="W27" s="13" t="e">
        <f>VLOOKUP($B27,baseline!$A:$AK,W$2,FALSE)</f>
        <v>#N/A</v>
      </c>
      <c r="X27" s="13" t="e">
        <f>VLOOKUP($B27,baseline!$A:$AK,X$2,FALSE)</f>
        <v>#N/A</v>
      </c>
      <c r="Y27" s="13" t="e">
        <f>VLOOKUP($B27,baseline!$A:$AK,Y$2,FALSE)</f>
        <v>#N/A</v>
      </c>
      <c r="Z27" s="13" t="e">
        <f>VLOOKUP($B27,baseline!$A:$AK,Z$2,FALSE)</f>
        <v>#N/A</v>
      </c>
      <c r="AA27" s="13" t="e">
        <f>VLOOKUP($B27,baseline!$A:$AK,AA$2,FALSE)</f>
        <v>#N/A</v>
      </c>
      <c r="AB27" s="13" t="e">
        <f>VLOOKUP($B27,baseline!$A:$AK,AB$2,FALSE)</f>
        <v>#N/A</v>
      </c>
      <c r="AC27" s="13" t="e">
        <f>VLOOKUP($B27,baseline!$A:$AK,AC$2,FALSE)</f>
        <v>#N/A</v>
      </c>
      <c r="AD27" s="13" t="e">
        <f>VLOOKUP($B27,baseline!$A:$AK,AD$2,FALSE)</f>
        <v>#N/A</v>
      </c>
      <c r="AE27" s="13" t="e">
        <f>VLOOKUP($B27,baseline!$A:$AK,AE$2,FALSE)</f>
        <v>#N/A</v>
      </c>
      <c r="AF27" s="13" t="e">
        <f>VLOOKUP($B27,baseline!$A:$AK,AF$2,FALSE)</f>
        <v>#N/A</v>
      </c>
      <c r="AG27" s="13" t="e">
        <f>VLOOKUP($B27,baseline!$A:$AK,AG$2,FALSE)</f>
        <v>#N/A</v>
      </c>
      <c r="AH27" s="13" t="e">
        <f>VLOOKUP($B27,baseline!$A:$AK,AH$2,FALSE)</f>
        <v>#N/A</v>
      </c>
      <c r="AI27" s="13" t="e">
        <f>VLOOKUP($B27,baseline!$A:$AK,AI$2,FALSE)</f>
        <v>#N/A</v>
      </c>
      <c r="AJ27" s="13" t="e">
        <f>VLOOKUP($B27,baseline!$A:$AK,AJ$2,FALSE)</f>
        <v>#N/A</v>
      </c>
      <c r="AK27" s="13" t="e">
        <f>VLOOKUP($B27,baseline!$A:$AK,AK$2,FALSE)</f>
        <v>#N/A</v>
      </c>
      <c r="AL27" s="13" t="e">
        <f>VLOOKUP($B27,baseline!$A:$AK,AL$2,FALSE)</f>
        <v>#N/A</v>
      </c>
      <c r="AM27" s="13" t="e">
        <f>VLOOKUP($B27,baseline!$A:$AK,AM$2,FALSE)</f>
        <v>#N/A</v>
      </c>
      <c r="AN27" s="13" t="e">
        <f>VLOOKUP($B27,baseline!$A:$AK,AN$2,FALSE)</f>
        <v>#N/A</v>
      </c>
      <c r="AP27" s="3" t="e">
        <f t="shared" si="0"/>
        <v>#N/A</v>
      </c>
    </row>
    <row r="28" spans="1:48" x14ac:dyDescent="0.3">
      <c r="B28" t="s">
        <v>79</v>
      </c>
      <c r="D28" t="s">
        <v>259</v>
      </c>
      <c r="E28" s="13" t="e">
        <f>VLOOKUP($B28,baseline!$A:$AK,E$2,FALSE)</f>
        <v>#N/A</v>
      </c>
      <c r="F28" s="13" t="e">
        <f>VLOOKUP($B28,baseline!$A:$AK,F$2,FALSE)</f>
        <v>#N/A</v>
      </c>
      <c r="G28" s="13" t="e">
        <f>VLOOKUP($B28,baseline!$A:$AK,G$2,FALSE)</f>
        <v>#N/A</v>
      </c>
      <c r="H28" s="13" t="e">
        <f>VLOOKUP($B28,baseline!$A:$AK,H$2,FALSE)</f>
        <v>#N/A</v>
      </c>
      <c r="I28" s="13" t="e">
        <f>VLOOKUP($B28,baseline!$A:$AK,I$2,FALSE)</f>
        <v>#N/A</v>
      </c>
      <c r="J28" s="13" t="e">
        <f>VLOOKUP($B28,baseline!$A:$AK,J$2,FALSE)</f>
        <v>#N/A</v>
      </c>
      <c r="K28" s="13" t="e">
        <f>VLOOKUP($B28,baseline!$A:$AK,K$2,FALSE)</f>
        <v>#N/A</v>
      </c>
      <c r="L28" s="13" t="e">
        <f>VLOOKUP($B28,baseline!$A:$AK,L$2,FALSE)</f>
        <v>#N/A</v>
      </c>
      <c r="M28" s="13" t="e">
        <f>VLOOKUP($B28,baseline!$A:$AK,M$2,FALSE)</f>
        <v>#N/A</v>
      </c>
      <c r="N28" s="13" t="e">
        <f>VLOOKUP($B28,baseline!$A:$AK,N$2,FALSE)</f>
        <v>#N/A</v>
      </c>
      <c r="O28" s="13" t="e">
        <f>VLOOKUP($B28,baseline!$A:$AK,O$2,FALSE)</f>
        <v>#N/A</v>
      </c>
      <c r="P28" s="13" t="e">
        <f>VLOOKUP($B28,baseline!$A:$AK,P$2,FALSE)</f>
        <v>#N/A</v>
      </c>
      <c r="Q28" s="13" t="e">
        <f>VLOOKUP($B28,baseline!$A:$AK,Q$2,FALSE)</f>
        <v>#N/A</v>
      </c>
      <c r="R28" s="13" t="e">
        <f>VLOOKUP($B28,baseline!$A:$AK,R$2,FALSE)</f>
        <v>#N/A</v>
      </c>
      <c r="S28" s="13" t="e">
        <f>VLOOKUP($B28,baseline!$A:$AK,S$2,FALSE)</f>
        <v>#N/A</v>
      </c>
      <c r="T28" s="13" t="e">
        <f>VLOOKUP($B28,baseline!$A:$AK,T$2,FALSE)</f>
        <v>#N/A</v>
      </c>
      <c r="U28" s="13" t="e">
        <f>VLOOKUP($B28,baseline!$A:$AK,U$2,FALSE)</f>
        <v>#N/A</v>
      </c>
      <c r="V28" s="13" t="e">
        <f>VLOOKUP($B28,baseline!$A:$AK,V$2,FALSE)</f>
        <v>#N/A</v>
      </c>
      <c r="W28" s="13" t="e">
        <f>VLOOKUP($B28,baseline!$A:$AK,W$2,FALSE)</f>
        <v>#N/A</v>
      </c>
      <c r="X28" s="13" t="e">
        <f>VLOOKUP($B28,baseline!$A:$AK,X$2,FALSE)</f>
        <v>#N/A</v>
      </c>
      <c r="Y28" s="13" t="e">
        <f>VLOOKUP($B28,baseline!$A:$AK,Y$2,FALSE)</f>
        <v>#N/A</v>
      </c>
      <c r="Z28" s="13" t="e">
        <f>VLOOKUP($B28,baseline!$A:$AK,Z$2,FALSE)</f>
        <v>#N/A</v>
      </c>
      <c r="AA28" s="13" t="e">
        <f>VLOOKUP($B28,baseline!$A:$AK,AA$2,FALSE)</f>
        <v>#N/A</v>
      </c>
      <c r="AB28" s="13" t="e">
        <f>VLOOKUP($B28,baseline!$A:$AK,AB$2,FALSE)</f>
        <v>#N/A</v>
      </c>
      <c r="AC28" s="13" t="e">
        <f>VLOOKUP($B28,baseline!$A:$AK,AC$2,FALSE)</f>
        <v>#N/A</v>
      </c>
      <c r="AD28" s="13" t="e">
        <f>VLOOKUP($B28,baseline!$A:$AK,AD$2,FALSE)</f>
        <v>#N/A</v>
      </c>
      <c r="AE28" s="13" t="e">
        <f>VLOOKUP($B28,baseline!$A:$AK,AE$2,FALSE)</f>
        <v>#N/A</v>
      </c>
      <c r="AF28" s="13" t="e">
        <f>VLOOKUP($B28,baseline!$A:$AK,AF$2,FALSE)</f>
        <v>#N/A</v>
      </c>
      <c r="AG28" s="13" t="e">
        <f>VLOOKUP($B28,baseline!$A:$AK,AG$2,FALSE)</f>
        <v>#N/A</v>
      </c>
      <c r="AH28" s="13" t="e">
        <f>VLOOKUP($B28,baseline!$A:$AK,AH$2,FALSE)</f>
        <v>#N/A</v>
      </c>
      <c r="AI28" s="13" t="e">
        <f>VLOOKUP($B28,baseline!$A:$AK,AI$2,FALSE)</f>
        <v>#N/A</v>
      </c>
      <c r="AJ28" s="13" t="e">
        <f>VLOOKUP($B28,baseline!$A:$AK,AJ$2,FALSE)</f>
        <v>#N/A</v>
      </c>
      <c r="AK28" s="13" t="e">
        <f>VLOOKUP($B28,baseline!$A:$AK,AK$2,FALSE)</f>
        <v>#N/A</v>
      </c>
      <c r="AL28" s="13" t="e">
        <f>VLOOKUP($B28,baseline!$A:$AK,AL$2,FALSE)</f>
        <v>#N/A</v>
      </c>
      <c r="AM28" s="13" t="e">
        <f>VLOOKUP($B28,baseline!$A:$AK,AM$2,FALSE)</f>
        <v>#N/A</v>
      </c>
      <c r="AN28" s="13" t="e">
        <f>VLOOKUP($B28,baseline!$A:$AK,AN$2,FALSE)</f>
        <v>#N/A</v>
      </c>
      <c r="AP28" s="3" t="e">
        <f t="shared" si="0"/>
        <v>#N/A</v>
      </c>
    </row>
    <row r="29" spans="1:48" x14ac:dyDescent="0.3">
      <c r="B29" t="s">
        <v>80</v>
      </c>
      <c r="D29" t="s">
        <v>260</v>
      </c>
      <c r="E29" s="13" t="e">
        <f>VLOOKUP($B29,baseline!$A:$AK,E$2,FALSE)</f>
        <v>#N/A</v>
      </c>
      <c r="F29" s="13" t="e">
        <f>VLOOKUP($B29,baseline!$A:$AK,F$2,FALSE)</f>
        <v>#N/A</v>
      </c>
      <c r="G29" s="13" t="e">
        <f>VLOOKUP($B29,baseline!$A:$AK,G$2,FALSE)</f>
        <v>#N/A</v>
      </c>
      <c r="H29" s="13" t="e">
        <f>VLOOKUP($B29,baseline!$A:$AK,H$2,FALSE)</f>
        <v>#N/A</v>
      </c>
      <c r="I29" s="13" t="e">
        <f>VLOOKUP($B29,baseline!$A:$AK,I$2,FALSE)</f>
        <v>#N/A</v>
      </c>
      <c r="J29" s="13" t="e">
        <f>VLOOKUP($B29,baseline!$A:$AK,J$2,FALSE)</f>
        <v>#N/A</v>
      </c>
      <c r="K29" s="13" t="e">
        <f>VLOOKUP($B29,baseline!$A:$AK,K$2,FALSE)</f>
        <v>#N/A</v>
      </c>
      <c r="L29" s="13" t="e">
        <f>VLOOKUP($B29,baseline!$A:$AK,L$2,FALSE)</f>
        <v>#N/A</v>
      </c>
      <c r="M29" s="13" t="e">
        <f>VLOOKUP($B29,baseline!$A:$AK,M$2,FALSE)</f>
        <v>#N/A</v>
      </c>
      <c r="N29" s="13" t="e">
        <f>VLOOKUP($B29,baseline!$A:$AK,N$2,FALSE)</f>
        <v>#N/A</v>
      </c>
      <c r="O29" s="13" t="e">
        <f>VLOOKUP($B29,baseline!$A:$AK,O$2,FALSE)</f>
        <v>#N/A</v>
      </c>
      <c r="P29" s="13" t="e">
        <f>VLOOKUP($B29,baseline!$A:$AK,P$2,FALSE)</f>
        <v>#N/A</v>
      </c>
      <c r="Q29" s="13" t="e">
        <f>VLOOKUP($B29,baseline!$A:$AK,Q$2,FALSE)</f>
        <v>#N/A</v>
      </c>
      <c r="R29" s="13" t="e">
        <f>VLOOKUP($B29,baseline!$A:$AK,R$2,FALSE)</f>
        <v>#N/A</v>
      </c>
      <c r="S29" s="13" t="e">
        <f>VLOOKUP($B29,baseline!$A:$AK,S$2,FALSE)</f>
        <v>#N/A</v>
      </c>
      <c r="T29" s="13" t="e">
        <f>VLOOKUP($B29,baseline!$A:$AK,T$2,FALSE)</f>
        <v>#N/A</v>
      </c>
      <c r="U29" s="13" t="e">
        <f>VLOOKUP($B29,baseline!$A:$AK,U$2,FALSE)</f>
        <v>#N/A</v>
      </c>
      <c r="V29" s="13" t="e">
        <f>VLOOKUP($B29,baseline!$A:$AK,V$2,FALSE)</f>
        <v>#N/A</v>
      </c>
      <c r="W29" s="13" t="e">
        <f>VLOOKUP($B29,baseline!$A:$AK,W$2,FALSE)</f>
        <v>#N/A</v>
      </c>
      <c r="X29" s="13" t="e">
        <f>VLOOKUP($B29,baseline!$A:$AK,X$2,FALSE)</f>
        <v>#N/A</v>
      </c>
      <c r="Y29" s="13" t="e">
        <f>VLOOKUP($B29,baseline!$A:$AK,Y$2,FALSE)</f>
        <v>#N/A</v>
      </c>
      <c r="Z29" s="13" t="e">
        <f>VLOOKUP($B29,baseline!$A:$AK,Z$2,FALSE)</f>
        <v>#N/A</v>
      </c>
      <c r="AA29" s="13" t="e">
        <f>VLOOKUP($B29,baseline!$A:$AK,AA$2,FALSE)</f>
        <v>#N/A</v>
      </c>
      <c r="AB29" s="13" t="e">
        <f>VLOOKUP($B29,baseline!$A:$AK,AB$2,FALSE)</f>
        <v>#N/A</v>
      </c>
      <c r="AC29" s="13" t="e">
        <f>VLOOKUP($B29,baseline!$A:$AK,AC$2,FALSE)</f>
        <v>#N/A</v>
      </c>
      <c r="AD29" s="13" t="e">
        <f>VLOOKUP($B29,baseline!$A:$AK,AD$2,FALSE)</f>
        <v>#N/A</v>
      </c>
      <c r="AE29" s="13" t="e">
        <f>VLOOKUP($B29,baseline!$A:$AK,AE$2,FALSE)</f>
        <v>#N/A</v>
      </c>
      <c r="AF29" s="13" t="e">
        <f>VLOOKUP($B29,baseline!$A:$AK,AF$2,FALSE)</f>
        <v>#N/A</v>
      </c>
      <c r="AG29" s="13" t="e">
        <f>VLOOKUP($B29,baseline!$A:$AK,AG$2,FALSE)</f>
        <v>#N/A</v>
      </c>
      <c r="AH29" s="13" t="e">
        <f>VLOOKUP($B29,baseline!$A:$AK,AH$2,FALSE)</f>
        <v>#N/A</v>
      </c>
      <c r="AI29" s="13" t="e">
        <f>VLOOKUP($B29,baseline!$A:$AK,AI$2,FALSE)</f>
        <v>#N/A</v>
      </c>
      <c r="AJ29" s="13" t="e">
        <f>VLOOKUP($B29,baseline!$A:$AK,AJ$2,FALSE)</f>
        <v>#N/A</v>
      </c>
      <c r="AK29" s="13" t="e">
        <f>VLOOKUP($B29,baseline!$A:$AK,AK$2,FALSE)</f>
        <v>#N/A</v>
      </c>
      <c r="AL29" s="13" t="e">
        <f>VLOOKUP($B29,baseline!$A:$AK,AL$2,FALSE)</f>
        <v>#N/A</v>
      </c>
      <c r="AM29" s="13" t="e">
        <f>VLOOKUP($B29,baseline!$A:$AK,AM$2,FALSE)</f>
        <v>#N/A</v>
      </c>
      <c r="AN29" s="13" t="e">
        <f>VLOOKUP($B29,baseline!$A:$AK,AN$2,FALSE)</f>
        <v>#N/A</v>
      </c>
      <c r="AP29" s="3" t="e">
        <f t="shared" si="0"/>
        <v>#N/A</v>
      </c>
    </row>
    <row r="30" spans="1:48" x14ac:dyDescent="0.3">
      <c r="B30" t="s">
        <v>81</v>
      </c>
      <c r="D30" t="s">
        <v>261</v>
      </c>
      <c r="E30" s="13" t="e">
        <f>VLOOKUP($B30,baseline!$A:$AK,E$2,FALSE)</f>
        <v>#N/A</v>
      </c>
      <c r="F30" s="13" t="e">
        <f>VLOOKUP($B30,baseline!$A:$AK,F$2,FALSE)</f>
        <v>#N/A</v>
      </c>
      <c r="G30" s="13" t="e">
        <f>VLOOKUP($B30,baseline!$A:$AK,G$2,FALSE)</f>
        <v>#N/A</v>
      </c>
      <c r="H30" s="13" t="e">
        <f>VLOOKUP($B30,baseline!$A:$AK,H$2,FALSE)</f>
        <v>#N/A</v>
      </c>
      <c r="I30" s="13" t="e">
        <f>VLOOKUP($B30,baseline!$A:$AK,I$2,FALSE)</f>
        <v>#N/A</v>
      </c>
      <c r="J30" s="13" t="e">
        <f>VLOOKUP($B30,baseline!$A:$AK,J$2,FALSE)</f>
        <v>#N/A</v>
      </c>
      <c r="K30" s="13" t="e">
        <f>VLOOKUP($B30,baseline!$A:$AK,K$2,FALSE)</f>
        <v>#N/A</v>
      </c>
      <c r="L30" s="13" t="e">
        <f>VLOOKUP($B30,baseline!$A:$AK,L$2,FALSE)</f>
        <v>#N/A</v>
      </c>
      <c r="M30" s="13" t="e">
        <f>VLOOKUP($B30,baseline!$A:$AK,M$2,FALSE)</f>
        <v>#N/A</v>
      </c>
      <c r="N30" s="13" t="e">
        <f>VLOOKUP($B30,baseline!$A:$AK,N$2,FALSE)</f>
        <v>#N/A</v>
      </c>
      <c r="O30" s="13" t="e">
        <f>VLOOKUP($B30,baseline!$A:$AK,O$2,FALSE)</f>
        <v>#N/A</v>
      </c>
      <c r="P30" s="13" t="e">
        <f>VLOOKUP($B30,baseline!$A:$AK,P$2,FALSE)</f>
        <v>#N/A</v>
      </c>
      <c r="Q30" s="13" t="e">
        <f>VLOOKUP($B30,baseline!$A:$AK,Q$2,FALSE)</f>
        <v>#N/A</v>
      </c>
      <c r="R30" s="13" t="e">
        <f>VLOOKUP($B30,baseline!$A:$AK,R$2,FALSE)</f>
        <v>#N/A</v>
      </c>
      <c r="S30" s="13" t="e">
        <f>VLOOKUP($B30,baseline!$A:$AK,S$2,FALSE)</f>
        <v>#N/A</v>
      </c>
      <c r="T30" s="13" t="e">
        <f>VLOOKUP($B30,baseline!$A:$AK,T$2,FALSE)</f>
        <v>#N/A</v>
      </c>
      <c r="U30" s="13" t="e">
        <f>VLOOKUP($B30,baseline!$A:$AK,U$2,FALSE)</f>
        <v>#N/A</v>
      </c>
      <c r="V30" s="13" t="e">
        <f>VLOOKUP($B30,baseline!$A:$AK,V$2,FALSE)</f>
        <v>#N/A</v>
      </c>
      <c r="W30" s="13" t="e">
        <f>VLOOKUP($B30,baseline!$A:$AK,W$2,FALSE)</f>
        <v>#N/A</v>
      </c>
      <c r="X30" s="13" t="e">
        <f>VLOOKUP($B30,baseline!$A:$AK,X$2,FALSE)</f>
        <v>#N/A</v>
      </c>
      <c r="Y30" s="13" t="e">
        <f>VLOOKUP($B30,baseline!$A:$AK,Y$2,FALSE)</f>
        <v>#N/A</v>
      </c>
      <c r="Z30" s="13" t="e">
        <f>VLOOKUP($B30,baseline!$A:$AK,Z$2,FALSE)</f>
        <v>#N/A</v>
      </c>
      <c r="AA30" s="13" t="e">
        <f>VLOOKUP($B30,baseline!$A:$AK,AA$2,FALSE)</f>
        <v>#N/A</v>
      </c>
      <c r="AB30" s="13" t="e">
        <f>VLOOKUP($B30,baseline!$A:$AK,AB$2,FALSE)</f>
        <v>#N/A</v>
      </c>
      <c r="AC30" s="13" t="e">
        <f>VLOOKUP($B30,baseline!$A:$AK,AC$2,FALSE)</f>
        <v>#N/A</v>
      </c>
      <c r="AD30" s="13" t="e">
        <f>VLOOKUP($B30,baseline!$A:$AK,AD$2,FALSE)</f>
        <v>#N/A</v>
      </c>
      <c r="AE30" s="13" t="e">
        <f>VLOOKUP($B30,baseline!$A:$AK,AE$2,FALSE)</f>
        <v>#N/A</v>
      </c>
      <c r="AF30" s="13" t="e">
        <f>VLOOKUP($B30,baseline!$A:$AK,AF$2,FALSE)</f>
        <v>#N/A</v>
      </c>
      <c r="AG30" s="13" t="e">
        <f>VLOOKUP($B30,baseline!$A:$AK,AG$2,FALSE)</f>
        <v>#N/A</v>
      </c>
      <c r="AH30" s="13" t="e">
        <f>VLOOKUP($B30,baseline!$A:$AK,AH$2,FALSE)</f>
        <v>#N/A</v>
      </c>
      <c r="AI30" s="13" t="e">
        <f>VLOOKUP($B30,baseline!$A:$AK,AI$2,FALSE)</f>
        <v>#N/A</v>
      </c>
      <c r="AJ30" s="13" t="e">
        <f>VLOOKUP($B30,baseline!$A:$AK,AJ$2,FALSE)</f>
        <v>#N/A</v>
      </c>
      <c r="AK30" s="13" t="e">
        <f>VLOOKUP($B30,baseline!$A:$AK,AK$2,FALSE)</f>
        <v>#N/A</v>
      </c>
      <c r="AL30" s="13" t="e">
        <f>VLOOKUP($B30,baseline!$A:$AK,AL$2,FALSE)</f>
        <v>#N/A</v>
      </c>
      <c r="AM30" s="13" t="e">
        <f>VLOOKUP($B30,baseline!$A:$AK,AM$2,FALSE)</f>
        <v>#N/A</v>
      </c>
      <c r="AN30" s="13" t="e">
        <f>VLOOKUP($B30,baseline!$A:$AK,AN$2,FALSE)</f>
        <v>#N/A</v>
      </c>
      <c r="AP30" s="3" t="e">
        <f t="shared" si="0"/>
        <v>#N/A</v>
      </c>
    </row>
    <row r="32" spans="1:48" s="12" customFormat="1" ht="19.8" x14ac:dyDescent="0.4">
      <c r="A32" s="11" t="s">
        <v>234</v>
      </c>
      <c r="C32" s="11"/>
      <c r="D32" s="16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</row>
    <row r="33" spans="2:40" x14ac:dyDescent="0.3">
      <c r="E33" s="5">
        <v>2015</v>
      </c>
      <c r="F33" s="5">
        <v>2016</v>
      </c>
      <c r="G33" s="5">
        <v>2017</v>
      </c>
      <c r="H33" s="5">
        <v>2018</v>
      </c>
      <c r="I33" s="5">
        <v>2019</v>
      </c>
      <c r="J33" s="5">
        <v>2020</v>
      </c>
      <c r="K33" s="5">
        <v>2021</v>
      </c>
      <c r="L33" s="5">
        <v>2022</v>
      </c>
      <c r="M33" s="5">
        <v>2023</v>
      </c>
      <c r="N33" s="5">
        <v>2024</v>
      </c>
      <c r="O33" s="5">
        <v>2025</v>
      </c>
      <c r="P33" s="5">
        <v>2026</v>
      </c>
      <c r="Q33" s="5">
        <v>2027</v>
      </c>
      <c r="R33" s="5">
        <v>2028</v>
      </c>
      <c r="S33" s="5">
        <v>2029</v>
      </c>
      <c r="T33" s="5">
        <v>2030</v>
      </c>
      <c r="U33" s="5">
        <v>2031</v>
      </c>
      <c r="V33" s="5">
        <v>2032</v>
      </c>
      <c r="W33" s="5">
        <v>2033</v>
      </c>
      <c r="X33" s="5">
        <v>2034</v>
      </c>
      <c r="Y33" s="5">
        <v>2035</v>
      </c>
      <c r="Z33" s="5">
        <v>2036</v>
      </c>
      <c r="AA33" s="5">
        <v>2037</v>
      </c>
      <c r="AB33" s="5">
        <v>2038</v>
      </c>
      <c r="AC33" s="5">
        <v>2039</v>
      </c>
      <c r="AD33" s="5">
        <v>2040</v>
      </c>
      <c r="AE33" s="5">
        <v>2041</v>
      </c>
      <c r="AF33" s="5">
        <v>2042</v>
      </c>
      <c r="AG33" s="5">
        <v>2043</v>
      </c>
      <c r="AH33" s="5">
        <v>2044</v>
      </c>
      <c r="AI33" s="5">
        <v>2045</v>
      </c>
      <c r="AJ33" s="5">
        <v>2046</v>
      </c>
      <c r="AK33" s="5">
        <v>2047</v>
      </c>
      <c r="AL33" s="5">
        <v>2048</v>
      </c>
      <c r="AM33" s="5">
        <v>2049</v>
      </c>
      <c r="AN33" s="5">
        <v>2050</v>
      </c>
    </row>
    <row r="34" spans="2:40" x14ac:dyDescent="0.3">
      <c r="B34" t="s">
        <v>55</v>
      </c>
      <c r="D34" t="s">
        <v>229</v>
      </c>
      <c r="E34" s="3" t="e">
        <f>E4/$E4</f>
        <v>#N/A</v>
      </c>
      <c r="F34" s="3" t="e">
        <f t="shared" ref="F34:AN41" si="1">F4/$E4</f>
        <v>#N/A</v>
      </c>
      <c r="G34" s="3" t="e">
        <f t="shared" si="1"/>
        <v>#N/A</v>
      </c>
      <c r="H34" s="3" t="e">
        <f t="shared" si="1"/>
        <v>#N/A</v>
      </c>
      <c r="I34" s="3" t="e">
        <f t="shared" si="1"/>
        <v>#N/A</v>
      </c>
      <c r="J34" s="3" t="e">
        <f t="shared" si="1"/>
        <v>#N/A</v>
      </c>
      <c r="K34" s="3" t="e">
        <f t="shared" si="1"/>
        <v>#N/A</v>
      </c>
      <c r="L34" s="3" t="e">
        <f t="shared" si="1"/>
        <v>#N/A</v>
      </c>
      <c r="M34" s="3" t="e">
        <f t="shared" si="1"/>
        <v>#N/A</v>
      </c>
      <c r="N34" s="3" t="e">
        <f t="shared" si="1"/>
        <v>#N/A</v>
      </c>
      <c r="O34" s="3" t="e">
        <f t="shared" si="1"/>
        <v>#N/A</v>
      </c>
      <c r="P34" s="3" t="e">
        <f t="shared" si="1"/>
        <v>#N/A</v>
      </c>
      <c r="Q34" s="3" t="e">
        <f t="shared" si="1"/>
        <v>#N/A</v>
      </c>
      <c r="R34" s="3" t="e">
        <f t="shared" si="1"/>
        <v>#N/A</v>
      </c>
      <c r="S34" s="3" t="e">
        <f t="shared" si="1"/>
        <v>#N/A</v>
      </c>
      <c r="T34" s="3" t="e">
        <f t="shared" si="1"/>
        <v>#N/A</v>
      </c>
      <c r="U34" s="3" t="e">
        <f t="shared" si="1"/>
        <v>#N/A</v>
      </c>
      <c r="V34" s="3" t="e">
        <f t="shared" si="1"/>
        <v>#N/A</v>
      </c>
      <c r="W34" s="3" t="e">
        <f t="shared" si="1"/>
        <v>#N/A</v>
      </c>
      <c r="X34" s="3" t="e">
        <f t="shared" si="1"/>
        <v>#N/A</v>
      </c>
      <c r="Y34" s="3" t="e">
        <f t="shared" si="1"/>
        <v>#N/A</v>
      </c>
      <c r="Z34" s="3" t="e">
        <f t="shared" si="1"/>
        <v>#N/A</v>
      </c>
      <c r="AA34" s="3" t="e">
        <f t="shared" si="1"/>
        <v>#N/A</v>
      </c>
      <c r="AB34" s="3" t="e">
        <f t="shared" si="1"/>
        <v>#N/A</v>
      </c>
      <c r="AC34" s="3" t="e">
        <f t="shared" si="1"/>
        <v>#N/A</v>
      </c>
      <c r="AD34" s="3" t="e">
        <f t="shared" si="1"/>
        <v>#N/A</v>
      </c>
      <c r="AE34" s="3" t="e">
        <f t="shared" si="1"/>
        <v>#N/A</v>
      </c>
      <c r="AF34" s="3" t="e">
        <f t="shared" si="1"/>
        <v>#N/A</v>
      </c>
      <c r="AG34" s="3" t="e">
        <f t="shared" si="1"/>
        <v>#N/A</v>
      </c>
      <c r="AH34" s="3" t="e">
        <f t="shared" si="1"/>
        <v>#N/A</v>
      </c>
      <c r="AI34" s="3" t="e">
        <f t="shared" si="1"/>
        <v>#N/A</v>
      </c>
      <c r="AJ34" s="3" t="e">
        <f t="shared" si="1"/>
        <v>#N/A</v>
      </c>
      <c r="AK34" s="3" t="e">
        <f t="shared" si="1"/>
        <v>#N/A</v>
      </c>
      <c r="AL34" s="3" t="e">
        <f t="shared" si="1"/>
        <v>#N/A</v>
      </c>
      <c r="AM34" s="3" t="e">
        <f t="shared" si="1"/>
        <v>#N/A</v>
      </c>
      <c r="AN34" s="3" t="e">
        <f t="shared" si="1"/>
        <v>#N/A</v>
      </c>
    </row>
    <row r="35" spans="2:40" x14ac:dyDescent="0.3">
      <c r="B35" t="s">
        <v>56</v>
      </c>
      <c r="D35" t="s">
        <v>229</v>
      </c>
      <c r="E35" s="3" t="e">
        <f t="shared" ref="E35:T50" si="2">E5/$E5</f>
        <v>#N/A</v>
      </c>
      <c r="F35" s="3" t="e">
        <f t="shared" si="2"/>
        <v>#N/A</v>
      </c>
      <c r="G35" s="3" t="e">
        <f t="shared" si="2"/>
        <v>#N/A</v>
      </c>
      <c r="H35" s="3" t="e">
        <f t="shared" si="2"/>
        <v>#N/A</v>
      </c>
      <c r="I35" s="3" t="e">
        <f t="shared" si="2"/>
        <v>#N/A</v>
      </c>
      <c r="J35" s="3" t="e">
        <f t="shared" si="2"/>
        <v>#N/A</v>
      </c>
      <c r="K35" s="3" t="e">
        <f t="shared" si="2"/>
        <v>#N/A</v>
      </c>
      <c r="L35" s="3" t="e">
        <f t="shared" si="2"/>
        <v>#N/A</v>
      </c>
      <c r="M35" s="3" t="e">
        <f t="shared" si="2"/>
        <v>#N/A</v>
      </c>
      <c r="N35" s="3" t="e">
        <f t="shared" si="2"/>
        <v>#N/A</v>
      </c>
      <c r="O35" s="3" t="e">
        <f t="shared" si="2"/>
        <v>#N/A</v>
      </c>
      <c r="P35" s="3" t="e">
        <f t="shared" si="2"/>
        <v>#N/A</v>
      </c>
      <c r="Q35" s="3" t="e">
        <f t="shared" si="2"/>
        <v>#N/A</v>
      </c>
      <c r="R35" s="3" t="e">
        <f t="shared" si="2"/>
        <v>#N/A</v>
      </c>
      <c r="S35" s="3" t="e">
        <f t="shared" si="2"/>
        <v>#N/A</v>
      </c>
      <c r="T35" s="3" t="e">
        <f t="shared" si="2"/>
        <v>#N/A</v>
      </c>
      <c r="U35" s="3" t="e">
        <f t="shared" si="1"/>
        <v>#N/A</v>
      </c>
      <c r="V35" s="3" t="e">
        <f t="shared" si="1"/>
        <v>#N/A</v>
      </c>
      <c r="W35" s="3" t="e">
        <f t="shared" si="1"/>
        <v>#N/A</v>
      </c>
      <c r="X35" s="3" t="e">
        <f t="shared" si="1"/>
        <v>#N/A</v>
      </c>
      <c r="Y35" s="3" t="e">
        <f t="shared" si="1"/>
        <v>#N/A</v>
      </c>
      <c r="Z35" s="3" t="e">
        <f t="shared" si="1"/>
        <v>#N/A</v>
      </c>
      <c r="AA35" s="3" t="e">
        <f t="shared" si="1"/>
        <v>#N/A</v>
      </c>
      <c r="AB35" s="3" t="e">
        <f t="shared" si="1"/>
        <v>#N/A</v>
      </c>
      <c r="AC35" s="3" t="e">
        <f t="shared" si="1"/>
        <v>#N/A</v>
      </c>
      <c r="AD35" s="3" t="e">
        <f t="shared" si="1"/>
        <v>#N/A</v>
      </c>
      <c r="AE35" s="3" t="e">
        <f t="shared" si="1"/>
        <v>#N/A</v>
      </c>
      <c r="AF35" s="3" t="e">
        <f t="shared" si="1"/>
        <v>#N/A</v>
      </c>
      <c r="AG35" s="3" t="e">
        <f t="shared" si="1"/>
        <v>#N/A</v>
      </c>
      <c r="AH35" s="3" t="e">
        <f t="shared" si="1"/>
        <v>#N/A</v>
      </c>
      <c r="AI35" s="3" t="e">
        <f t="shared" si="1"/>
        <v>#N/A</v>
      </c>
      <c r="AJ35" s="3" t="e">
        <f t="shared" si="1"/>
        <v>#N/A</v>
      </c>
      <c r="AK35" s="3" t="e">
        <f t="shared" si="1"/>
        <v>#N/A</v>
      </c>
      <c r="AL35" s="3" t="e">
        <f t="shared" si="1"/>
        <v>#N/A</v>
      </c>
      <c r="AM35" s="3" t="e">
        <f t="shared" si="1"/>
        <v>#N/A</v>
      </c>
      <c r="AN35" s="3" t="e">
        <f t="shared" si="1"/>
        <v>#N/A</v>
      </c>
    </row>
    <row r="36" spans="2:40" x14ac:dyDescent="0.3">
      <c r="B36" t="s">
        <v>57</v>
      </c>
      <c r="D36" t="s">
        <v>229</v>
      </c>
      <c r="E36" s="3" t="e">
        <f t="shared" si="2"/>
        <v>#N/A</v>
      </c>
      <c r="F36" s="3" t="e">
        <f t="shared" si="1"/>
        <v>#N/A</v>
      </c>
      <c r="G36" s="3" t="e">
        <f t="shared" si="1"/>
        <v>#N/A</v>
      </c>
      <c r="H36" s="3" t="e">
        <f t="shared" si="1"/>
        <v>#N/A</v>
      </c>
      <c r="I36" s="3" t="e">
        <f t="shared" si="1"/>
        <v>#N/A</v>
      </c>
      <c r="J36" s="3" t="e">
        <f t="shared" si="1"/>
        <v>#N/A</v>
      </c>
      <c r="K36" s="3" t="e">
        <f t="shared" si="1"/>
        <v>#N/A</v>
      </c>
      <c r="L36" s="3" t="e">
        <f t="shared" si="1"/>
        <v>#N/A</v>
      </c>
      <c r="M36" s="3" t="e">
        <f t="shared" si="1"/>
        <v>#N/A</v>
      </c>
      <c r="N36" s="3" t="e">
        <f t="shared" si="1"/>
        <v>#N/A</v>
      </c>
      <c r="O36" s="3" t="e">
        <f t="shared" si="1"/>
        <v>#N/A</v>
      </c>
      <c r="P36" s="3" t="e">
        <f t="shared" si="1"/>
        <v>#N/A</v>
      </c>
      <c r="Q36" s="3" t="e">
        <f t="shared" si="1"/>
        <v>#N/A</v>
      </c>
      <c r="R36" s="3" t="e">
        <f t="shared" si="1"/>
        <v>#N/A</v>
      </c>
      <c r="S36" s="3" t="e">
        <f t="shared" si="1"/>
        <v>#N/A</v>
      </c>
      <c r="T36" s="3" t="e">
        <f t="shared" si="1"/>
        <v>#N/A</v>
      </c>
      <c r="U36" s="3" t="e">
        <f t="shared" si="1"/>
        <v>#N/A</v>
      </c>
      <c r="V36" s="3" t="e">
        <f t="shared" si="1"/>
        <v>#N/A</v>
      </c>
      <c r="W36" s="3" t="e">
        <f t="shared" si="1"/>
        <v>#N/A</v>
      </c>
      <c r="X36" s="3" t="e">
        <f t="shared" si="1"/>
        <v>#N/A</v>
      </c>
      <c r="Y36" s="3" t="e">
        <f t="shared" si="1"/>
        <v>#N/A</v>
      </c>
      <c r="Z36" s="3" t="e">
        <f t="shared" si="1"/>
        <v>#N/A</v>
      </c>
      <c r="AA36" s="3" t="e">
        <f t="shared" si="1"/>
        <v>#N/A</v>
      </c>
      <c r="AB36" s="3" t="e">
        <f t="shared" si="1"/>
        <v>#N/A</v>
      </c>
      <c r="AC36" s="3" t="e">
        <f t="shared" si="1"/>
        <v>#N/A</v>
      </c>
      <c r="AD36" s="3" t="e">
        <f t="shared" si="1"/>
        <v>#N/A</v>
      </c>
      <c r="AE36" s="3" t="e">
        <f t="shared" si="1"/>
        <v>#N/A</v>
      </c>
      <c r="AF36" s="3" t="e">
        <f t="shared" si="1"/>
        <v>#N/A</v>
      </c>
      <c r="AG36" s="3" t="e">
        <f t="shared" si="1"/>
        <v>#N/A</v>
      </c>
      <c r="AH36" s="3" t="e">
        <f t="shared" si="1"/>
        <v>#N/A</v>
      </c>
      <c r="AI36" s="3" t="e">
        <f t="shared" si="1"/>
        <v>#N/A</v>
      </c>
      <c r="AJ36" s="3" t="e">
        <f t="shared" si="1"/>
        <v>#N/A</v>
      </c>
      <c r="AK36" s="3" t="e">
        <f t="shared" si="1"/>
        <v>#N/A</v>
      </c>
      <c r="AL36" s="3" t="e">
        <f t="shared" si="1"/>
        <v>#N/A</v>
      </c>
      <c r="AM36" s="3" t="e">
        <f t="shared" si="1"/>
        <v>#N/A</v>
      </c>
      <c r="AN36" s="3" t="e">
        <f t="shared" si="1"/>
        <v>#N/A</v>
      </c>
    </row>
    <row r="37" spans="2:40" x14ac:dyDescent="0.3">
      <c r="B37" t="s">
        <v>58</v>
      </c>
      <c r="D37" t="s">
        <v>229</v>
      </c>
      <c r="E37" s="3" t="e">
        <f t="shared" si="2"/>
        <v>#N/A</v>
      </c>
      <c r="F37" s="3" t="e">
        <f t="shared" si="1"/>
        <v>#N/A</v>
      </c>
      <c r="G37" s="3" t="e">
        <f t="shared" si="1"/>
        <v>#N/A</v>
      </c>
      <c r="H37" s="3" t="e">
        <f t="shared" si="1"/>
        <v>#N/A</v>
      </c>
      <c r="I37" s="3" t="e">
        <f t="shared" si="1"/>
        <v>#N/A</v>
      </c>
      <c r="J37" s="3" t="e">
        <f t="shared" si="1"/>
        <v>#N/A</v>
      </c>
      <c r="K37" s="3" t="e">
        <f t="shared" si="1"/>
        <v>#N/A</v>
      </c>
      <c r="L37" s="3" t="e">
        <f t="shared" si="1"/>
        <v>#N/A</v>
      </c>
      <c r="M37" s="3" t="e">
        <f t="shared" si="1"/>
        <v>#N/A</v>
      </c>
      <c r="N37" s="3" t="e">
        <f t="shared" si="1"/>
        <v>#N/A</v>
      </c>
      <c r="O37" s="3" t="e">
        <f t="shared" si="1"/>
        <v>#N/A</v>
      </c>
      <c r="P37" s="3" t="e">
        <f t="shared" si="1"/>
        <v>#N/A</v>
      </c>
      <c r="Q37" s="3" t="e">
        <f t="shared" si="1"/>
        <v>#N/A</v>
      </c>
      <c r="R37" s="3" t="e">
        <f t="shared" si="1"/>
        <v>#N/A</v>
      </c>
      <c r="S37" s="3" t="e">
        <f t="shared" si="1"/>
        <v>#N/A</v>
      </c>
      <c r="T37" s="3" t="e">
        <f t="shared" si="1"/>
        <v>#N/A</v>
      </c>
      <c r="U37" s="3" t="e">
        <f t="shared" si="1"/>
        <v>#N/A</v>
      </c>
      <c r="V37" s="3" t="e">
        <f t="shared" si="1"/>
        <v>#N/A</v>
      </c>
      <c r="W37" s="3" t="e">
        <f t="shared" si="1"/>
        <v>#N/A</v>
      </c>
      <c r="X37" s="3" t="e">
        <f t="shared" si="1"/>
        <v>#N/A</v>
      </c>
      <c r="Y37" s="3" t="e">
        <f t="shared" si="1"/>
        <v>#N/A</v>
      </c>
      <c r="Z37" s="3" t="e">
        <f t="shared" si="1"/>
        <v>#N/A</v>
      </c>
      <c r="AA37" s="3" t="e">
        <f t="shared" si="1"/>
        <v>#N/A</v>
      </c>
      <c r="AB37" s="3" t="e">
        <f t="shared" si="1"/>
        <v>#N/A</v>
      </c>
      <c r="AC37" s="3" t="e">
        <f t="shared" si="1"/>
        <v>#N/A</v>
      </c>
      <c r="AD37" s="3" t="e">
        <f t="shared" si="1"/>
        <v>#N/A</v>
      </c>
      <c r="AE37" s="3" t="e">
        <f t="shared" si="1"/>
        <v>#N/A</v>
      </c>
      <c r="AF37" s="3" t="e">
        <f t="shared" si="1"/>
        <v>#N/A</v>
      </c>
      <c r="AG37" s="3" t="e">
        <f t="shared" si="1"/>
        <v>#N/A</v>
      </c>
      <c r="AH37" s="3" t="e">
        <f t="shared" si="1"/>
        <v>#N/A</v>
      </c>
      <c r="AI37" s="3" t="e">
        <f t="shared" si="1"/>
        <v>#N/A</v>
      </c>
      <c r="AJ37" s="3" t="e">
        <f t="shared" si="1"/>
        <v>#N/A</v>
      </c>
      <c r="AK37" s="3" t="e">
        <f t="shared" si="1"/>
        <v>#N/A</v>
      </c>
      <c r="AL37" s="3" t="e">
        <f t="shared" si="1"/>
        <v>#N/A</v>
      </c>
      <c r="AM37" s="3" t="e">
        <f t="shared" si="1"/>
        <v>#N/A</v>
      </c>
      <c r="AN37" s="3" t="e">
        <f t="shared" si="1"/>
        <v>#N/A</v>
      </c>
    </row>
    <row r="38" spans="2:40" x14ac:dyDescent="0.3">
      <c r="B38" t="s">
        <v>59</v>
      </c>
      <c r="D38" t="s">
        <v>229</v>
      </c>
      <c r="E38" s="3" t="e">
        <f t="shared" si="2"/>
        <v>#N/A</v>
      </c>
      <c r="F38" s="3" t="e">
        <f t="shared" si="1"/>
        <v>#N/A</v>
      </c>
      <c r="G38" s="3" t="e">
        <f t="shared" si="1"/>
        <v>#N/A</v>
      </c>
      <c r="H38" s="3" t="e">
        <f t="shared" si="1"/>
        <v>#N/A</v>
      </c>
      <c r="I38" s="3" t="e">
        <f t="shared" si="1"/>
        <v>#N/A</v>
      </c>
      <c r="J38" s="3" t="e">
        <f t="shared" si="1"/>
        <v>#N/A</v>
      </c>
      <c r="K38" s="3" t="e">
        <f t="shared" si="1"/>
        <v>#N/A</v>
      </c>
      <c r="L38" s="3" t="e">
        <f t="shared" si="1"/>
        <v>#N/A</v>
      </c>
      <c r="M38" s="3" t="e">
        <f t="shared" si="1"/>
        <v>#N/A</v>
      </c>
      <c r="N38" s="3" t="e">
        <f t="shared" si="1"/>
        <v>#N/A</v>
      </c>
      <c r="O38" s="3" t="e">
        <f t="shared" si="1"/>
        <v>#N/A</v>
      </c>
      <c r="P38" s="3" t="e">
        <f t="shared" si="1"/>
        <v>#N/A</v>
      </c>
      <c r="Q38" s="3" t="e">
        <f t="shared" si="1"/>
        <v>#N/A</v>
      </c>
      <c r="R38" s="3" t="e">
        <f t="shared" si="1"/>
        <v>#N/A</v>
      </c>
      <c r="S38" s="3" t="e">
        <f t="shared" si="1"/>
        <v>#N/A</v>
      </c>
      <c r="T38" s="3" t="e">
        <f t="shared" si="1"/>
        <v>#N/A</v>
      </c>
      <c r="U38" s="3" t="e">
        <f t="shared" si="1"/>
        <v>#N/A</v>
      </c>
      <c r="V38" s="3" t="e">
        <f t="shared" si="1"/>
        <v>#N/A</v>
      </c>
      <c r="W38" s="3" t="e">
        <f t="shared" si="1"/>
        <v>#N/A</v>
      </c>
      <c r="X38" s="3" t="e">
        <f t="shared" si="1"/>
        <v>#N/A</v>
      </c>
      <c r="Y38" s="3" t="e">
        <f t="shared" si="1"/>
        <v>#N/A</v>
      </c>
      <c r="Z38" s="3" t="e">
        <f t="shared" si="1"/>
        <v>#N/A</v>
      </c>
      <c r="AA38" s="3" t="e">
        <f t="shared" si="1"/>
        <v>#N/A</v>
      </c>
      <c r="AB38" s="3" t="e">
        <f t="shared" si="1"/>
        <v>#N/A</v>
      </c>
      <c r="AC38" s="3" t="e">
        <f t="shared" si="1"/>
        <v>#N/A</v>
      </c>
      <c r="AD38" s="3" t="e">
        <f t="shared" si="1"/>
        <v>#N/A</v>
      </c>
      <c r="AE38" s="3" t="e">
        <f t="shared" si="1"/>
        <v>#N/A</v>
      </c>
      <c r="AF38" s="3" t="e">
        <f t="shared" si="1"/>
        <v>#N/A</v>
      </c>
      <c r="AG38" s="3" t="e">
        <f t="shared" si="1"/>
        <v>#N/A</v>
      </c>
      <c r="AH38" s="3" t="e">
        <f t="shared" si="1"/>
        <v>#N/A</v>
      </c>
      <c r="AI38" s="3" t="e">
        <f t="shared" si="1"/>
        <v>#N/A</v>
      </c>
      <c r="AJ38" s="3" t="e">
        <f t="shared" si="1"/>
        <v>#N/A</v>
      </c>
      <c r="AK38" s="3" t="e">
        <f t="shared" si="1"/>
        <v>#N/A</v>
      </c>
      <c r="AL38" s="3" t="e">
        <f t="shared" si="1"/>
        <v>#N/A</v>
      </c>
      <c r="AM38" s="3" t="e">
        <f t="shared" si="1"/>
        <v>#N/A</v>
      </c>
      <c r="AN38" s="3" t="e">
        <f t="shared" si="1"/>
        <v>#N/A</v>
      </c>
    </row>
    <row r="39" spans="2:40" x14ac:dyDescent="0.3">
      <c r="B39" t="s">
        <v>60</v>
      </c>
      <c r="D39" t="s">
        <v>229</v>
      </c>
      <c r="E39" s="3" t="e">
        <f t="shared" si="2"/>
        <v>#N/A</v>
      </c>
      <c r="F39" s="3" t="e">
        <f t="shared" si="1"/>
        <v>#N/A</v>
      </c>
      <c r="G39" s="3" t="e">
        <f t="shared" si="1"/>
        <v>#N/A</v>
      </c>
      <c r="H39" s="3" t="e">
        <f t="shared" si="1"/>
        <v>#N/A</v>
      </c>
      <c r="I39" s="3" t="e">
        <f t="shared" si="1"/>
        <v>#N/A</v>
      </c>
      <c r="J39" s="3" t="e">
        <f t="shared" si="1"/>
        <v>#N/A</v>
      </c>
      <c r="K39" s="3" t="e">
        <f t="shared" si="1"/>
        <v>#N/A</v>
      </c>
      <c r="L39" s="3" t="e">
        <f t="shared" si="1"/>
        <v>#N/A</v>
      </c>
      <c r="M39" s="3" t="e">
        <f t="shared" si="1"/>
        <v>#N/A</v>
      </c>
      <c r="N39" s="3" t="e">
        <f t="shared" si="1"/>
        <v>#N/A</v>
      </c>
      <c r="O39" s="3" t="e">
        <f t="shared" si="1"/>
        <v>#N/A</v>
      </c>
      <c r="P39" s="3" t="e">
        <f t="shared" si="1"/>
        <v>#N/A</v>
      </c>
      <c r="Q39" s="3" t="e">
        <f t="shared" si="1"/>
        <v>#N/A</v>
      </c>
      <c r="R39" s="3" t="e">
        <f t="shared" si="1"/>
        <v>#N/A</v>
      </c>
      <c r="S39" s="3" t="e">
        <f t="shared" si="1"/>
        <v>#N/A</v>
      </c>
      <c r="T39" s="3" t="e">
        <f t="shared" si="1"/>
        <v>#N/A</v>
      </c>
      <c r="U39" s="3" t="e">
        <f t="shared" si="1"/>
        <v>#N/A</v>
      </c>
      <c r="V39" s="3" t="e">
        <f t="shared" si="1"/>
        <v>#N/A</v>
      </c>
      <c r="W39" s="3" t="e">
        <f t="shared" si="1"/>
        <v>#N/A</v>
      </c>
      <c r="X39" s="3" t="e">
        <f t="shared" si="1"/>
        <v>#N/A</v>
      </c>
      <c r="Y39" s="3" t="e">
        <f t="shared" si="1"/>
        <v>#N/A</v>
      </c>
      <c r="Z39" s="3" t="e">
        <f t="shared" si="1"/>
        <v>#N/A</v>
      </c>
      <c r="AA39" s="3" t="e">
        <f t="shared" si="1"/>
        <v>#N/A</v>
      </c>
      <c r="AB39" s="3" t="e">
        <f t="shared" si="1"/>
        <v>#N/A</v>
      </c>
      <c r="AC39" s="3" t="e">
        <f t="shared" si="1"/>
        <v>#N/A</v>
      </c>
      <c r="AD39" s="3" t="e">
        <f t="shared" si="1"/>
        <v>#N/A</v>
      </c>
      <c r="AE39" s="3" t="e">
        <f t="shared" si="1"/>
        <v>#N/A</v>
      </c>
      <c r="AF39" s="3" t="e">
        <f t="shared" si="1"/>
        <v>#N/A</v>
      </c>
      <c r="AG39" s="3" t="e">
        <f t="shared" si="1"/>
        <v>#N/A</v>
      </c>
      <c r="AH39" s="3" t="e">
        <f t="shared" si="1"/>
        <v>#N/A</v>
      </c>
      <c r="AI39" s="3" t="e">
        <f t="shared" si="1"/>
        <v>#N/A</v>
      </c>
      <c r="AJ39" s="3" t="e">
        <f t="shared" si="1"/>
        <v>#N/A</v>
      </c>
      <c r="AK39" s="3" t="e">
        <f t="shared" si="1"/>
        <v>#N/A</v>
      </c>
      <c r="AL39" s="3" t="e">
        <f t="shared" si="1"/>
        <v>#N/A</v>
      </c>
      <c r="AM39" s="3" t="e">
        <f t="shared" si="1"/>
        <v>#N/A</v>
      </c>
      <c r="AN39" s="3" t="e">
        <f t="shared" si="1"/>
        <v>#N/A</v>
      </c>
    </row>
    <row r="40" spans="2:40" x14ac:dyDescent="0.3">
      <c r="B40" t="s">
        <v>61</v>
      </c>
      <c r="D40" t="s">
        <v>229</v>
      </c>
      <c r="E40" s="3" t="e">
        <f t="shared" si="2"/>
        <v>#N/A</v>
      </c>
      <c r="F40" s="3" t="e">
        <f t="shared" si="1"/>
        <v>#N/A</v>
      </c>
      <c r="G40" s="3" t="e">
        <f t="shared" si="1"/>
        <v>#N/A</v>
      </c>
      <c r="H40" s="3" t="e">
        <f t="shared" si="1"/>
        <v>#N/A</v>
      </c>
      <c r="I40" s="3" t="e">
        <f t="shared" si="1"/>
        <v>#N/A</v>
      </c>
      <c r="J40" s="3" t="e">
        <f t="shared" si="1"/>
        <v>#N/A</v>
      </c>
      <c r="K40" s="3" t="e">
        <f t="shared" si="1"/>
        <v>#N/A</v>
      </c>
      <c r="L40" s="3" t="e">
        <f t="shared" si="1"/>
        <v>#N/A</v>
      </c>
      <c r="M40" s="3" t="e">
        <f t="shared" si="1"/>
        <v>#N/A</v>
      </c>
      <c r="N40" s="3" t="e">
        <f t="shared" si="1"/>
        <v>#N/A</v>
      </c>
      <c r="O40" s="3" t="e">
        <f t="shared" si="1"/>
        <v>#N/A</v>
      </c>
      <c r="P40" s="3" t="e">
        <f t="shared" si="1"/>
        <v>#N/A</v>
      </c>
      <c r="Q40" s="3" t="e">
        <f t="shared" si="1"/>
        <v>#N/A</v>
      </c>
      <c r="R40" s="3" t="e">
        <f t="shared" si="1"/>
        <v>#N/A</v>
      </c>
      <c r="S40" s="3" t="e">
        <f t="shared" si="1"/>
        <v>#N/A</v>
      </c>
      <c r="T40" s="3" t="e">
        <f t="shared" si="1"/>
        <v>#N/A</v>
      </c>
      <c r="U40" s="3" t="e">
        <f t="shared" si="1"/>
        <v>#N/A</v>
      </c>
      <c r="V40" s="3" t="e">
        <f t="shared" si="1"/>
        <v>#N/A</v>
      </c>
      <c r="W40" s="3" t="e">
        <f t="shared" si="1"/>
        <v>#N/A</v>
      </c>
      <c r="X40" s="3" t="e">
        <f t="shared" si="1"/>
        <v>#N/A</v>
      </c>
      <c r="Y40" s="3" t="e">
        <f t="shared" si="1"/>
        <v>#N/A</v>
      </c>
      <c r="Z40" s="3" t="e">
        <f t="shared" si="1"/>
        <v>#N/A</v>
      </c>
      <c r="AA40" s="3" t="e">
        <f t="shared" si="1"/>
        <v>#N/A</v>
      </c>
      <c r="AB40" s="3" t="e">
        <f t="shared" si="1"/>
        <v>#N/A</v>
      </c>
      <c r="AC40" s="3" t="e">
        <f t="shared" si="1"/>
        <v>#N/A</v>
      </c>
      <c r="AD40" s="3" t="e">
        <f t="shared" si="1"/>
        <v>#N/A</v>
      </c>
      <c r="AE40" s="3" t="e">
        <f t="shared" si="1"/>
        <v>#N/A</v>
      </c>
      <c r="AF40" s="3" t="e">
        <f t="shared" si="1"/>
        <v>#N/A</v>
      </c>
      <c r="AG40" s="3" t="e">
        <f t="shared" si="1"/>
        <v>#N/A</v>
      </c>
      <c r="AH40" s="3" t="e">
        <f t="shared" si="1"/>
        <v>#N/A</v>
      </c>
      <c r="AI40" s="3" t="e">
        <f t="shared" si="1"/>
        <v>#N/A</v>
      </c>
      <c r="AJ40" s="3" t="e">
        <f t="shared" si="1"/>
        <v>#N/A</v>
      </c>
      <c r="AK40" s="3" t="e">
        <f t="shared" si="1"/>
        <v>#N/A</v>
      </c>
      <c r="AL40" s="3" t="e">
        <f t="shared" si="1"/>
        <v>#N/A</v>
      </c>
      <c r="AM40" s="3" t="e">
        <f t="shared" si="1"/>
        <v>#N/A</v>
      </c>
      <c r="AN40" s="3" t="e">
        <f t="shared" si="1"/>
        <v>#N/A</v>
      </c>
    </row>
    <row r="41" spans="2:40" x14ac:dyDescent="0.3">
      <c r="B41" t="s">
        <v>62</v>
      </c>
      <c r="D41" t="s">
        <v>229</v>
      </c>
      <c r="E41" s="3" t="e">
        <f t="shared" si="2"/>
        <v>#N/A</v>
      </c>
      <c r="F41" s="3" t="e">
        <f t="shared" si="1"/>
        <v>#N/A</v>
      </c>
      <c r="G41" s="3" t="e">
        <f t="shared" si="1"/>
        <v>#N/A</v>
      </c>
      <c r="H41" s="3" t="e">
        <f t="shared" si="1"/>
        <v>#N/A</v>
      </c>
      <c r="I41" s="3" t="e">
        <f t="shared" si="1"/>
        <v>#N/A</v>
      </c>
      <c r="J41" s="3" t="e">
        <f t="shared" si="1"/>
        <v>#N/A</v>
      </c>
      <c r="K41" s="3" t="e">
        <f t="shared" si="1"/>
        <v>#N/A</v>
      </c>
      <c r="L41" s="3" t="e">
        <f t="shared" si="1"/>
        <v>#N/A</v>
      </c>
      <c r="M41" s="3" t="e">
        <f t="shared" si="1"/>
        <v>#N/A</v>
      </c>
      <c r="N41" s="3" t="e">
        <f t="shared" si="1"/>
        <v>#N/A</v>
      </c>
      <c r="O41" s="3" t="e">
        <f t="shared" si="1"/>
        <v>#N/A</v>
      </c>
      <c r="P41" s="3" t="e">
        <f t="shared" si="1"/>
        <v>#N/A</v>
      </c>
      <c r="Q41" s="3" t="e">
        <f t="shared" si="1"/>
        <v>#N/A</v>
      </c>
      <c r="R41" s="3" t="e">
        <f t="shared" si="1"/>
        <v>#N/A</v>
      </c>
      <c r="S41" s="3" t="e">
        <f t="shared" si="1"/>
        <v>#N/A</v>
      </c>
      <c r="T41" s="3" t="e">
        <f t="shared" si="1"/>
        <v>#N/A</v>
      </c>
      <c r="U41" s="3" t="e">
        <f t="shared" si="1"/>
        <v>#N/A</v>
      </c>
      <c r="V41" s="3" t="e">
        <f t="shared" si="1"/>
        <v>#N/A</v>
      </c>
      <c r="W41" s="3" t="e">
        <f t="shared" si="1"/>
        <v>#N/A</v>
      </c>
      <c r="X41" s="3" t="e">
        <f t="shared" si="1"/>
        <v>#N/A</v>
      </c>
      <c r="Y41" s="3" t="e">
        <f t="shared" si="1"/>
        <v>#N/A</v>
      </c>
      <c r="Z41" s="3" t="e">
        <f t="shared" si="1"/>
        <v>#N/A</v>
      </c>
      <c r="AA41" s="3" t="e">
        <f t="shared" si="1"/>
        <v>#N/A</v>
      </c>
      <c r="AB41" s="3" t="e">
        <f t="shared" si="1"/>
        <v>#N/A</v>
      </c>
      <c r="AC41" s="3" t="e">
        <f t="shared" si="1"/>
        <v>#N/A</v>
      </c>
      <c r="AD41" s="3" t="e">
        <f t="shared" si="1"/>
        <v>#N/A</v>
      </c>
      <c r="AE41" s="3" t="e">
        <f t="shared" ref="F41:AN48" si="3">AE11/$E11</f>
        <v>#N/A</v>
      </c>
      <c r="AF41" s="3" t="e">
        <f t="shared" si="3"/>
        <v>#N/A</v>
      </c>
      <c r="AG41" s="3" t="e">
        <f t="shared" si="3"/>
        <v>#N/A</v>
      </c>
      <c r="AH41" s="3" t="e">
        <f t="shared" si="3"/>
        <v>#N/A</v>
      </c>
      <c r="AI41" s="3" t="e">
        <f t="shared" si="3"/>
        <v>#N/A</v>
      </c>
      <c r="AJ41" s="3" t="e">
        <f t="shared" si="3"/>
        <v>#N/A</v>
      </c>
      <c r="AK41" s="3" t="e">
        <f t="shared" si="3"/>
        <v>#N/A</v>
      </c>
      <c r="AL41" s="3" t="e">
        <f t="shared" si="3"/>
        <v>#N/A</v>
      </c>
      <c r="AM41" s="3" t="e">
        <f t="shared" si="3"/>
        <v>#N/A</v>
      </c>
      <c r="AN41" s="3" t="e">
        <f t="shared" si="3"/>
        <v>#N/A</v>
      </c>
    </row>
    <row r="42" spans="2:40" x14ac:dyDescent="0.3">
      <c r="B42" t="s">
        <v>63</v>
      </c>
      <c r="D42" t="s">
        <v>229</v>
      </c>
      <c r="E42" s="3" t="e">
        <f t="shared" si="2"/>
        <v>#N/A</v>
      </c>
      <c r="F42" s="3" t="e">
        <f t="shared" si="3"/>
        <v>#N/A</v>
      </c>
      <c r="G42" s="3" t="e">
        <f t="shared" si="3"/>
        <v>#N/A</v>
      </c>
      <c r="H42" s="3" t="e">
        <f t="shared" si="3"/>
        <v>#N/A</v>
      </c>
      <c r="I42" s="3" t="e">
        <f t="shared" si="3"/>
        <v>#N/A</v>
      </c>
      <c r="J42" s="3" t="e">
        <f t="shared" si="3"/>
        <v>#N/A</v>
      </c>
      <c r="K42" s="3" t="e">
        <f t="shared" si="3"/>
        <v>#N/A</v>
      </c>
      <c r="L42" s="3" t="e">
        <f t="shared" si="3"/>
        <v>#N/A</v>
      </c>
      <c r="M42" s="3" t="e">
        <f t="shared" si="3"/>
        <v>#N/A</v>
      </c>
      <c r="N42" s="3" t="e">
        <f t="shared" si="3"/>
        <v>#N/A</v>
      </c>
      <c r="O42" s="3" t="e">
        <f t="shared" si="3"/>
        <v>#N/A</v>
      </c>
      <c r="P42" s="3" t="e">
        <f t="shared" si="3"/>
        <v>#N/A</v>
      </c>
      <c r="Q42" s="3" t="e">
        <f t="shared" si="3"/>
        <v>#N/A</v>
      </c>
      <c r="R42" s="3" t="e">
        <f t="shared" si="3"/>
        <v>#N/A</v>
      </c>
      <c r="S42" s="3" t="e">
        <f t="shared" si="3"/>
        <v>#N/A</v>
      </c>
      <c r="T42" s="3" t="e">
        <f t="shared" si="3"/>
        <v>#N/A</v>
      </c>
      <c r="U42" s="3" t="e">
        <f t="shared" si="3"/>
        <v>#N/A</v>
      </c>
      <c r="V42" s="3" t="e">
        <f t="shared" si="3"/>
        <v>#N/A</v>
      </c>
      <c r="W42" s="3" t="e">
        <f t="shared" si="3"/>
        <v>#N/A</v>
      </c>
      <c r="X42" s="3" t="e">
        <f t="shared" si="3"/>
        <v>#N/A</v>
      </c>
      <c r="Y42" s="3" t="e">
        <f t="shared" si="3"/>
        <v>#N/A</v>
      </c>
      <c r="Z42" s="3" t="e">
        <f t="shared" si="3"/>
        <v>#N/A</v>
      </c>
      <c r="AA42" s="3" t="e">
        <f t="shared" si="3"/>
        <v>#N/A</v>
      </c>
      <c r="AB42" s="3" t="e">
        <f t="shared" si="3"/>
        <v>#N/A</v>
      </c>
      <c r="AC42" s="3" t="e">
        <f t="shared" si="3"/>
        <v>#N/A</v>
      </c>
      <c r="AD42" s="3" t="e">
        <f t="shared" si="3"/>
        <v>#N/A</v>
      </c>
      <c r="AE42" s="3" t="e">
        <f t="shared" si="3"/>
        <v>#N/A</v>
      </c>
      <c r="AF42" s="3" t="e">
        <f t="shared" si="3"/>
        <v>#N/A</v>
      </c>
      <c r="AG42" s="3" t="e">
        <f t="shared" si="3"/>
        <v>#N/A</v>
      </c>
      <c r="AH42" s="3" t="e">
        <f t="shared" si="3"/>
        <v>#N/A</v>
      </c>
      <c r="AI42" s="3" t="e">
        <f t="shared" si="3"/>
        <v>#N/A</v>
      </c>
      <c r="AJ42" s="3" t="e">
        <f t="shared" si="3"/>
        <v>#N/A</v>
      </c>
      <c r="AK42" s="3" t="e">
        <f t="shared" si="3"/>
        <v>#N/A</v>
      </c>
      <c r="AL42" s="3" t="e">
        <f t="shared" si="3"/>
        <v>#N/A</v>
      </c>
      <c r="AM42" s="3" t="e">
        <f t="shared" si="3"/>
        <v>#N/A</v>
      </c>
      <c r="AN42" s="3" t="e">
        <f t="shared" si="3"/>
        <v>#N/A</v>
      </c>
    </row>
    <row r="43" spans="2:40" x14ac:dyDescent="0.3">
      <c r="B43" t="s">
        <v>64</v>
      </c>
      <c r="D43" t="s">
        <v>229</v>
      </c>
      <c r="E43" s="3" t="e">
        <f t="shared" si="2"/>
        <v>#N/A</v>
      </c>
      <c r="F43" s="3" t="e">
        <f t="shared" si="3"/>
        <v>#N/A</v>
      </c>
      <c r="G43" s="3" t="e">
        <f t="shared" si="3"/>
        <v>#N/A</v>
      </c>
      <c r="H43" s="3" t="e">
        <f t="shared" si="3"/>
        <v>#N/A</v>
      </c>
      <c r="I43" s="3" t="e">
        <f t="shared" si="3"/>
        <v>#N/A</v>
      </c>
      <c r="J43" s="3" t="e">
        <f t="shared" si="3"/>
        <v>#N/A</v>
      </c>
      <c r="K43" s="3" t="e">
        <f t="shared" si="3"/>
        <v>#N/A</v>
      </c>
      <c r="L43" s="3" t="e">
        <f t="shared" si="3"/>
        <v>#N/A</v>
      </c>
      <c r="M43" s="3" t="e">
        <f t="shared" si="3"/>
        <v>#N/A</v>
      </c>
      <c r="N43" s="3" t="e">
        <f t="shared" si="3"/>
        <v>#N/A</v>
      </c>
      <c r="O43" s="3" t="e">
        <f t="shared" si="3"/>
        <v>#N/A</v>
      </c>
      <c r="P43" s="3" t="e">
        <f t="shared" si="3"/>
        <v>#N/A</v>
      </c>
      <c r="Q43" s="3" t="e">
        <f t="shared" si="3"/>
        <v>#N/A</v>
      </c>
      <c r="R43" s="3" t="e">
        <f t="shared" si="3"/>
        <v>#N/A</v>
      </c>
      <c r="S43" s="3" t="e">
        <f t="shared" si="3"/>
        <v>#N/A</v>
      </c>
      <c r="T43" s="3" t="e">
        <f t="shared" si="3"/>
        <v>#N/A</v>
      </c>
      <c r="U43" s="3" t="e">
        <f t="shared" si="3"/>
        <v>#N/A</v>
      </c>
      <c r="V43" s="3" t="e">
        <f t="shared" si="3"/>
        <v>#N/A</v>
      </c>
      <c r="W43" s="3" t="e">
        <f t="shared" si="3"/>
        <v>#N/A</v>
      </c>
      <c r="X43" s="3" t="e">
        <f t="shared" si="3"/>
        <v>#N/A</v>
      </c>
      <c r="Y43" s="3" t="e">
        <f t="shared" si="3"/>
        <v>#N/A</v>
      </c>
      <c r="Z43" s="3" t="e">
        <f t="shared" si="3"/>
        <v>#N/A</v>
      </c>
      <c r="AA43" s="3" t="e">
        <f t="shared" si="3"/>
        <v>#N/A</v>
      </c>
      <c r="AB43" s="3" t="e">
        <f t="shared" si="3"/>
        <v>#N/A</v>
      </c>
      <c r="AC43" s="3" t="e">
        <f t="shared" si="3"/>
        <v>#N/A</v>
      </c>
      <c r="AD43" s="3" t="e">
        <f t="shared" si="3"/>
        <v>#N/A</v>
      </c>
      <c r="AE43" s="3" t="e">
        <f t="shared" si="3"/>
        <v>#N/A</v>
      </c>
      <c r="AF43" s="3" t="e">
        <f t="shared" si="3"/>
        <v>#N/A</v>
      </c>
      <c r="AG43" s="3" t="e">
        <f t="shared" si="3"/>
        <v>#N/A</v>
      </c>
      <c r="AH43" s="3" t="e">
        <f t="shared" si="3"/>
        <v>#N/A</v>
      </c>
      <c r="AI43" s="3" t="e">
        <f t="shared" si="3"/>
        <v>#N/A</v>
      </c>
      <c r="AJ43" s="3" t="e">
        <f t="shared" si="3"/>
        <v>#N/A</v>
      </c>
      <c r="AK43" s="3" t="e">
        <f t="shared" si="3"/>
        <v>#N/A</v>
      </c>
      <c r="AL43" s="3" t="e">
        <f t="shared" si="3"/>
        <v>#N/A</v>
      </c>
      <c r="AM43" s="3" t="e">
        <f t="shared" si="3"/>
        <v>#N/A</v>
      </c>
      <c r="AN43" s="3" t="e">
        <f t="shared" si="3"/>
        <v>#N/A</v>
      </c>
    </row>
    <row r="44" spans="2:40" x14ac:dyDescent="0.3">
      <c r="B44" t="s">
        <v>65</v>
      </c>
      <c r="D44" t="s">
        <v>229</v>
      </c>
      <c r="E44" s="3" t="e">
        <f t="shared" si="2"/>
        <v>#N/A</v>
      </c>
      <c r="F44" s="3" t="e">
        <f t="shared" si="3"/>
        <v>#N/A</v>
      </c>
      <c r="G44" s="3" t="e">
        <f t="shared" si="3"/>
        <v>#N/A</v>
      </c>
      <c r="H44" s="3" t="e">
        <f t="shared" si="3"/>
        <v>#N/A</v>
      </c>
      <c r="I44" s="3" t="e">
        <f t="shared" si="3"/>
        <v>#N/A</v>
      </c>
      <c r="J44" s="3" t="e">
        <f t="shared" si="3"/>
        <v>#N/A</v>
      </c>
      <c r="K44" s="3" t="e">
        <f t="shared" si="3"/>
        <v>#N/A</v>
      </c>
      <c r="L44" s="3" t="e">
        <f t="shared" si="3"/>
        <v>#N/A</v>
      </c>
      <c r="M44" s="3" t="e">
        <f t="shared" si="3"/>
        <v>#N/A</v>
      </c>
      <c r="N44" s="3" t="e">
        <f t="shared" si="3"/>
        <v>#N/A</v>
      </c>
      <c r="O44" s="3" t="e">
        <f t="shared" si="3"/>
        <v>#N/A</v>
      </c>
      <c r="P44" s="3" t="e">
        <f t="shared" si="3"/>
        <v>#N/A</v>
      </c>
      <c r="Q44" s="3" t="e">
        <f t="shared" si="3"/>
        <v>#N/A</v>
      </c>
      <c r="R44" s="3" t="e">
        <f t="shared" si="3"/>
        <v>#N/A</v>
      </c>
      <c r="S44" s="3" t="e">
        <f t="shared" si="3"/>
        <v>#N/A</v>
      </c>
      <c r="T44" s="3" t="e">
        <f t="shared" si="3"/>
        <v>#N/A</v>
      </c>
      <c r="U44" s="3" t="e">
        <f t="shared" si="3"/>
        <v>#N/A</v>
      </c>
      <c r="V44" s="3" t="e">
        <f t="shared" si="3"/>
        <v>#N/A</v>
      </c>
      <c r="W44" s="3" t="e">
        <f t="shared" si="3"/>
        <v>#N/A</v>
      </c>
      <c r="X44" s="3" t="e">
        <f t="shared" si="3"/>
        <v>#N/A</v>
      </c>
      <c r="Y44" s="3" t="e">
        <f t="shared" si="3"/>
        <v>#N/A</v>
      </c>
      <c r="Z44" s="3" t="e">
        <f t="shared" si="3"/>
        <v>#N/A</v>
      </c>
      <c r="AA44" s="3" t="e">
        <f t="shared" si="3"/>
        <v>#N/A</v>
      </c>
      <c r="AB44" s="3" t="e">
        <f t="shared" si="3"/>
        <v>#N/A</v>
      </c>
      <c r="AC44" s="3" t="e">
        <f t="shared" si="3"/>
        <v>#N/A</v>
      </c>
      <c r="AD44" s="3" t="e">
        <f t="shared" si="3"/>
        <v>#N/A</v>
      </c>
      <c r="AE44" s="3" t="e">
        <f t="shared" si="3"/>
        <v>#N/A</v>
      </c>
      <c r="AF44" s="3" t="e">
        <f t="shared" si="3"/>
        <v>#N/A</v>
      </c>
      <c r="AG44" s="3" t="e">
        <f t="shared" si="3"/>
        <v>#N/A</v>
      </c>
      <c r="AH44" s="3" t="e">
        <f t="shared" si="3"/>
        <v>#N/A</v>
      </c>
      <c r="AI44" s="3" t="e">
        <f t="shared" si="3"/>
        <v>#N/A</v>
      </c>
      <c r="AJ44" s="3" t="e">
        <f t="shared" si="3"/>
        <v>#N/A</v>
      </c>
      <c r="AK44" s="3" t="e">
        <f t="shared" si="3"/>
        <v>#N/A</v>
      </c>
      <c r="AL44" s="3" t="e">
        <f t="shared" si="3"/>
        <v>#N/A</v>
      </c>
      <c r="AM44" s="3" t="e">
        <f t="shared" si="3"/>
        <v>#N/A</v>
      </c>
      <c r="AN44" s="3" t="e">
        <f t="shared" si="3"/>
        <v>#N/A</v>
      </c>
    </row>
    <row r="45" spans="2:40" x14ac:dyDescent="0.3">
      <c r="B45" t="s">
        <v>66</v>
      </c>
      <c r="D45" t="s">
        <v>229</v>
      </c>
      <c r="E45" s="3" t="e">
        <f t="shared" si="2"/>
        <v>#N/A</v>
      </c>
      <c r="F45" s="3" t="e">
        <f t="shared" si="3"/>
        <v>#N/A</v>
      </c>
      <c r="G45" s="3" t="e">
        <f t="shared" si="3"/>
        <v>#N/A</v>
      </c>
      <c r="H45" s="3" t="e">
        <f t="shared" si="3"/>
        <v>#N/A</v>
      </c>
      <c r="I45" s="3" t="e">
        <f t="shared" si="3"/>
        <v>#N/A</v>
      </c>
      <c r="J45" s="3" t="e">
        <f t="shared" si="3"/>
        <v>#N/A</v>
      </c>
      <c r="K45" s="3" t="e">
        <f t="shared" si="3"/>
        <v>#N/A</v>
      </c>
      <c r="L45" s="3" t="e">
        <f t="shared" si="3"/>
        <v>#N/A</v>
      </c>
      <c r="M45" s="3" t="e">
        <f t="shared" si="3"/>
        <v>#N/A</v>
      </c>
      <c r="N45" s="3" t="e">
        <f t="shared" si="3"/>
        <v>#N/A</v>
      </c>
      <c r="O45" s="3" t="e">
        <f t="shared" si="3"/>
        <v>#N/A</v>
      </c>
      <c r="P45" s="3" t="e">
        <f t="shared" si="3"/>
        <v>#N/A</v>
      </c>
      <c r="Q45" s="3" t="e">
        <f t="shared" si="3"/>
        <v>#N/A</v>
      </c>
      <c r="R45" s="3" t="e">
        <f t="shared" si="3"/>
        <v>#N/A</v>
      </c>
      <c r="S45" s="3" t="e">
        <f t="shared" si="3"/>
        <v>#N/A</v>
      </c>
      <c r="T45" s="3" t="e">
        <f t="shared" si="3"/>
        <v>#N/A</v>
      </c>
      <c r="U45" s="3" t="e">
        <f t="shared" si="3"/>
        <v>#N/A</v>
      </c>
      <c r="V45" s="3" t="e">
        <f t="shared" si="3"/>
        <v>#N/A</v>
      </c>
      <c r="W45" s="3" t="e">
        <f t="shared" si="3"/>
        <v>#N/A</v>
      </c>
      <c r="X45" s="3" t="e">
        <f t="shared" si="3"/>
        <v>#N/A</v>
      </c>
      <c r="Y45" s="3" t="e">
        <f t="shared" si="3"/>
        <v>#N/A</v>
      </c>
      <c r="Z45" s="3" t="e">
        <f t="shared" si="3"/>
        <v>#N/A</v>
      </c>
      <c r="AA45" s="3" t="e">
        <f t="shared" si="3"/>
        <v>#N/A</v>
      </c>
      <c r="AB45" s="3" t="e">
        <f t="shared" si="3"/>
        <v>#N/A</v>
      </c>
      <c r="AC45" s="3" t="e">
        <f t="shared" si="3"/>
        <v>#N/A</v>
      </c>
      <c r="AD45" s="3" t="e">
        <f t="shared" si="3"/>
        <v>#N/A</v>
      </c>
      <c r="AE45" s="3" t="e">
        <f t="shared" si="3"/>
        <v>#N/A</v>
      </c>
      <c r="AF45" s="3" t="e">
        <f t="shared" si="3"/>
        <v>#N/A</v>
      </c>
      <c r="AG45" s="3" t="e">
        <f t="shared" si="3"/>
        <v>#N/A</v>
      </c>
      <c r="AH45" s="3" t="e">
        <f t="shared" si="3"/>
        <v>#N/A</v>
      </c>
      <c r="AI45" s="3" t="e">
        <f t="shared" si="3"/>
        <v>#N/A</v>
      </c>
      <c r="AJ45" s="3" t="e">
        <f t="shared" si="3"/>
        <v>#N/A</v>
      </c>
      <c r="AK45" s="3" t="e">
        <f t="shared" si="3"/>
        <v>#N/A</v>
      </c>
      <c r="AL45" s="3" t="e">
        <f t="shared" si="3"/>
        <v>#N/A</v>
      </c>
      <c r="AM45" s="3" t="e">
        <f t="shared" si="3"/>
        <v>#N/A</v>
      </c>
      <c r="AN45" s="3" t="e">
        <f t="shared" si="3"/>
        <v>#N/A</v>
      </c>
    </row>
    <row r="46" spans="2:40" x14ac:dyDescent="0.3">
      <c r="B46" t="s">
        <v>67</v>
      </c>
      <c r="D46" t="s">
        <v>229</v>
      </c>
      <c r="E46" s="3" t="e">
        <f t="shared" si="2"/>
        <v>#N/A</v>
      </c>
      <c r="F46" s="3" t="e">
        <f t="shared" si="3"/>
        <v>#N/A</v>
      </c>
      <c r="G46" s="3" t="e">
        <f t="shared" si="3"/>
        <v>#N/A</v>
      </c>
      <c r="H46" s="3" t="e">
        <f t="shared" si="3"/>
        <v>#N/A</v>
      </c>
      <c r="I46" s="3" t="e">
        <f t="shared" si="3"/>
        <v>#N/A</v>
      </c>
      <c r="J46" s="3" t="e">
        <f t="shared" si="3"/>
        <v>#N/A</v>
      </c>
      <c r="K46" s="3" t="e">
        <f t="shared" si="3"/>
        <v>#N/A</v>
      </c>
      <c r="L46" s="3" t="e">
        <f t="shared" si="3"/>
        <v>#N/A</v>
      </c>
      <c r="M46" s="3" t="e">
        <f t="shared" si="3"/>
        <v>#N/A</v>
      </c>
      <c r="N46" s="3" t="e">
        <f t="shared" si="3"/>
        <v>#N/A</v>
      </c>
      <c r="O46" s="3" t="e">
        <f t="shared" si="3"/>
        <v>#N/A</v>
      </c>
      <c r="P46" s="3" t="e">
        <f t="shared" si="3"/>
        <v>#N/A</v>
      </c>
      <c r="Q46" s="3" t="e">
        <f t="shared" si="3"/>
        <v>#N/A</v>
      </c>
      <c r="R46" s="3" t="e">
        <f t="shared" si="3"/>
        <v>#N/A</v>
      </c>
      <c r="S46" s="3" t="e">
        <f t="shared" si="3"/>
        <v>#N/A</v>
      </c>
      <c r="T46" s="3" t="e">
        <f t="shared" si="3"/>
        <v>#N/A</v>
      </c>
      <c r="U46" s="3" t="e">
        <f t="shared" si="3"/>
        <v>#N/A</v>
      </c>
      <c r="V46" s="3" t="e">
        <f t="shared" si="3"/>
        <v>#N/A</v>
      </c>
      <c r="W46" s="3" t="e">
        <f t="shared" si="3"/>
        <v>#N/A</v>
      </c>
      <c r="X46" s="3" t="e">
        <f t="shared" si="3"/>
        <v>#N/A</v>
      </c>
      <c r="Y46" s="3" t="e">
        <f t="shared" si="3"/>
        <v>#N/A</v>
      </c>
      <c r="Z46" s="3" t="e">
        <f t="shared" si="3"/>
        <v>#N/A</v>
      </c>
      <c r="AA46" s="3" t="e">
        <f t="shared" si="3"/>
        <v>#N/A</v>
      </c>
      <c r="AB46" s="3" t="e">
        <f t="shared" si="3"/>
        <v>#N/A</v>
      </c>
      <c r="AC46" s="3" t="e">
        <f t="shared" si="3"/>
        <v>#N/A</v>
      </c>
      <c r="AD46" s="3" t="e">
        <f t="shared" si="3"/>
        <v>#N/A</v>
      </c>
      <c r="AE46" s="3" t="e">
        <f t="shared" si="3"/>
        <v>#N/A</v>
      </c>
      <c r="AF46" s="3" t="e">
        <f t="shared" si="3"/>
        <v>#N/A</v>
      </c>
      <c r="AG46" s="3" t="e">
        <f t="shared" si="3"/>
        <v>#N/A</v>
      </c>
      <c r="AH46" s="3" t="e">
        <f t="shared" si="3"/>
        <v>#N/A</v>
      </c>
      <c r="AI46" s="3" t="e">
        <f t="shared" si="3"/>
        <v>#N/A</v>
      </c>
      <c r="AJ46" s="3" t="e">
        <f t="shared" si="3"/>
        <v>#N/A</v>
      </c>
      <c r="AK46" s="3" t="e">
        <f t="shared" si="3"/>
        <v>#N/A</v>
      </c>
      <c r="AL46" s="3" t="e">
        <f t="shared" si="3"/>
        <v>#N/A</v>
      </c>
      <c r="AM46" s="3" t="e">
        <f t="shared" si="3"/>
        <v>#N/A</v>
      </c>
      <c r="AN46" s="3" t="e">
        <f t="shared" si="3"/>
        <v>#N/A</v>
      </c>
    </row>
    <row r="47" spans="2:40" x14ac:dyDescent="0.3">
      <c r="B47" t="s">
        <v>68</v>
      </c>
      <c r="D47" t="s">
        <v>229</v>
      </c>
      <c r="E47" s="3" t="e">
        <f t="shared" si="2"/>
        <v>#N/A</v>
      </c>
      <c r="F47" s="3" t="e">
        <f t="shared" si="3"/>
        <v>#N/A</v>
      </c>
      <c r="G47" s="3" t="e">
        <f t="shared" si="3"/>
        <v>#N/A</v>
      </c>
      <c r="H47" s="3" t="e">
        <f t="shared" si="3"/>
        <v>#N/A</v>
      </c>
      <c r="I47" s="3" t="e">
        <f t="shared" si="3"/>
        <v>#N/A</v>
      </c>
      <c r="J47" s="3" t="e">
        <f t="shared" si="3"/>
        <v>#N/A</v>
      </c>
      <c r="K47" s="3" t="e">
        <f t="shared" si="3"/>
        <v>#N/A</v>
      </c>
      <c r="L47" s="3" t="e">
        <f t="shared" si="3"/>
        <v>#N/A</v>
      </c>
      <c r="M47" s="3" t="e">
        <f t="shared" si="3"/>
        <v>#N/A</v>
      </c>
      <c r="N47" s="3" t="e">
        <f t="shared" si="3"/>
        <v>#N/A</v>
      </c>
      <c r="O47" s="3" t="e">
        <f t="shared" si="3"/>
        <v>#N/A</v>
      </c>
      <c r="P47" s="3" t="e">
        <f t="shared" si="3"/>
        <v>#N/A</v>
      </c>
      <c r="Q47" s="3" t="e">
        <f t="shared" si="3"/>
        <v>#N/A</v>
      </c>
      <c r="R47" s="3" t="e">
        <f t="shared" si="3"/>
        <v>#N/A</v>
      </c>
      <c r="S47" s="3" t="e">
        <f t="shared" si="3"/>
        <v>#N/A</v>
      </c>
      <c r="T47" s="3" t="e">
        <f t="shared" si="3"/>
        <v>#N/A</v>
      </c>
      <c r="U47" s="3" t="e">
        <f t="shared" si="3"/>
        <v>#N/A</v>
      </c>
      <c r="V47" s="3" t="e">
        <f t="shared" si="3"/>
        <v>#N/A</v>
      </c>
      <c r="W47" s="3" t="e">
        <f t="shared" si="3"/>
        <v>#N/A</v>
      </c>
      <c r="X47" s="3" t="e">
        <f t="shared" si="3"/>
        <v>#N/A</v>
      </c>
      <c r="Y47" s="3" t="e">
        <f t="shared" si="3"/>
        <v>#N/A</v>
      </c>
      <c r="Z47" s="3" t="e">
        <f t="shared" si="3"/>
        <v>#N/A</v>
      </c>
      <c r="AA47" s="3" t="e">
        <f t="shared" si="3"/>
        <v>#N/A</v>
      </c>
      <c r="AB47" s="3" t="e">
        <f t="shared" si="3"/>
        <v>#N/A</v>
      </c>
      <c r="AC47" s="3" t="e">
        <f t="shared" si="3"/>
        <v>#N/A</v>
      </c>
      <c r="AD47" s="3" t="e">
        <f t="shared" si="3"/>
        <v>#N/A</v>
      </c>
      <c r="AE47" s="3" t="e">
        <f t="shared" si="3"/>
        <v>#N/A</v>
      </c>
      <c r="AF47" s="3" t="e">
        <f t="shared" si="3"/>
        <v>#N/A</v>
      </c>
      <c r="AG47" s="3" t="e">
        <f t="shared" si="3"/>
        <v>#N/A</v>
      </c>
      <c r="AH47" s="3" t="e">
        <f t="shared" si="3"/>
        <v>#N/A</v>
      </c>
      <c r="AI47" s="3" t="e">
        <f t="shared" si="3"/>
        <v>#N/A</v>
      </c>
      <c r="AJ47" s="3" t="e">
        <f t="shared" si="3"/>
        <v>#N/A</v>
      </c>
      <c r="AK47" s="3" t="e">
        <f t="shared" si="3"/>
        <v>#N/A</v>
      </c>
      <c r="AL47" s="3" t="e">
        <f t="shared" si="3"/>
        <v>#N/A</v>
      </c>
      <c r="AM47" s="3" t="e">
        <f t="shared" si="3"/>
        <v>#N/A</v>
      </c>
      <c r="AN47" s="3" t="e">
        <f t="shared" si="3"/>
        <v>#N/A</v>
      </c>
    </row>
    <row r="48" spans="2:40" x14ac:dyDescent="0.3">
      <c r="B48" t="s">
        <v>69</v>
      </c>
      <c r="D48" t="s">
        <v>229</v>
      </c>
      <c r="E48" s="3" t="e">
        <f t="shared" si="2"/>
        <v>#N/A</v>
      </c>
      <c r="F48" s="3" t="e">
        <f t="shared" si="3"/>
        <v>#N/A</v>
      </c>
      <c r="G48" s="3" t="e">
        <f t="shared" si="3"/>
        <v>#N/A</v>
      </c>
      <c r="H48" s="3" t="e">
        <f t="shared" si="3"/>
        <v>#N/A</v>
      </c>
      <c r="I48" s="3" t="e">
        <f t="shared" si="3"/>
        <v>#N/A</v>
      </c>
      <c r="J48" s="3" t="e">
        <f t="shared" si="3"/>
        <v>#N/A</v>
      </c>
      <c r="K48" s="3" t="e">
        <f t="shared" si="3"/>
        <v>#N/A</v>
      </c>
      <c r="L48" s="3" t="e">
        <f t="shared" si="3"/>
        <v>#N/A</v>
      </c>
      <c r="M48" s="3" t="e">
        <f t="shared" si="3"/>
        <v>#N/A</v>
      </c>
      <c r="N48" s="3" t="e">
        <f t="shared" si="3"/>
        <v>#N/A</v>
      </c>
      <c r="O48" s="3" t="e">
        <f t="shared" si="3"/>
        <v>#N/A</v>
      </c>
      <c r="P48" s="3" t="e">
        <f t="shared" si="3"/>
        <v>#N/A</v>
      </c>
      <c r="Q48" s="3" t="e">
        <f t="shared" si="3"/>
        <v>#N/A</v>
      </c>
      <c r="R48" s="3" t="e">
        <f t="shared" si="3"/>
        <v>#N/A</v>
      </c>
      <c r="S48" s="3" t="e">
        <f t="shared" si="3"/>
        <v>#N/A</v>
      </c>
      <c r="T48" s="3" t="e">
        <f t="shared" si="3"/>
        <v>#N/A</v>
      </c>
      <c r="U48" s="3" t="e">
        <f t="shared" si="3"/>
        <v>#N/A</v>
      </c>
      <c r="V48" s="3" t="e">
        <f t="shared" si="3"/>
        <v>#N/A</v>
      </c>
      <c r="W48" s="3" t="e">
        <f t="shared" si="3"/>
        <v>#N/A</v>
      </c>
      <c r="X48" s="3" t="e">
        <f t="shared" si="3"/>
        <v>#N/A</v>
      </c>
      <c r="Y48" s="3" t="e">
        <f t="shared" si="3"/>
        <v>#N/A</v>
      </c>
      <c r="Z48" s="3" t="e">
        <f t="shared" si="3"/>
        <v>#N/A</v>
      </c>
      <c r="AA48" s="3" t="e">
        <f t="shared" si="3"/>
        <v>#N/A</v>
      </c>
      <c r="AB48" s="3" t="e">
        <f t="shared" si="3"/>
        <v>#N/A</v>
      </c>
      <c r="AC48" s="3" t="e">
        <f t="shared" si="3"/>
        <v>#N/A</v>
      </c>
      <c r="AD48" s="3" t="e">
        <f t="shared" si="3"/>
        <v>#N/A</v>
      </c>
      <c r="AE48" s="3" t="e">
        <f t="shared" si="3"/>
        <v>#N/A</v>
      </c>
      <c r="AF48" s="3" t="e">
        <f t="shared" si="3"/>
        <v>#N/A</v>
      </c>
      <c r="AG48" s="3" t="e">
        <f t="shared" si="3"/>
        <v>#N/A</v>
      </c>
      <c r="AH48" s="3" t="e">
        <f t="shared" si="3"/>
        <v>#N/A</v>
      </c>
      <c r="AI48" s="3" t="e">
        <f t="shared" si="3"/>
        <v>#N/A</v>
      </c>
      <c r="AJ48" s="3" t="e">
        <f t="shared" si="3"/>
        <v>#N/A</v>
      </c>
      <c r="AK48" s="3" t="e">
        <f t="shared" si="3"/>
        <v>#N/A</v>
      </c>
      <c r="AL48" s="3" t="e">
        <f t="shared" si="3"/>
        <v>#N/A</v>
      </c>
      <c r="AM48" s="3" t="e">
        <f t="shared" si="3"/>
        <v>#N/A</v>
      </c>
      <c r="AN48" s="3" t="e">
        <f t="shared" si="3"/>
        <v>#N/A</v>
      </c>
    </row>
    <row r="49" spans="2:42" x14ac:dyDescent="0.3">
      <c r="B49" t="s">
        <v>70</v>
      </c>
      <c r="D49" t="s">
        <v>229</v>
      </c>
      <c r="E49" s="3" t="e">
        <f t="shared" si="2"/>
        <v>#N/A</v>
      </c>
      <c r="F49" s="3" t="e">
        <f t="shared" si="2"/>
        <v>#N/A</v>
      </c>
      <c r="G49" s="3" t="e">
        <f t="shared" si="2"/>
        <v>#N/A</v>
      </c>
      <c r="H49" s="3" t="e">
        <f t="shared" si="2"/>
        <v>#N/A</v>
      </c>
      <c r="I49" s="3" t="e">
        <f t="shared" si="2"/>
        <v>#N/A</v>
      </c>
      <c r="J49" s="3" t="e">
        <f t="shared" si="2"/>
        <v>#N/A</v>
      </c>
      <c r="K49" s="3" t="e">
        <f t="shared" si="2"/>
        <v>#N/A</v>
      </c>
      <c r="L49" s="3" t="e">
        <f t="shared" si="2"/>
        <v>#N/A</v>
      </c>
      <c r="M49" s="3" t="e">
        <f t="shared" si="2"/>
        <v>#N/A</v>
      </c>
      <c r="N49" s="3" t="e">
        <f t="shared" si="2"/>
        <v>#N/A</v>
      </c>
      <c r="O49" s="3" t="e">
        <f t="shared" si="2"/>
        <v>#N/A</v>
      </c>
      <c r="P49" s="3" t="e">
        <f t="shared" si="2"/>
        <v>#N/A</v>
      </c>
      <c r="Q49" s="3" t="e">
        <f t="shared" si="2"/>
        <v>#N/A</v>
      </c>
      <c r="R49" s="3" t="e">
        <f t="shared" si="2"/>
        <v>#N/A</v>
      </c>
      <c r="S49" s="3" t="e">
        <f t="shared" si="2"/>
        <v>#N/A</v>
      </c>
      <c r="T49" s="3" t="e">
        <f t="shared" si="2"/>
        <v>#N/A</v>
      </c>
      <c r="U49" s="3" t="e">
        <f t="shared" ref="F49:AN56" si="4">U19/$E19</f>
        <v>#N/A</v>
      </c>
      <c r="V49" s="3" t="e">
        <f t="shared" si="4"/>
        <v>#N/A</v>
      </c>
      <c r="W49" s="3" t="e">
        <f t="shared" si="4"/>
        <v>#N/A</v>
      </c>
      <c r="X49" s="3" t="e">
        <f t="shared" si="4"/>
        <v>#N/A</v>
      </c>
      <c r="Y49" s="3" t="e">
        <f t="shared" si="4"/>
        <v>#N/A</v>
      </c>
      <c r="Z49" s="3" t="e">
        <f t="shared" si="4"/>
        <v>#N/A</v>
      </c>
      <c r="AA49" s="3" t="e">
        <f t="shared" si="4"/>
        <v>#N/A</v>
      </c>
      <c r="AB49" s="3" t="e">
        <f t="shared" si="4"/>
        <v>#N/A</v>
      </c>
      <c r="AC49" s="3" t="e">
        <f t="shared" si="4"/>
        <v>#N/A</v>
      </c>
      <c r="AD49" s="3" t="e">
        <f t="shared" si="4"/>
        <v>#N/A</v>
      </c>
      <c r="AE49" s="3" t="e">
        <f t="shared" si="4"/>
        <v>#N/A</v>
      </c>
      <c r="AF49" s="3" t="e">
        <f t="shared" si="4"/>
        <v>#N/A</v>
      </c>
      <c r="AG49" s="3" t="e">
        <f t="shared" si="4"/>
        <v>#N/A</v>
      </c>
      <c r="AH49" s="3" t="e">
        <f t="shared" si="4"/>
        <v>#N/A</v>
      </c>
      <c r="AI49" s="3" t="e">
        <f t="shared" si="4"/>
        <v>#N/A</v>
      </c>
      <c r="AJ49" s="3" t="e">
        <f t="shared" si="4"/>
        <v>#N/A</v>
      </c>
      <c r="AK49" s="3" t="e">
        <f t="shared" si="4"/>
        <v>#N/A</v>
      </c>
      <c r="AL49" s="3" t="e">
        <f t="shared" si="4"/>
        <v>#N/A</v>
      </c>
      <c r="AM49" s="3" t="e">
        <f t="shared" si="4"/>
        <v>#N/A</v>
      </c>
      <c r="AN49" s="3" t="e">
        <f t="shared" si="4"/>
        <v>#N/A</v>
      </c>
    </row>
    <row r="50" spans="2:42" x14ac:dyDescent="0.3">
      <c r="B50" t="s">
        <v>71</v>
      </c>
      <c r="D50" t="s">
        <v>229</v>
      </c>
      <c r="E50" s="3" t="e">
        <f t="shared" si="2"/>
        <v>#N/A</v>
      </c>
      <c r="F50" s="3" t="e">
        <f t="shared" si="4"/>
        <v>#N/A</v>
      </c>
      <c r="G50" s="3" t="e">
        <f t="shared" si="4"/>
        <v>#N/A</v>
      </c>
      <c r="H50" s="3" t="e">
        <f t="shared" si="4"/>
        <v>#N/A</v>
      </c>
      <c r="I50" s="3" t="e">
        <f t="shared" si="4"/>
        <v>#N/A</v>
      </c>
      <c r="J50" s="3" t="e">
        <f t="shared" si="4"/>
        <v>#N/A</v>
      </c>
      <c r="K50" s="3" t="e">
        <f t="shared" si="4"/>
        <v>#N/A</v>
      </c>
      <c r="L50" s="3" t="e">
        <f t="shared" si="4"/>
        <v>#N/A</v>
      </c>
      <c r="M50" s="3" t="e">
        <f t="shared" si="4"/>
        <v>#N/A</v>
      </c>
      <c r="N50" s="3" t="e">
        <f t="shared" si="4"/>
        <v>#N/A</v>
      </c>
      <c r="O50" s="3" t="e">
        <f t="shared" si="4"/>
        <v>#N/A</v>
      </c>
      <c r="P50" s="3" t="e">
        <f t="shared" si="4"/>
        <v>#N/A</v>
      </c>
      <c r="Q50" s="3" t="e">
        <f t="shared" si="4"/>
        <v>#N/A</v>
      </c>
      <c r="R50" s="3" t="e">
        <f t="shared" si="4"/>
        <v>#N/A</v>
      </c>
      <c r="S50" s="3" t="e">
        <f t="shared" si="4"/>
        <v>#N/A</v>
      </c>
      <c r="T50" s="3" t="e">
        <f t="shared" si="4"/>
        <v>#N/A</v>
      </c>
      <c r="U50" s="3" t="e">
        <f t="shared" si="4"/>
        <v>#N/A</v>
      </c>
      <c r="V50" s="3" t="e">
        <f t="shared" si="4"/>
        <v>#N/A</v>
      </c>
      <c r="W50" s="3" t="e">
        <f t="shared" si="4"/>
        <v>#N/A</v>
      </c>
      <c r="X50" s="3" t="e">
        <f t="shared" si="4"/>
        <v>#N/A</v>
      </c>
      <c r="Y50" s="3" t="e">
        <f t="shared" si="4"/>
        <v>#N/A</v>
      </c>
      <c r="Z50" s="3" t="e">
        <f t="shared" si="4"/>
        <v>#N/A</v>
      </c>
      <c r="AA50" s="3" t="e">
        <f t="shared" si="4"/>
        <v>#N/A</v>
      </c>
      <c r="AB50" s="3" t="e">
        <f t="shared" si="4"/>
        <v>#N/A</v>
      </c>
      <c r="AC50" s="3" t="e">
        <f t="shared" si="4"/>
        <v>#N/A</v>
      </c>
      <c r="AD50" s="3" t="e">
        <f t="shared" si="4"/>
        <v>#N/A</v>
      </c>
      <c r="AE50" s="3" t="e">
        <f t="shared" si="4"/>
        <v>#N/A</v>
      </c>
      <c r="AF50" s="3" t="e">
        <f t="shared" si="4"/>
        <v>#N/A</v>
      </c>
      <c r="AG50" s="3" t="e">
        <f t="shared" si="4"/>
        <v>#N/A</v>
      </c>
      <c r="AH50" s="3" t="e">
        <f t="shared" si="4"/>
        <v>#N/A</v>
      </c>
      <c r="AI50" s="3" t="e">
        <f t="shared" si="4"/>
        <v>#N/A</v>
      </c>
      <c r="AJ50" s="3" t="e">
        <f t="shared" si="4"/>
        <v>#N/A</v>
      </c>
      <c r="AK50" s="3" t="e">
        <f t="shared" si="4"/>
        <v>#N/A</v>
      </c>
      <c r="AL50" s="3" t="e">
        <f t="shared" si="4"/>
        <v>#N/A</v>
      </c>
      <c r="AM50" s="3" t="e">
        <f t="shared" si="4"/>
        <v>#N/A</v>
      </c>
      <c r="AN50" s="3" t="e">
        <f t="shared" si="4"/>
        <v>#N/A</v>
      </c>
    </row>
    <row r="51" spans="2:42" x14ac:dyDescent="0.3">
      <c r="B51" t="s">
        <v>72</v>
      </c>
      <c r="D51" t="s">
        <v>229</v>
      </c>
      <c r="E51" s="3" t="e">
        <f t="shared" ref="E51:E60" si="5">E21/$E21</f>
        <v>#N/A</v>
      </c>
      <c r="F51" s="3" t="e">
        <f t="shared" si="4"/>
        <v>#N/A</v>
      </c>
      <c r="G51" s="3" t="e">
        <f t="shared" si="4"/>
        <v>#N/A</v>
      </c>
      <c r="H51" s="3" t="e">
        <f t="shared" si="4"/>
        <v>#N/A</v>
      </c>
      <c r="I51" s="3" t="e">
        <f t="shared" si="4"/>
        <v>#N/A</v>
      </c>
      <c r="J51" s="3" t="e">
        <f t="shared" si="4"/>
        <v>#N/A</v>
      </c>
      <c r="K51" s="3" t="e">
        <f t="shared" si="4"/>
        <v>#N/A</v>
      </c>
      <c r="L51" s="3" t="e">
        <f t="shared" si="4"/>
        <v>#N/A</v>
      </c>
      <c r="M51" s="3" t="e">
        <f t="shared" si="4"/>
        <v>#N/A</v>
      </c>
      <c r="N51" s="3" t="e">
        <f t="shared" si="4"/>
        <v>#N/A</v>
      </c>
      <c r="O51" s="3" t="e">
        <f t="shared" si="4"/>
        <v>#N/A</v>
      </c>
      <c r="P51" s="3" t="e">
        <f t="shared" si="4"/>
        <v>#N/A</v>
      </c>
      <c r="Q51" s="3" t="e">
        <f t="shared" si="4"/>
        <v>#N/A</v>
      </c>
      <c r="R51" s="3" t="e">
        <f t="shared" si="4"/>
        <v>#N/A</v>
      </c>
      <c r="S51" s="3" t="e">
        <f t="shared" si="4"/>
        <v>#N/A</v>
      </c>
      <c r="T51" s="3" t="e">
        <f t="shared" si="4"/>
        <v>#N/A</v>
      </c>
      <c r="U51" s="3" t="e">
        <f t="shared" si="4"/>
        <v>#N/A</v>
      </c>
      <c r="V51" s="3" t="e">
        <f t="shared" si="4"/>
        <v>#N/A</v>
      </c>
      <c r="W51" s="3" t="e">
        <f t="shared" si="4"/>
        <v>#N/A</v>
      </c>
      <c r="X51" s="3" t="e">
        <f t="shared" si="4"/>
        <v>#N/A</v>
      </c>
      <c r="Y51" s="3" t="e">
        <f t="shared" si="4"/>
        <v>#N/A</v>
      </c>
      <c r="Z51" s="3" t="e">
        <f t="shared" si="4"/>
        <v>#N/A</v>
      </c>
      <c r="AA51" s="3" t="e">
        <f t="shared" si="4"/>
        <v>#N/A</v>
      </c>
      <c r="AB51" s="3" t="e">
        <f t="shared" si="4"/>
        <v>#N/A</v>
      </c>
      <c r="AC51" s="3" t="e">
        <f t="shared" si="4"/>
        <v>#N/A</v>
      </c>
      <c r="AD51" s="3" t="e">
        <f t="shared" si="4"/>
        <v>#N/A</v>
      </c>
      <c r="AE51" s="3" t="e">
        <f t="shared" si="4"/>
        <v>#N/A</v>
      </c>
      <c r="AF51" s="3" t="e">
        <f t="shared" si="4"/>
        <v>#N/A</v>
      </c>
      <c r="AG51" s="3" t="e">
        <f t="shared" si="4"/>
        <v>#N/A</v>
      </c>
      <c r="AH51" s="3" t="e">
        <f t="shared" si="4"/>
        <v>#N/A</v>
      </c>
      <c r="AI51" s="3" t="e">
        <f t="shared" si="4"/>
        <v>#N/A</v>
      </c>
      <c r="AJ51" s="3" t="e">
        <f t="shared" si="4"/>
        <v>#N/A</v>
      </c>
      <c r="AK51" s="3" t="e">
        <f t="shared" si="4"/>
        <v>#N/A</v>
      </c>
      <c r="AL51" s="3" t="e">
        <f t="shared" si="4"/>
        <v>#N/A</v>
      </c>
      <c r="AM51" s="3" t="e">
        <f t="shared" si="4"/>
        <v>#N/A</v>
      </c>
      <c r="AN51" s="3" t="e">
        <f t="shared" si="4"/>
        <v>#N/A</v>
      </c>
    </row>
    <row r="52" spans="2:42" x14ac:dyDescent="0.3">
      <c r="B52" t="s">
        <v>73</v>
      </c>
      <c r="D52" t="s">
        <v>229</v>
      </c>
      <c r="E52" s="3" t="e">
        <f t="shared" si="5"/>
        <v>#N/A</v>
      </c>
      <c r="F52" s="3" t="e">
        <f t="shared" si="4"/>
        <v>#N/A</v>
      </c>
      <c r="G52" s="3" t="e">
        <f t="shared" si="4"/>
        <v>#N/A</v>
      </c>
      <c r="H52" s="3" t="e">
        <f t="shared" si="4"/>
        <v>#N/A</v>
      </c>
      <c r="I52" s="3" t="e">
        <f t="shared" si="4"/>
        <v>#N/A</v>
      </c>
      <c r="J52" s="3" t="e">
        <f t="shared" si="4"/>
        <v>#N/A</v>
      </c>
      <c r="K52" s="3" t="e">
        <f t="shared" si="4"/>
        <v>#N/A</v>
      </c>
      <c r="L52" s="3" t="e">
        <f t="shared" si="4"/>
        <v>#N/A</v>
      </c>
      <c r="M52" s="3" t="e">
        <f t="shared" si="4"/>
        <v>#N/A</v>
      </c>
      <c r="N52" s="3" t="e">
        <f t="shared" si="4"/>
        <v>#N/A</v>
      </c>
      <c r="O52" s="3" t="e">
        <f t="shared" si="4"/>
        <v>#N/A</v>
      </c>
      <c r="P52" s="3" t="e">
        <f t="shared" si="4"/>
        <v>#N/A</v>
      </c>
      <c r="Q52" s="3" t="e">
        <f t="shared" si="4"/>
        <v>#N/A</v>
      </c>
      <c r="R52" s="3" t="e">
        <f t="shared" si="4"/>
        <v>#N/A</v>
      </c>
      <c r="S52" s="3" t="e">
        <f t="shared" si="4"/>
        <v>#N/A</v>
      </c>
      <c r="T52" s="3" t="e">
        <f t="shared" si="4"/>
        <v>#N/A</v>
      </c>
      <c r="U52" s="3" t="e">
        <f t="shared" si="4"/>
        <v>#N/A</v>
      </c>
      <c r="V52" s="3" t="e">
        <f t="shared" si="4"/>
        <v>#N/A</v>
      </c>
      <c r="W52" s="3" t="e">
        <f t="shared" si="4"/>
        <v>#N/A</v>
      </c>
      <c r="X52" s="3" t="e">
        <f t="shared" si="4"/>
        <v>#N/A</v>
      </c>
      <c r="Y52" s="3" t="e">
        <f t="shared" si="4"/>
        <v>#N/A</v>
      </c>
      <c r="Z52" s="3" t="e">
        <f t="shared" si="4"/>
        <v>#N/A</v>
      </c>
      <c r="AA52" s="3" t="e">
        <f t="shared" si="4"/>
        <v>#N/A</v>
      </c>
      <c r="AB52" s="3" t="e">
        <f t="shared" si="4"/>
        <v>#N/A</v>
      </c>
      <c r="AC52" s="3" t="e">
        <f t="shared" si="4"/>
        <v>#N/A</v>
      </c>
      <c r="AD52" s="3" t="e">
        <f t="shared" si="4"/>
        <v>#N/A</v>
      </c>
      <c r="AE52" s="3" t="e">
        <f t="shared" si="4"/>
        <v>#N/A</v>
      </c>
      <c r="AF52" s="3" t="e">
        <f t="shared" si="4"/>
        <v>#N/A</v>
      </c>
      <c r="AG52" s="3" t="e">
        <f t="shared" si="4"/>
        <v>#N/A</v>
      </c>
      <c r="AH52" s="3" t="e">
        <f t="shared" si="4"/>
        <v>#N/A</v>
      </c>
      <c r="AI52" s="3" t="e">
        <f t="shared" si="4"/>
        <v>#N/A</v>
      </c>
      <c r="AJ52" s="3" t="e">
        <f t="shared" si="4"/>
        <v>#N/A</v>
      </c>
      <c r="AK52" s="3" t="e">
        <f t="shared" si="4"/>
        <v>#N/A</v>
      </c>
      <c r="AL52" s="3" t="e">
        <f t="shared" si="4"/>
        <v>#N/A</v>
      </c>
      <c r="AM52" s="3" t="e">
        <f t="shared" si="4"/>
        <v>#N/A</v>
      </c>
      <c r="AN52" s="3" t="e">
        <f t="shared" si="4"/>
        <v>#N/A</v>
      </c>
    </row>
    <row r="53" spans="2:42" x14ac:dyDescent="0.3">
      <c r="B53" t="s">
        <v>74</v>
      </c>
      <c r="D53" t="s">
        <v>229</v>
      </c>
      <c r="E53" s="3" t="e">
        <f t="shared" si="5"/>
        <v>#N/A</v>
      </c>
      <c r="F53" s="3" t="e">
        <f t="shared" si="4"/>
        <v>#N/A</v>
      </c>
      <c r="G53" s="3" t="e">
        <f t="shared" si="4"/>
        <v>#N/A</v>
      </c>
      <c r="H53" s="3" t="e">
        <f t="shared" si="4"/>
        <v>#N/A</v>
      </c>
      <c r="I53" s="3" t="e">
        <f t="shared" si="4"/>
        <v>#N/A</v>
      </c>
      <c r="J53" s="3" t="e">
        <f t="shared" si="4"/>
        <v>#N/A</v>
      </c>
      <c r="K53" s="3" t="e">
        <f t="shared" si="4"/>
        <v>#N/A</v>
      </c>
      <c r="L53" s="3" t="e">
        <f t="shared" si="4"/>
        <v>#N/A</v>
      </c>
      <c r="M53" s="3" t="e">
        <f t="shared" si="4"/>
        <v>#N/A</v>
      </c>
      <c r="N53" s="3" t="e">
        <f t="shared" si="4"/>
        <v>#N/A</v>
      </c>
      <c r="O53" s="3" t="e">
        <f t="shared" si="4"/>
        <v>#N/A</v>
      </c>
      <c r="P53" s="3" t="e">
        <f t="shared" si="4"/>
        <v>#N/A</v>
      </c>
      <c r="Q53" s="3" t="e">
        <f t="shared" si="4"/>
        <v>#N/A</v>
      </c>
      <c r="R53" s="3" t="e">
        <f t="shared" si="4"/>
        <v>#N/A</v>
      </c>
      <c r="S53" s="3" t="e">
        <f t="shared" si="4"/>
        <v>#N/A</v>
      </c>
      <c r="T53" s="3" t="e">
        <f t="shared" si="4"/>
        <v>#N/A</v>
      </c>
      <c r="U53" s="3" t="e">
        <f t="shared" si="4"/>
        <v>#N/A</v>
      </c>
      <c r="V53" s="3" t="e">
        <f t="shared" si="4"/>
        <v>#N/A</v>
      </c>
      <c r="W53" s="3" t="e">
        <f t="shared" si="4"/>
        <v>#N/A</v>
      </c>
      <c r="X53" s="3" t="e">
        <f t="shared" si="4"/>
        <v>#N/A</v>
      </c>
      <c r="Y53" s="3" t="e">
        <f t="shared" si="4"/>
        <v>#N/A</v>
      </c>
      <c r="Z53" s="3" t="e">
        <f t="shared" si="4"/>
        <v>#N/A</v>
      </c>
      <c r="AA53" s="3" t="e">
        <f t="shared" si="4"/>
        <v>#N/A</v>
      </c>
      <c r="AB53" s="3" t="e">
        <f t="shared" si="4"/>
        <v>#N/A</v>
      </c>
      <c r="AC53" s="3" t="e">
        <f t="shared" si="4"/>
        <v>#N/A</v>
      </c>
      <c r="AD53" s="3" t="e">
        <f t="shared" si="4"/>
        <v>#N/A</v>
      </c>
      <c r="AE53" s="3" t="e">
        <f t="shared" si="4"/>
        <v>#N/A</v>
      </c>
      <c r="AF53" s="3" t="e">
        <f t="shared" si="4"/>
        <v>#N/A</v>
      </c>
      <c r="AG53" s="3" t="e">
        <f t="shared" si="4"/>
        <v>#N/A</v>
      </c>
      <c r="AH53" s="3" t="e">
        <f t="shared" si="4"/>
        <v>#N/A</v>
      </c>
      <c r="AI53" s="3" t="e">
        <f t="shared" si="4"/>
        <v>#N/A</v>
      </c>
      <c r="AJ53" s="3" t="e">
        <f t="shared" si="4"/>
        <v>#N/A</v>
      </c>
      <c r="AK53" s="3" t="e">
        <f t="shared" si="4"/>
        <v>#N/A</v>
      </c>
      <c r="AL53" s="3" t="e">
        <f t="shared" si="4"/>
        <v>#N/A</v>
      </c>
      <c r="AM53" s="3" t="e">
        <f t="shared" si="4"/>
        <v>#N/A</v>
      </c>
      <c r="AN53" s="3" t="e">
        <f t="shared" si="4"/>
        <v>#N/A</v>
      </c>
    </row>
    <row r="54" spans="2:42" x14ac:dyDescent="0.3">
      <c r="B54" t="s">
        <v>75</v>
      </c>
      <c r="D54" t="s">
        <v>229</v>
      </c>
      <c r="E54" s="3" t="e">
        <f t="shared" si="5"/>
        <v>#N/A</v>
      </c>
      <c r="F54" s="3" t="e">
        <f t="shared" si="4"/>
        <v>#N/A</v>
      </c>
      <c r="G54" s="3" t="e">
        <f t="shared" si="4"/>
        <v>#N/A</v>
      </c>
      <c r="H54" s="3" t="e">
        <f t="shared" si="4"/>
        <v>#N/A</v>
      </c>
      <c r="I54" s="3" t="e">
        <f t="shared" si="4"/>
        <v>#N/A</v>
      </c>
      <c r="J54" s="3" t="e">
        <f t="shared" si="4"/>
        <v>#N/A</v>
      </c>
      <c r="K54" s="3" t="e">
        <f t="shared" si="4"/>
        <v>#N/A</v>
      </c>
      <c r="L54" s="3" t="e">
        <f t="shared" si="4"/>
        <v>#N/A</v>
      </c>
      <c r="M54" s="3" t="e">
        <f t="shared" si="4"/>
        <v>#N/A</v>
      </c>
      <c r="N54" s="3" t="e">
        <f t="shared" si="4"/>
        <v>#N/A</v>
      </c>
      <c r="O54" s="3" t="e">
        <f t="shared" si="4"/>
        <v>#N/A</v>
      </c>
      <c r="P54" s="3" t="e">
        <f t="shared" si="4"/>
        <v>#N/A</v>
      </c>
      <c r="Q54" s="3" t="e">
        <f t="shared" si="4"/>
        <v>#N/A</v>
      </c>
      <c r="R54" s="3" t="e">
        <f t="shared" si="4"/>
        <v>#N/A</v>
      </c>
      <c r="S54" s="3" t="e">
        <f t="shared" si="4"/>
        <v>#N/A</v>
      </c>
      <c r="T54" s="3" t="e">
        <f t="shared" si="4"/>
        <v>#N/A</v>
      </c>
      <c r="U54" s="3" t="e">
        <f t="shared" si="4"/>
        <v>#N/A</v>
      </c>
      <c r="V54" s="3" t="e">
        <f t="shared" si="4"/>
        <v>#N/A</v>
      </c>
      <c r="W54" s="3" t="e">
        <f t="shared" si="4"/>
        <v>#N/A</v>
      </c>
      <c r="X54" s="3" t="e">
        <f t="shared" si="4"/>
        <v>#N/A</v>
      </c>
      <c r="Y54" s="3" t="e">
        <f t="shared" si="4"/>
        <v>#N/A</v>
      </c>
      <c r="Z54" s="3" t="e">
        <f t="shared" si="4"/>
        <v>#N/A</v>
      </c>
      <c r="AA54" s="3" t="e">
        <f t="shared" si="4"/>
        <v>#N/A</v>
      </c>
      <c r="AB54" s="3" t="e">
        <f t="shared" si="4"/>
        <v>#N/A</v>
      </c>
      <c r="AC54" s="3" t="e">
        <f t="shared" si="4"/>
        <v>#N/A</v>
      </c>
      <c r="AD54" s="3" t="e">
        <f t="shared" si="4"/>
        <v>#N/A</v>
      </c>
      <c r="AE54" s="3" t="e">
        <f t="shared" si="4"/>
        <v>#N/A</v>
      </c>
      <c r="AF54" s="3" t="e">
        <f t="shared" si="4"/>
        <v>#N/A</v>
      </c>
      <c r="AG54" s="3" t="e">
        <f t="shared" si="4"/>
        <v>#N/A</v>
      </c>
      <c r="AH54" s="3" t="e">
        <f t="shared" si="4"/>
        <v>#N/A</v>
      </c>
      <c r="AI54" s="3" t="e">
        <f t="shared" si="4"/>
        <v>#N/A</v>
      </c>
      <c r="AJ54" s="3" t="e">
        <f t="shared" si="4"/>
        <v>#N/A</v>
      </c>
      <c r="AK54" s="3" t="e">
        <f t="shared" si="4"/>
        <v>#N/A</v>
      </c>
      <c r="AL54" s="3" t="e">
        <f t="shared" si="4"/>
        <v>#N/A</v>
      </c>
      <c r="AM54" s="3" t="e">
        <f t="shared" si="4"/>
        <v>#N/A</v>
      </c>
      <c r="AN54" s="3" t="e">
        <f t="shared" si="4"/>
        <v>#N/A</v>
      </c>
    </row>
    <row r="55" spans="2:42" x14ac:dyDescent="0.3">
      <c r="B55" t="s">
        <v>76</v>
      </c>
      <c r="D55" t="s">
        <v>229</v>
      </c>
      <c r="E55" s="3" t="e">
        <f t="shared" si="5"/>
        <v>#N/A</v>
      </c>
      <c r="F55" s="3" t="e">
        <f t="shared" si="4"/>
        <v>#N/A</v>
      </c>
      <c r="G55" s="3" t="e">
        <f t="shared" si="4"/>
        <v>#N/A</v>
      </c>
      <c r="H55" s="3" t="e">
        <f t="shared" si="4"/>
        <v>#N/A</v>
      </c>
      <c r="I55" s="3" t="e">
        <f t="shared" si="4"/>
        <v>#N/A</v>
      </c>
      <c r="J55" s="3" t="e">
        <f t="shared" si="4"/>
        <v>#N/A</v>
      </c>
      <c r="K55" s="3" t="e">
        <f t="shared" si="4"/>
        <v>#N/A</v>
      </c>
      <c r="L55" s="3" t="e">
        <f t="shared" si="4"/>
        <v>#N/A</v>
      </c>
      <c r="M55" s="3" t="e">
        <f t="shared" si="4"/>
        <v>#N/A</v>
      </c>
      <c r="N55" s="3" t="e">
        <f t="shared" si="4"/>
        <v>#N/A</v>
      </c>
      <c r="O55" s="3" t="e">
        <f t="shared" si="4"/>
        <v>#N/A</v>
      </c>
      <c r="P55" s="3" t="e">
        <f t="shared" si="4"/>
        <v>#N/A</v>
      </c>
      <c r="Q55" s="3" t="e">
        <f t="shared" si="4"/>
        <v>#N/A</v>
      </c>
      <c r="R55" s="3" t="e">
        <f t="shared" si="4"/>
        <v>#N/A</v>
      </c>
      <c r="S55" s="3" t="e">
        <f t="shared" si="4"/>
        <v>#N/A</v>
      </c>
      <c r="T55" s="3" t="e">
        <f t="shared" si="4"/>
        <v>#N/A</v>
      </c>
      <c r="U55" s="3" t="e">
        <f t="shared" si="4"/>
        <v>#N/A</v>
      </c>
      <c r="V55" s="3" t="e">
        <f t="shared" si="4"/>
        <v>#N/A</v>
      </c>
      <c r="W55" s="3" t="e">
        <f t="shared" si="4"/>
        <v>#N/A</v>
      </c>
      <c r="X55" s="3" t="e">
        <f t="shared" si="4"/>
        <v>#N/A</v>
      </c>
      <c r="Y55" s="3" t="e">
        <f t="shared" si="4"/>
        <v>#N/A</v>
      </c>
      <c r="Z55" s="3" t="e">
        <f t="shared" si="4"/>
        <v>#N/A</v>
      </c>
      <c r="AA55" s="3" t="e">
        <f t="shared" si="4"/>
        <v>#N/A</v>
      </c>
      <c r="AB55" s="3" t="e">
        <f t="shared" si="4"/>
        <v>#N/A</v>
      </c>
      <c r="AC55" s="3" t="e">
        <f t="shared" si="4"/>
        <v>#N/A</v>
      </c>
      <c r="AD55" s="3" t="e">
        <f t="shared" si="4"/>
        <v>#N/A</v>
      </c>
      <c r="AE55" s="3" t="e">
        <f t="shared" si="4"/>
        <v>#N/A</v>
      </c>
      <c r="AF55" s="3" t="e">
        <f t="shared" si="4"/>
        <v>#N/A</v>
      </c>
      <c r="AG55" s="3" t="e">
        <f t="shared" si="4"/>
        <v>#N/A</v>
      </c>
      <c r="AH55" s="3" t="e">
        <f t="shared" si="4"/>
        <v>#N/A</v>
      </c>
      <c r="AI55" s="3" t="e">
        <f t="shared" si="4"/>
        <v>#N/A</v>
      </c>
      <c r="AJ55" s="3" t="e">
        <f t="shared" si="4"/>
        <v>#N/A</v>
      </c>
      <c r="AK55" s="3" t="e">
        <f t="shared" si="4"/>
        <v>#N/A</v>
      </c>
      <c r="AL55" s="3" t="e">
        <f t="shared" si="4"/>
        <v>#N/A</v>
      </c>
      <c r="AM55" s="3" t="e">
        <f t="shared" si="4"/>
        <v>#N/A</v>
      </c>
      <c r="AN55" s="3" t="e">
        <f t="shared" si="4"/>
        <v>#N/A</v>
      </c>
    </row>
    <row r="56" spans="2:42" x14ac:dyDescent="0.3">
      <c r="B56" t="s">
        <v>77</v>
      </c>
      <c r="D56" t="s">
        <v>229</v>
      </c>
      <c r="E56" s="3" t="e">
        <f t="shared" si="5"/>
        <v>#N/A</v>
      </c>
      <c r="F56" s="3" t="e">
        <f t="shared" si="4"/>
        <v>#N/A</v>
      </c>
      <c r="G56" s="3" t="e">
        <f t="shared" si="4"/>
        <v>#N/A</v>
      </c>
      <c r="H56" s="3" t="e">
        <f t="shared" si="4"/>
        <v>#N/A</v>
      </c>
      <c r="I56" s="3" t="e">
        <f t="shared" si="4"/>
        <v>#N/A</v>
      </c>
      <c r="J56" s="3" t="e">
        <f t="shared" si="4"/>
        <v>#N/A</v>
      </c>
      <c r="K56" s="3" t="e">
        <f t="shared" si="4"/>
        <v>#N/A</v>
      </c>
      <c r="L56" s="3" t="e">
        <f t="shared" si="4"/>
        <v>#N/A</v>
      </c>
      <c r="M56" s="3" t="e">
        <f t="shared" si="4"/>
        <v>#N/A</v>
      </c>
      <c r="N56" s="3" t="e">
        <f t="shared" si="4"/>
        <v>#N/A</v>
      </c>
      <c r="O56" s="3" t="e">
        <f t="shared" si="4"/>
        <v>#N/A</v>
      </c>
      <c r="P56" s="3" t="e">
        <f t="shared" si="4"/>
        <v>#N/A</v>
      </c>
      <c r="Q56" s="3" t="e">
        <f t="shared" si="4"/>
        <v>#N/A</v>
      </c>
      <c r="R56" s="3" t="e">
        <f t="shared" si="4"/>
        <v>#N/A</v>
      </c>
      <c r="S56" s="3" t="e">
        <f t="shared" si="4"/>
        <v>#N/A</v>
      </c>
      <c r="T56" s="3" t="e">
        <f t="shared" si="4"/>
        <v>#N/A</v>
      </c>
      <c r="U56" s="3" t="e">
        <f t="shared" si="4"/>
        <v>#N/A</v>
      </c>
      <c r="V56" s="3" t="e">
        <f t="shared" si="4"/>
        <v>#N/A</v>
      </c>
      <c r="W56" s="3" t="e">
        <f t="shared" si="4"/>
        <v>#N/A</v>
      </c>
      <c r="X56" s="3" t="e">
        <f t="shared" si="4"/>
        <v>#N/A</v>
      </c>
      <c r="Y56" s="3" t="e">
        <f t="shared" si="4"/>
        <v>#N/A</v>
      </c>
      <c r="Z56" s="3" t="e">
        <f t="shared" si="4"/>
        <v>#N/A</v>
      </c>
      <c r="AA56" s="3" t="e">
        <f t="shared" si="4"/>
        <v>#N/A</v>
      </c>
      <c r="AB56" s="3" t="e">
        <f t="shared" si="4"/>
        <v>#N/A</v>
      </c>
      <c r="AC56" s="3" t="e">
        <f t="shared" si="4"/>
        <v>#N/A</v>
      </c>
      <c r="AD56" s="3" t="e">
        <f t="shared" si="4"/>
        <v>#N/A</v>
      </c>
      <c r="AE56" s="3" t="e">
        <f t="shared" ref="F56:AN60" si="6">AE26/$E26</f>
        <v>#N/A</v>
      </c>
      <c r="AF56" s="3" t="e">
        <f t="shared" si="6"/>
        <v>#N/A</v>
      </c>
      <c r="AG56" s="3" t="e">
        <f t="shared" si="6"/>
        <v>#N/A</v>
      </c>
      <c r="AH56" s="3" t="e">
        <f t="shared" si="6"/>
        <v>#N/A</v>
      </c>
      <c r="AI56" s="3" t="e">
        <f t="shared" si="6"/>
        <v>#N/A</v>
      </c>
      <c r="AJ56" s="3" t="e">
        <f t="shared" si="6"/>
        <v>#N/A</v>
      </c>
      <c r="AK56" s="3" t="e">
        <f t="shared" si="6"/>
        <v>#N/A</v>
      </c>
      <c r="AL56" s="3" t="e">
        <f t="shared" si="6"/>
        <v>#N/A</v>
      </c>
      <c r="AM56" s="3" t="e">
        <f t="shared" si="6"/>
        <v>#N/A</v>
      </c>
      <c r="AN56" s="3" t="e">
        <f t="shared" si="6"/>
        <v>#N/A</v>
      </c>
    </row>
    <row r="57" spans="2:42" x14ac:dyDescent="0.3">
      <c r="B57" t="s">
        <v>78</v>
      </c>
      <c r="D57" t="s">
        <v>229</v>
      </c>
      <c r="E57" s="3" t="e">
        <f t="shared" si="5"/>
        <v>#N/A</v>
      </c>
      <c r="F57" s="3" t="e">
        <f t="shared" si="6"/>
        <v>#N/A</v>
      </c>
      <c r="G57" s="3" t="e">
        <f t="shared" si="6"/>
        <v>#N/A</v>
      </c>
      <c r="H57" s="3" t="e">
        <f t="shared" si="6"/>
        <v>#N/A</v>
      </c>
      <c r="I57" s="3" t="e">
        <f t="shared" si="6"/>
        <v>#N/A</v>
      </c>
      <c r="J57" s="3" t="e">
        <f t="shared" si="6"/>
        <v>#N/A</v>
      </c>
      <c r="K57" s="3" t="e">
        <f t="shared" si="6"/>
        <v>#N/A</v>
      </c>
      <c r="L57" s="3" t="e">
        <f t="shared" si="6"/>
        <v>#N/A</v>
      </c>
      <c r="M57" s="3" t="e">
        <f t="shared" si="6"/>
        <v>#N/A</v>
      </c>
      <c r="N57" s="3" t="e">
        <f t="shared" si="6"/>
        <v>#N/A</v>
      </c>
      <c r="O57" s="3" t="e">
        <f t="shared" si="6"/>
        <v>#N/A</v>
      </c>
      <c r="P57" s="3" t="e">
        <f t="shared" si="6"/>
        <v>#N/A</v>
      </c>
      <c r="Q57" s="3" t="e">
        <f t="shared" si="6"/>
        <v>#N/A</v>
      </c>
      <c r="R57" s="3" t="e">
        <f t="shared" si="6"/>
        <v>#N/A</v>
      </c>
      <c r="S57" s="3" t="e">
        <f t="shared" si="6"/>
        <v>#N/A</v>
      </c>
      <c r="T57" s="3" t="e">
        <f t="shared" si="6"/>
        <v>#N/A</v>
      </c>
      <c r="U57" s="3" t="e">
        <f t="shared" si="6"/>
        <v>#N/A</v>
      </c>
      <c r="V57" s="3" t="e">
        <f t="shared" si="6"/>
        <v>#N/A</v>
      </c>
      <c r="W57" s="3" t="e">
        <f t="shared" si="6"/>
        <v>#N/A</v>
      </c>
      <c r="X57" s="3" t="e">
        <f t="shared" si="6"/>
        <v>#N/A</v>
      </c>
      <c r="Y57" s="3" t="e">
        <f t="shared" si="6"/>
        <v>#N/A</v>
      </c>
      <c r="Z57" s="3" t="e">
        <f t="shared" si="6"/>
        <v>#N/A</v>
      </c>
      <c r="AA57" s="3" t="e">
        <f t="shared" si="6"/>
        <v>#N/A</v>
      </c>
      <c r="AB57" s="3" t="e">
        <f t="shared" si="6"/>
        <v>#N/A</v>
      </c>
      <c r="AC57" s="3" t="e">
        <f t="shared" si="6"/>
        <v>#N/A</v>
      </c>
      <c r="AD57" s="3" t="e">
        <f t="shared" si="6"/>
        <v>#N/A</v>
      </c>
      <c r="AE57" s="3" t="e">
        <f t="shared" si="6"/>
        <v>#N/A</v>
      </c>
      <c r="AF57" s="3" t="e">
        <f t="shared" si="6"/>
        <v>#N/A</v>
      </c>
      <c r="AG57" s="3" t="e">
        <f t="shared" si="6"/>
        <v>#N/A</v>
      </c>
      <c r="AH57" s="3" t="e">
        <f t="shared" si="6"/>
        <v>#N/A</v>
      </c>
      <c r="AI57" s="3" t="e">
        <f t="shared" si="6"/>
        <v>#N/A</v>
      </c>
      <c r="AJ57" s="3" t="e">
        <f t="shared" si="6"/>
        <v>#N/A</v>
      </c>
      <c r="AK57" s="3" t="e">
        <f t="shared" si="6"/>
        <v>#N/A</v>
      </c>
      <c r="AL57" s="3" t="e">
        <f t="shared" si="6"/>
        <v>#N/A</v>
      </c>
      <c r="AM57" s="3" t="e">
        <f t="shared" si="6"/>
        <v>#N/A</v>
      </c>
      <c r="AN57" s="3" t="e">
        <f t="shared" si="6"/>
        <v>#N/A</v>
      </c>
      <c r="AP57" s="5" t="s">
        <v>230</v>
      </c>
    </row>
    <row r="58" spans="2:42" x14ac:dyDescent="0.3">
      <c r="B58" t="s">
        <v>79</v>
      </c>
      <c r="D58" t="s">
        <v>229</v>
      </c>
      <c r="E58" s="3" t="e">
        <f t="shared" si="5"/>
        <v>#N/A</v>
      </c>
      <c r="F58" s="3" t="e">
        <f t="shared" si="6"/>
        <v>#N/A</v>
      </c>
      <c r="G58" s="3" t="e">
        <f t="shared" si="6"/>
        <v>#N/A</v>
      </c>
      <c r="H58" s="3" t="e">
        <f t="shared" si="6"/>
        <v>#N/A</v>
      </c>
      <c r="I58" s="3" t="e">
        <f t="shared" si="6"/>
        <v>#N/A</v>
      </c>
      <c r="J58" s="3" t="e">
        <f t="shared" si="6"/>
        <v>#N/A</v>
      </c>
      <c r="K58" s="3" t="e">
        <f t="shared" si="6"/>
        <v>#N/A</v>
      </c>
      <c r="L58" s="3" t="e">
        <f t="shared" si="6"/>
        <v>#N/A</v>
      </c>
      <c r="M58" s="3" t="e">
        <f t="shared" si="6"/>
        <v>#N/A</v>
      </c>
      <c r="N58" s="3" t="e">
        <f t="shared" si="6"/>
        <v>#N/A</v>
      </c>
      <c r="O58" s="3" t="e">
        <f t="shared" si="6"/>
        <v>#N/A</v>
      </c>
      <c r="P58" s="3" t="e">
        <f t="shared" si="6"/>
        <v>#N/A</v>
      </c>
      <c r="Q58" s="3" t="e">
        <f t="shared" si="6"/>
        <v>#N/A</v>
      </c>
      <c r="R58" s="3" t="e">
        <f t="shared" si="6"/>
        <v>#N/A</v>
      </c>
      <c r="S58" s="3" t="e">
        <f t="shared" si="6"/>
        <v>#N/A</v>
      </c>
      <c r="T58" s="3" t="e">
        <f t="shared" si="6"/>
        <v>#N/A</v>
      </c>
      <c r="U58" s="3" t="e">
        <f t="shared" si="6"/>
        <v>#N/A</v>
      </c>
      <c r="V58" s="3" t="e">
        <f t="shared" si="6"/>
        <v>#N/A</v>
      </c>
      <c r="W58" s="3" t="e">
        <f t="shared" si="6"/>
        <v>#N/A</v>
      </c>
      <c r="X58" s="3" t="e">
        <f t="shared" si="6"/>
        <v>#N/A</v>
      </c>
      <c r="Y58" s="3" t="e">
        <f t="shared" si="6"/>
        <v>#N/A</v>
      </c>
      <c r="Z58" s="3" t="e">
        <f t="shared" si="6"/>
        <v>#N/A</v>
      </c>
      <c r="AA58" s="3" t="e">
        <f t="shared" si="6"/>
        <v>#N/A</v>
      </c>
      <c r="AB58" s="3" t="e">
        <f t="shared" si="6"/>
        <v>#N/A</v>
      </c>
      <c r="AC58" s="3" t="e">
        <f t="shared" si="6"/>
        <v>#N/A</v>
      </c>
      <c r="AD58" s="3" t="e">
        <f t="shared" si="6"/>
        <v>#N/A</v>
      </c>
      <c r="AE58" s="3" t="e">
        <f t="shared" si="6"/>
        <v>#N/A</v>
      </c>
      <c r="AF58" s="3" t="e">
        <f t="shared" si="6"/>
        <v>#N/A</v>
      </c>
      <c r="AG58" s="3" t="e">
        <f t="shared" si="6"/>
        <v>#N/A</v>
      </c>
      <c r="AH58" s="3" t="e">
        <f t="shared" si="6"/>
        <v>#N/A</v>
      </c>
      <c r="AI58" s="3" t="e">
        <f t="shared" si="6"/>
        <v>#N/A</v>
      </c>
      <c r="AJ58" s="3" t="e">
        <f t="shared" si="6"/>
        <v>#N/A</v>
      </c>
      <c r="AK58" s="3" t="e">
        <f t="shared" si="6"/>
        <v>#N/A</v>
      </c>
      <c r="AL58" s="3" t="e">
        <f t="shared" si="6"/>
        <v>#N/A</v>
      </c>
      <c r="AM58" s="3" t="e">
        <f t="shared" si="6"/>
        <v>#N/A</v>
      </c>
      <c r="AN58" s="3" t="e">
        <f t="shared" si="6"/>
        <v>#N/A</v>
      </c>
    </row>
    <row r="59" spans="2:42" x14ac:dyDescent="0.3">
      <c r="B59" t="s">
        <v>80</v>
      </c>
      <c r="D59" t="s">
        <v>229</v>
      </c>
      <c r="E59" s="3" t="e">
        <f t="shared" si="5"/>
        <v>#N/A</v>
      </c>
      <c r="F59" s="3" t="e">
        <f t="shared" si="6"/>
        <v>#N/A</v>
      </c>
      <c r="G59" s="3" t="e">
        <f t="shared" si="6"/>
        <v>#N/A</v>
      </c>
      <c r="H59" s="3" t="e">
        <f t="shared" si="6"/>
        <v>#N/A</v>
      </c>
      <c r="I59" s="3" t="e">
        <f t="shared" si="6"/>
        <v>#N/A</v>
      </c>
      <c r="J59" s="3" t="e">
        <f t="shared" si="6"/>
        <v>#N/A</v>
      </c>
      <c r="K59" s="3" t="e">
        <f t="shared" si="6"/>
        <v>#N/A</v>
      </c>
      <c r="L59" s="3" t="e">
        <f t="shared" si="6"/>
        <v>#N/A</v>
      </c>
      <c r="M59" s="3" t="e">
        <f t="shared" si="6"/>
        <v>#N/A</v>
      </c>
      <c r="N59" s="3" t="e">
        <f t="shared" si="6"/>
        <v>#N/A</v>
      </c>
      <c r="O59" s="3" t="e">
        <f t="shared" si="6"/>
        <v>#N/A</v>
      </c>
      <c r="P59" s="3" t="e">
        <f t="shared" si="6"/>
        <v>#N/A</v>
      </c>
      <c r="Q59" s="3" t="e">
        <f t="shared" si="6"/>
        <v>#N/A</v>
      </c>
      <c r="R59" s="3" t="e">
        <f t="shared" si="6"/>
        <v>#N/A</v>
      </c>
      <c r="S59" s="3" t="e">
        <f t="shared" si="6"/>
        <v>#N/A</v>
      </c>
      <c r="T59" s="3" t="e">
        <f t="shared" si="6"/>
        <v>#N/A</v>
      </c>
      <c r="U59" s="3" t="e">
        <f t="shared" si="6"/>
        <v>#N/A</v>
      </c>
      <c r="V59" s="3" t="e">
        <f t="shared" si="6"/>
        <v>#N/A</v>
      </c>
      <c r="W59" s="3" t="e">
        <f t="shared" si="6"/>
        <v>#N/A</v>
      </c>
      <c r="X59" s="3" t="e">
        <f t="shared" si="6"/>
        <v>#N/A</v>
      </c>
      <c r="Y59" s="3" t="e">
        <f t="shared" si="6"/>
        <v>#N/A</v>
      </c>
      <c r="Z59" s="3" t="e">
        <f t="shared" si="6"/>
        <v>#N/A</v>
      </c>
      <c r="AA59" s="3" t="e">
        <f t="shared" si="6"/>
        <v>#N/A</v>
      </c>
      <c r="AB59" s="3" t="e">
        <f t="shared" si="6"/>
        <v>#N/A</v>
      </c>
      <c r="AC59" s="3" t="e">
        <f t="shared" si="6"/>
        <v>#N/A</v>
      </c>
      <c r="AD59" s="3" t="e">
        <f t="shared" si="6"/>
        <v>#N/A</v>
      </c>
      <c r="AE59" s="3" t="e">
        <f t="shared" si="6"/>
        <v>#N/A</v>
      </c>
      <c r="AF59" s="3" t="e">
        <f t="shared" si="6"/>
        <v>#N/A</v>
      </c>
      <c r="AG59" s="3" t="e">
        <f t="shared" si="6"/>
        <v>#N/A</v>
      </c>
      <c r="AH59" s="3" t="e">
        <f t="shared" si="6"/>
        <v>#N/A</v>
      </c>
      <c r="AI59" s="3" t="e">
        <f t="shared" si="6"/>
        <v>#N/A</v>
      </c>
      <c r="AJ59" s="3" t="e">
        <f t="shared" si="6"/>
        <v>#N/A</v>
      </c>
      <c r="AK59" s="3" t="e">
        <f t="shared" si="6"/>
        <v>#N/A</v>
      </c>
      <c r="AL59" s="3" t="e">
        <f t="shared" si="6"/>
        <v>#N/A</v>
      </c>
      <c r="AM59" s="3" t="e">
        <f t="shared" si="6"/>
        <v>#N/A</v>
      </c>
      <c r="AN59" s="3" t="e">
        <f t="shared" si="6"/>
        <v>#N/A</v>
      </c>
    </row>
    <row r="60" spans="2:42" x14ac:dyDescent="0.3">
      <c r="B60" t="s">
        <v>81</v>
      </c>
      <c r="D60" t="s">
        <v>229</v>
      </c>
      <c r="E60" s="3" t="e">
        <f t="shared" si="5"/>
        <v>#N/A</v>
      </c>
      <c r="F60" s="3" t="e">
        <f t="shared" si="6"/>
        <v>#N/A</v>
      </c>
      <c r="G60" s="3" t="e">
        <f t="shared" si="6"/>
        <v>#N/A</v>
      </c>
      <c r="H60" s="3" t="e">
        <f t="shared" si="6"/>
        <v>#N/A</v>
      </c>
      <c r="I60" s="3" t="e">
        <f t="shared" si="6"/>
        <v>#N/A</v>
      </c>
      <c r="J60" s="3" t="e">
        <f t="shared" si="6"/>
        <v>#N/A</v>
      </c>
      <c r="K60" s="3" t="e">
        <f t="shared" si="6"/>
        <v>#N/A</v>
      </c>
      <c r="L60" s="3" t="e">
        <f t="shared" si="6"/>
        <v>#N/A</v>
      </c>
      <c r="M60" s="3" t="e">
        <f t="shared" si="6"/>
        <v>#N/A</v>
      </c>
      <c r="N60" s="3" t="e">
        <f t="shared" si="6"/>
        <v>#N/A</v>
      </c>
      <c r="O60" s="3" t="e">
        <f t="shared" si="6"/>
        <v>#N/A</v>
      </c>
      <c r="P60" s="3" t="e">
        <f t="shared" si="6"/>
        <v>#N/A</v>
      </c>
      <c r="Q60" s="3" t="e">
        <f t="shared" si="6"/>
        <v>#N/A</v>
      </c>
      <c r="R60" s="3" t="e">
        <f t="shared" si="6"/>
        <v>#N/A</v>
      </c>
      <c r="S60" s="3" t="e">
        <f t="shared" si="6"/>
        <v>#N/A</v>
      </c>
      <c r="T60" s="3" t="e">
        <f t="shared" si="6"/>
        <v>#N/A</v>
      </c>
      <c r="U60" s="3" t="e">
        <f t="shared" si="6"/>
        <v>#N/A</v>
      </c>
      <c r="V60" s="3" t="e">
        <f t="shared" si="6"/>
        <v>#N/A</v>
      </c>
      <c r="W60" s="3" t="e">
        <f t="shared" si="6"/>
        <v>#N/A</v>
      </c>
      <c r="X60" s="3" t="e">
        <f t="shared" si="6"/>
        <v>#N/A</v>
      </c>
      <c r="Y60" s="3" t="e">
        <f t="shared" si="6"/>
        <v>#N/A</v>
      </c>
      <c r="Z60" s="3" t="e">
        <f t="shared" si="6"/>
        <v>#N/A</v>
      </c>
      <c r="AA60" s="3" t="e">
        <f t="shared" si="6"/>
        <v>#N/A</v>
      </c>
      <c r="AB60" s="3" t="e">
        <f t="shared" si="6"/>
        <v>#N/A</v>
      </c>
      <c r="AC60" s="3" t="e">
        <f t="shared" si="6"/>
        <v>#N/A</v>
      </c>
      <c r="AD60" s="3" t="e">
        <f t="shared" si="6"/>
        <v>#N/A</v>
      </c>
      <c r="AE60" s="3" t="e">
        <f t="shared" si="6"/>
        <v>#N/A</v>
      </c>
      <c r="AF60" s="3" t="e">
        <f t="shared" si="6"/>
        <v>#N/A</v>
      </c>
      <c r="AG60" s="3" t="e">
        <f t="shared" si="6"/>
        <v>#N/A</v>
      </c>
      <c r="AH60" s="3" t="e">
        <f t="shared" si="6"/>
        <v>#N/A</v>
      </c>
      <c r="AI60" s="3" t="e">
        <f t="shared" si="6"/>
        <v>#N/A</v>
      </c>
      <c r="AJ60" s="3" t="e">
        <f t="shared" si="6"/>
        <v>#N/A</v>
      </c>
      <c r="AK60" s="3" t="e">
        <f t="shared" si="6"/>
        <v>#N/A</v>
      </c>
      <c r="AL60" s="3" t="e">
        <f t="shared" si="6"/>
        <v>#N/A</v>
      </c>
      <c r="AM60" s="3" t="e">
        <f t="shared" si="6"/>
        <v>#N/A</v>
      </c>
      <c r="AN60" s="3" t="e">
        <f t="shared" si="6"/>
        <v>#N/A</v>
      </c>
    </row>
  </sheetData>
  <phoneticPr fontId="8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F3E39-32C9-4035-BDEB-E1CE1C967C04}">
  <sheetPr>
    <tabColor theme="5"/>
  </sheetPr>
  <dimension ref="A1:AV60"/>
  <sheetViews>
    <sheetView topLeftCell="A27" workbookViewId="0">
      <selection activeCell="A55" sqref="A55"/>
    </sheetView>
  </sheetViews>
  <sheetFormatPr defaultRowHeight="14.4" x14ac:dyDescent="0.3"/>
  <sheetData>
    <row r="1" spans="1:48" s="12" customFormat="1" ht="19.8" x14ac:dyDescent="0.4">
      <c r="A1" s="11" t="s">
        <v>228</v>
      </c>
      <c r="C1" s="11"/>
      <c r="D1" s="16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</row>
    <row r="2" spans="1:48" x14ac:dyDescent="0.3">
      <c r="E2" s="14">
        <v>2</v>
      </c>
      <c r="F2" s="14">
        <v>3</v>
      </c>
      <c r="G2" s="14">
        <v>4</v>
      </c>
      <c r="H2" s="14">
        <v>5</v>
      </c>
      <c r="I2" s="14">
        <v>6</v>
      </c>
      <c r="J2" s="14">
        <v>7</v>
      </c>
      <c r="K2" s="14">
        <v>8</v>
      </c>
      <c r="L2" s="14">
        <v>9</v>
      </c>
      <c r="M2" s="14">
        <v>10</v>
      </c>
      <c r="N2" s="14">
        <v>11</v>
      </c>
      <c r="O2" s="14">
        <v>12</v>
      </c>
      <c r="P2" s="14">
        <v>13</v>
      </c>
      <c r="Q2" s="14">
        <v>14</v>
      </c>
      <c r="R2" s="14">
        <v>15</v>
      </c>
      <c r="S2" s="14">
        <v>16</v>
      </c>
      <c r="T2" s="14">
        <v>17</v>
      </c>
      <c r="U2" s="14">
        <v>18</v>
      </c>
      <c r="V2" s="14">
        <v>19</v>
      </c>
      <c r="W2" s="14">
        <v>20</v>
      </c>
      <c r="X2" s="14">
        <v>21</v>
      </c>
      <c r="Y2" s="14">
        <v>22</v>
      </c>
      <c r="Z2" s="14">
        <v>23</v>
      </c>
      <c r="AA2" s="14">
        <v>24</v>
      </c>
      <c r="AB2" s="14">
        <v>25</v>
      </c>
      <c r="AC2" s="14">
        <v>26</v>
      </c>
      <c r="AD2" s="14">
        <v>27</v>
      </c>
      <c r="AE2" s="14">
        <v>28</v>
      </c>
      <c r="AF2" s="14">
        <v>29</v>
      </c>
      <c r="AG2" s="14">
        <v>30</v>
      </c>
      <c r="AH2" s="14">
        <v>31</v>
      </c>
      <c r="AI2" s="14">
        <v>32</v>
      </c>
      <c r="AJ2" s="14">
        <v>33</v>
      </c>
      <c r="AK2" s="14">
        <v>34</v>
      </c>
      <c r="AL2" s="14">
        <v>35</v>
      </c>
      <c r="AM2" s="14">
        <v>36</v>
      </c>
      <c r="AN2" s="14">
        <v>37</v>
      </c>
    </row>
    <row r="3" spans="1:48" x14ac:dyDescent="0.3">
      <c r="E3" s="5">
        <v>2015</v>
      </c>
      <c r="F3" s="5">
        <v>2016</v>
      </c>
      <c r="G3" s="5">
        <v>2017</v>
      </c>
      <c r="H3" s="5">
        <v>2018</v>
      </c>
      <c r="I3" s="5">
        <v>2019</v>
      </c>
      <c r="J3" s="5">
        <v>2020</v>
      </c>
      <c r="K3" s="5">
        <v>2021</v>
      </c>
      <c r="L3" s="5">
        <v>2022</v>
      </c>
      <c r="M3" s="5">
        <v>2023</v>
      </c>
      <c r="N3" s="5">
        <v>2024</v>
      </c>
      <c r="O3" s="5">
        <v>2025</v>
      </c>
      <c r="P3" s="5">
        <v>2026</v>
      </c>
      <c r="Q3" s="5">
        <v>2027</v>
      </c>
      <c r="R3" s="5">
        <v>2028</v>
      </c>
      <c r="S3" s="5">
        <v>2029</v>
      </c>
      <c r="T3" s="5">
        <v>2030</v>
      </c>
      <c r="U3" s="5">
        <v>2031</v>
      </c>
      <c r="V3" s="5">
        <v>2032</v>
      </c>
      <c r="W3" s="5">
        <v>2033</v>
      </c>
      <c r="X3" s="5">
        <v>2034</v>
      </c>
      <c r="Y3" s="5">
        <v>2035</v>
      </c>
      <c r="Z3" s="5">
        <v>2036</v>
      </c>
      <c r="AA3" s="5">
        <v>2037</v>
      </c>
      <c r="AB3" s="5">
        <v>2038</v>
      </c>
      <c r="AC3" s="5">
        <v>2039</v>
      </c>
      <c r="AD3" s="5">
        <v>2040</v>
      </c>
      <c r="AE3" s="5">
        <v>2041</v>
      </c>
      <c r="AF3" s="5">
        <v>2042</v>
      </c>
      <c r="AG3" s="5">
        <v>2043</v>
      </c>
      <c r="AH3" s="5">
        <v>2044</v>
      </c>
      <c r="AI3" s="5">
        <v>2045</v>
      </c>
      <c r="AJ3" s="5">
        <v>2046</v>
      </c>
      <c r="AK3" s="5">
        <v>2047</v>
      </c>
      <c r="AL3" s="5">
        <v>2048</v>
      </c>
      <c r="AM3" s="5">
        <v>2049</v>
      </c>
      <c r="AN3" s="5">
        <v>2050</v>
      </c>
    </row>
    <row r="4" spans="1:48" x14ac:dyDescent="0.3">
      <c r="B4" t="s">
        <v>1</v>
      </c>
      <c r="D4" t="s">
        <v>172</v>
      </c>
      <c r="E4" s="13" t="e">
        <f>VLOOKUP($B4,baseline!$A:$AK,E$2,FALSE)</f>
        <v>#N/A</v>
      </c>
      <c r="F4" s="13" t="e">
        <f>VLOOKUP($B4,baseline!$A:$AK,F$2,FALSE)</f>
        <v>#N/A</v>
      </c>
      <c r="G4" s="13" t="e">
        <f>VLOOKUP($B4,baseline!$A:$AK,G$2,FALSE)</f>
        <v>#N/A</v>
      </c>
      <c r="H4" s="13" t="e">
        <f>VLOOKUP($B4,baseline!$A:$AK,H$2,FALSE)</f>
        <v>#N/A</v>
      </c>
      <c r="I4" s="13" t="e">
        <f>VLOOKUP($B4,baseline!$A:$AK,I$2,FALSE)</f>
        <v>#N/A</v>
      </c>
      <c r="J4" s="13" t="e">
        <f>VLOOKUP($B4,baseline!$A:$AK,J$2,FALSE)</f>
        <v>#N/A</v>
      </c>
      <c r="K4" s="13" t="e">
        <f>VLOOKUP($B4,baseline!$A:$AK,K$2,FALSE)</f>
        <v>#N/A</v>
      </c>
      <c r="L4" s="13" t="e">
        <f>VLOOKUP($B4,baseline!$A:$AK,L$2,FALSE)</f>
        <v>#N/A</v>
      </c>
      <c r="M4" s="13" t="e">
        <f>VLOOKUP($B4,baseline!$A:$AK,M$2,FALSE)</f>
        <v>#N/A</v>
      </c>
      <c r="N4" s="13" t="e">
        <f>VLOOKUP($B4,baseline!$A:$AK,N$2,FALSE)</f>
        <v>#N/A</v>
      </c>
      <c r="O4" s="13" t="e">
        <f>VLOOKUP($B4,baseline!$A:$AK,O$2,FALSE)</f>
        <v>#N/A</v>
      </c>
      <c r="P4" s="13" t="e">
        <f>VLOOKUP($B4,baseline!$A:$AK,P$2,FALSE)</f>
        <v>#N/A</v>
      </c>
      <c r="Q4" s="13" t="e">
        <f>VLOOKUP($B4,baseline!$A:$AK,Q$2,FALSE)</f>
        <v>#N/A</v>
      </c>
      <c r="R4" s="13" t="e">
        <f>VLOOKUP($B4,baseline!$A:$AK,R$2,FALSE)</f>
        <v>#N/A</v>
      </c>
      <c r="S4" s="13" t="e">
        <f>VLOOKUP($B4,baseline!$A:$AK,S$2,FALSE)</f>
        <v>#N/A</v>
      </c>
      <c r="T4" s="13" t="e">
        <f>VLOOKUP($B4,baseline!$A:$AK,T$2,FALSE)</f>
        <v>#N/A</v>
      </c>
      <c r="U4" s="13" t="e">
        <f>VLOOKUP($B4,baseline!$A:$AK,U$2,FALSE)</f>
        <v>#N/A</v>
      </c>
      <c r="V4" s="13" t="e">
        <f>VLOOKUP($B4,baseline!$A:$AK,V$2,FALSE)</f>
        <v>#N/A</v>
      </c>
      <c r="W4" s="13" t="e">
        <f>VLOOKUP($B4,baseline!$A:$AK,W$2,FALSE)</f>
        <v>#N/A</v>
      </c>
      <c r="X4" s="13" t="e">
        <f>VLOOKUP($B4,baseline!$A:$AK,X$2,FALSE)</f>
        <v>#N/A</v>
      </c>
      <c r="Y4" s="13" t="e">
        <f>VLOOKUP($B4,baseline!$A:$AK,Y$2,FALSE)</f>
        <v>#N/A</v>
      </c>
      <c r="Z4" s="13" t="e">
        <f>VLOOKUP($B4,baseline!$A:$AK,Z$2,FALSE)</f>
        <v>#N/A</v>
      </c>
      <c r="AA4" s="13" t="e">
        <f>VLOOKUP($B4,baseline!$A:$AK,AA$2,FALSE)</f>
        <v>#N/A</v>
      </c>
      <c r="AB4" s="13" t="e">
        <f>VLOOKUP($B4,baseline!$A:$AK,AB$2,FALSE)</f>
        <v>#N/A</v>
      </c>
      <c r="AC4" s="13" t="e">
        <f>VLOOKUP($B4,baseline!$A:$AK,AC$2,FALSE)</f>
        <v>#N/A</v>
      </c>
      <c r="AD4" s="13" t="e">
        <f>VLOOKUP($B4,baseline!$A:$AK,AD$2,FALSE)</f>
        <v>#N/A</v>
      </c>
      <c r="AE4" s="13" t="e">
        <f>VLOOKUP($B4,baseline!$A:$AK,AE$2,FALSE)</f>
        <v>#N/A</v>
      </c>
      <c r="AF4" s="13" t="e">
        <f>VLOOKUP($B4,baseline!$A:$AK,AF$2,FALSE)</f>
        <v>#N/A</v>
      </c>
      <c r="AG4" s="13" t="e">
        <f>VLOOKUP($B4,baseline!$A:$AK,AG$2,FALSE)</f>
        <v>#N/A</v>
      </c>
      <c r="AH4" s="13" t="e">
        <f>VLOOKUP($B4,baseline!$A:$AK,AH$2,FALSE)</f>
        <v>#N/A</v>
      </c>
      <c r="AI4" s="13" t="e">
        <f>VLOOKUP($B4,baseline!$A:$AK,AI$2,FALSE)</f>
        <v>#N/A</v>
      </c>
      <c r="AJ4" s="13" t="e">
        <f>VLOOKUP($B4,baseline!$A:$AK,AJ$2,FALSE)</f>
        <v>#N/A</v>
      </c>
      <c r="AK4" s="13" t="e">
        <f>VLOOKUP($B4,baseline!$A:$AK,AK$2,FALSE)</f>
        <v>#N/A</v>
      </c>
      <c r="AL4" s="13" t="e">
        <f>VLOOKUP($B4,baseline!$A:$AK,AL$2,FALSE)</f>
        <v>#N/A</v>
      </c>
      <c r="AM4" s="13" t="e">
        <f>VLOOKUP($B4,baseline!$A:$AK,AM$2,FALSE)</f>
        <v>#N/A</v>
      </c>
      <c r="AN4" s="13" t="e">
        <f>VLOOKUP($B4,baseline!$A:$AK,AN$2,FALSE)</f>
        <v>#N/A</v>
      </c>
      <c r="AP4" s="3" t="e">
        <f t="shared" ref="AP4:AP30" si="0">AN4/E4</f>
        <v>#N/A</v>
      </c>
    </row>
    <row r="5" spans="1:48" x14ac:dyDescent="0.3">
      <c r="B5" t="s">
        <v>2</v>
      </c>
      <c r="D5" t="s">
        <v>172</v>
      </c>
      <c r="E5" s="13" t="e">
        <f>VLOOKUP($B5,baseline!$A:$AK,E$2,FALSE)</f>
        <v>#N/A</v>
      </c>
      <c r="F5" s="13" t="e">
        <f>VLOOKUP($B5,baseline!$A:$AK,F$2,FALSE)</f>
        <v>#N/A</v>
      </c>
      <c r="G5" s="13" t="e">
        <f>VLOOKUP($B5,baseline!$A:$AK,G$2,FALSE)</f>
        <v>#N/A</v>
      </c>
      <c r="H5" s="13" t="e">
        <f>VLOOKUP($B5,baseline!$A:$AK,H$2,FALSE)</f>
        <v>#N/A</v>
      </c>
      <c r="I5" s="13" t="e">
        <f>VLOOKUP($B5,baseline!$A:$AK,I$2,FALSE)</f>
        <v>#N/A</v>
      </c>
      <c r="J5" s="13" t="e">
        <f>VLOOKUP($B5,baseline!$A:$AK,J$2,FALSE)</f>
        <v>#N/A</v>
      </c>
      <c r="K5" s="13" t="e">
        <f>VLOOKUP($B5,baseline!$A:$AK,K$2,FALSE)</f>
        <v>#N/A</v>
      </c>
      <c r="L5" s="13" t="e">
        <f>VLOOKUP($B5,baseline!$A:$AK,L$2,FALSE)</f>
        <v>#N/A</v>
      </c>
      <c r="M5" s="13" t="e">
        <f>VLOOKUP($B5,baseline!$A:$AK,M$2,FALSE)</f>
        <v>#N/A</v>
      </c>
      <c r="N5" s="13" t="e">
        <f>VLOOKUP($B5,baseline!$A:$AK,N$2,FALSE)</f>
        <v>#N/A</v>
      </c>
      <c r="O5" s="13" t="e">
        <f>VLOOKUP($B5,baseline!$A:$AK,O$2,FALSE)</f>
        <v>#N/A</v>
      </c>
      <c r="P5" s="13" t="e">
        <f>VLOOKUP($B5,baseline!$A:$AK,P$2,FALSE)</f>
        <v>#N/A</v>
      </c>
      <c r="Q5" s="13" t="e">
        <f>VLOOKUP($B5,baseline!$A:$AK,Q$2,FALSE)</f>
        <v>#N/A</v>
      </c>
      <c r="R5" s="13" t="e">
        <f>VLOOKUP($B5,baseline!$A:$AK,R$2,FALSE)</f>
        <v>#N/A</v>
      </c>
      <c r="S5" s="13" t="e">
        <f>VLOOKUP($B5,baseline!$A:$AK,S$2,FALSE)</f>
        <v>#N/A</v>
      </c>
      <c r="T5" s="13" t="e">
        <f>VLOOKUP($B5,baseline!$A:$AK,T$2,FALSE)</f>
        <v>#N/A</v>
      </c>
      <c r="U5" s="13" t="e">
        <f>VLOOKUP($B5,baseline!$A:$AK,U$2,FALSE)</f>
        <v>#N/A</v>
      </c>
      <c r="V5" s="13" t="e">
        <f>VLOOKUP($B5,baseline!$A:$AK,V$2,FALSE)</f>
        <v>#N/A</v>
      </c>
      <c r="W5" s="13" t="e">
        <f>VLOOKUP($B5,baseline!$A:$AK,W$2,FALSE)</f>
        <v>#N/A</v>
      </c>
      <c r="X5" s="13" t="e">
        <f>VLOOKUP($B5,baseline!$A:$AK,X$2,FALSE)</f>
        <v>#N/A</v>
      </c>
      <c r="Y5" s="13" t="e">
        <f>VLOOKUP($B5,baseline!$A:$AK,Y$2,FALSE)</f>
        <v>#N/A</v>
      </c>
      <c r="Z5" s="13" t="e">
        <f>VLOOKUP($B5,baseline!$A:$AK,Z$2,FALSE)</f>
        <v>#N/A</v>
      </c>
      <c r="AA5" s="13" t="e">
        <f>VLOOKUP($B5,baseline!$A:$AK,AA$2,FALSE)</f>
        <v>#N/A</v>
      </c>
      <c r="AB5" s="13" t="e">
        <f>VLOOKUP($B5,baseline!$A:$AK,AB$2,FALSE)</f>
        <v>#N/A</v>
      </c>
      <c r="AC5" s="13" t="e">
        <f>VLOOKUP($B5,baseline!$A:$AK,AC$2,FALSE)</f>
        <v>#N/A</v>
      </c>
      <c r="AD5" s="13" t="e">
        <f>VLOOKUP($B5,baseline!$A:$AK,AD$2,FALSE)</f>
        <v>#N/A</v>
      </c>
      <c r="AE5" s="13" t="e">
        <f>VLOOKUP($B5,baseline!$A:$AK,AE$2,FALSE)</f>
        <v>#N/A</v>
      </c>
      <c r="AF5" s="13" t="e">
        <f>VLOOKUP($B5,baseline!$A:$AK,AF$2,FALSE)</f>
        <v>#N/A</v>
      </c>
      <c r="AG5" s="13" t="e">
        <f>VLOOKUP($B5,baseline!$A:$AK,AG$2,FALSE)</f>
        <v>#N/A</v>
      </c>
      <c r="AH5" s="13" t="e">
        <f>VLOOKUP($B5,baseline!$A:$AK,AH$2,FALSE)</f>
        <v>#N/A</v>
      </c>
      <c r="AI5" s="13" t="e">
        <f>VLOOKUP($B5,baseline!$A:$AK,AI$2,FALSE)</f>
        <v>#N/A</v>
      </c>
      <c r="AJ5" s="13" t="e">
        <f>VLOOKUP($B5,baseline!$A:$AK,AJ$2,FALSE)</f>
        <v>#N/A</v>
      </c>
      <c r="AK5" s="13" t="e">
        <f>VLOOKUP($B5,baseline!$A:$AK,AK$2,FALSE)</f>
        <v>#N/A</v>
      </c>
      <c r="AL5" s="13" t="e">
        <f>VLOOKUP($B5,baseline!$A:$AK,AL$2,FALSE)</f>
        <v>#N/A</v>
      </c>
      <c r="AM5" s="13" t="e">
        <f>VLOOKUP($B5,baseline!$A:$AK,AM$2,FALSE)</f>
        <v>#N/A</v>
      </c>
      <c r="AN5" s="13" t="e">
        <f>VLOOKUP($B5,baseline!$A:$AK,AN$2,FALSE)</f>
        <v>#N/A</v>
      </c>
      <c r="AP5" s="3" t="e">
        <f t="shared" si="0"/>
        <v>#N/A</v>
      </c>
    </row>
    <row r="6" spans="1:48" x14ac:dyDescent="0.3">
      <c r="B6" t="s">
        <v>3</v>
      </c>
      <c r="D6" t="s">
        <v>172</v>
      </c>
      <c r="E6" s="13" t="e">
        <f>VLOOKUP($B6,baseline!$A:$AK,E$2,FALSE)</f>
        <v>#N/A</v>
      </c>
      <c r="F6" s="13" t="e">
        <f>VLOOKUP($B6,baseline!$A:$AK,F$2,FALSE)</f>
        <v>#N/A</v>
      </c>
      <c r="G6" s="13" t="e">
        <f>VLOOKUP($B6,baseline!$A:$AK,G$2,FALSE)</f>
        <v>#N/A</v>
      </c>
      <c r="H6" s="13" t="e">
        <f>VLOOKUP($B6,baseline!$A:$AK,H$2,FALSE)</f>
        <v>#N/A</v>
      </c>
      <c r="I6" s="13" t="e">
        <f>VLOOKUP($B6,baseline!$A:$AK,I$2,FALSE)</f>
        <v>#N/A</v>
      </c>
      <c r="J6" s="13" t="e">
        <f>VLOOKUP($B6,baseline!$A:$AK,J$2,FALSE)</f>
        <v>#N/A</v>
      </c>
      <c r="K6" s="13" t="e">
        <f>VLOOKUP($B6,baseline!$A:$AK,K$2,FALSE)</f>
        <v>#N/A</v>
      </c>
      <c r="L6" s="13" t="e">
        <f>VLOOKUP($B6,baseline!$A:$AK,L$2,FALSE)</f>
        <v>#N/A</v>
      </c>
      <c r="M6" s="13" t="e">
        <f>VLOOKUP($B6,baseline!$A:$AK,M$2,FALSE)</f>
        <v>#N/A</v>
      </c>
      <c r="N6" s="13" t="e">
        <f>VLOOKUP($B6,baseline!$A:$AK,N$2,FALSE)</f>
        <v>#N/A</v>
      </c>
      <c r="O6" s="13" t="e">
        <f>VLOOKUP($B6,baseline!$A:$AK,O$2,FALSE)</f>
        <v>#N/A</v>
      </c>
      <c r="P6" s="13" t="e">
        <f>VLOOKUP($B6,baseline!$A:$AK,P$2,FALSE)</f>
        <v>#N/A</v>
      </c>
      <c r="Q6" s="13" t="e">
        <f>VLOOKUP($B6,baseline!$A:$AK,Q$2,FALSE)</f>
        <v>#N/A</v>
      </c>
      <c r="R6" s="13" t="e">
        <f>VLOOKUP($B6,baseline!$A:$AK,R$2,FALSE)</f>
        <v>#N/A</v>
      </c>
      <c r="S6" s="13" t="e">
        <f>VLOOKUP($B6,baseline!$A:$AK,S$2,FALSE)</f>
        <v>#N/A</v>
      </c>
      <c r="T6" s="13" t="e">
        <f>VLOOKUP($B6,baseline!$A:$AK,T$2,FALSE)</f>
        <v>#N/A</v>
      </c>
      <c r="U6" s="13" t="e">
        <f>VLOOKUP($B6,baseline!$A:$AK,U$2,FALSE)</f>
        <v>#N/A</v>
      </c>
      <c r="V6" s="13" t="e">
        <f>VLOOKUP($B6,baseline!$A:$AK,V$2,FALSE)</f>
        <v>#N/A</v>
      </c>
      <c r="W6" s="13" t="e">
        <f>VLOOKUP($B6,baseline!$A:$AK,W$2,FALSE)</f>
        <v>#N/A</v>
      </c>
      <c r="X6" s="13" t="e">
        <f>VLOOKUP($B6,baseline!$A:$AK,X$2,FALSE)</f>
        <v>#N/A</v>
      </c>
      <c r="Y6" s="13" t="e">
        <f>VLOOKUP($B6,baseline!$A:$AK,Y$2,FALSE)</f>
        <v>#N/A</v>
      </c>
      <c r="Z6" s="13" t="e">
        <f>VLOOKUP($B6,baseline!$A:$AK,Z$2,FALSE)</f>
        <v>#N/A</v>
      </c>
      <c r="AA6" s="13" t="e">
        <f>VLOOKUP($B6,baseline!$A:$AK,AA$2,FALSE)</f>
        <v>#N/A</v>
      </c>
      <c r="AB6" s="13" t="e">
        <f>VLOOKUP($B6,baseline!$A:$AK,AB$2,FALSE)</f>
        <v>#N/A</v>
      </c>
      <c r="AC6" s="13" t="e">
        <f>VLOOKUP($B6,baseline!$A:$AK,AC$2,FALSE)</f>
        <v>#N/A</v>
      </c>
      <c r="AD6" s="13" t="e">
        <f>VLOOKUP($B6,baseline!$A:$AK,AD$2,FALSE)</f>
        <v>#N/A</v>
      </c>
      <c r="AE6" s="13" t="e">
        <f>VLOOKUP($B6,baseline!$A:$AK,AE$2,FALSE)</f>
        <v>#N/A</v>
      </c>
      <c r="AF6" s="13" t="e">
        <f>VLOOKUP($B6,baseline!$A:$AK,AF$2,FALSE)</f>
        <v>#N/A</v>
      </c>
      <c r="AG6" s="13" t="e">
        <f>VLOOKUP($B6,baseline!$A:$AK,AG$2,FALSE)</f>
        <v>#N/A</v>
      </c>
      <c r="AH6" s="13" t="e">
        <f>VLOOKUP($B6,baseline!$A:$AK,AH$2,FALSE)</f>
        <v>#N/A</v>
      </c>
      <c r="AI6" s="13" t="e">
        <f>VLOOKUP($B6,baseline!$A:$AK,AI$2,FALSE)</f>
        <v>#N/A</v>
      </c>
      <c r="AJ6" s="13" t="e">
        <f>VLOOKUP($B6,baseline!$A:$AK,AJ$2,FALSE)</f>
        <v>#N/A</v>
      </c>
      <c r="AK6" s="13" t="e">
        <f>VLOOKUP($B6,baseline!$A:$AK,AK$2,FALSE)</f>
        <v>#N/A</v>
      </c>
      <c r="AL6" s="13" t="e">
        <f>VLOOKUP($B6,baseline!$A:$AK,AL$2,FALSE)</f>
        <v>#N/A</v>
      </c>
      <c r="AM6" s="13" t="e">
        <f>VLOOKUP($B6,baseline!$A:$AK,AM$2,FALSE)</f>
        <v>#N/A</v>
      </c>
      <c r="AN6" s="13" t="e">
        <f>VLOOKUP($B6,baseline!$A:$AK,AN$2,FALSE)</f>
        <v>#N/A</v>
      </c>
      <c r="AP6" s="3" t="e">
        <f t="shared" si="0"/>
        <v>#N/A</v>
      </c>
    </row>
    <row r="7" spans="1:48" x14ac:dyDescent="0.3">
      <c r="B7" t="s">
        <v>4</v>
      </c>
      <c r="D7" t="s">
        <v>172</v>
      </c>
      <c r="E7" s="13" t="e">
        <f>VLOOKUP($B7,baseline!$A:$AK,E$2,FALSE)</f>
        <v>#N/A</v>
      </c>
      <c r="F7" s="13" t="e">
        <f>VLOOKUP($B7,baseline!$A:$AK,F$2,FALSE)</f>
        <v>#N/A</v>
      </c>
      <c r="G7" s="13" t="e">
        <f>VLOOKUP($B7,baseline!$A:$AK,G$2,FALSE)</f>
        <v>#N/A</v>
      </c>
      <c r="H7" s="13" t="e">
        <f>VLOOKUP($B7,baseline!$A:$AK,H$2,FALSE)</f>
        <v>#N/A</v>
      </c>
      <c r="I7" s="13" t="e">
        <f>VLOOKUP($B7,baseline!$A:$AK,I$2,FALSE)</f>
        <v>#N/A</v>
      </c>
      <c r="J7" s="13" t="e">
        <f>VLOOKUP($B7,baseline!$A:$AK,J$2,FALSE)</f>
        <v>#N/A</v>
      </c>
      <c r="K7" s="13" t="e">
        <f>VLOOKUP($B7,baseline!$A:$AK,K$2,FALSE)</f>
        <v>#N/A</v>
      </c>
      <c r="L7" s="13" t="e">
        <f>VLOOKUP($B7,baseline!$A:$AK,L$2,FALSE)</f>
        <v>#N/A</v>
      </c>
      <c r="M7" s="13" t="e">
        <f>VLOOKUP($B7,baseline!$A:$AK,M$2,FALSE)</f>
        <v>#N/A</v>
      </c>
      <c r="N7" s="13" t="e">
        <f>VLOOKUP($B7,baseline!$A:$AK,N$2,FALSE)</f>
        <v>#N/A</v>
      </c>
      <c r="O7" s="13" t="e">
        <f>VLOOKUP($B7,baseline!$A:$AK,O$2,FALSE)</f>
        <v>#N/A</v>
      </c>
      <c r="P7" s="13" t="e">
        <f>VLOOKUP($B7,baseline!$A:$AK,P$2,FALSE)</f>
        <v>#N/A</v>
      </c>
      <c r="Q7" s="13" t="e">
        <f>VLOOKUP($B7,baseline!$A:$AK,Q$2,FALSE)</f>
        <v>#N/A</v>
      </c>
      <c r="R7" s="13" t="e">
        <f>VLOOKUP($B7,baseline!$A:$AK,R$2,FALSE)</f>
        <v>#N/A</v>
      </c>
      <c r="S7" s="13" t="e">
        <f>VLOOKUP($B7,baseline!$A:$AK,S$2,FALSE)</f>
        <v>#N/A</v>
      </c>
      <c r="T7" s="13" t="e">
        <f>VLOOKUP($B7,baseline!$A:$AK,T$2,FALSE)</f>
        <v>#N/A</v>
      </c>
      <c r="U7" s="13" t="e">
        <f>VLOOKUP($B7,baseline!$A:$AK,U$2,FALSE)</f>
        <v>#N/A</v>
      </c>
      <c r="V7" s="13" t="e">
        <f>VLOOKUP($B7,baseline!$A:$AK,V$2,FALSE)</f>
        <v>#N/A</v>
      </c>
      <c r="W7" s="13" t="e">
        <f>VLOOKUP($B7,baseline!$A:$AK,W$2,FALSE)</f>
        <v>#N/A</v>
      </c>
      <c r="X7" s="13" t="e">
        <f>VLOOKUP($B7,baseline!$A:$AK,X$2,FALSE)</f>
        <v>#N/A</v>
      </c>
      <c r="Y7" s="13" t="e">
        <f>VLOOKUP($B7,baseline!$A:$AK,Y$2,FALSE)</f>
        <v>#N/A</v>
      </c>
      <c r="Z7" s="13" t="e">
        <f>VLOOKUP($B7,baseline!$A:$AK,Z$2,FALSE)</f>
        <v>#N/A</v>
      </c>
      <c r="AA7" s="13" t="e">
        <f>VLOOKUP($B7,baseline!$A:$AK,AA$2,FALSE)</f>
        <v>#N/A</v>
      </c>
      <c r="AB7" s="13" t="e">
        <f>VLOOKUP($B7,baseline!$A:$AK,AB$2,FALSE)</f>
        <v>#N/A</v>
      </c>
      <c r="AC7" s="13" t="e">
        <f>VLOOKUP($B7,baseline!$A:$AK,AC$2,FALSE)</f>
        <v>#N/A</v>
      </c>
      <c r="AD7" s="13" t="e">
        <f>VLOOKUP($B7,baseline!$A:$AK,AD$2,FALSE)</f>
        <v>#N/A</v>
      </c>
      <c r="AE7" s="13" t="e">
        <f>VLOOKUP($B7,baseline!$A:$AK,AE$2,FALSE)</f>
        <v>#N/A</v>
      </c>
      <c r="AF7" s="13" t="e">
        <f>VLOOKUP($B7,baseline!$A:$AK,AF$2,FALSE)</f>
        <v>#N/A</v>
      </c>
      <c r="AG7" s="13" t="e">
        <f>VLOOKUP($B7,baseline!$A:$AK,AG$2,FALSE)</f>
        <v>#N/A</v>
      </c>
      <c r="AH7" s="13" t="e">
        <f>VLOOKUP($B7,baseline!$A:$AK,AH$2,FALSE)</f>
        <v>#N/A</v>
      </c>
      <c r="AI7" s="13" t="e">
        <f>VLOOKUP($B7,baseline!$A:$AK,AI$2,FALSE)</f>
        <v>#N/A</v>
      </c>
      <c r="AJ7" s="13" t="e">
        <f>VLOOKUP($B7,baseline!$A:$AK,AJ$2,FALSE)</f>
        <v>#N/A</v>
      </c>
      <c r="AK7" s="13" t="e">
        <f>VLOOKUP($B7,baseline!$A:$AK,AK$2,FALSE)</f>
        <v>#N/A</v>
      </c>
      <c r="AL7" s="13" t="e">
        <f>VLOOKUP($B7,baseline!$A:$AK,AL$2,FALSE)</f>
        <v>#N/A</v>
      </c>
      <c r="AM7" s="13" t="e">
        <f>VLOOKUP($B7,baseline!$A:$AK,AM$2,FALSE)</f>
        <v>#N/A</v>
      </c>
      <c r="AN7" s="13" t="e">
        <f>VLOOKUP($B7,baseline!$A:$AK,AN$2,FALSE)</f>
        <v>#N/A</v>
      </c>
      <c r="AP7" s="3" t="e">
        <f t="shared" si="0"/>
        <v>#N/A</v>
      </c>
    </row>
    <row r="8" spans="1:48" x14ac:dyDescent="0.3">
      <c r="B8" t="s">
        <v>5</v>
      </c>
      <c r="D8" t="s">
        <v>172</v>
      </c>
      <c r="E8" s="13" t="e">
        <f>VLOOKUP($B8,baseline!$A:$AK,E$2,FALSE)</f>
        <v>#N/A</v>
      </c>
      <c r="F8" s="13" t="e">
        <f>VLOOKUP($B8,baseline!$A:$AK,F$2,FALSE)</f>
        <v>#N/A</v>
      </c>
      <c r="G8" s="13" t="e">
        <f>VLOOKUP($B8,baseline!$A:$AK,G$2,FALSE)</f>
        <v>#N/A</v>
      </c>
      <c r="H8" s="13" t="e">
        <f>VLOOKUP($B8,baseline!$A:$AK,H$2,FALSE)</f>
        <v>#N/A</v>
      </c>
      <c r="I8" s="13" t="e">
        <f>VLOOKUP($B8,baseline!$A:$AK,I$2,FALSE)</f>
        <v>#N/A</v>
      </c>
      <c r="J8" s="13" t="e">
        <f>VLOOKUP($B8,baseline!$A:$AK,J$2,FALSE)</f>
        <v>#N/A</v>
      </c>
      <c r="K8" s="13" t="e">
        <f>VLOOKUP($B8,baseline!$A:$AK,K$2,FALSE)</f>
        <v>#N/A</v>
      </c>
      <c r="L8" s="13" t="e">
        <f>VLOOKUP($B8,baseline!$A:$AK,L$2,FALSE)</f>
        <v>#N/A</v>
      </c>
      <c r="M8" s="13" t="e">
        <f>VLOOKUP($B8,baseline!$A:$AK,M$2,FALSE)</f>
        <v>#N/A</v>
      </c>
      <c r="N8" s="13" t="e">
        <f>VLOOKUP($B8,baseline!$A:$AK,N$2,FALSE)</f>
        <v>#N/A</v>
      </c>
      <c r="O8" s="13" t="e">
        <f>VLOOKUP($B8,baseline!$A:$AK,O$2,FALSE)</f>
        <v>#N/A</v>
      </c>
      <c r="P8" s="13" t="e">
        <f>VLOOKUP($B8,baseline!$A:$AK,P$2,FALSE)</f>
        <v>#N/A</v>
      </c>
      <c r="Q8" s="13" t="e">
        <f>VLOOKUP($B8,baseline!$A:$AK,Q$2,FALSE)</f>
        <v>#N/A</v>
      </c>
      <c r="R8" s="13" t="e">
        <f>VLOOKUP($B8,baseline!$A:$AK,R$2,FALSE)</f>
        <v>#N/A</v>
      </c>
      <c r="S8" s="13" t="e">
        <f>VLOOKUP($B8,baseline!$A:$AK,S$2,FALSE)</f>
        <v>#N/A</v>
      </c>
      <c r="T8" s="13" t="e">
        <f>VLOOKUP($B8,baseline!$A:$AK,T$2,FALSE)</f>
        <v>#N/A</v>
      </c>
      <c r="U8" s="13" t="e">
        <f>VLOOKUP($B8,baseline!$A:$AK,U$2,FALSE)</f>
        <v>#N/A</v>
      </c>
      <c r="V8" s="13" t="e">
        <f>VLOOKUP($B8,baseline!$A:$AK,V$2,FALSE)</f>
        <v>#N/A</v>
      </c>
      <c r="W8" s="13" t="e">
        <f>VLOOKUP($B8,baseline!$A:$AK,W$2,FALSE)</f>
        <v>#N/A</v>
      </c>
      <c r="X8" s="13" t="e">
        <f>VLOOKUP($B8,baseline!$A:$AK,X$2,FALSE)</f>
        <v>#N/A</v>
      </c>
      <c r="Y8" s="13" t="e">
        <f>VLOOKUP($B8,baseline!$A:$AK,Y$2,FALSE)</f>
        <v>#N/A</v>
      </c>
      <c r="Z8" s="13" t="e">
        <f>VLOOKUP($B8,baseline!$A:$AK,Z$2,FALSE)</f>
        <v>#N/A</v>
      </c>
      <c r="AA8" s="13" t="e">
        <f>VLOOKUP($B8,baseline!$A:$AK,AA$2,FALSE)</f>
        <v>#N/A</v>
      </c>
      <c r="AB8" s="13" t="e">
        <f>VLOOKUP($B8,baseline!$A:$AK,AB$2,FALSE)</f>
        <v>#N/A</v>
      </c>
      <c r="AC8" s="13" t="e">
        <f>VLOOKUP($B8,baseline!$A:$AK,AC$2,FALSE)</f>
        <v>#N/A</v>
      </c>
      <c r="AD8" s="13" t="e">
        <f>VLOOKUP($B8,baseline!$A:$AK,AD$2,FALSE)</f>
        <v>#N/A</v>
      </c>
      <c r="AE8" s="13" t="e">
        <f>VLOOKUP($B8,baseline!$A:$AK,AE$2,FALSE)</f>
        <v>#N/A</v>
      </c>
      <c r="AF8" s="13" t="e">
        <f>VLOOKUP($B8,baseline!$A:$AK,AF$2,FALSE)</f>
        <v>#N/A</v>
      </c>
      <c r="AG8" s="13" t="e">
        <f>VLOOKUP($B8,baseline!$A:$AK,AG$2,FALSE)</f>
        <v>#N/A</v>
      </c>
      <c r="AH8" s="13" t="e">
        <f>VLOOKUP($B8,baseline!$A:$AK,AH$2,FALSE)</f>
        <v>#N/A</v>
      </c>
      <c r="AI8" s="13" t="e">
        <f>VLOOKUP($B8,baseline!$A:$AK,AI$2,FALSE)</f>
        <v>#N/A</v>
      </c>
      <c r="AJ8" s="13" t="e">
        <f>VLOOKUP($B8,baseline!$A:$AK,AJ$2,FALSE)</f>
        <v>#N/A</v>
      </c>
      <c r="AK8" s="13" t="e">
        <f>VLOOKUP($B8,baseline!$A:$AK,AK$2,FALSE)</f>
        <v>#N/A</v>
      </c>
      <c r="AL8" s="13" t="e">
        <f>VLOOKUP($B8,baseline!$A:$AK,AL$2,FALSE)</f>
        <v>#N/A</v>
      </c>
      <c r="AM8" s="13" t="e">
        <f>VLOOKUP($B8,baseline!$A:$AK,AM$2,FALSE)</f>
        <v>#N/A</v>
      </c>
      <c r="AN8" s="13" t="e">
        <f>VLOOKUP($B8,baseline!$A:$AK,AN$2,FALSE)</f>
        <v>#N/A</v>
      </c>
      <c r="AP8" s="3" t="e">
        <f t="shared" si="0"/>
        <v>#N/A</v>
      </c>
    </row>
    <row r="9" spans="1:48" x14ac:dyDescent="0.3">
      <c r="B9" t="s">
        <v>6</v>
      </c>
      <c r="D9" t="s">
        <v>172</v>
      </c>
      <c r="E9" s="13" t="e">
        <f>VLOOKUP($B9,baseline!$A:$AK,E$2,FALSE)</f>
        <v>#N/A</v>
      </c>
      <c r="F9" s="13" t="e">
        <f>VLOOKUP($B9,baseline!$A:$AK,F$2,FALSE)</f>
        <v>#N/A</v>
      </c>
      <c r="G9" s="13" t="e">
        <f>VLOOKUP($B9,baseline!$A:$AK,G$2,FALSE)</f>
        <v>#N/A</v>
      </c>
      <c r="H9" s="13" t="e">
        <f>VLOOKUP($B9,baseline!$A:$AK,H$2,FALSE)</f>
        <v>#N/A</v>
      </c>
      <c r="I9" s="13" t="e">
        <f>VLOOKUP($B9,baseline!$A:$AK,I$2,FALSE)</f>
        <v>#N/A</v>
      </c>
      <c r="J9" s="13" t="e">
        <f>VLOOKUP($B9,baseline!$A:$AK,J$2,FALSE)</f>
        <v>#N/A</v>
      </c>
      <c r="K9" s="13" t="e">
        <f>VLOOKUP($B9,baseline!$A:$AK,K$2,FALSE)</f>
        <v>#N/A</v>
      </c>
      <c r="L9" s="13" t="e">
        <f>VLOOKUP($B9,baseline!$A:$AK,L$2,FALSE)</f>
        <v>#N/A</v>
      </c>
      <c r="M9" s="13" t="e">
        <f>VLOOKUP($B9,baseline!$A:$AK,M$2,FALSE)</f>
        <v>#N/A</v>
      </c>
      <c r="N9" s="13" t="e">
        <f>VLOOKUP($B9,baseline!$A:$AK,N$2,FALSE)</f>
        <v>#N/A</v>
      </c>
      <c r="O9" s="13" t="e">
        <f>VLOOKUP($B9,baseline!$A:$AK,O$2,FALSE)</f>
        <v>#N/A</v>
      </c>
      <c r="P9" s="13" t="e">
        <f>VLOOKUP($B9,baseline!$A:$AK,P$2,FALSE)</f>
        <v>#N/A</v>
      </c>
      <c r="Q9" s="13" t="e">
        <f>VLOOKUP($B9,baseline!$A:$AK,Q$2,FALSE)</f>
        <v>#N/A</v>
      </c>
      <c r="R9" s="13" t="e">
        <f>VLOOKUP($B9,baseline!$A:$AK,R$2,FALSE)</f>
        <v>#N/A</v>
      </c>
      <c r="S9" s="13" t="e">
        <f>VLOOKUP($B9,baseline!$A:$AK,S$2,FALSE)</f>
        <v>#N/A</v>
      </c>
      <c r="T9" s="13" t="e">
        <f>VLOOKUP($B9,baseline!$A:$AK,T$2,FALSE)</f>
        <v>#N/A</v>
      </c>
      <c r="U9" s="13" t="e">
        <f>VLOOKUP($B9,baseline!$A:$AK,U$2,FALSE)</f>
        <v>#N/A</v>
      </c>
      <c r="V9" s="13" t="e">
        <f>VLOOKUP($B9,baseline!$A:$AK,V$2,FALSE)</f>
        <v>#N/A</v>
      </c>
      <c r="W9" s="13" t="e">
        <f>VLOOKUP($B9,baseline!$A:$AK,W$2,FALSE)</f>
        <v>#N/A</v>
      </c>
      <c r="X9" s="13" t="e">
        <f>VLOOKUP($B9,baseline!$A:$AK,X$2,FALSE)</f>
        <v>#N/A</v>
      </c>
      <c r="Y9" s="13" t="e">
        <f>VLOOKUP($B9,baseline!$A:$AK,Y$2,FALSE)</f>
        <v>#N/A</v>
      </c>
      <c r="Z9" s="13" t="e">
        <f>VLOOKUP($B9,baseline!$A:$AK,Z$2,FALSE)</f>
        <v>#N/A</v>
      </c>
      <c r="AA9" s="13" t="e">
        <f>VLOOKUP($B9,baseline!$A:$AK,AA$2,FALSE)</f>
        <v>#N/A</v>
      </c>
      <c r="AB9" s="13" t="e">
        <f>VLOOKUP($B9,baseline!$A:$AK,AB$2,FALSE)</f>
        <v>#N/A</v>
      </c>
      <c r="AC9" s="13" t="e">
        <f>VLOOKUP($B9,baseline!$A:$AK,AC$2,FALSE)</f>
        <v>#N/A</v>
      </c>
      <c r="AD9" s="13" t="e">
        <f>VLOOKUP($B9,baseline!$A:$AK,AD$2,FALSE)</f>
        <v>#N/A</v>
      </c>
      <c r="AE9" s="13" t="e">
        <f>VLOOKUP($B9,baseline!$A:$AK,AE$2,FALSE)</f>
        <v>#N/A</v>
      </c>
      <c r="AF9" s="13" t="e">
        <f>VLOOKUP($B9,baseline!$A:$AK,AF$2,FALSE)</f>
        <v>#N/A</v>
      </c>
      <c r="AG9" s="13" t="e">
        <f>VLOOKUP($B9,baseline!$A:$AK,AG$2,FALSE)</f>
        <v>#N/A</v>
      </c>
      <c r="AH9" s="13" t="e">
        <f>VLOOKUP($B9,baseline!$A:$AK,AH$2,FALSE)</f>
        <v>#N/A</v>
      </c>
      <c r="AI9" s="13" t="e">
        <f>VLOOKUP($B9,baseline!$A:$AK,AI$2,FALSE)</f>
        <v>#N/A</v>
      </c>
      <c r="AJ9" s="13" t="e">
        <f>VLOOKUP($B9,baseline!$A:$AK,AJ$2,FALSE)</f>
        <v>#N/A</v>
      </c>
      <c r="AK9" s="13" t="e">
        <f>VLOOKUP($B9,baseline!$A:$AK,AK$2,FALSE)</f>
        <v>#N/A</v>
      </c>
      <c r="AL9" s="13" t="e">
        <f>VLOOKUP($B9,baseline!$A:$AK,AL$2,FALSE)</f>
        <v>#N/A</v>
      </c>
      <c r="AM9" s="13" t="e">
        <f>VLOOKUP($B9,baseline!$A:$AK,AM$2,FALSE)</f>
        <v>#N/A</v>
      </c>
      <c r="AN9" s="13" t="e">
        <f>VLOOKUP($B9,baseline!$A:$AK,AN$2,FALSE)</f>
        <v>#N/A</v>
      </c>
      <c r="AP9" s="3" t="e">
        <f t="shared" si="0"/>
        <v>#N/A</v>
      </c>
    </row>
    <row r="10" spans="1:48" x14ac:dyDescent="0.3">
      <c r="B10" t="s">
        <v>7</v>
      </c>
      <c r="D10" t="s">
        <v>172</v>
      </c>
      <c r="E10" s="13" t="e">
        <f>VLOOKUP($B10,baseline!$A:$AK,E$2,FALSE)</f>
        <v>#N/A</v>
      </c>
      <c r="F10" s="13" t="e">
        <f>VLOOKUP($B10,baseline!$A:$AK,F$2,FALSE)</f>
        <v>#N/A</v>
      </c>
      <c r="G10" s="13" t="e">
        <f>VLOOKUP($B10,baseline!$A:$AK,G$2,FALSE)</f>
        <v>#N/A</v>
      </c>
      <c r="H10" s="13" t="e">
        <f>VLOOKUP($B10,baseline!$A:$AK,H$2,FALSE)</f>
        <v>#N/A</v>
      </c>
      <c r="I10" s="13" t="e">
        <f>VLOOKUP($B10,baseline!$A:$AK,I$2,FALSE)</f>
        <v>#N/A</v>
      </c>
      <c r="J10" s="13" t="e">
        <f>VLOOKUP($B10,baseline!$A:$AK,J$2,FALSE)</f>
        <v>#N/A</v>
      </c>
      <c r="K10" s="13" t="e">
        <f>VLOOKUP($B10,baseline!$A:$AK,K$2,FALSE)</f>
        <v>#N/A</v>
      </c>
      <c r="L10" s="13" t="e">
        <f>VLOOKUP($B10,baseline!$A:$AK,L$2,FALSE)</f>
        <v>#N/A</v>
      </c>
      <c r="M10" s="13" t="e">
        <f>VLOOKUP($B10,baseline!$A:$AK,M$2,FALSE)</f>
        <v>#N/A</v>
      </c>
      <c r="N10" s="13" t="e">
        <f>VLOOKUP($B10,baseline!$A:$AK,N$2,FALSE)</f>
        <v>#N/A</v>
      </c>
      <c r="O10" s="13" t="e">
        <f>VLOOKUP($B10,baseline!$A:$AK,O$2,FALSE)</f>
        <v>#N/A</v>
      </c>
      <c r="P10" s="13" t="e">
        <f>VLOOKUP($B10,baseline!$A:$AK,P$2,FALSE)</f>
        <v>#N/A</v>
      </c>
      <c r="Q10" s="13" t="e">
        <f>VLOOKUP($B10,baseline!$A:$AK,Q$2,FALSE)</f>
        <v>#N/A</v>
      </c>
      <c r="R10" s="13" t="e">
        <f>VLOOKUP($B10,baseline!$A:$AK,R$2,FALSE)</f>
        <v>#N/A</v>
      </c>
      <c r="S10" s="13" t="e">
        <f>VLOOKUP($B10,baseline!$A:$AK,S$2,FALSE)</f>
        <v>#N/A</v>
      </c>
      <c r="T10" s="13" t="e">
        <f>VLOOKUP($B10,baseline!$A:$AK,T$2,FALSE)</f>
        <v>#N/A</v>
      </c>
      <c r="U10" s="13" t="e">
        <f>VLOOKUP($B10,baseline!$A:$AK,U$2,FALSE)</f>
        <v>#N/A</v>
      </c>
      <c r="V10" s="13" t="e">
        <f>VLOOKUP($B10,baseline!$A:$AK,V$2,FALSE)</f>
        <v>#N/A</v>
      </c>
      <c r="W10" s="13" t="e">
        <f>VLOOKUP($B10,baseline!$A:$AK,W$2,FALSE)</f>
        <v>#N/A</v>
      </c>
      <c r="X10" s="13" t="e">
        <f>VLOOKUP($B10,baseline!$A:$AK,X$2,FALSE)</f>
        <v>#N/A</v>
      </c>
      <c r="Y10" s="13" t="e">
        <f>VLOOKUP($B10,baseline!$A:$AK,Y$2,FALSE)</f>
        <v>#N/A</v>
      </c>
      <c r="Z10" s="13" t="e">
        <f>VLOOKUP($B10,baseline!$A:$AK,Z$2,FALSE)</f>
        <v>#N/A</v>
      </c>
      <c r="AA10" s="13" t="e">
        <f>VLOOKUP($B10,baseline!$A:$AK,AA$2,FALSE)</f>
        <v>#N/A</v>
      </c>
      <c r="AB10" s="13" t="e">
        <f>VLOOKUP($B10,baseline!$A:$AK,AB$2,FALSE)</f>
        <v>#N/A</v>
      </c>
      <c r="AC10" s="13" t="e">
        <f>VLOOKUP($B10,baseline!$A:$AK,AC$2,FALSE)</f>
        <v>#N/A</v>
      </c>
      <c r="AD10" s="13" t="e">
        <f>VLOOKUP($B10,baseline!$A:$AK,AD$2,FALSE)</f>
        <v>#N/A</v>
      </c>
      <c r="AE10" s="13" t="e">
        <f>VLOOKUP($B10,baseline!$A:$AK,AE$2,FALSE)</f>
        <v>#N/A</v>
      </c>
      <c r="AF10" s="13" t="e">
        <f>VLOOKUP($B10,baseline!$A:$AK,AF$2,FALSE)</f>
        <v>#N/A</v>
      </c>
      <c r="AG10" s="13" t="e">
        <f>VLOOKUP($B10,baseline!$A:$AK,AG$2,FALSE)</f>
        <v>#N/A</v>
      </c>
      <c r="AH10" s="13" t="e">
        <f>VLOOKUP($B10,baseline!$A:$AK,AH$2,FALSE)</f>
        <v>#N/A</v>
      </c>
      <c r="AI10" s="13" t="e">
        <f>VLOOKUP($B10,baseline!$A:$AK,AI$2,FALSE)</f>
        <v>#N/A</v>
      </c>
      <c r="AJ10" s="13" t="e">
        <f>VLOOKUP($B10,baseline!$A:$AK,AJ$2,FALSE)</f>
        <v>#N/A</v>
      </c>
      <c r="AK10" s="13" t="e">
        <f>VLOOKUP($B10,baseline!$A:$AK,AK$2,FALSE)</f>
        <v>#N/A</v>
      </c>
      <c r="AL10" s="13" t="e">
        <f>VLOOKUP($B10,baseline!$A:$AK,AL$2,FALSE)</f>
        <v>#N/A</v>
      </c>
      <c r="AM10" s="13" t="e">
        <f>VLOOKUP($B10,baseline!$A:$AK,AM$2,FALSE)</f>
        <v>#N/A</v>
      </c>
      <c r="AN10" s="13" t="e">
        <f>VLOOKUP($B10,baseline!$A:$AK,AN$2,FALSE)</f>
        <v>#N/A</v>
      </c>
      <c r="AP10" s="3" t="e">
        <f t="shared" si="0"/>
        <v>#N/A</v>
      </c>
    </row>
    <row r="11" spans="1:48" x14ac:dyDescent="0.3">
      <c r="B11" t="s">
        <v>8</v>
      </c>
      <c r="D11" t="s">
        <v>172</v>
      </c>
      <c r="E11" s="13" t="e">
        <f>VLOOKUP($B11,baseline!$A:$AK,E$2,FALSE)</f>
        <v>#N/A</v>
      </c>
      <c r="F11" s="13" t="e">
        <f>VLOOKUP($B11,baseline!$A:$AK,F$2,FALSE)</f>
        <v>#N/A</v>
      </c>
      <c r="G11" s="13" t="e">
        <f>VLOOKUP($B11,baseline!$A:$AK,G$2,FALSE)</f>
        <v>#N/A</v>
      </c>
      <c r="H11" s="13" t="e">
        <f>VLOOKUP($B11,baseline!$A:$AK,H$2,FALSE)</f>
        <v>#N/A</v>
      </c>
      <c r="I11" s="13" t="e">
        <f>VLOOKUP($B11,baseline!$A:$AK,I$2,FALSE)</f>
        <v>#N/A</v>
      </c>
      <c r="J11" s="13" t="e">
        <f>VLOOKUP($B11,baseline!$A:$AK,J$2,FALSE)</f>
        <v>#N/A</v>
      </c>
      <c r="K11" s="13" t="e">
        <f>VLOOKUP($B11,baseline!$A:$AK,K$2,FALSE)</f>
        <v>#N/A</v>
      </c>
      <c r="L11" s="13" t="e">
        <f>VLOOKUP($B11,baseline!$A:$AK,L$2,FALSE)</f>
        <v>#N/A</v>
      </c>
      <c r="M11" s="13" t="e">
        <f>VLOOKUP($B11,baseline!$A:$AK,M$2,FALSE)</f>
        <v>#N/A</v>
      </c>
      <c r="N11" s="13" t="e">
        <f>VLOOKUP($B11,baseline!$A:$AK,N$2,FALSE)</f>
        <v>#N/A</v>
      </c>
      <c r="O11" s="13" t="e">
        <f>VLOOKUP($B11,baseline!$A:$AK,O$2,FALSE)</f>
        <v>#N/A</v>
      </c>
      <c r="P11" s="13" t="e">
        <f>VLOOKUP($B11,baseline!$A:$AK,P$2,FALSE)</f>
        <v>#N/A</v>
      </c>
      <c r="Q11" s="13" t="e">
        <f>VLOOKUP($B11,baseline!$A:$AK,Q$2,FALSE)</f>
        <v>#N/A</v>
      </c>
      <c r="R11" s="13" t="e">
        <f>VLOOKUP($B11,baseline!$A:$AK,R$2,FALSE)</f>
        <v>#N/A</v>
      </c>
      <c r="S11" s="13" t="e">
        <f>VLOOKUP($B11,baseline!$A:$AK,S$2,FALSE)</f>
        <v>#N/A</v>
      </c>
      <c r="T11" s="13" t="e">
        <f>VLOOKUP($B11,baseline!$A:$AK,T$2,FALSE)</f>
        <v>#N/A</v>
      </c>
      <c r="U11" s="13" t="e">
        <f>VLOOKUP($B11,baseline!$A:$AK,U$2,FALSE)</f>
        <v>#N/A</v>
      </c>
      <c r="V11" s="13" t="e">
        <f>VLOOKUP($B11,baseline!$A:$AK,V$2,FALSE)</f>
        <v>#N/A</v>
      </c>
      <c r="W11" s="13" t="e">
        <f>VLOOKUP($B11,baseline!$A:$AK,W$2,FALSE)</f>
        <v>#N/A</v>
      </c>
      <c r="X11" s="13" t="e">
        <f>VLOOKUP($B11,baseline!$A:$AK,X$2,FALSE)</f>
        <v>#N/A</v>
      </c>
      <c r="Y11" s="13" t="e">
        <f>VLOOKUP($B11,baseline!$A:$AK,Y$2,FALSE)</f>
        <v>#N/A</v>
      </c>
      <c r="Z11" s="13" t="e">
        <f>VLOOKUP($B11,baseline!$A:$AK,Z$2,FALSE)</f>
        <v>#N/A</v>
      </c>
      <c r="AA11" s="13" t="e">
        <f>VLOOKUP($B11,baseline!$A:$AK,AA$2,FALSE)</f>
        <v>#N/A</v>
      </c>
      <c r="AB11" s="13" t="e">
        <f>VLOOKUP($B11,baseline!$A:$AK,AB$2,FALSE)</f>
        <v>#N/A</v>
      </c>
      <c r="AC11" s="13" t="e">
        <f>VLOOKUP($B11,baseline!$A:$AK,AC$2,FALSE)</f>
        <v>#N/A</v>
      </c>
      <c r="AD11" s="13" t="e">
        <f>VLOOKUP($B11,baseline!$A:$AK,AD$2,FALSE)</f>
        <v>#N/A</v>
      </c>
      <c r="AE11" s="13" t="e">
        <f>VLOOKUP($B11,baseline!$A:$AK,AE$2,FALSE)</f>
        <v>#N/A</v>
      </c>
      <c r="AF11" s="13" t="e">
        <f>VLOOKUP($B11,baseline!$A:$AK,AF$2,FALSE)</f>
        <v>#N/A</v>
      </c>
      <c r="AG11" s="13" t="e">
        <f>VLOOKUP($B11,baseline!$A:$AK,AG$2,FALSE)</f>
        <v>#N/A</v>
      </c>
      <c r="AH11" s="13" t="e">
        <f>VLOOKUP($B11,baseline!$A:$AK,AH$2,FALSE)</f>
        <v>#N/A</v>
      </c>
      <c r="AI11" s="13" t="e">
        <f>VLOOKUP($B11,baseline!$A:$AK,AI$2,FALSE)</f>
        <v>#N/A</v>
      </c>
      <c r="AJ11" s="13" t="e">
        <f>VLOOKUP($B11,baseline!$A:$AK,AJ$2,FALSE)</f>
        <v>#N/A</v>
      </c>
      <c r="AK11" s="13" t="e">
        <f>VLOOKUP($B11,baseline!$A:$AK,AK$2,FALSE)</f>
        <v>#N/A</v>
      </c>
      <c r="AL11" s="13" t="e">
        <f>VLOOKUP($B11,baseline!$A:$AK,AL$2,FALSE)</f>
        <v>#N/A</v>
      </c>
      <c r="AM11" s="13" t="e">
        <f>VLOOKUP($B11,baseline!$A:$AK,AM$2,FALSE)</f>
        <v>#N/A</v>
      </c>
      <c r="AN11" s="13" t="e">
        <f>VLOOKUP($B11,baseline!$A:$AK,AN$2,FALSE)</f>
        <v>#N/A</v>
      </c>
      <c r="AP11" s="3" t="e">
        <f t="shared" si="0"/>
        <v>#N/A</v>
      </c>
    </row>
    <row r="12" spans="1:48" x14ac:dyDescent="0.3">
      <c r="B12" t="s">
        <v>9</v>
      </c>
      <c r="D12" t="s">
        <v>172</v>
      </c>
      <c r="E12" s="13" t="e">
        <f>VLOOKUP($B12,baseline!$A:$AK,E$2,FALSE)</f>
        <v>#N/A</v>
      </c>
      <c r="F12" s="13" t="e">
        <f>VLOOKUP($B12,baseline!$A:$AK,F$2,FALSE)</f>
        <v>#N/A</v>
      </c>
      <c r="G12" s="13" t="e">
        <f>VLOOKUP($B12,baseline!$A:$AK,G$2,FALSE)</f>
        <v>#N/A</v>
      </c>
      <c r="H12" s="13" t="e">
        <f>VLOOKUP($B12,baseline!$A:$AK,H$2,FALSE)</f>
        <v>#N/A</v>
      </c>
      <c r="I12" s="13" t="e">
        <f>VLOOKUP($B12,baseline!$A:$AK,I$2,FALSE)</f>
        <v>#N/A</v>
      </c>
      <c r="J12" s="13" t="e">
        <f>VLOOKUP($B12,baseline!$A:$AK,J$2,FALSE)</f>
        <v>#N/A</v>
      </c>
      <c r="K12" s="13" t="e">
        <f>VLOOKUP($B12,baseline!$A:$AK,K$2,FALSE)</f>
        <v>#N/A</v>
      </c>
      <c r="L12" s="13" t="e">
        <f>VLOOKUP($B12,baseline!$A:$AK,L$2,FALSE)</f>
        <v>#N/A</v>
      </c>
      <c r="M12" s="13" t="e">
        <f>VLOOKUP($B12,baseline!$A:$AK,M$2,FALSE)</f>
        <v>#N/A</v>
      </c>
      <c r="N12" s="13" t="e">
        <f>VLOOKUP($B12,baseline!$A:$AK,N$2,FALSE)</f>
        <v>#N/A</v>
      </c>
      <c r="O12" s="13" t="e">
        <f>VLOOKUP($B12,baseline!$A:$AK,O$2,FALSE)</f>
        <v>#N/A</v>
      </c>
      <c r="P12" s="13" t="e">
        <f>VLOOKUP($B12,baseline!$A:$AK,P$2,FALSE)</f>
        <v>#N/A</v>
      </c>
      <c r="Q12" s="13" t="e">
        <f>VLOOKUP($B12,baseline!$A:$AK,Q$2,FALSE)</f>
        <v>#N/A</v>
      </c>
      <c r="R12" s="13" t="e">
        <f>VLOOKUP($B12,baseline!$A:$AK,R$2,FALSE)</f>
        <v>#N/A</v>
      </c>
      <c r="S12" s="13" t="e">
        <f>VLOOKUP($B12,baseline!$A:$AK,S$2,FALSE)</f>
        <v>#N/A</v>
      </c>
      <c r="T12" s="13" t="e">
        <f>VLOOKUP($B12,baseline!$A:$AK,T$2,FALSE)</f>
        <v>#N/A</v>
      </c>
      <c r="U12" s="13" t="e">
        <f>VLOOKUP($B12,baseline!$A:$AK,U$2,FALSE)</f>
        <v>#N/A</v>
      </c>
      <c r="V12" s="13" t="e">
        <f>VLOOKUP($B12,baseline!$A:$AK,V$2,FALSE)</f>
        <v>#N/A</v>
      </c>
      <c r="W12" s="13" t="e">
        <f>VLOOKUP($B12,baseline!$A:$AK,W$2,FALSE)</f>
        <v>#N/A</v>
      </c>
      <c r="X12" s="13" t="e">
        <f>VLOOKUP($B12,baseline!$A:$AK,X$2,FALSE)</f>
        <v>#N/A</v>
      </c>
      <c r="Y12" s="13" t="e">
        <f>VLOOKUP($B12,baseline!$A:$AK,Y$2,FALSE)</f>
        <v>#N/A</v>
      </c>
      <c r="Z12" s="13" t="e">
        <f>VLOOKUP($B12,baseline!$A:$AK,Z$2,FALSE)</f>
        <v>#N/A</v>
      </c>
      <c r="AA12" s="13" t="e">
        <f>VLOOKUP($B12,baseline!$A:$AK,AA$2,FALSE)</f>
        <v>#N/A</v>
      </c>
      <c r="AB12" s="13" t="e">
        <f>VLOOKUP($B12,baseline!$A:$AK,AB$2,FALSE)</f>
        <v>#N/A</v>
      </c>
      <c r="AC12" s="13" t="e">
        <f>VLOOKUP($B12,baseline!$A:$AK,AC$2,FALSE)</f>
        <v>#N/A</v>
      </c>
      <c r="AD12" s="13" t="e">
        <f>VLOOKUP($B12,baseline!$A:$AK,AD$2,FALSE)</f>
        <v>#N/A</v>
      </c>
      <c r="AE12" s="13" t="e">
        <f>VLOOKUP($B12,baseline!$A:$AK,AE$2,FALSE)</f>
        <v>#N/A</v>
      </c>
      <c r="AF12" s="13" t="e">
        <f>VLOOKUP($B12,baseline!$A:$AK,AF$2,FALSE)</f>
        <v>#N/A</v>
      </c>
      <c r="AG12" s="13" t="e">
        <f>VLOOKUP($B12,baseline!$A:$AK,AG$2,FALSE)</f>
        <v>#N/A</v>
      </c>
      <c r="AH12" s="13" t="e">
        <f>VLOOKUP($B12,baseline!$A:$AK,AH$2,FALSE)</f>
        <v>#N/A</v>
      </c>
      <c r="AI12" s="13" t="e">
        <f>VLOOKUP($B12,baseline!$A:$AK,AI$2,FALSE)</f>
        <v>#N/A</v>
      </c>
      <c r="AJ12" s="13" t="e">
        <f>VLOOKUP($B12,baseline!$A:$AK,AJ$2,FALSE)</f>
        <v>#N/A</v>
      </c>
      <c r="AK12" s="13" t="e">
        <f>VLOOKUP($B12,baseline!$A:$AK,AK$2,FALSE)</f>
        <v>#N/A</v>
      </c>
      <c r="AL12" s="13" t="e">
        <f>VLOOKUP($B12,baseline!$A:$AK,AL$2,FALSE)</f>
        <v>#N/A</v>
      </c>
      <c r="AM12" s="13" t="e">
        <f>VLOOKUP($B12,baseline!$A:$AK,AM$2,FALSE)</f>
        <v>#N/A</v>
      </c>
      <c r="AN12" s="13" t="e">
        <f>VLOOKUP($B12,baseline!$A:$AK,AN$2,FALSE)</f>
        <v>#N/A</v>
      </c>
      <c r="AP12" s="3" t="e">
        <f t="shared" si="0"/>
        <v>#N/A</v>
      </c>
    </row>
    <row r="13" spans="1:48" x14ac:dyDescent="0.3">
      <c r="B13" t="s">
        <v>10</v>
      </c>
      <c r="D13" t="s">
        <v>172</v>
      </c>
      <c r="E13" s="13" t="e">
        <f>VLOOKUP($B13,baseline!$A:$AK,E$2,FALSE)</f>
        <v>#N/A</v>
      </c>
      <c r="F13" s="13" t="e">
        <f>VLOOKUP($B13,baseline!$A:$AK,F$2,FALSE)</f>
        <v>#N/A</v>
      </c>
      <c r="G13" s="13" t="e">
        <f>VLOOKUP($B13,baseline!$A:$AK,G$2,FALSE)</f>
        <v>#N/A</v>
      </c>
      <c r="H13" s="13" t="e">
        <f>VLOOKUP($B13,baseline!$A:$AK,H$2,FALSE)</f>
        <v>#N/A</v>
      </c>
      <c r="I13" s="13" t="e">
        <f>VLOOKUP($B13,baseline!$A:$AK,I$2,FALSE)</f>
        <v>#N/A</v>
      </c>
      <c r="J13" s="13" t="e">
        <f>VLOOKUP($B13,baseline!$A:$AK,J$2,FALSE)</f>
        <v>#N/A</v>
      </c>
      <c r="K13" s="13" t="e">
        <f>VLOOKUP($B13,baseline!$A:$AK,K$2,FALSE)</f>
        <v>#N/A</v>
      </c>
      <c r="L13" s="13" t="e">
        <f>VLOOKUP($B13,baseline!$A:$AK,L$2,FALSE)</f>
        <v>#N/A</v>
      </c>
      <c r="M13" s="13" t="e">
        <f>VLOOKUP($B13,baseline!$A:$AK,M$2,FALSE)</f>
        <v>#N/A</v>
      </c>
      <c r="N13" s="13" t="e">
        <f>VLOOKUP($B13,baseline!$A:$AK,N$2,FALSE)</f>
        <v>#N/A</v>
      </c>
      <c r="O13" s="13" t="e">
        <f>VLOOKUP($B13,baseline!$A:$AK,O$2,FALSE)</f>
        <v>#N/A</v>
      </c>
      <c r="P13" s="13" t="e">
        <f>VLOOKUP($B13,baseline!$A:$AK,P$2,FALSE)</f>
        <v>#N/A</v>
      </c>
      <c r="Q13" s="13" t="e">
        <f>VLOOKUP($B13,baseline!$A:$AK,Q$2,FALSE)</f>
        <v>#N/A</v>
      </c>
      <c r="R13" s="13" t="e">
        <f>VLOOKUP($B13,baseline!$A:$AK,R$2,FALSE)</f>
        <v>#N/A</v>
      </c>
      <c r="S13" s="13" t="e">
        <f>VLOOKUP($B13,baseline!$A:$AK,S$2,FALSE)</f>
        <v>#N/A</v>
      </c>
      <c r="T13" s="13" t="e">
        <f>VLOOKUP($B13,baseline!$A:$AK,T$2,FALSE)</f>
        <v>#N/A</v>
      </c>
      <c r="U13" s="13" t="e">
        <f>VLOOKUP($B13,baseline!$A:$AK,U$2,FALSE)</f>
        <v>#N/A</v>
      </c>
      <c r="V13" s="13" t="e">
        <f>VLOOKUP($B13,baseline!$A:$AK,V$2,FALSE)</f>
        <v>#N/A</v>
      </c>
      <c r="W13" s="13" t="e">
        <f>VLOOKUP($B13,baseline!$A:$AK,W$2,FALSE)</f>
        <v>#N/A</v>
      </c>
      <c r="X13" s="13" t="e">
        <f>VLOOKUP($B13,baseline!$A:$AK,X$2,FALSE)</f>
        <v>#N/A</v>
      </c>
      <c r="Y13" s="13" t="e">
        <f>VLOOKUP($B13,baseline!$A:$AK,Y$2,FALSE)</f>
        <v>#N/A</v>
      </c>
      <c r="Z13" s="13" t="e">
        <f>VLOOKUP($B13,baseline!$A:$AK,Z$2,FALSE)</f>
        <v>#N/A</v>
      </c>
      <c r="AA13" s="13" t="e">
        <f>VLOOKUP($B13,baseline!$A:$AK,AA$2,FALSE)</f>
        <v>#N/A</v>
      </c>
      <c r="AB13" s="13" t="e">
        <f>VLOOKUP($B13,baseline!$A:$AK,AB$2,FALSE)</f>
        <v>#N/A</v>
      </c>
      <c r="AC13" s="13" t="e">
        <f>VLOOKUP($B13,baseline!$A:$AK,AC$2,FALSE)</f>
        <v>#N/A</v>
      </c>
      <c r="AD13" s="13" t="e">
        <f>VLOOKUP($B13,baseline!$A:$AK,AD$2,FALSE)</f>
        <v>#N/A</v>
      </c>
      <c r="AE13" s="13" t="e">
        <f>VLOOKUP($B13,baseline!$A:$AK,AE$2,FALSE)</f>
        <v>#N/A</v>
      </c>
      <c r="AF13" s="13" t="e">
        <f>VLOOKUP($B13,baseline!$A:$AK,AF$2,FALSE)</f>
        <v>#N/A</v>
      </c>
      <c r="AG13" s="13" t="e">
        <f>VLOOKUP($B13,baseline!$A:$AK,AG$2,FALSE)</f>
        <v>#N/A</v>
      </c>
      <c r="AH13" s="13" t="e">
        <f>VLOOKUP($B13,baseline!$A:$AK,AH$2,FALSE)</f>
        <v>#N/A</v>
      </c>
      <c r="AI13" s="13" t="e">
        <f>VLOOKUP($B13,baseline!$A:$AK,AI$2,FALSE)</f>
        <v>#N/A</v>
      </c>
      <c r="AJ13" s="13" t="e">
        <f>VLOOKUP($B13,baseline!$A:$AK,AJ$2,FALSE)</f>
        <v>#N/A</v>
      </c>
      <c r="AK13" s="13" t="e">
        <f>VLOOKUP($B13,baseline!$A:$AK,AK$2,FALSE)</f>
        <v>#N/A</v>
      </c>
      <c r="AL13" s="13" t="e">
        <f>VLOOKUP($B13,baseline!$A:$AK,AL$2,FALSE)</f>
        <v>#N/A</v>
      </c>
      <c r="AM13" s="13" t="e">
        <f>VLOOKUP($B13,baseline!$A:$AK,AM$2,FALSE)</f>
        <v>#N/A</v>
      </c>
      <c r="AN13" s="13" t="e">
        <f>VLOOKUP($B13,baseline!$A:$AK,AN$2,FALSE)</f>
        <v>#N/A</v>
      </c>
      <c r="AP13" s="3" t="e">
        <f t="shared" si="0"/>
        <v>#N/A</v>
      </c>
    </row>
    <row r="14" spans="1:48" x14ac:dyDescent="0.3">
      <c r="B14" t="s">
        <v>11</v>
      </c>
      <c r="D14" t="s">
        <v>172</v>
      </c>
      <c r="E14" s="13" t="e">
        <f>VLOOKUP($B14,baseline!$A:$AK,E$2,FALSE)</f>
        <v>#N/A</v>
      </c>
      <c r="F14" s="13" t="e">
        <f>VLOOKUP($B14,baseline!$A:$AK,F$2,FALSE)</f>
        <v>#N/A</v>
      </c>
      <c r="G14" s="13" t="e">
        <f>VLOOKUP($B14,baseline!$A:$AK,G$2,FALSE)</f>
        <v>#N/A</v>
      </c>
      <c r="H14" s="13" t="e">
        <f>VLOOKUP($B14,baseline!$A:$AK,H$2,FALSE)</f>
        <v>#N/A</v>
      </c>
      <c r="I14" s="13" t="e">
        <f>VLOOKUP($B14,baseline!$A:$AK,I$2,FALSE)</f>
        <v>#N/A</v>
      </c>
      <c r="J14" s="13" t="e">
        <f>VLOOKUP($B14,baseline!$A:$AK,J$2,FALSE)</f>
        <v>#N/A</v>
      </c>
      <c r="K14" s="13" t="e">
        <f>VLOOKUP($B14,baseline!$A:$AK,K$2,FALSE)</f>
        <v>#N/A</v>
      </c>
      <c r="L14" s="13" t="e">
        <f>VLOOKUP($B14,baseline!$A:$AK,L$2,FALSE)</f>
        <v>#N/A</v>
      </c>
      <c r="M14" s="13" t="e">
        <f>VLOOKUP($B14,baseline!$A:$AK,M$2,FALSE)</f>
        <v>#N/A</v>
      </c>
      <c r="N14" s="13" t="e">
        <f>VLOOKUP($B14,baseline!$A:$AK,N$2,FALSE)</f>
        <v>#N/A</v>
      </c>
      <c r="O14" s="13" t="e">
        <f>VLOOKUP($B14,baseline!$A:$AK,O$2,FALSE)</f>
        <v>#N/A</v>
      </c>
      <c r="P14" s="13" t="e">
        <f>VLOOKUP($B14,baseline!$A:$AK,P$2,FALSE)</f>
        <v>#N/A</v>
      </c>
      <c r="Q14" s="13" t="e">
        <f>VLOOKUP($B14,baseline!$A:$AK,Q$2,FALSE)</f>
        <v>#N/A</v>
      </c>
      <c r="R14" s="13" t="e">
        <f>VLOOKUP($B14,baseline!$A:$AK,R$2,FALSE)</f>
        <v>#N/A</v>
      </c>
      <c r="S14" s="13" t="e">
        <f>VLOOKUP($B14,baseline!$A:$AK,S$2,FALSE)</f>
        <v>#N/A</v>
      </c>
      <c r="T14" s="13" t="e">
        <f>VLOOKUP($B14,baseline!$A:$AK,T$2,FALSE)</f>
        <v>#N/A</v>
      </c>
      <c r="U14" s="13" t="e">
        <f>VLOOKUP($B14,baseline!$A:$AK,U$2,FALSE)</f>
        <v>#N/A</v>
      </c>
      <c r="V14" s="13" t="e">
        <f>VLOOKUP($B14,baseline!$A:$AK,V$2,FALSE)</f>
        <v>#N/A</v>
      </c>
      <c r="W14" s="13" t="e">
        <f>VLOOKUP($B14,baseline!$A:$AK,W$2,FALSE)</f>
        <v>#N/A</v>
      </c>
      <c r="X14" s="13" t="e">
        <f>VLOOKUP($B14,baseline!$A:$AK,X$2,FALSE)</f>
        <v>#N/A</v>
      </c>
      <c r="Y14" s="13" t="e">
        <f>VLOOKUP($B14,baseline!$A:$AK,Y$2,FALSE)</f>
        <v>#N/A</v>
      </c>
      <c r="Z14" s="13" t="e">
        <f>VLOOKUP($B14,baseline!$A:$AK,Z$2,FALSE)</f>
        <v>#N/A</v>
      </c>
      <c r="AA14" s="13" t="e">
        <f>VLOOKUP($B14,baseline!$A:$AK,AA$2,FALSE)</f>
        <v>#N/A</v>
      </c>
      <c r="AB14" s="13" t="e">
        <f>VLOOKUP($B14,baseline!$A:$AK,AB$2,FALSE)</f>
        <v>#N/A</v>
      </c>
      <c r="AC14" s="13" t="e">
        <f>VLOOKUP($B14,baseline!$A:$AK,AC$2,FALSE)</f>
        <v>#N/A</v>
      </c>
      <c r="AD14" s="13" t="e">
        <f>VLOOKUP($B14,baseline!$A:$AK,AD$2,FALSE)</f>
        <v>#N/A</v>
      </c>
      <c r="AE14" s="13" t="e">
        <f>VLOOKUP($B14,baseline!$A:$AK,AE$2,FALSE)</f>
        <v>#N/A</v>
      </c>
      <c r="AF14" s="13" t="e">
        <f>VLOOKUP($B14,baseline!$A:$AK,AF$2,FALSE)</f>
        <v>#N/A</v>
      </c>
      <c r="AG14" s="13" t="e">
        <f>VLOOKUP($B14,baseline!$A:$AK,AG$2,FALSE)</f>
        <v>#N/A</v>
      </c>
      <c r="AH14" s="13" t="e">
        <f>VLOOKUP($B14,baseline!$A:$AK,AH$2,FALSE)</f>
        <v>#N/A</v>
      </c>
      <c r="AI14" s="13" t="e">
        <f>VLOOKUP($B14,baseline!$A:$AK,AI$2,FALSE)</f>
        <v>#N/A</v>
      </c>
      <c r="AJ14" s="13" t="e">
        <f>VLOOKUP($B14,baseline!$A:$AK,AJ$2,FALSE)</f>
        <v>#N/A</v>
      </c>
      <c r="AK14" s="13" t="e">
        <f>VLOOKUP($B14,baseline!$A:$AK,AK$2,FALSE)</f>
        <v>#N/A</v>
      </c>
      <c r="AL14" s="13" t="e">
        <f>VLOOKUP($B14,baseline!$A:$AK,AL$2,FALSE)</f>
        <v>#N/A</v>
      </c>
      <c r="AM14" s="13" t="e">
        <f>VLOOKUP($B14,baseline!$A:$AK,AM$2,FALSE)</f>
        <v>#N/A</v>
      </c>
      <c r="AN14" s="13" t="e">
        <f>VLOOKUP($B14,baseline!$A:$AK,AN$2,FALSE)</f>
        <v>#N/A</v>
      </c>
      <c r="AP14" s="3" t="e">
        <f t="shared" si="0"/>
        <v>#N/A</v>
      </c>
    </row>
    <row r="15" spans="1:48" x14ac:dyDescent="0.3">
      <c r="B15" t="s">
        <v>12</v>
      </c>
      <c r="D15" t="s">
        <v>172</v>
      </c>
      <c r="E15" s="13" t="e">
        <f>VLOOKUP($B15,baseline!$A:$AK,E$2,FALSE)</f>
        <v>#N/A</v>
      </c>
      <c r="F15" s="13" t="e">
        <f>VLOOKUP($B15,baseline!$A:$AK,F$2,FALSE)</f>
        <v>#N/A</v>
      </c>
      <c r="G15" s="13" t="e">
        <f>VLOOKUP($B15,baseline!$A:$AK,G$2,FALSE)</f>
        <v>#N/A</v>
      </c>
      <c r="H15" s="13" t="e">
        <f>VLOOKUP($B15,baseline!$A:$AK,H$2,FALSE)</f>
        <v>#N/A</v>
      </c>
      <c r="I15" s="13" t="e">
        <f>VLOOKUP($B15,baseline!$A:$AK,I$2,FALSE)</f>
        <v>#N/A</v>
      </c>
      <c r="J15" s="13" t="e">
        <f>VLOOKUP($B15,baseline!$A:$AK,J$2,FALSE)</f>
        <v>#N/A</v>
      </c>
      <c r="K15" s="13" t="e">
        <f>VLOOKUP($B15,baseline!$A:$AK,K$2,FALSE)</f>
        <v>#N/A</v>
      </c>
      <c r="L15" s="13" t="e">
        <f>VLOOKUP($B15,baseline!$A:$AK,L$2,FALSE)</f>
        <v>#N/A</v>
      </c>
      <c r="M15" s="13" t="e">
        <f>VLOOKUP($B15,baseline!$A:$AK,M$2,FALSE)</f>
        <v>#N/A</v>
      </c>
      <c r="N15" s="13" t="e">
        <f>VLOOKUP($B15,baseline!$A:$AK,N$2,FALSE)</f>
        <v>#N/A</v>
      </c>
      <c r="O15" s="13" t="e">
        <f>VLOOKUP($B15,baseline!$A:$AK,O$2,FALSE)</f>
        <v>#N/A</v>
      </c>
      <c r="P15" s="13" t="e">
        <f>VLOOKUP($B15,baseline!$A:$AK,P$2,FALSE)</f>
        <v>#N/A</v>
      </c>
      <c r="Q15" s="13" t="e">
        <f>VLOOKUP($B15,baseline!$A:$AK,Q$2,FALSE)</f>
        <v>#N/A</v>
      </c>
      <c r="R15" s="13" t="e">
        <f>VLOOKUP($B15,baseline!$A:$AK,R$2,FALSE)</f>
        <v>#N/A</v>
      </c>
      <c r="S15" s="13" t="e">
        <f>VLOOKUP($B15,baseline!$A:$AK,S$2,FALSE)</f>
        <v>#N/A</v>
      </c>
      <c r="T15" s="13" t="e">
        <f>VLOOKUP($B15,baseline!$A:$AK,T$2,FALSE)</f>
        <v>#N/A</v>
      </c>
      <c r="U15" s="13" t="e">
        <f>VLOOKUP($B15,baseline!$A:$AK,U$2,FALSE)</f>
        <v>#N/A</v>
      </c>
      <c r="V15" s="13" t="e">
        <f>VLOOKUP($B15,baseline!$A:$AK,V$2,FALSE)</f>
        <v>#N/A</v>
      </c>
      <c r="W15" s="13" t="e">
        <f>VLOOKUP($B15,baseline!$A:$AK,W$2,FALSE)</f>
        <v>#N/A</v>
      </c>
      <c r="X15" s="13" t="e">
        <f>VLOOKUP($B15,baseline!$A:$AK,X$2,FALSE)</f>
        <v>#N/A</v>
      </c>
      <c r="Y15" s="13" t="e">
        <f>VLOOKUP($B15,baseline!$A:$AK,Y$2,FALSE)</f>
        <v>#N/A</v>
      </c>
      <c r="Z15" s="13" t="e">
        <f>VLOOKUP($B15,baseline!$A:$AK,Z$2,FALSE)</f>
        <v>#N/A</v>
      </c>
      <c r="AA15" s="13" t="e">
        <f>VLOOKUP($B15,baseline!$A:$AK,AA$2,FALSE)</f>
        <v>#N/A</v>
      </c>
      <c r="AB15" s="13" t="e">
        <f>VLOOKUP($B15,baseline!$A:$AK,AB$2,FALSE)</f>
        <v>#N/A</v>
      </c>
      <c r="AC15" s="13" t="e">
        <f>VLOOKUP($B15,baseline!$A:$AK,AC$2,FALSE)</f>
        <v>#N/A</v>
      </c>
      <c r="AD15" s="13" t="e">
        <f>VLOOKUP($B15,baseline!$A:$AK,AD$2,FALSE)</f>
        <v>#N/A</v>
      </c>
      <c r="AE15" s="13" t="e">
        <f>VLOOKUP($B15,baseline!$A:$AK,AE$2,FALSE)</f>
        <v>#N/A</v>
      </c>
      <c r="AF15" s="13" t="e">
        <f>VLOOKUP($B15,baseline!$A:$AK,AF$2,FALSE)</f>
        <v>#N/A</v>
      </c>
      <c r="AG15" s="13" t="e">
        <f>VLOOKUP($B15,baseline!$A:$AK,AG$2,FALSE)</f>
        <v>#N/A</v>
      </c>
      <c r="AH15" s="13" t="e">
        <f>VLOOKUP($B15,baseline!$A:$AK,AH$2,FALSE)</f>
        <v>#N/A</v>
      </c>
      <c r="AI15" s="13" t="e">
        <f>VLOOKUP($B15,baseline!$A:$AK,AI$2,FALSE)</f>
        <v>#N/A</v>
      </c>
      <c r="AJ15" s="13" t="e">
        <f>VLOOKUP($B15,baseline!$A:$AK,AJ$2,FALSE)</f>
        <v>#N/A</v>
      </c>
      <c r="AK15" s="13" t="e">
        <f>VLOOKUP($B15,baseline!$A:$AK,AK$2,FALSE)</f>
        <v>#N/A</v>
      </c>
      <c r="AL15" s="13" t="e">
        <f>VLOOKUP($B15,baseline!$A:$AK,AL$2,FALSE)</f>
        <v>#N/A</v>
      </c>
      <c r="AM15" s="13" t="e">
        <f>VLOOKUP($B15,baseline!$A:$AK,AM$2,FALSE)</f>
        <v>#N/A</v>
      </c>
      <c r="AN15" s="13" t="e">
        <f>VLOOKUP($B15,baseline!$A:$AK,AN$2,FALSE)</f>
        <v>#N/A</v>
      </c>
      <c r="AP15" s="3" t="e">
        <f t="shared" si="0"/>
        <v>#N/A</v>
      </c>
    </row>
    <row r="16" spans="1:48" x14ac:dyDescent="0.3">
      <c r="B16" t="s">
        <v>13</v>
      </c>
      <c r="D16" t="s">
        <v>172</v>
      </c>
      <c r="E16" s="13" t="e">
        <f>VLOOKUP($B16,baseline!$A:$AK,E$2,FALSE)</f>
        <v>#N/A</v>
      </c>
      <c r="F16" s="13" t="e">
        <f>VLOOKUP($B16,baseline!$A:$AK,F$2,FALSE)</f>
        <v>#N/A</v>
      </c>
      <c r="G16" s="13" t="e">
        <f>VLOOKUP($B16,baseline!$A:$AK,G$2,FALSE)</f>
        <v>#N/A</v>
      </c>
      <c r="H16" s="13" t="e">
        <f>VLOOKUP($B16,baseline!$A:$AK,H$2,FALSE)</f>
        <v>#N/A</v>
      </c>
      <c r="I16" s="13" t="e">
        <f>VLOOKUP($B16,baseline!$A:$AK,I$2,FALSE)</f>
        <v>#N/A</v>
      </c>
      <c r="J16" s="13" t="e">
        <f>VLOOKUP($B16,baseline!$A:$AK,J$2,FALSE)</f>
        <v>#N/A</v>
      </c>
      <c r="K16" s="13" t="e">
        <f>VLOOKUP($B16,baseline!$A:$AK,K$2,FALSE)</f>
        <v>#N/A</v>
      </c>
      <c r="L16" s="13" t="e">
        <f>VLOOKUP($B16,baseline!$A:$AK,L$2,FALSE)</f>
        <v>#N/A</v>
      </c>
      <c r="M16" s="13" t="e">
        <f>VLOOKUP($B16,baseline!$A:$AK,M$2,FALSE)</f>
        <v>#N/A</v>
      </c>
      <c r="N16" s="13" t="e">
        <f>VLOOKUP($B16,baseline!$A:$AK,N$2,FALSE)</f>
        <v>#N/A</v>
      </c>
      <c r="O16" s="13" t="e">
        <f>VLOOKUP($B16,baseline!$A:$AK,O$2,FALSE)</f>
        <v>#N/A</v>
      </c>
      <c r="P16" s="13" t="e">
        <f>VLOOKUP($B16,baseline!$A:$AK,P$2,FALSE)</f>
        <v>#N/A</v>
      </c>
      <c r="Q16" s="13" t="e">
        <f>VLOOKUP($B16,baseline!$A:$AK,Q$2,FALSE)</f>
        <v>#N/A</v>
      </c>
      <c r="R16" s="13" t="e">
        <f>VLOOKUP($B16,baseline!$A:$AK,R$2,FALSE)</f>
        <v>#N/A</v>
      </c>
      <c r="S16" s="13" t="e">
        <f>VLOOKUP($B16,baseline!$A:$AK,S$2,FALSE)</f>
        <v>#N/A</v>
      </c>
      <c r="T16" s="13" t="e">
        <f>VLOOKUP($B16,baseline!$A:$AK,T$2,FALSE)</f>
        <v>#N/A</v>
      </c>
      <c r="U16" s="13" t="e">
        <f>VLOOKUP($B16,baseline!$A:$AK,U$2,FALSE)</f>
        <v>#N/A</v>
      </c>
      <c r="V16" s="13" t="e">
        <f>VLOOKUP($B16,baseline!$A:$AK,V$2,FALSE)</f>
        <v>#N/A</v>
      </c>
      <c r="W16" s="13" t="e">
        <f>VLOOKUP($B16,baseline!$A:$AK,W$2,FALSE)</f>
        <v>#N/A</v>
      </c>
      <c r="X16" s="13" t="e">
        <f>VLOOKUP($B16,baseline!$A:$AK,X$2,FALSE)</f>
        <v>#N/A</v>
      </c>
      <c r="Y16" s="13" t="e">
        <f>VLOOKUP($B16,baseline!$A:$AK,Y$2,FALSE)</f>
        <v>#N/A</v>
      </c>
      <c r="Z16" s="13" t="e">
        <f>VLOOKUP($B16,baseline!$A:$AK,Z$2,FALSE)</f>
        <v>#N/A</v>
      </c>
      <c r="AA16" s="13" t="e">
        <f>VLOOKUP($B16,baseline!$A:$AK,AA$2,FALSE)</f>
        <v>#N/A</v>
      </c>
      <c r="AB16" s="13" t="e">
        <f>VLOOKUP($B16,baseline!$A:$AK,AB$2,FALSE)</f>
        <v>#N/A</v>
      </c>
      <c r="AC16" s="13" t="e">
        <f>VLOOKUP($B16,baseline!$A:$AK,AC$2,FALSE)</f>
        <v>#N/A</v>
      </c>
      <c r="AD16" s="13" t="e">
        <f>VLOOKUP($B16,baseline!$A:$AK,AD$2,FALSE)</f>
        <v>#N/A</v>
      </c>
      <c r="AE16" s="13" t="e">
        <f>VLOOKUP($B16,baseline!$A:$AK,AE$2,FALSE)</f>
        <v>#N/A</v>
      </c>
      <c r="AF16" s="13" t="e">
        <f>VLOOKUP($B16,baseline!$A:$AK,AF$2,FALSE)</f>
        <v>#N/A</v>
      </c>
      <c r="AG16" s="13" t="e">
        <f>VLOOKUP($B16,baseline!$A:$AK,AG$2,FALSE)</f>
        <v>#N/A</v>
      </c>
      <c r="AH16" s="13" t="e">
        <f>VLOOKUP($B16,baseline!$A:$AK,AH$2,FALSE)</f>
        <v>#N/A</v>
      </c>
      <c r="AI16" s="13" t="e">
        <f>VLOOKUP($B16,baseline!$A:$AK,AI$2,FALSE)</f>
        <v>#N/A</v>
      </c>
      <c r="AJ16" s="13" t="e">
        <f>VLOOKUP($B16,baseline!$A:$AK,AJ$2,FALSE)</f>
        <v>#N/A</v>
      </c>
      <c r="AK16" s="13" t="e">
        <f>VLOOKUP($B16,baseline!$A:$AK,AK$2,FALSE)</f>
        <v>#N/A</v>
      </c>
      <c r="AL16" s="13" t="e">
        <f>VLOOKUP($B16,baseline!$A:$AK,AL$2,FALSE)</f>
        <v>#N/A</v>
      </c>
      <c r="AM16" s="13" t="e">
        <f>VLOOKUP($B16,baseline!$A:$AK,AM$2,FALSE)</f>
        <v>#N/A</v>
      </c>
      <c r="AN16" s="13" t="e">
        <f>VLOOKUP($B16,baseline!$A:$AK,AN$2,FALSE)</f>
        <v>#N/A</v>
      </c>
      <c r="AP16" s="3" t="e">
        <f t="shared" si="0"/>
        <v>#N/A</v>
      </c>
    </row>
    <row r="17" spans="1:48" x14ac:dyDescent="0.3">
      <c r="B17" t="s">
        <v>14</v>
      </c>
      <c r="D17" t="s">
        <v>172</v>
      </c>
      <c r="E17" s="13" t="e">
        <f>VLOOKUP($B17,baseline!$A:$AK,E$2,FALSE)</f>
        <v>#N/A</v>
      </c>
      <c r="F17" s="13" t="e">
        <f>VLOOKUP($B17,baseline!$A:$AK,F$2,FALSE)</f>
        <v>#N/A</v>
      </c>
      <c r="G17" s="13" t="e">
        <f>VLOOKUP($B17,baseline!$A:$AK,G$2,FALSE)</f>
        <v>#N/A</v>
      </c>
      <c r="H17" s="13" t="e">
        <f>VLOOKUP($B17,baseline!$A:$AK,H$2,FALSE)</f>
        <v>#N/A</v>
      </c>
      <c r="I17" s="13" t="e">
        <f>VLOOKUP($B17,baseline!$A:$AK,I$2,FALSE)</f>
        <v>#N/A</v>
      </c>
      <c r="J17" s="13" t="e">
        <f>VLOOKUP($B17,baseline!$A:$AK,J$2,FALSE)</f>
        <v>#N/A</v>
      </c>
      <c r="K17" s="13" t="e">
        <f>VLOOKUP($B17,baseline!$A:$AK,K$2,FALSE)</f>
        <v>#N/A</v>
      </c>
      <c r="L17" s="13" t="e">
        <f>VLOOKUP($B17,baseline!$A:$AK,L$2,FALSE)</f>
        <v>#N/A</v>
      </c>
      <c r="M17" s="13" t="e">
        <f>VLOOKUP($B17,baseline!$A:$AK,M$2,FALSE)</f>
        <v>#N/A</v>
      </c>
      <c r="N17" s="13" t="e">
        <f>VLOOKUP($B17,baseline!$A:$AK,N$2,FALSE)</f>
        <v>#N/A</v>
      </c>
      <c r="O17" s="13" t="e">
        <f>VLOOKUP($B17,baseline!$A:$AK,O$2,FALSE)</f>
        <v>#N/A</v>
      </c>
      <c r="P17" s="13" t="e">
        <f>VLOOKUP($B17,baseline!$A:$AK,P$2,FALSE)</f>
        <v>#N/A</v>
      </c>
      <c r="Q17" s="13" t="e">
        <f>VLOOKUP($B17,baseline!$A:$AK,Q$2,FALSE)</f>
        <v>#N/A</v>
      </c>
      <c r="R17" s="13" t="e">
        <f>VLOOKUP($B17,baseline!$A:$AK,R$2,FALSE)</f>
        <v>#N/A</v>
      </c>
      <c r="S17" s="13" t="e">
        <f>VLOOKUP($B17,baseline!$A:$AK,S$2,FALSE)</f>
        <v>#N/A</v>
      </c>
      <c r="T17" s="13" t="e">
        <f>VLOOKUP($B17,baseline!$A:$AK,T$2,FALSE)</f>
        <v>#N/A</v>
      </c>
      <c r="U17" s="13" t="e">
        <f>VLOOKUP($B17,baseline!$A:$AK,U$2,FALSE)</f>
        <v>#N/A</v>
      </c>
      <c r="V17" s="13" t="e">
        <f>VLOOKUP($B17,baseline!$A:$AK,V$2,FALSE)</f>
        <v>#N/A</v>
      </c>
      <c r="W17" s="13" t="e">
        <f>VLOOKUP($B17,baseline!$A:$AK,W$2,FALSE)</f>
        <v>#N/A</v>
      </c>
      <c r="X17" s="13" t="e">
        <f>VLOOKUP($B17,baseline!$A:$AK,X$2,FALSE)</f>
        <v>#N/A</v>
      </c>
      <c r="Y17" s="13" t="e">
        <f>VLOOKUP($B17,baseline!$A:$AK,Y$2,FALSE)</f>
        <v>#N/A</v>
      </c>
      <c r="Z17" s="13" t="e">
        <f>VLOOKUP($B17,baseline!$A:$AK,Z$2,FALSE)</f>
        <v>#N/A</v>
      </c>
      <c r="AA17" s="13" t="e">
        <f>VLOOKUP($B17,baseline!$A:$AK,AA$2,FALSE)</f>
        <v>#N/A</v>
      </c>
      <c r="AB17" s="13" t="e">
        <f>VLOOKUP($B17,baseline!$A:$AK,AB$2,FALSE)</f>
        <v>#N/A</v>
      </c>
      <c r="AC17" s="13" t="e">
        <f>VLOOKUP($B17,baseline!$A:$AK,AC$2,FALSE)</f>
        <v>#N/A</v>
      </c>
      <c r="AD17" s="13" t="e">
        <f>VLOOKUP($B17,baseline!$A:$AK,AD$2,FALSE)</f>
        <v>#N/A</v>
      </c>
      <c r="AE17" s="13" t="e">
        <f>VLOOKUP($B17,baseline!$A:$AK,AE$2,FALSE)</f>
        <v>#N/A</v>
      </c>
      <c r="AF17" s="13" t="e">
        <f>VLOOKUP($B17,baseline!$A:$AK,AF$2,FALSE)</f>
        <v>#N/A</v>
      </c>
      <c r="AG17" s="13" t="e">
        <f>VLOOKUP($B17,baseline!$A:$AK,AG$2,FALSE)</f>
        <v>#N/A</v>
      </c>
      <c r="AH17" s="13" t="e">
        <f>VLOOKUP($B17,baseline!$A:$AK,AH$2,FALSE)</f>
        <v>#N/A</v>
      </c>
      <c r="AI17" s="13" t="e">
        <f>VLOOKUP($B17,baseline!$A:$AK,AI$2,FALSE)</f>
        <v>#N/A</v>
      </c>
      <c r="AJ17" s="13" t="e">
        <f>VLOOKUP($B17,baseline!$A:$AK,AJ$2,FALSE)</f>
        <v>#N/A</v>
      </c>
      <c r="AK17" s="13" t="e">
        <f>VLOOKUP($B17,baseline!$A:$AK,AK$2,FALSE)</f>
        <v>#N/A</v>
      </c>
      <c r="AL17" s="13" t="e">
        <f>VLOOKUP($B17,baseline!$A:$AK,AL$2,FALSE)</f>
        <v>#N/A</v>
      </c>
      <c r="AM17" s="13" t="e">
        <f>VLOOKUP($B17,baseline!$A:$AK,AM$2,FALSE)</f>
        <v>#N/A</v>
      </c>
      <c r="AN17" s="13" t="e">
        <f>VLOOKUP($B17,baseline!$A:$AK,AN$2,FALSE)</f>
        <v>#N/A</v>
      </c>
      <c r="AP17" s="3" t="e">
        <f t="shared" si="0"/>
        <v>#N/A</v>
      </c>
    </row>
    <row r="18" spans="1:48" x14ac:dyDescent="0.3">
      <c r="B18" t="s">
        <v>15</v>
      </c>
      <c r="D18" t="s">
        <v>172</v>
      </c>
      <c r="E18" s="13" t="e">
        <f>VLOOKUP($B18,baseline!$A:$AK,E$2,FALSE)</f>
        <v>#N/A</v>
      </c>
      <c r="F18" s="13" t="e">
        <f>VLOOKUP($B18,baseline!$A:$AK,F$2,FALSE)</f>
        <v>#N/A</v>
      </c>
      <c r="G18" s="13" t="e">
        <f>VLOOKUP($B18,baseline!$A:$AK,G$2,FALSE)</f>
        <v>#N/A</v>
      </c>
      <c r="H18" s="13" t="e">
        <f>VLOOKUP($B18,baseline!$A:$AK,H$2,FALSE)</f>
        <v>#N/A</v>
      </c>
      <c r="I18" s="13" t="e">
        <f>VLOOKUP($B18,baseline!$A:$AK,I$2,FALSE)</f>
        <v>#N/A</v>
      </c>
      <c r="J18" s="13" t="e">
        <f>VLOOKUP($B18,baseline!$A:$AK,J$2,FALSE)</f>
        <v>#N/A</v>
      </c>
      <c r="K18" s="13" t="e">
        <f>VLOOKUP($B18,baseline!$A:$AK,K$2,FALSE)</f>
        <v>#N/A</v>
      </c>
      <c r="L18" s="13" t="e">
        <f>VLOOKUP($B18,baseline!$A:$AK,L$2,FALSE)</f>
        <v>#N/A</v>
      </c>
      <c r="M18" s="13" t="e">
        <f>VLOOKUP($B18,baseline!$A:$AK,M$2,FALSE)</f>
        <v>#N/A</v>
      </c>
      <c r="N18" s="13" t="e">
        <f>VLOOKUP($B18,baseline!$A:$AK,N$2,FALSE)</f>
        <v>#N/A</v>
      </c>
      <c r="O18" s="13" t="e">
        <f>VLOOKUP($B18,baseline!$A:$AK,O$2,FALSE)</f>
        <v>#N/A</v>
      </c>
      <c r="P18" s="13" t="e">
        <f>VLOOKUP($B18,baseline!$A:$AK,P$2,FALSE)</f>
        <v>#N/A</v>
      </c>
      <c r="Q18" s="13" t="e">
        <f>VLOOKUP($B18,baseline!$A:$AK,Q$2,FALSE)</f>
        <v>#N/A</v>
      </c>
      <c r="R18" s="13" t="e">
        <f>VLOOKUP($B18,baseline!$A:$AK,R$2,FALSE)</f>
        <v>#N/A</v>
      </c>
      <c r="S18" s="13" t="e">
        <f>VLOOKUP($B18,baseline!$A:$AK,S$2,FALSE)</f>
        <v>#N/A</v>
      </c>
      <c r="T18" s="13" t="e">
        <f>VLOOKUP($B18,baseline!$A:$AK,T$2,FALSE)</f>
        <v>#N/A</v>
      </c>
      <c r="U18" s="13" t="e">
        <f>VLOOKUP($B18,baseline!$A:$AK,U$2,FALSE)</f>
        <v>#N/A</v>
      </c>
      <c r="V18" s="13" t="e">
        <f>VLOOKUP($B18,baseline!$A:$AK,V$2,FALSE)</f>
        <v>#N/A</v>
      </c>
      <c r="W18" s="13" t="e">
        <f>VLOOKUP($B18,baseline!$A:$AK,W$2,FALSE)</f>
        <v>#N/A</v>
      </c>
      <c r="X18" s="13" t="e">
        <f>VLOOKUP($B18,baseline!$A:$AK,X$2,FALSE)</f>
        <v>#N/A</v>
      </c>
      <c r="Y18" s="13" t="e">
        <f>VLOOKUP($B18,baseline!$A:$AK,Y$2,FALSE)</f>
        <v>#N/A</v>
      </c>
      <c r="Z18" s="13" t="e">
        <f>VLOOKUP($B18,baseline!$A:$AK,Z$2,FALSE)</f>
        <v>#N/A</v>
      </c>
      <c r="AA18" s="13" t="e">
        <f>VLOOKUP($B18,baseline!$A:$AK,AA$2,FALSE)</f>
        <v>#N/A</v>
      </c>
      <c r="AB18" s="13" t="e">
        <f>VLOOKUP($B18,baseline!$A:$AK,AB$2,FALSE)</f>
        <v>#N/A</v>
      </c>
      <c r="AC18" s="13" t="e">
        <f>VLOOKUP($B18,baseline!$A:$AK,AC$2,FALSE)</f>
        <v>#N/A</v>
      </c>
      <c r="AD18" s="13" t="e">
        <f>VLOOKUP($B18,baseline!$A:$AK,AD$2,FALSE)</f>
        <v>#N/A</v>
      </c>
      <c r="AE18" s="13" t="e">
        <f>VLOOKUP($B18,baseline!$A:$AK,AE$2,FALSE)</f>
        <v>#N/A</v>
      </c>
      <c r="AF18" s="13" t="e">
        <f>VLOOKUP($B18,baseline!$A:$AK,AF$2,FALSE)</f>
        <v>#N/A</v>
      </c>
      <c r="AG18" s="13" t="e">
        <f>VLOOKUP($B18,baseline!$A:$AK,AG$2,FALSE)</f>
        <v>#N/A</v>
      </c>
      <c r="AH18" s="13" t="e">
        <f>VLOOKUP($B18,baseline!$A:$AK,AH$2,FALSE)</f>
        <v>#N/A</v>
      </c>
      <c r="AI18" s="13" t="e">
        <f>VLOOKUP($B18,baseline!$A:$AK,AI$2,FALSE)</f>
        <v>#N/A</v>
      </c>
      <c r="AJ18" s="13" t="e">
        <f>VLOOKUP($B18,baseline!$A:$AK,AJ$2,FALSE)</f>
        <v>#N/A</v>
      </c>
      <c r="AK18" s="13" t="e">
        <f>VLOOKUP($B18,baseline!$A:$AK,AK$2,FALSE)</f>
        <v>#N/A</v>
      </c>
      <c r="AL18" s="13" t="e">
        <f>VLOOKUP($B18,baseline!$A:$AK,AL$2,FALSE)</f>
        <v>#N/A</v>
      </c>
      <c r="AM18" s="13" t="e">
        <f>VLOOKUP($B18,baseline!$A:$AK,AM$2,FALSE)</f>
        <v>#N/A</v>
      </c>
      <c r="AN18" s="13" t="e">
        <f>VLOOKUP($B18,baseline!$A:$AK,AN$2,FALSE)</f>
        <v>#N/A</v>
      </c>
      <c r="AP18" s="3" t="e">
        <f t="shared" si="0"/>
        <v>#N/A</v>
      </c>
    </row>
    <row r="19" spans="1:48" x14ac:dyDescent="0.3">
      <c r="B19" t="s">
        <v>16</v>
      </c>
      <c r="D19" t="s">
        <v>172</v>
      </c>
      <c r="E19" s="13" t="e">
        <f>VLOOKUP($B19,baseline!$A:$AK,E$2,FALSE)</f>
        <v>#N/A</v>
      </c>
      <c r="F19" s="13" t="e">
        <f>VLOOKUP($B19,baseline!$A:$AK,F$2,FALSE)</f>
        <v>#N/A</v>
      </c>
      <c r="G19" s="13" t="e">
        <f>VLOOKUP($B19,baseline!$A:$AK,G$2,FALSE)</f>
        <v>#N/A</v>
      </c>
      <c r="H19" s="13" t="e">
        <f>VLOOKUP($B19,baseline!$A:$AK,H$2,FALSE)</f>
        <v>#N/A</v>
      </c>
      <c r="I19" s="13" t="e">
        <f>VLOOKUP($B19,baseline!$A:$AK,I$2,FALSE)</f>
        <v>#N/A</v>
      </c>
      <c r="J19" s="13" t="e">
        <f>VLOOKUP($B19,baseline!$A:$AK,J$2,FALSE)</f>
        <v>#N/A</v>
      </c>
      <c r="K19" s="13" t="e">
        <f>VLOOKUP($B19,baseline!$A:$AK,K$2,FALSE)</f>
        <v>#N/A</v>
      </c>
      <c r="L19" s="13" t="e">
        <f>VLOOKUP($B19,baseline!$A:$AK,L$2,FALSE)</f>
        <v>#N/A</v>
      </c>
      <c r="M19" s="13" t="e">
        <f>VLOOKUP($B19,baseline!$A:$AK,M$2,FALSE)</f>
        <v>#N/A</v>
      </c>
      <c r="N19" s="13" t="e">
        <f>VLOOKUP($B19,baseline!$A:$AK,N$2,FALSE)</f>
        <v>#N/A</v>
      </c>
      <c r="O19" s="13" t="e">
        <f>VLOOKUP($B19,baseline!$A:$AK,O$2,FALSE)</f>
        <v>#N/A</v>
      </c>
      <c r="P19" s="13" t="e">
        <f>VLOOKUP($B19,baseline!$A:$AK,P$2,FALSE)</f>
        <v>#N/A</v>
      </c>
      <c r="Q19" s="13" t="e">
        <f>VLOOKUP($B19,baseline!$A:$AK,Q$2,FALSE)</f>
        <v>#N/A</v>
      </c>
      <c r="R19" s="13" t="e">
        <f>VLOOKUP($B19,baseline!$A:$AK,R$2,FALSE)</f>
        <v>#N/A</v>
      </c>
      <c r="S19" s="13" t="e">
        <f>VLOOKUP($B19,baseline!$A:$AK,S$2,FALSE)</f>
        <v>#N/A</v>
      </c>
      <c r="T19" s="13" t="e">
        <f>VLOOKUP($B19,baseline!$A:$AK,T$2,FALSE)</f>
        <v>#N/A</v>
      </c>
      <c r="U19" s="13" t="e">
        <f>VLOOKUP($B19,baseline!$A:$AK,U$2,FALSE)</f>
        <v>#N/A</v>
      </c>
      <c r="V19" s="13" t="e">
        <f>VLOOKUP($B19,baseline!$A:$AK,V$2,FALSE)</f>
        <v>#N/A</v>
      </c>
      <c r="W19" s="13" t="e">
        <f>VLOOKUP($B19,baseline!$A:$AK,W$2,FALSE)</f>
        <v>#N/A</v>
      </c>
      <c r="X19" s="13" t="e">
        <f>VLOOKUP($B19,baseline!$A:$AK,X$2,FALSE)</f>
        <v>#N/A</v>
      </c>
      <c r="Y19" s="13" t="e">
        <f>VLOOKUP($B19,baseline!$A:$AK,Y$2,FALSE)</f>
        <v>#N/A</v>
      </c>
      <c r="Z19" s="13" t="e">
        <f>VLOOKUP($B19,baseline!$A:$AK,Z$2,FALSE)</f>
        <v>#N/A</v>
      </c>
      <c r="AA19" s="13" t="e">
        <f>VLOOKUP($B19,baseline!$A:$AK,AA$2,FALSE)</f>
        <v>#N/A</v>
      </c>
      <c r="AB19" s="13" t="e">
        <f>VLOOKUP($B19,baseline!$A:$AK,AB$2,FALSE)</f>
        <v>#N/A</v>
      </c>
      <c r="AC19" s="13" t="e">
        <f>VLOOKUP($B19,baseline!$A:$AK,AC$2,FALSE)</f>
        <v>#N/A</v>
      </c>
      <c r="AD19" s="13" t="e">
        <f>VLOOKUP($B19,baseline!$A:$AK,AD$2,FALSE)</f>
        <v>#N/A</v>
      </c>
      <c r="AE19" s="13" t="e">
        <f>VLOOKUP($B19,baseline!$A:$AK,AE$2,FALSE)</f>
        <v>#N/A</v>
      </c>
      <c r="AF19" s="13" t="e">
        <f>VLOOKUP($B19,baseline!$A:$AK,AF$2,FALSE)</f>
        <v>#N/A</v>
      </c>
      <c r="AG19" s="13" t="e">
        <f>VLOOKUP($B19,baseline!$A:$AK,AG$2,FALSE)</f>
        <v>#N/A</v>
      </c>
      <c r="AH19" s="13" t="e">
        <f>VLOOKUP($B19,baseline!$A:$AK,AH$2,FALSE)</f>
        <v>#N/A</v>
      </c>
      <c r="AI19" s="13" t="e">
        <f>VLOOKUP($B19,baseline!$A:$AK,AI$2,FALSE)</f>
        <v>#N/A</v>
      </c>
      <c r="AJ19" s="13" t="e">
        <f>VLOOKUP($B19,baseline!$A:$AK,AJ$2,FALSE)</f>
        <v>#N/A</v>
      </c>
      <c r="AK19" s="13" t="e">
        <f>VLOOKUP($B19,baseline!$A:$AK,AK$2,FALSE)</f>
        <v>#N/A</v>
      </c>
      <c r="AL19" s="13" t="e">
        <f>VLOOKUP($B19,baseline!$A:$AK,AL$2,FALSE)</f>
        <v>#N/A</v>
      </c>
      <c r="AM19" s="13" t="e">
        <f>VLOOKUP($B19,baseline!$A:$AK,AM$2,FALSE)</f>
        <v>#N/A</v>
      </c>
      <c r="AN19" s="13" t="e">
        <f>VLOOKUP($B19,baseline!$A:$AK,AN$2,FALSE)</f>
        <v>#N/A</v>
      </c>
      <c r="AP19" s="3" t="e">
        <f t="shared" si="0"/>
        <v>#N/A</v>
      </c>
    </row>
    <row r="20" spans="1:48" x14ac:dyDescent="0.3">
      <c r="B20" t="s">
        <v>17</v>
      </c>
      <c r="D20" t="s">
        <v>172</v>
      </c>
      <c r="E20" s="13" t="e">
        <f>VLOOKUP($B20,baseline!$A:$AK,E$2,FALSE)</f>
        <v>#N/A</v>
      </c>
      <c r="F20" s="13" t="e">
        <f>VLOOKUP($B20,baseline!$A:$AK,F$2,FALSE)</f>
        <v>#N/A</v>
      </c>
      <c r="G20" s="13" t="e">
        <f>VLOOKUP($B20,baseline!$A:$AK,G$2,FALSE)</f>
        <v>#N/A</v>
      </c>
      <c r="H20" s="13" t="e">
        <f>VLOOKUP($B20,baseline!$A:$AK,H$2,FALSE)</f>
        <v>#N/A</v>
      </c>
      <c r="I20" s="13" t="e">
        <f>VLOOKUP($B20,baseline!$A:$AK,I$2,FALSE)</f>
        <v>#N/A</v>
      </c>
      <c r="J20" s="13" t="e">
        <f>VLOOKUP($B20,baseline!$A:$AK,J$2,FALSE)</f>
        <v>#N/A</v>
      </c>
      <c r="K20" s="13" t="e">
        <f>VLOOKUP($B20,baseline!$A:$AK,K$2,FALSE)</f>
        <v>#N/A</v>
      </c>
      <c r="L20" s="13" t="e">
        <f>VLOOKUP($B20,baseline!$A:$AK,L$2,FALSE)</f>
        <v>#N/A</v>
      </c>
      <c r="M20" s="13" t="e">
        <f>VLOOKUP($B20,baseline!$A:$AK,M$2,FALSE)</f>
        <v>#N/A</v>
      </c>
      <c r="N20" s="13" t="e">
        <f>VLOOKUP($B20,baseline!$A:$AK,N$2,FALSE)</f>
        <v>#N/A</v>
      </c>
      <c r="O20" s="13" t="e">
        <f>VLOOKUP($B20,baseline!$A:$AK,O$2,FALSE)</f>
        <v>#N/A</v>
      </c>
      <c r="P20" s="13" t="e">
        <f>VLOOKUP($B20,baseline!$A:$AK,P$2,FALSE)</f>
        <v>#N/A</v>
      </c>
      <c r="Q20" s="13" t="e">
        <f>VLOOKUP($B20,baseline!$A:$AK,Q$2,FALSE)</f>
        <v>#N/A</v>
      </c>
      <c r="R20" s="13" t="e">
        <f>VLOOKUP($B20,baseline!$A:$AK,R$2,FALSE)</f>
        <v>#N/A</v>
      </c>
      <c r="S20" s="13" t="e">
        <f>VLOOKUP($B20,baseline!$A:$AK,S$2,FALSE)</f>
        <v>#N/A</v>
      </c>
      <c r="T20" s="13" t="e">
        <f>VLOOKUP($B20,baseline!$A:$AK,T$2,FALSE)</f>
        <v>#N/A</v>
      </c>
      <c r="U20" s="13" t="e">
        <f>VLOOKUP($B20,baseline!$A:$AK,U$2,FALSE)</f>
        <v>#N/A</v>
      </c>
      <c r="V20" s="13" t="e">
        <f>VLOOKUP($B20,baseline!$A:$AK,V$2,FALSE)</f>
        <v>#N/A</v>
      </c>
      <c r="W20" s="13" t="e">
        <f>VLOOKUP($B20,baseline!$A:$AK,W$2,FALSE)</f>
        <v>#N/A</v>
      </c>
      <c r="X20" s="13" t="e">
        <f>VLOOKUP($B20,baseline!$A:$AK,X$2,FALSE)</f>
        <v>#N/A</v>
      </c>
      <c r="Y20" s="13" t="e">
        <f>VLOOKUP($B20,baseline!$A:$AK,Y$2,FALSE)</f>
        <v>#N/A</v>
      </c>
      <c r="Z20" s="13" t="e">
        <f>VLOOKUP($B20,baseline!$A:$AK,Z$2,FALSE)</f>
        <v>#N/A</v>
      </c>
      <c r="AA20" s="13" t="e">
        <f>VLOOKUP($B20,baseline!$A:$AK,AA$2,FALSE)</f>
        <v>#N/A</v>
      </c>
      <c r="AB20" s="13" t="e">
        <f>VLOOKUP($B20,baseline!$A:$AK,AB$2,FALSE)</f>
        <v>#N/A</v>
      </c>
      <c r="AC20" s="13" t="e">
        <f>VLOOKUP($B20,baseline!$A:$AK,AC$2,FALSE)</f>
        <v>#N/A</v>
      </c>
      <c r="AD20" s="13" t="e">
        <f>VLOOKUP($B20,baseline!$A:$AK,AD$2,FALSE)</f>
        <v>#N/A</v>
      </c>
      <c r="AE20" s="13" t="e">
        <f>VLOOKUP($B20,baseline!$A:$AK,AE$2,FALSE)</f>
        <v>#N/A</v>
      </c>
      <c r="AF20" s="13" t="e">
        <f>VLOOKUP($B20,baseline!$A:$AK,AF$2,FALSE)</f>
        <v>#N/A</v>
      </c>
      <c r="AG20" s="13" t="e">
        <f>VLOOKUP($B20,baseline!$A:$AK,AG$2,FALSE)</f>
        <v>#N/A</v>
      </c>
      <c r="AH20" s="13" t="e">
        <f>VLOOKUP($B20,baseline!$A:$AK,AH$2,FALSE)</f>
        <v>#N/A</v>
      </c>
      <c r="AI20" s="13" t="e">
        <f>VLOOKUP($B20,baseline!$A:$AK,AI$2,FALSE)</f>
        <v>#N/A</v>
      </c>
      <c r="AJ20" s="13" t="e">
        <f>VLOOKUP($B20,baseline!$A:$AK,AJ$2,FALSE)</f>
        <v>#N/A</v>
      </c>
      <c r="AK20" s="13" t="e">
        <f>VLOOKUP($B20,baseline!$A:$AK,AK$2,FALSE)</f>
        <v>#N/A</v>
      </c>
      <c r="AL20" s="13" t="e">
        <f>VLOOKUP($B20,baseline!$A:$AK,AL$2,FALSE)</f>
        <v>#N/A</v>
      </c>
      <c r="AM20" s="13" t="e">
        <f>VLOOKUP($B20,baseline!$A:$AK,AM$2,FALSE)</f>
        <v>#N/A</v>
      </c>
      <c r="AN20" s="13" t="e">
        <f>VLOOKUP($B20,baseline!$A:$AK,AN$2,FALSE)</f>
        <v>#N/A</v>
      </c>
      <c r="AP20" s="3" t="e">
        <f t="shared" si="0"/>
        <v>#N/A</v>
      </c>
    </row>
    <row r="21" spans="1:48" x14ac:dyDescent="0.3">
      <c r="B21" t="s">
        <v>18</v>
      </c>
      <c r="D21" t="s">
        <v>172</v>
      </c>
      <c r="E21" s="13" t="e">
        <f>VLOOKUP($B21,baseline!$A:$AK,E$2,FALSE)</f>
        <v>#N/A</v>
      </c>
      <c r="F21" s="13" t="e">
        <f>VLOOKUP($B21,baseline!$A:$AK,F$2,FALSE)</f>
        <v>#N/A</v>
      </c>
      <c r="G21" s="13" t="e">
        <f>VLOOKUP($B21,baseline!$A:$AK,G$2,FALSE)</f>
        <v>#N/A</v>
      </c>
      <c r="H21" s="13" t="e">
        <f>VLOOKUP($B21,baseline!$A:$AK,H$2,FALSE)</f>
        <v>#N/A</v>
      </c>
      <c r="I21" s="13" t="e">
        <f>VLOOKUP($B21,baseline!$A:$AK,I$2,FALSE)</f>
        <v>#N/A</v>
      </c>
      <c r="J21" s="13" t="e">
        <f>VLOOKUP($B21,baseline!$A:$AK,J$2,FALSE)</f>
        <v>#N/A</v>
      </c>
      <c r="K21" s="13" t="e">
        <f>VLOOKUP($B21,baseline!$A:$AK,K$2,FALSE)</f>
        <v>#N/A</v>
      </c>
      <c r="L21" s="13" t="e">
        <f>VLOOKUP($B21,baseline!$A:$AK,L$2,FALSE)</f>
        <v>#N/A</v>
      </c>
      <c r="M21" s="13" t="e">
        <f>VLOOKUP($B21,baseline!$A:$AK,M$2,FALSE)</f>
        <v>#N/A</v>
      </c>
      <c r="N21" s="13" t="e">
        <f>VLOOKUP($B21,baseline!$A:$AK,N$2,FALSE)</f>
        <v>#N/A</v>
      </c>
      <c r="O21" s="13" t="e">
        <f>VLOOKUP($B21,baseline!$A:$AK,O$2,FALSE)</f>
        <v>#N/A</v>
      </c>
      <c r="P21" s="13" t="e">
        <f>VLOOKUP($B21,baseline!$A:$AK,P$2,FALSE)</f>
        <v>#N/A</v>
      </c>
      <c r="Q21" s="13" t="e">
        <f>VLOOKUP($B21,baseline!$A:$AK,Q$2,FALSE)</f>
        <v>#N/A</v>
      </c>
      <c r="R21" s="13" t="e">
        <f>VLOOKUP($B21,baseline!$A:$AK,R$2,FALSE)</f>
        <v>#N/A</v>
      </c>
      <c r="S21" s="13" t="e">
        <f>VLOOKUP($B21,baseline!$A:$AK,S$2,FALSE)</f>
        <v>#N/A</v>
      </c>
      <c r="T21" s="13" t="e">
        <f>VLOOKUP($B21,baseline!$A:$AK,T$2,FALSE)</f>
        <v>#N/A</v>
      </c>
      <c r="U21" s="13" t="e">
        <f>VLOOKUP($B21,baseline!$A:$AK,U$2,FALSE)</f>
        <v>#N/A</v>
      </c>
      <c r="V21" s="13" t="e">
        <f>VLOOKUP($B21,baseline!$A:$AK,V$2,FALSE)</f>
        <v>#N/A</v>
      </c>
      <c r="W21" s="13" t="e">
        <f>VLOOKUP($B21,baseline!$A:$AK,W$2,FALSE)</f>
        <v>#N/A</v>
      </c>
      <c r="X21" s="13" t="e">
        <f>VLOOKUP($B21,baseline!$A:$AK,X$2,FALSE)</f>
        <v>#N/A</v>
      </c>
      <c r="Y21" s="13" t="e">
        <f>VLOOKUP($B21,baseline!$A:$AK,Y$2,FALSE)</f>
        <v>#N/A</v>
      </c>
      <c r="Z21" s="13" t="e">
        <f>VLOOKUP($B21,baseline!$A:$AK,Z$2,FALSE)</f>
        <v>#N/A</v>
      </c>
      <c r="AA21" s="13" t="e">
        <f>VLOOKUP($B21,baseline!$A:$AK,AA$2,FALSE)</f>
        <v>#N/A</v>
      </c>
      <c r="AB21" s="13" t="e">
        <f>VLOOKUP($B21,baseline!$A:$AK,AB$2,FALSE)</f>
        <v>#N/A</v>
      </c>
      <c r="AC21" s="13" t="e">
        <f>VLOOKUP($B21,baseline!$A:$AK,AC$2,FALSE)</f>
        <v>#N/A</v>
      </c>
      <c r="AD21" s="13" t="e">
        <f>VLOOKUP($B21,baseline!$A:$AK,AD$2,FALSE)</f>
        <v>#N/A</v>
      </c>
      <c r="AE21" s="13" t="e">
        <f>VLOOKUP($B21,baseline!$A:$AK,AE$2,FALSE)</f>
        <v>#N/A</v>
      </c>
      <c r="AF21" s="13" t="e">
        <f>VLOOKUP($B21,baseline!$A:$AK,AF$2,FALSE)</f>
        <v>#N/A</v>
      </c>
      <c r="AG21" s="13" t="e">
        <f>VLOOKUP($B21,baseline!$A:$AK,AG$2,FALSE)</f>
        <v>#N/A</v>
      </c>
      <c r="AH21" s="13" t="e">
        <f>VLOOKUP($B21,baseline!$A:$AK,AH$2,FALSE)</f>
        <v>#N/A</v>
      </c>
      <c r="AI21" s="13" t="e">
        <f>VLOOKUP($B21,baseline!$A:$AK,AI$2,FALSE)</f>
        <v>#N/A</v>
      </c>
      <c r="AJ21" s="13" t="e">
        <f>VLOOKUP($B21,baseline!$A:$AK,AJ$2,FALSE)</f>
        <v>#N/A</v>
      </c>
      <c r="AK21" s="13" t="e">
        <f>VLOOKUP($B21,baseline!$A:$AK,AK$2,FALSE)</f>
        <v>#N/A</v>
      </c>
      <c r="AL21" s="13" t="e">
        <f>VLOOKUP($B21,baseline!$A:$AK,AL$2,FALSE)</f>
        <v>#N/A</v>
      </c>
      <c r="AM21" s="13" t="e">
        <f>VLOOKUP($B21,baseline!$A:$AK,AM$2,FALSE)</f>
        <v>#N/A</v>
      </c>
      <c r="AN21" s="13" t="e">
        <f>VLOOKUP($B21,baseline!$A:$AK,AN$2,FALSE)</f>
        <v>#N/A</v>
      </c>
      <c r="AP21" s="3" t="e">
        <f t="shared" si="0"/>
        <v>#N/A</v>
      </c>
    </row>
    <row r="22" spans="1:48" x14ac:dyDescent="0.3">
      <c r="B22" t="s">
        <v>19</v>
      </c>
      <c r="D22" t="s">
        <v>172</v>
      </c>
      <c r="E22" s="13" t="e">
        <f>VLOOKUP($B22,baseline!$A:$AK,E$2,FALSE)</f>
        <v>#N/A</v>
      </c>
      <c r="F22" s="13" t="e">
        <f>VLOOKUP($B22,baseline!$A:$AK,F$2,FALSE)</f>
        <v>#N/A</v>
      </c>
      <c r="G22" s="13" t="e">
        <f>VLOOKUP($B22,baseline!$A:$AK,G$2,FALSE)</f>
        <v>#N/A</v>
      </c>
      <c r="H22" s="13" t="e">
        <f>VLOOKUP($B22,baseline!$A:$AK,H$2,FALSE)</f>
        <v>#N/A</v>
      </c>
      <c r="I22" s="13" t="e">
        <f>VLOOKUP($B22,baseline!$A:$AK,I$2,FALSE)</f>
        <v>#N/A</v>
      </c>
      <c r="J22" s="13" t="e">
        <f>VLOOKUP($B22,baseline!$A:$AK,J$2,FALSE)</f>
        <v>#N/A</v>
      </c>
      <c r="K22" s="13" t="e">
        <f>VLOOKUP($B22,baseline!$A:$AK,K$2,FALSE)</f>
        <v>#N/A</v>
      </c>
      <c r="L22" s="13" t="e">
        <f>VLOOKUP($B22,baseline!$A:$AK,L$2,FALSE)</f>
        <v>#N/A</v>
      </c>
      <c r="M22" s="13" t="e">
        <f>VLOOKUP($B22,baseline!$A:$AK,M$2,FALSE)</f>
        <v>#N/A</v>
      </c>
      <c r="N22" s="13" t="e">
        <f>VLOOKUP($B22,baseline!$A:$AK,N$2,FALSE)</f>
        <v>#N/A</v>
      </c>
      <c r="O22" s="13" t="e">
        <f>VLOOKUP($B22,baseline!$A:$AK,O$2,FALSE)</f>
        <v>#N/A</v>
      </c>
      <c r="P22" s="13" t="e">
        <f>VLOOKUP($B22,baseline!$A:$AK,P$2,FALSE)</f>
        <v>#N/A</v>
      </c>
      <c r="Q22" s="13" t="e">
        <f>VLOOKUP($B22,baseline!$A:$AK,Q$2,FALSE)</f>
        <v>#N/A</v>
      </c>
      <c r="R22" s="13" t="e">
        <f>VLOOKUP($B22,baseline!$A:$AK,R$2,FALSE)</f>
        <v>#N/A</v>
      </c>
      <c r="S22" s="13" t="e">
        <f>VLOOKUP($B22,baseline!$A:$AK,S$2,FALSE)</f>
        <v>#N/A</v>
      </c>
      <c r="T22" s="13" t="e">
        <f>VLOOKUP($B22,baseline!$A:$AK,T$2,FALSE)</f>
        <v>#N/A</v>
      </c>
      <c r="U22" s="13" t="e">
        <f>VLOOKUP($B22,baseline!$A:$AK,U$2,FALSE)</f>
        <v>#N/A</v>
      </c>
      <c r="V22" s="13" t="e">
        <f>VLOOKUP($B22,baseline!$A:$AK,V$2,FALSE)</f>
        <v>#N/A</v>
      </c>
      <c r="W22" s="13" t="e">
        <f>VLOOKUP($B22,baseline!$A:$AK,W$2,FALSE)</f>
        <v>#N/A</v>
      </c>
      <c r="X22" s="13" t="e">
        <f>VLOOKUP($B22,baseline!$A:$AK,X$2,FALSE)</f>
        <v>#N/A</v>
      </c>
      <c r="Y22" s="13" t="e">
        <f>VLOOKUP($B22,baseline!$A:$AK,Y$2,FALSE)</f>
        <v>#N/A</v>
      </c>
      <c r="Z22" s="13" t="e">
        <f>VLOOKUP($B22,baseline!$A:$AK,Z$2,FALSE)</f>
        <v>#N/A</v>
      </c>
      <c r="AA22" s="13" t="e">
        <f>VLOOKUP($B22,baseline!$A:$AK,AA$2,FALSE)</f>
        <v>#N/A</v>
      </c>
      <c r="AB22" s="13" t="e">
        <f>VLOOKUP($B22,baseline!$A:$AK,AB$2,FALSE)</f>
        <v>#N/A</v>
      </c>
      <c r="AC22" s="13" t="e">
        <f>VLOOKUP($B22,baseline!$A:$AK,AC$2,FALSE)</f>
        <v>#N/A</v>
      </c>
      <c r="AD22" s="13" t="e">
        <f>VLOOKUP($B22,baseline!$A:$AK,AD$2,FALSE)</f>
        <v>#N/A</v>
      </c>
      <c r="AE22" s="13" t="e">
        <f>VLOOKUP($B22,baseline!$A:$AK,AE$2,FALSE)</f>
        <v>#N/A</v>
      </c>
      <c r="AF22" s="13" t="e">
        <f>VLOOKUP($B22,baseline!$A:$AK,AF$2,FALSE)</f>
        <v>#N/A</v>
      </c>
      <c r="AG22" s="13" t="e">
        <f>VLOOKUP($B22,baseline!$A:$AK,AG$2,FALSE)</f>
        <v>#N/A</v>
      </c>
      <c r="AH22" s="13" t="e">
        <f>VLOOKUP($B22,baseline!$A:$AK,AH$2,FALSE)</f>
        <v>#N/A</v>
      </c>
      <c r="AI22" s="13" t="e">
        <f>VLOOKUP($B22,baseline!$A:$AK,AI$2,FALSE)</f>
        <v>#N/A</v>
      </c>
      <c r="AJ22" s="13" t="e">
        <f>VLOOKUP($B22,baseline!$A:$AK,AJ$2,FALSE)</f>
        <v>#N/A</v>
      </c>
      <c r="AK22" s="13" t="e">
        <f>VLOOKUP($B22,baseline!$A:$AK,AK$2,FALSE)</f>
        <v>#N/A</v>
      </c>
      <c r="AL22" s="13" t="e">
        <f>VLOOKUP($B22,baseline!$A:$AK,AL$2,FALSE)</f>
        <v>#N/A</v>
      </c>
      <c r="AM22" s="13" t="e">
        <f>VLOOKUP($B22,baseline!$A:$AK,AM$2,FALSE)</f>
        <v>#N/A</v>
      </c>
      <c r="AN22" s="13" t="e">
        <f>VLOOKUP($B22,baseline!$A:$AK,AN$2,FALSE)</f>
        <v>#N/A</v>
      </c>
      <c r="AP22" s="3" t="e">
        <f t="shared" si="0"/>
        <v>#N/A</v>
      </c>
    </row>
    <row r="23" spans="1:48" x14ac:dyDescent="0.3">
      <c r="B23" t="s">
        <v>20</v>
      </c>
      <c r="D23" t="s">
        <v>172</v>
      </c>
      <c r="E23" s="13" t="e">
        <f>VLOOKUP($B23,baseline!$A:$AK,E$2,FALSE)</f>
        <v>#N/A</v>
      </c>
      <c r="F23" s="13" t="e">
        <f>VLOOKUP($B23,baseline!$A:$AK,F$2,FALSE)</f>
        <v>#N/A</v>
      </c>
      <c r="G23" s="13" t="e">
        <f>VLOOKUP($B23,baseline!$A:$AK,G$2,FALSE)</f>
        <v>#N/A</v>
      </c>
      <c r="H23" s="13" t="e">
        <f>VLOOKUP($B23,baseline!$A:$AK,H$2,FALSE)</f>
        <v>#N/A</v>
      </c>
      <c r="I23" s="13" t="e">
        <f>VLOOKUP($B23,baseline!$A:$AK,I$2,FALSE)</f>
        <v>#N/A</v>
      </c>
      <c r="J23" s="13" t="e">
        <f>VLOOKUP($B23,baseline!$A:$AK,J$2,FALSE)</f>
        <v>#N/A</v>
      </c>
      <c r="K23" s="13" t="e">
        <f>VLOOKUP($B23,baseline!$A:$AK,K$2,FALSE)</f>
        <v>#N/A</v>
      </c>
      <c r="L23" s="13" t="e">
        <f>VLOOKUP($B23,baseline!$A:$AK,L$2,FALSE)</f>
        <v>#N/A</v>
      </c>
      <c r="M23" s="13" t="e">
        <f>VLOOKUP($B23,baseline!$A:$AK,M$2,FALSE)</f>
        <v>#N/A</v>
      </c>
      <c r="N23" s="13" t="e">
        <f>VLOOKUP($B23,baseline!$A:$AK,N$2,FALSE)</f>
        <v>#N/A</v>
      </c>
      <c r="O23" s="13" t="e">
        <f>VLOOKUP($B23,baseline!$A:$AK,O$2,FALSE)</f>
        <v>#N/A</v>
      </c>
      <c r="P23" s="13" t="e">
        <f>VLOOKUP($B23,baseline!$A:$AK,P$2,FALSE)</f>
        <v>#N/A</v>
      </c>
      <c r="Q23" s="13" t="e">
        <f>VLOOKUP($B23,baseline!$A:$AK,Q$2,FALSE)</f>
        <v>#N/A</v>
      </c>
      <c r="R23" s="13" t="e">
        <f>VLOOKUP($B23,baseline!$A:$AK,R$2,FALSE)</f>
        <v>#N/A</v>
      </c>
      <c r="S23" s="13" t="e">
        <f>VLOOKUP($B23,baseline!$A:$AK,S$2,FALSE)</f>
        <v>#N/A</v>
      </c>
      <c r="T23" s="13" t="e">
        <f>VLOOKUP($B23,baseline!$A:$AK,T$2,FALSE)</f>
        <v>#N/A</v>
      </c>
      <c r="U23" s="13" t="e">
        <f>VLOOKUP($B23,baseline!$A:$AK,U$2,FALSE)</f>
        <v>#N/A</v>
      </c>
      <c r="V23" s="13" t="e">
        <f>VLOOKUP($B23,baseline!$A:$AK,V$2,FALSE)</f>
        <v>#N/A</v>
      </c>
      <c r="W23" s="13" t="e">
        <f>VLOOKUP($B23,baseline!$A:$AK,W$2,FALSE)</f>
        <v>#N/A</v>
      </c>
      <c r="X23" s="13" t="e">
        <f>VLOOKUP($B23,baseline!$A:$AK,X$2,FALSE)</f>
        <v>#N/A</v>
      </c>
      <c r="Y23" s="13" t="e">
        <f>VLOOKUP($B23,baseline!$A:$AK,Y$2,FALSE)</f>
        <v>#N/A</v>
      </c>
      <c r="Z23" s="13" t="e">
        <f>VLOOKUP($B23,baseline!$A:$AK,Z$2,FALSE)</f>
        <v>#N/A</v>
      </c>
      <c r="AA23" s="13" t="e">
        <f>VLOOKUP($B23,baseline!$A:$AK,AA$2,FALSE)</f>
        <v>#N/A</v>
      </c>
      <c r="AB23" s="13" t="e">
        <f>VLOOKUP($B23,baseline!$A:$AK,AB$2,FALSE)</f>
        <v>#N/A</v>
      </c>
      <c r="AC23" s="13" t="e">
        <f>VLOOKUP($B23,baseline!$A:$AK,AC$2,FALSE)</f>
        <v>#N/A</v>
      </c>
      <c r="AD23" s="13" t="e">
        <f>VLOOKUP($B23,baseline!$A:$AK,AD$2,FALSE)</f>
        <v>#N/A</v>
      </c>
      <c r="AE23" s="13" t="e">
        <f>VLOOKUP($B23,baseline!$A:$AK,AE$2,FALSE)</f>
        <v>#N/A</v>
      </c>
      <c r="AF23" s="13" t="e">
        <f>VLOOKUP($B23,baseline!$A:$AK,AF$2,FALSE)</f>
        <v>#N/A</v>
      </c>
      <c r="AG23" s="13" t="e">
        <f>VLOOKUP($B23,baseline!$A:$AK,AG$2,FALSE)</f>
        <v>#N/A</v>
      </c>
      <c r="AH23" s="13" t="e">
        <f>VLOOKUP($B23,baseline!$A:$AK,AH$2,FALSE)</f>
        <v>#N/A</v>
      </c>
      <c r="AI23" s="13" t="e">
        <f>VLOOKUP($B23,baseline!$A:$AK,AI$2,FALSE)</f>
        <v>#N/A</v>
      </c>
      <c r="AJ23" s="13" t="e">
        <f>VLOOKUP($B23,baseline!$A:$AK,AJ$2,FALSE)</f>
        <v>#N/A</v>
      </c>
      <c r="AK23" s="13" t="e">
        <f>VLOOKUP($B23,baseline!$A:$AK,AK$2,FALSE)</f>
        <v>#N/A</v>
      </c>
      <c r="AL23" s="13" t="e">
        <f>VLOOKUP($B23,baseline!$A:$AK,AL$2,FALSE)</f>
        <v>#N/A</v>
      </c>
      <c r="AM23" s="13" t="e">
        <f>VLOOKUP($B23,baseline!$A:$AK,AM$2,FALSE)</f>
        <v>#N/A</v>
      </c>
      <c r="AN23" s="13" t="e">
        <f>VLOOKUP($B23,baseline!$A:$AK,AN$2,FALSE)</f>
        <v>#N/A</v>
      </c>
      <c r="AP23" s="3" t="e">
        <f t="shared" si="0"/>
        <v>#N/A</v>
      </c>
    </row>
    <row r="24" spans="1:48" x14ac:dyDescent="0.3">
      <c r="B24" t="s">
        <v>21</v>
      </c>
      <c r="D24" t="s">
        <v>172</v>
      </c>
      <c r="E24" s="13" t="e">
        <f>VLOOKUP($B24,baseline!$A:$AK,E$2,FALSE)</f>
        <v>#N/A</v>
      </c>
      <c r="F24" s="13" t="e">
        <f>VLOOKUP($B24,baseline!$A:$AK,F$2,FALSE)</f>
        <v>#N/A</v>
      </c>
      <c r="G24" s="13" t="e">
        <f>VLOOKUP($B24,baseline!$A:$AK,G$2,FALSE)</f>
        <v>#N/A</v>
      </c>
      <c r="H24" s="13" t="e">
        <f>VLOOKUP($B24,baseline!$A:$AK,H$2,FALSE)</f>
        <v>#N/A</v>
      </c>
      <c r="I24" s="13" t="e">
        <f>VLOOKUP($B24,baseline!$A:$AK,I$2,FALSE)</f>
        <v>#N/A</v>
      </c>
      <c r="J24" s="13" t="e">
        <f>VLOOKUP($B24,baseline!$A:$AK,J$2,FALSE)</f>
        <v>#N/A</v>
      </c>
      <c r="K24" s="13" t="e">
        <f>VLOOKUP($B24,baseline!$A:$AK,K$2,FALSE)</f>
        <v>#N/A</v>
      </c>
      <c r="L24" s="13" t="e">
        <f>VLOOKUP($B24,baseline!$A:$AK,L$2,FALSE)</f>
        <v>#N/A</v>
      </c>
      <c r="M24" s="13" t="e">
        <f>VLOOKUP($B24,baseline!$A:$AK,M$2,FALSE)</f>
        <v>#N/A</v>
      </c>
      <c r="N24" s="13" t="e">
        <f>VLOOKUP($B24,baseline!$A:$AK,N$2,FALSE)</f>
        <v>#N/A</v>
      </c>
      <c r="O24" s="13" t="e">
        <f>VLOOKUP($B24,baseline!$A:$AK,O$2,FALSE)</f>
        <v>#N/A</v>
      </c>
      <c r="P24" s="13" t="e">
        <f>VLOOKUP($B24,baseline!$A:$AK,P$2,FALSE)</f>
        <v>#N/A</v>
      </c>
      <c r="Q24" s="13" t="e">
        <f>VLOOKUP($B24,baseline!$A:$AK,Q$2,FALSE)</f>
        <v>#N/A</v>
      </c>
      <c r="R24" s="13" t="e">
        <f>VLOOKUP($B24,baseline!$A:$AK,R$2,FALSE)</f>
        <v>#N/A</v>
      </c>
      <c r="S24" s="13" t="e">
        <f>VLOOKUP($B24,baseline!$A:$AK,S$2,FALSE)</f>
        <v>#N/A</v>
      </c>
      <c r="T24" s="13" t="e">
        <f>VLOOKUP($B24,baseline!$A:$AK,T$2,FALSE)</f>
        <v>#N/A</v>
      </c>
      <c r="U24" s="13" t="e">
        <f>VLOOKUP($B24,baseline!$A:$AK,U$2,FALSE)</f>
        <v>#N/A</v>
      </c>
      <c r="V24" s="13" t="e">
        <f>VLOOKUP($B24,baseline!$A:$AK,V$2,FALSE)</f>
        <v>#N/A</v>
      </c>
      <c r="W24" s="13" t="e">
        <f>VLOOKUP($B24,baseline!$A:$AK,W$2,FALSE)</f>
        <v>#N/A</v>
      </c>
      <c r="X24" s="13" t="e">
        <f>VLOOKUP($B24,baseline!$A:$AK,X$2,FALSE)</f>
        <v>#N/A</v>
      </c>
      <c r="Y24" s="13" t="e">
        <f>VLOOKUP($B24,baseline!$A:$AK,Y$2,FALSE)</f>
        <v>#N/A</v>
      </c>
      <c r="Z24" s="13" t="e">
        <f>VLOOKUP($B24,baseline!$A:$AK,Z$2,FALSE)</f>
        <v>#N/A</v>
      </c>
      <c r="AA24" s="13" t="e">
        <f>VLOOKUP($B24,baseline!$A:$AK,AA$2,FALSE)</f>
        <v>#N/A</v>
      </c>
      <c r="AB24" s="13" t="e">
        <f>VLOOKUP($B24,baseline!$A:$AK,AB$2,FALSE)</f>
        <v>#N/A</v>
      </c>
      <c r="AC24" s="13" t="e">
        <f>VLOOKUP($B24,baseline!$A:$AK,AC$2,FALSE)</f>
        <v>#N/A</v>
      </c>
      <c r="AD24" s="13" t="e">
        <f>VLOOKUP($B24,baseline!$A:$AK,AD$2,FALSE)</f>
        <v>#N/A</v>
      </c>
      <c r="AE24" s="13" t="e">
        <f>VLOOKUP($B24,baseline!$A:$AK,AE$2,FALSE)</f>
        <v>#N/A</v>
      </c>
      <c r="AF24" s="13" t="e">
        <f>VLOOKUP($B24,baseline!$A:$AK,AF$2,FALSE)</f>
        <v>#N/A</v>
      </c>
      <c r="AG24" s="13" t="e">
        <f>VLOOKUP($B24,baseline!$A:$AK,AG$2,FALSE)</f>
        <v>#N/A</v>
      </c>
      <c r="AH24" s="13" t="e">
        <f>VLOOKUP($B24,baseline!$A:$AK,AH$2,FALSE)</f>
        <v>#N/A</v>
      </c>
      <c r="AI24" s="13" t="e">
        <f>VLOOKUP($B24,baseline!$A:$AK,AI$2,FALSE)</f>
        <v>#N/A</v>
      </c>
      <c r="AJ24" s="13" t="e">
        <f>VLOOKUP($B24,baseline!$A:$AK,AJ$2,FALSE)</f>
        <v>#N/A</v>
      </c>
      <c r="AK24" s="13" t="e">
        <f>VLOOKUP($B24,baseline!$A:$AK,AK$2,FALSE)</f>
        <v>#N/A</v>
      </c>
      <c r="AL24" s="13" t="e">
        <f>VLOOKUP($B24,baseline!$A:$AK,AL$2,FALSE)</f>
        <v>#N/A</v>
      </c>
      <c r="AM24" s="13" t="e">
        <f>VLOOKUP($B24,baseline!$A:$AK,AM$2,FALSE)</f>
        <v>#N/A</v>
      </c>
      <c r="AN24" s="13" t="e">
        <f>VLOOKUP($B24,baseline!$A:$AK,AN$2,FALSE)</f>
        <v>#N/A</v>
      </c>
      <c r="AP24" s="3" t="e">
        <f t="shared" si="0"/>
        <v>#N/A</v>
      </c>
    </row>
    <row r="25" spans="1:48" x14ac:dyDescent="0.3">
      <c r="B25" t="s">
        <v>22</v>
      </c>
      <c r="D25" t="s">
        <v>172</v>
      </c>
      <c r="E25" s="13" t="e">
        <f>VLOOKUP($B25,baseline!$A:$AK,E$2,FALSE)</f>
        <v>#N/A</v>
      </c>
      <c r="F25" s="13" t="e">
        <f>VLOOKUP($B25,baseline!$A:$AK,F$2,FALSE)</f>
        <v>#N/A</v>
      </c>
      <c r="G25" s="13" t="e">
        <f>VLOOKUP($B25,baseline!$A:$AK,G$2,FALSE)</f>
        <v>#N/A</v>
      </c>
      <c r="H25" s="13" t="e">
        <f>VLOOKUP($B25,baseline!$A:$AK,H$2,FALSE)</f>
        <v>#N/A</v>
      </c>
      <c r="I25" s="13" t="e">
        <f>VLOOKUP($B25,baseline!$A:$AK,I$2,FALSE)</f>
        <v>#N/A</v>
      </c>
      <c r="J25" s="13" t="e">
        <f>VLOOKUP($B25,baseline!$A:$AK,J$2,FALSE)</f>
        <v>#N/A</v>
      </c>
      <c r="K25" s="13" t="e">
        <f>VLOOKUP($B25,baseline!$A:$AK,K$2,FALSE)</f>
        <v>#N/A</v>
      </c>
      <c r="L25" s="13" t="e">
        <f>VLOOKUP($B25,baseline!$A:$AK,L$2,FALSE)</f>
        <v>#N/A</v>
      </c>
      <c r="M25" s="13" t="e">
        <f>VLOOKUP($B25,baseline!$A:$AK,M$2,FALSE)</f>
        <v>#N/A</v>
      </c>
      <c r="N25" s="13" t="e">
        <f>VLOOKUP($B25,baseline!$A:$AK,N$2,FALSE)</f>
        <v>#N/A</v>
      </c>
      <c r="O25" s="13" t="e">
        <f>VLOOKUP($B25,baseline!$A:$AK,O$2,FALSE)</f>
        <v>#N/A</v>
      </c>
      <c r="P25" s="13" t="e">
        <f>VLOOKUP($B25,baseline!$A:$AK,P$2,FALSE)</f>
        <v>#N/A</v>
      </c>
      <c r="Q25" s="13" t="e">
        <f>VLOOKUP($B25,baseline!$A:$AK,Q$2,FALSE)</f>
        <v>#N/A</v>
      </c>
      <c r="R25" s="13" t="e">
        <f>VLOOKUP($B25,baseline!$A:$AK,R$2,FALSE)</f>
        <v>#N/A</v>
      </c>
      <c r="S25" s="13" t="e">
        <f>VLOOKUP($B25,baseline!$A:$AK,S$2,FALSE)</f>
        <v>#N/A</v>
      </c>
      <c r="T25" s="13" t="e">
        <f>VLOOKUP($B25,baseline!$A:$AK,T$2,FALSE)</f>
        <v>#N/A</v>
      </c>
      <c r="U25" s="13" t="e">
        <f>VLOOKUP($B25,baseline!$A:$AK,U$2,FALSE)</f>
        <v>#N/A</v>
      </c>
      <c r="V25" s="13" t="e">
        <f>VLOOKUP($B25,baseline!$A:$AK,V$2,FALSE)</f>
        <v>#N/A</v>
      </c>
      <c r="W25" s="13" t="e">
        <f>VLOOKUP($B25,baseline!$A:$AK,W$2,FALSE)</f>
        <v>#N/A</v>
      </c>
      <c r="X25" s="13" t="e">
        <f>VLOOKUP($B25,baseline!$A:$AK,X$2,FALSE)</f>
        <v>#N/A</v>
      </c>
      <c r="Y25" s="13" t="e">
        <f>VLOOKUP($B25,baseline!$A:$AK,Y$2,FALSE)</f>
        <v>#N/A</v>
      </c>
      <c r="Z25" s="13" t="e">
        <f>VLOOKUP($B25,baseline!$A:$AK,Z$2,FALSE)</f>
        <v>#N/A</v>
      </c>
      <c r="AA25" s="13" t="e">
        <f>VLOOKUP($B25,baseline!$A:$AK,AA$2,FALSE)</f>
        <v>#N/A</v>
      </c>
      <c r="AB25" s="13" t="e">
        <f>VLOOKUP($B25,baseline!$A:$AK,AB$2,FALSE)</f>
        <v>#N/A</v>
      </c>
      <c r="AC25" s="13" t="e">
        <f>VLOOKUP($B25,baseline!$A:$AK,AC$2,FALSE)</f>
        <v>#N/A</v>
      </c>
      <c r="AD25" s="13" t="e">
        <f>VLOOKUP($B25,baseline!$A:$AK,AD$2,FALSE)</f>
        <v>#N/A</v>
      </c>
      <c r="AE25" s="13" t="e">
        <f>VLOOKUP($B25,baseline!$A:$AK,AE$2,FALSE)</f>
        <v>#N/A</v>
      </c>
      <c r="AF25" s="13" t="e">
        <f>VLOOKUP($B25,baseline!$A:$AK,AF$2,FALSE)</f>
        <v>#N/A</v>
      </c>
      <c r="AG25" s="13" t="e">
        <f>VLOOKUP($B25,baseline!$A:$AK,AG$2,FALSE)</f>
        <v>#N/A</v>
      </c>
      <c r="AH25" s="13" t="e">
        <f>VLOOKUP($B25,baseline!$A:$AK,AH$2,FALSE)</f>
        <v>#N/A</v>
      </c>
      <c r="AI25" s="13" t="e">
        <f>VLOOKUP($B25,baseline!$A:$AK,AI$2,FALSE)</f>
        <v>#N/A</v>
      </c>
      <c r="AJ25" s="13" t="e">
        <f>VLOOKUP($B25,baseline!$A:$AK,AJ$2,FALSE)</f>
        <v>#N/A</v>
      </c>
      <c r="AK25" s="13" t="e">
        <f>VLOOKUP($B25,baseline!$A:$AK,AK$2,FALSE)</f>
        <v>#N/A</v>
      </c>
      <c r="AL25" s="13" t="e">
        <f>VLOOKUP($B25,baseline!$A:$AK,AL$2,FALSE)</f>
        <v>#N/A</v>
      </c>
      <c r="AM25" s="13" t="e">
        <f>VLOOKUP($B25,baseline!$A:$AK,AM$2,FALSE)</f>
        <v>#N/A</v>
      </c>
      <c r="AN25" s="13" t="e">
        <f>VLOOKUP($B25,baseline!$A:$AK,AN$2,FALSE)</f>
        <v>#N/A</v>
      </c>
      <c r="AP25" s="3" t="e">
        <f t="shared" si="0"/>
        <v>#N/A</v>
      </c>
    </row>
    <row r="26" spans="1:48" x14ac:dyDescent="0.3">
      <c r="B26" t="s">
        <v>23</v>
      </c>
      <c r="D26" t="s">
        <v>172</v>
      </c>
      <c r="E26" s="13" t="e">
        <f>VLOOKUP($B26,baseline!$A:$AK,E$2,FALSE)</f>
        <v>#N/A</v>
      </c>
      <c r="F26" s="13" t="e">
        <f>VLOOKUP($B26,baseline!$A:$AK,F$2,FALSE)</f>
        <v>#N/A</v>
      </c>
      <c r="G26" s="13" t="e">
        <f>VLOOKUP($B26,baseline!$A:$AK,G$2,FALSE)</f>
        <v>#N/A</v>
      </c>
      <c r="H26" s="13" t="e">
        <f>VLOOKUP($B26,baseline!$A:$AK,H$2,FALSE)</f>
        <v>#N/A</v>
      </c>
      <c r="I26" s="13" t="e">
        <f>VLOOKUP($B26,baseline!$A:$AK,I$2,FALSE)</f>
        <v>#N/A</v>
      </c>
      <c r="J26" s="13" t="e">
        <f>VLOOKUP($B26,baseline!$A:$AK,J$2,FALSE)</f>
        <v>#N/A</v>
      </c>
      <c r="K26" s="13" t="e">
        <f>VLOOKUP($B26,baseline!$A:$AK,K$2,FALSE)</f>
        <v>#N/A</v>
      </c>
      <c r="L26" s="13" t="e">
        <f>VLOOKUP($B26,baseline!$A:$AK,L$2,FALSE)</f>
        <v>#N/A</v>
      </c>
      <c r="M26" s="13" t="e">
        <f>VLOOKUP($B26,baseline!$A:$AK,M$2,FALSE)</f>
        <v>#N/A</v>
      </c>
      <c r="N26" s="13" t="e">
        <f>VLOOKUP($B26,baseline!$A:$AK,N$2,FALSE)</f>
        <v>#N/A</v>
      </c>
      <c r="O26" s="13" t="e">
        <f>VLOOKUP($B26,baseline!$A:$AK,O$2,FALSE)</f>
        <v>#N/A</v>
      </c>
      <c r="P26" s="13" t="e">
        <f>VLOOKUP($B26,baseline!$A:$AK,P$2,FALSE)</f>
        <v>#N/A</v>
      </c>
      <c r="Q26" s="13" t="e">
        <f>VLOOKUP($B26,baseline!$A:$AK,Q$2,FALSE)</f>
        <v>#N/A</v>
      </c>
      <c r="R26" s="13" t="e">
        <f>VLOOKUP($B26,baseline!$A:$AK,R$2,FALSE)</f>
        <v>#N/A</v>
      </c>
      <c r="S26" s="13" t="e">
        <f>VLOOKUP($B26,baseline!$A:$AK,S$2,FALSE)</f>
        <v>#N/A</v>
      </c>
      <c r="T26" s="13" t="e">
        <f>VLOOKUP($B26,baseline!$A:$AK,T$2,FALSE)</f>
        <v>#N/A</v>
      </c>
      <c r="U26" s="13" t="e">
        <f>VLOOKUP($B26,baseline!$A:$AK,U$2,FALSE)</f>
        <v>#N/A</v>
      </c>
      <c r="V26" s="13" t="e">
        <f>VLOOKUP($B26,baseline!$A:$AK,V$2,FALSE)</f>
        <v>#N/A</v>
      </c>
      <c r="W26" s="13" t="e">
        <f>VLOOKUP($B26,baseline!$A:$AK,W$2,FALSE)</f>
        <v>#N/A</v>
      </c>
      <c r="X26" s="13" t="e">
        <f>VLOOKUP($B26,baseline!$A:$AK,X$2,FALSE)</f>
        <v>#N/A</v>
      </c>
      <c r="Y26" s="13" t="e">
        <f>VLOOKUP($B26,baseline!$A:$AK,Y$2,FALSE)</f>
        <v>#N/A</v>
      </c>
      <c r="Z26" s="13" t="e">
        <f>VLOOKUP($B26,baseline!$A:$AK,Z$2,FALSE)</f>
        <v>#N/A</v>
      </c>
      <c r="AA26" s="13" t="e">
        <f>VLOOKUP($B26,baseline!$A:$AK,AA$2,FALSE)</f>
        <v>#N/A</v>
      </c>
      <c r="AB26" s="13" t="e">
        <f>VLOOKUP($B26,baseline!$A:$AK,AB$2,FALSE)</f>
        <v>#N/A</v>
      </c>
      <c r="AC26" s="13" t="e">
        <f>VLOOKUP($B26,baseline!$A:$AK,AC$2,FALSE)</f>
        <v>#N/A</v>
      </c>
      <c r="AD26" s="13" t="e">
        <f>VLOOKUP($B26,baseline!$A:$AK,AD$2,FALSE)</f>
        <v>#N/A</v>
      </c>
      <c r="AE26" s="13" t="e">
        <f>VLOOKUP($B26,baseline!$A:$AK,AE$2,FALSE)</f>
        <v>#N/A</v>
      </c>
      <c r="AF26" s="13" t="e">
        <f>VLOOKUP($B26,baseline!$A:$AK,AF$2,FALSE)</f>
        <v>#N/A</v>
      </c>
      <c r="AG26" s="13" t="e">
        <f>VLOOKUP($B26,baseline!$A:$AK,AG$2,FALSE)</f>
        <v>#N/A</v>
      </c>
      <c r="AH26" s="13" t="e">
        <f>VLOOKUP($B26,baseline!$A:$AK,AH$2,FALSE)</f>
        <v>#N/A</v>
      </c>
      <c r="AI26" s="13" t="e">
        <f>VLOOKUP($B26,baseline!$A:$AK,AI$2,FALSE)</f>
        <v>#N/A</v>
      </c>
      <c r="AJ26" s="13" t="e">
        <f>VLOOKUP($B26,baseline!$A:$AK,AJ$2,FALSE)</f>
        <v>#N/A</v>
      </c>
      <c r="AK26" s="13" t="e">
        <f>VLOOKUP($B26,baseline!$A:$AK,AK$2,FALSE)</f>
        <v>#N/A</v>
      </c>
      <c r="AL26" s="13" t="e">
        <f>VLOOKUP($B26,baseline!$A:$AK,AL$2,FALSE)</f>
        <v>#N/A</v>
      </c>
      <c r="AM26" s="13" t="e">
        <f>VLOOKUP($B26,baseline!$A:$AK,AM$2,FALSE)</f>
        <v>#N/A</v>
      </c>
      <c r="AN26" s="13" t="e">
        <f>VLOOKUP($B26,baseline!$A:$AK,AN$2,FALSE)</f>
        <v>#N/A</v>
      </c>
      <c r="AP26" s="3" t="e">
        <f t="shared" si="0"/>
        <v>#N/A</v>
      </c>
    </row>
    <row r="27" spans="1:48" x14ac:dyDescent="0.3">
      <c r="B27" t="s">
        <v>24</v>
      </c>
      <c r="D27" t="s">
        <v>172</v>
      </c>
      <c r="E27" s="13" t="e">
        <f>VLOOKUP($B27,baseline!$A:$AK,E$2,FALSE)</f>
        <v>#N/A</v>
      </c>
      <c r="F27" s="13" t="e">
        <f>VLOOKUP($B27,baseline!$A:$AK,F$2,FALSE)</f>
        <v>#N/A</v>
      </c>
      <c r="G27" s="13" t="e">
        <f>VLOOKUP($B27,baseline!$A:$AK,G$2,FALSE)</f>
        <v>#N/A</v>
      </c>
      <c r="H27" s="13" t="e">
        <f>VLOOKUP($B27,baseline!$A:$AK,H$2,FALSE)</f>
        <v>#N/A</v>
      </c>
      <c r="I27" s="13" t="e">
        <f>VLOOKUP($B27,baseline!$A:$AK,I$2,FALSE)</f>
        <v>#N/A</v>
      </c>
      <c r="J27" s="13" t="e">
        <f>VLOOKUP($B27,baseline!$A:$AK,J$2,FALSE)</f>
        <v>#N/A</v>
      </c>
      <c r="K27" s="13" t="e">
        <f>VLOOKUP($B27,baseline!$A:$AK,K$2,FALSE)</f>
        <v>#N/A</v>
      </c>
      <c r="L27" s="13" t="e">
        <f>VLOOKUP($B27,baseline!$A:$AK,L$2,FALSE)</f>
        <v>#N/A</v>
      </c>
      <c r="M27" s="13" t="e">
        <f>VLOOKUP($B27,baseline!$A:$AK,M$2,FALSE)</f>
        <v>#N/A</v>
      </c>
      <c r="N27" s="13" t="e">
        <f>VLOOKUP($B27,baseline!$A:$AK,N$2,FALSE)</f>
        <v>#N/A</v>
      </c>
      <c r="O27" s="13" t="e">
        <f>VLOOKUP($B27,baseline!$A:$AK,O$2,FALSE)</f>
        <v>#N/A</v>
      </c>
      <c r="P27" s="13" t="e">
        <f>VLOOKUP($B27,baseline!$A:$AK,P$2,FALSE)</f>
        <v>#N/A</v>
      </c>
      <c r="Q27" s="13" t="e">
        <f>VLOOKUP($B27,baseline!$A:$AK,Q$2,FALSE)</f>
        <v>#N/A</v>
      </c>
      <c r="R27" s="13" t="e">
        <f>VLOOKUP($B27,baseline!$A:$AK,R$2,FALSE)</f>
        <v>#N/A</v>
      </c>
      <c r="S27" s="13" t="e">
        <f>VLOOKUP($B27,baseline!$A:$AK,S$2,FALSE)</f>
        <v>#N/A</v>
      </c>
      <c r="T27" s="13" t="e">
        <f>VLOOKUP($B27,baseline!$A:$AK,T$2,FALSE)</f>
        <v>#N/A</v>
      </c>
      <c r="U27" s="13" t="e">
        <f>VLOOKUP($B27,baseline!$A:$AK,U$2,FALSE)</f>
        <v>#N/A</v>
      </c>
      <c r="V27" s="13" t="e">
        <f>VLOOKUP($B27,baseline!$A:$AK,V$2,FALSE)</f>
        <v>#N/A</v>
      </c>
      <c r="W27" s="13" t="e">
        <f>VLOOKUP($B27,baseline!$A:$AK,W$2,FALSE)</f>
        <v>#N/A</v>
      </c>
      <c r="X27" s="13" t="e">
        <f>VLOOKUP($B27,baseline!$A:$AK,X$2,FALSE)</f>
        <v>#N/A</v>
      </c>
      <c r="Y27" s="13" t="e">
        <f>VLOOKUP($B27,baseline!$A:$AK,Y$2,FALSE)</f>
        <v>#N/A</v>
      </c>
      <c r="Z27" s="13" t="e">
        <f>VLOOKUP($B27,baseline!$A:$AK,Z$2,FALSE)</f>
        <v>#N/A</v>
      </c>
      <c r="AA27" s="13" t="e">
        <f>VLOOKUP($B27,baseline!$A:$AK,AA$2,FALSE)</f>
        <v>#N/A</v>
      </c>
      <c r="AB27" s="13" t="e">
        <f>VLOOKUP($B27,baseline!$A:$AK,AB$2,FALSE)</f>
        <v>#N/A</v>
      </c>
      <c r="AC27" s="13" t="e">
        <f>VLOOKUP($B27,baseline!$A:$AK,AC$2,FALSE)</f>
        <v>#N/A</v>
      </c>
      <c r="AD27" s="13" t="e">
        <f>VLOOKUP($B27,baseline!$A:$AK,AD$2,FALSE)</f>
        <v>#N/A</v>
      </c>
      <c r="AE27" s="13" t="e">
        <f>VLOOKUP($B27,baseline!$A:$AK,AE$2,FALSE)</f>
        <v>#N/A</v>
      </c>
      <c r="AF27" s="13" t="e">
        <f>VLOOKUP($B27,baseline!$A:$AK,AF$2,FALSE)</f>
        <v>#N/A</v>
      </c>
      <c r="AG27" s="13" t="e">
        <f>VLOOKUP($B27,baseline!$A:$AK,AG$2,FALSE)</f>
        <v>#N/A</v>
      </c>
      <c r="AH27" s="13" t="e">
        <f>VLOOKUP($B27,baseline!$A:$AK,AH$2,FALSE)</f>
        <v>#N/A</v>
      </c>
      <c r="AI27" s="13" t="e">
        <f>VLOOKUP($B27,baseline!$A:$AK,AI$2,FALSE)</f>
        <v>#N/A</v>
      </c>
      <c r="AJ27" s="13" t="e">
        <f>VLOOKUP($B27,baseline!$A:$AK,AJ$2,FALSE)</f>
        <v>#N/A</v>
      </c>
      <c r="AK27" s="13" t="e">
        <f>VLOOKUP($B27,baseline!$A:$AK,AK$2,FALSE)</f>
        <v>#N/A</v>
      </c>
      <c r="AL27" s="13" t="e">
        <f>VLOOKUP($B27,baseline!$A:$AK,AL$2,FALSE)</f>
        <v>#N/A</v>
      </c>
      <c r="AM27" s="13" t="e">
        <f>VLOOKUP($B27,baseline!$A:$AK,AM$2,FALSE)</f>
        <v>#N/A</v>
      </c>
      <c r="AN27" s="13" t="e">
        <f>VLOOKUP($B27,baseline!$A:$AK,AN$2,FALSE)</f>
        <v>#N/A</v>
      </c>
      <c r="AP27" s="3" t="e">
        <f t="shared" si="0"/>
        <v>#N/A</v>
      </c>
    </row>
    <row r="28" spans="1:48" x14ac:dyDescent="0.3">
      <c r="B28" t="s">
        <v>25</v>
      </c>
      <c r="D28" t="s">
        <v>172</v>
      </c>
      <c r="E28" s="13" t="e">
        <f>VLOOKUP($B28,baseline!$A:$AK,E$2,FALSE)</f>
        <v>#N/A</v>
      </c>
      <c r="F28" s="13" t="e">
        <f>VLOOKUP($B28,baseline!$A:$AK,F$2,FALSE)</f>
        <v>#N/A</v>
      </c>
      <c r="G28" s="13" t="e">
        <f>VLOOKUP($B28,baseline!$A:$AK,G$2,FALSE)</f>
        <v>#N/A</v>
      </c>
      <c r="H28" s="13" t="e">
        <f>VLOOKUP($B28,baseline!$A:$AK,H$2,FALSE)</f>
        <v>#N/A</v>
      </c>
      <c r="I28" s="13" t="e">
        <f>VLOOKUP($B28,baseline!$A:$AK,I$2,FALSE)</f>
        <v>#N/A</v>
      </c>
      <c r="J28" s="13" t="e">
        <f>VLOOKUP($B28,baseline!$A:$AK,J$2,FALSE)</f>
        <v>#N/A</v>
      </c>
      <c r="K28" s="13" t="e">
        <f>VLOOKUP($B28,baseline!$A:$AK,K$2,FALSE)</f>
        <v>#N/A</v>
      </c>
      <c r="L28" s="13" t="e">
        <f>VLOOKUP($B28,baseline!$A:$AK,L$2,FALSE)</f>
        <v>#N/A</v>
      </c>
      <c r="M28" s="13" t="e">
        <f>VLOOKUP($B28,baseline!$A:$AK,M$2,FALSE)</f>
        <v>#N/A</v>
      </c>
      <c r="N28" s="13" t="e">
        <f>VLOOKUP($B28,baseline!$A:$AK,N$2,FALSE)</f>
        <v>#N/A</v>
      </c>
      <c r="O28" s="13" t="e">
        <f>VLOOKUP($B28,baseline!$A:$AK,O$2,FALSE)</f>
        <v>#N/A</v>
      </c>
      <c r="P28" s="13" t="e">
        <f>VLOOKUP($B28,baseline!$A:$AK,P$2,FALSE)</f>
        <v>#N/A</v>
      </c>
      <c r="Q28" s="13" t="e">
        <f>VLOOKUP($B28,baseline!$A:$AK,Q$2,FALSE)</f>
        <v>#N/A</v>
      </c>
      <c r="R28" s="13" t="e">
        <f>VLOOKUP($B28,baseline!$A:$AK,R$2,FALSE)</f>
        <v>#N/A</v>
      </c>
      <c r="S28" s="13" t="e">
        <f>VLOOKUP($B28,baseline!$A:$AK,S$2,FALSE)</f>
        <v>#N/A</v>
      </c>
      <c r="T28" s="13" t="e">
        <f>VLOOKUP($B28,baseline!$A:$AK,T$2,FALSE)</f>
        <v>#N/A</v>
      </c>
      <c r="U28" s="13" t="e">
        <f>VLOOKUP($B28,baseline!$A:$AK,U$2,FALSE)</f>
        <v>#N/A</v>
      </c>
      <c r="V28" s="13" t="e">
        <f>VLOOKUP($B28,baseline!$A:$AK,V$2,FALSE)</f>
        <v>#N/A</v>
      </c>
      <c r="W28" s="13" t="e">
        <f>VLOOKUP($B28,baseline!$A:$AK,W$2,FALSE)</f>
        <v>#N/A</v>
      </c>
      <c r="X28" s="13" t="e">
        <f>VLOOKUP($B28,baseline!$A:$AK,X$2,FALSE)</f>
        <v>#N/A</v>
      </c>
      <c r="Y28" s="13" t="e">
        <f>VLOOKUP($B28,baseline!$A:$AK,Y$2,FALSE)</f>
        <v>#N/A</v>
      </c>
      <c r="Z28" s="13" t="e">
        <f>VLOOKUP($B28,baseline!$A:$AK,Z$2,FALSE)</f>
        <v>#N/A</v>
      </c>
      <c r="AA28" s="13" t="e">
        <f>VLOOKUP($B28,baseline!$A:$AK,AA$2,FALSE)</f>
        <v>#N/A</v>
      </c>
      <c r="AB28" s="13" t="e">
        <f>VLOOKUP($B28,baseline!$A:$AK,AB$2,FALSE)</f>
        <v>#N/A</v>
      </c>
      <c r="AC28" s="13" t="e">
        <f>VLOOKUP($B28,baseline!$A:$AK,AC$2,FALSE)</f>
        <v>#N/A</v>
      </c>
      <c r="AD28" s="13" t="e">
        <f>VLOOKUP($B28,baseline!$A:$AK,AD$2,FALSE)</f>
        <v>#N/A</v>
      </c>
      <c r="AE28" s="13" t="e">
        <f>VLOOKUP($B28,baseline!$A:$AK,AE$2,FALSE)</f>
        <v>#N/A</v>
      </c>
      <c r="AF28" s="13" t="e">
        <f>VLOOKUP($B28,baseline!$A:$AK,AF$2,FALSE)</f>
        <v>#N/A</v>
      </c>
      <c r="AG28" s="13" t="e">
        <f>VLOOKUP($B28,baseline!$A:$AK,AG$2,FALSE)</f>
        <v>#N/A</v>
      </c>
      <c r="AH28" s="13" t="e">
        <f>VLOOKUP($B28,baseline!$A:$AK,AH$2,FALSE)</f>
        <v>#N/A</v>
      </c>
      <c r="AI28" s="13" t="e">
        <f>VLOOKUP($B28,baseline!$A:$AK,AI$2,FALSE)</f>
        <v>#N/A</v>
      </c>
      <c r="AJ28" s="13" t="e">
        <f>VLOOKUP($B28,baseline!$A:$AK,AJ$2,FALSE)</f>
        <v>#N/A</v>
      </c>
      <c r="AK28" s="13" t="e">
        <f>VLOOKUP($B28,baseline!$A:$AK,AK$2,FALSE)</f>
        <v>#N/A</v>
      </c>
      <c r="AL28" s="13" t="e">
        <f>VLOOKUP($B28,baseline!$A:$AK,AL$2,FALSE)</f>
        <v>#N/A</v>
      </c>
      <c r="AM28" s="13" t="e">
        <f>VLOOKUP($B28,baseline!$A:$AK,AM$2,FALSE)</f>
        <v>#N/A</v>
      </c>
      <c r="AN28" s="13" t="e">
        <f>VLOOKUP($B28,baseline!$A:$AK,AN$2,FALSE)</f>
        <v>#N/A</v>
      </c>
      <c r="AP28" s="3" t="e">
        <f t="shared" si="0"/>
        <v>#N/A</v>
      </c>
    </row>
    <row r="29" spans="1:48" x14ac:dyDescent="0.3">
      <c r="B29" t="s">
        <v>26</v>
      </c>
      <c r="D29" t="s">
        <v>172</v>
      </c>
      <c r="E29" s="13" t="e">
        <f>VLOOKUP($B29,baseline!$A:$AK,E$2,FALSE)</f>
        <v>#N/A</v>
      </c>
      <c r="F29" s="13" t="e">
        <f>VLOOKUP($B29,baseline!$A:$AK,F$2,FALSE)</f>
        <v>#N/A</v>
      </c>
      <c r="G29" s="13" t="e">
        <f>VLOOKUP($B29,baseline!$A:$AK,G$2,FALSE)</f>
        <v>#N/A</v>
      </c>
      <c r="H29" s="13" t="e">
        <f>VLOOKUP($B29,baseline!$A:$AK,H$2,FALSE)</f>
        <v>#N/A</v>
      </c>
      <c r="I29" s="13" t="e">
        <f>VLOOKUP($B29,baseline!$A:$AK,I$2,FALSE)</f>
        <v>#N/A</v>
      </c>
      <c r="J29" s="13" t="e">
        <f>VLOOKUP($B29,baseline!$A:$AK,J$2,FALSE)</f>
        <v>#N/A</v>
      </c>
      <c r="K29" s="13" t="e">
        <f>VLOOKUP($B29,baseline!$A:$AK,K$2,FALSE)</f>
        <v>#N/A</v>
      </c>
      <c r="L29" s="13" t="e">
        <f>VLOOKUP($B29,baseline!$A:$AK,L$2,FALSE)</f>
        <v>#N/A</v>
      </c>
      <c r="M29" s="13" t="e">
        <f>VLOOKUP($B29,baseline!$A:$AK,M$2,FALSE)</f>
        <v>#N/A</v>
      </c>
      <c r="N29" s="13" t="e">
        <f>VLOOKUP($B29,baseline!$A:$AK,N$2,FALSE)</f>
        <v>#N/A</v>
      </c>
      <c r="O29" s="13" t="e">
        <f>VLOOKUP($B29,baseline!$A:$AK,O$2,FALSE)</f>
        <v>#N/A</v>
      </c>
      <c r="P29" s="13" t="e">
        <f>VLOOKUP($B29,baseline!$A:$AK,P$2,FALSE)</f>
        <v>#N/A</v>
      </c>
      <c r="Q29" s="13" t="e">
        <f>VLOOKUP($B29,baseline!$A:$AK,Q$2,FALSE)</f>
        <v>#N/A</v>
      </c>
      <c r="R29" s="13" t="e">
        <f>VLOOKUP($B29,baseline!$A:$AK,R$2,FALSE)</f>
        <v>#N/A</v>
      </c>
      <c r="S29" s="13" t="e">
        <f>VLOOKUP($B29,baseline!$A:$AK,S$2,FALSE)</f>
        <v>#N/A</v>
      </c>
      <c r="T29" s="13" t="e">
        <f>VLOOKUP($B29,baseline!$A:$AK,T$2,FALSE)</f>
        <v>#N/A</v>
      </c>
      <c r="U29" s="13" t="e">
        <f>VLOOKUP($B29,baseline!$A:$AK,U$2,FALSE)</f>
        <v>#N/A</v>
      </c>
      <c r="V29" s="13" t="e">
        <f>VLOOKUP($B29,baseline!$A:$AK,V$2,FALSE)</f>
        <v>#N/A</v>
      </c>
      <c r="W29" s="13" t="e">
        <f>VLOOKUP($B29,baseline!$A:$AK,W$2,FALSE)</f>
        <v>#N/A</v>
      </c>
      <c r="X29" s="13" t="e">
        <f>VLOOKUP($B29,baseline!$A:$AK,X$2,FALSE)</f>
        <v>#N/A</v>
      </c>
      <c r="Y29" s="13" t="e">
        <f>VLOOKUP($B29,baseline!$A:$AK,Y$2,FALSE)</f>
        <v>#N/A</v>
      </c>
      <c r="Z29" s="13" t="e">
        <f>VLOOKUP($B29,baseline!$A:$AK,Z$2,FALSE)</f>
        <v>#N/A</v>
      </c>
      <c r="AA29" s="13" t="e">
        <f>VLOOKUP($B29,baseline!$A:$AK,AA$2,FALSE)</f>
        <v>#N/A</v>
      </c>
      <c r="AB29" s="13" t="e">
        <f>VLOOKUP($B29,baseline!$A:$AK,AB$2,FALSE)</f>
        <v>#N/A</v>
      </c>
      <c r="AC29" s="13" t="e">
        <f>VLOOKUP($B29,baseline!$A:$AK,AC$2,FALSE)</f>
        <v>#N/A</v>
      </c>
      <c r="AD29" s="13" t="e">
        <f>VLOOKUP($B29,baseline!$A:$AK,AD$2,FALSE)</f>
        <v>#N/A</v>
      </c>
      <c r="AE29" s="13" t="e">
        <f>VLOOKUP($B29,baseline!$A:$AK,AE$2,FALSE)</f>
        <v>#N/A</v>
      </c>
      <c r="AF29" s="13" t="e">
        <f>VLOOKUP($B29,baseline!$A:$AK,AF$2,FALSE)</f>
        <v>#N/A</v>
      </c>
      <c r="AG29" s="13" t="e">
        <f>VLOOKUP($B29,baseline!$A:$AK,AG$2,FALSE)</f>
        <v>#N/A</v>
      </c>
      <c r="AH29" s="13" t="e">
        <f>VLOOKUP($B29,baseline!$A:$AK,AH$2,FALSE)</f>
        <v>#N/A</v>
      </c>
      <c r="AI29" s="13" t="e">
        <f>VLOOKUP($B29,baseline!$A:$AK,AI$2,FALSE)</f>
        <v>#N/A</v>
      </c>
      <c r="AJ29" s="13" t="e">
        <f>VLOOKUP($B29,baseline!$A:$AK,AJ$2,FALSE)</f>
        <v>#N/A</v>
      </c>
      <c r="AK29" s="13" t="e">
        <f>VLOOKUP($B29,baseline!$A:$AK,AK$2,FALSE)</f>
        <v>#N/A</v>
      </c>
      <c r="AL29" s="13" t="e">
        <f>VLOOKUP($B29,baseline!$A:$AK,AL$2,FALSE)</f>
        <v>#N/A</v>
      </c>
      <c r="AM29" s="13" t="e">
        <f>VLOOKUP($B29,baseline!$A:$AK,AM$2,FALSE)</f>
        <v>#N/A</v>
      </c>
      <c r="AN29" s="13" t="e">
        <f>VLOOKUP($B29,baseline!$A:$AK,AN$2,FALSE)</f>
        <v>#N/A</v>
      </c>
      <c r="AP29" s="3" t="e">
        <f t="shared" si="0"/>
        <v>#N/A</v>
      </c>
    </row>
    <row r="30" spans="1:48" x14ac:dyDescent="0.3">
      <c r="B30" t="s">
        <v>27</v>
      </c>
      <c r="D30" t="s">
        <v>172</v>
      </c>
      <c r="E30" s="13" t="e">
        <f>VLOOKUP($B30,baseline!$A:$AK,E$2,FALSE)</f>
        <v>#N/A</v>
      </c>
      <c r="F30" s="13" t="e">
        <f>VLOOKUP($B30,baseline!$A:$AK,F$2,FALSE)</f>
        <v>#N/A</v>
      </c>
      <c r="G30" s="13" t="e">
        <f>VLOOKUP($B30,baseline!$A:$AK,G$2,FALSE)</f>
        <v>#N/A</v>
      </c>
      <c r="H30" s="13" t="e">
        <f>VLOOKUP($B30,baseline!$A:$AK,H$2,FALSE)</f>
        <v>#N/A</v>
      </c>
      <c r="I30" s="13" t="e">
        <f>VLOOKUP($B30,baseline!$A:$AK,I$2,FALSE)</f>
        <v>#N/A</v>
      </c>
      <c r="J30" s="13" t="e">
        <f>VLOOKUP($B30,baseline!$A:$AK,J$2,FALSE)</f>
        <v>#N/A</v>
      </c>
      <c r="K30" s="13" t="e">
        <f>VLOOKUP($B30,baseline!$A:$AK,K$2,FALSE)</f>
        <v>#N/A</v>
      </c>
      <c r="L30" s="13" t="e">
        <f>VLOOKUP($B30,baseline!$A:$AK,L$2,FALSE)</f>
        <v>#N/A</v>
      </c>
      <c r="M30" s="13" t="e">
        <f>VLOOKUP($B30,baseline!$A:$AK,M$2,FALSE)</f>
        <v>#N/A</v>
      </c>
      <c r="N30" s="13" t="e">
        <f>VLOOKUP($B30,baseline!$A:$AK,N$2,FALSE)</f>
        <v>#N/A</v>
      </c>
      <c r="O30" s="13" t="e">
        <f>VLOOKUP($B30,baseline!$A:$AK,O$2,FALSE)</f>
        <v>#N/A</v>
      </c>
      <c r="P30" s="13" t="e">
        <f>VLOOKUP($B30,baseline!$A:$AK,P$2,FALSE)</f>
        <v>#N/A</v>
      </c>
      <c r="Q30" s="13" t="e">
        <f>VLOOKUP($B30,baseline!$A:$AK,Q$2,FALSE)</f>
        <v>#N/A</v>
      </c>
      <c r="R30" s="13" t="e">
        <f>VLOOKUP($B30,baseline!$A:$AK,R$2,FALSE)</f>
        <v>#N/A</v>
      </c>
      <c r="S30" s="13" t="e">
        <f>VLOOKUP($B30,baseline!$A:$AK,S$2,FALSE)</f>
        <v>#N/A</v>
      </c>
      <c r="T30" s="13" t="e">
        <f>VLOOKUP($B30,baseline!$A:$AK,T$2,FALSE)</f>
        <v>#N/A</v>
      </c>
      <c r="U30" s="13" t="e">
        <f>VLOOKUP($B30,baseline!$A:$AK,U$2,FALSE)</f>
        <v>#N/A</v>
      </c>
      <c r="V30" s="13" t="e">
        <f>VLOOKUP($B30,baseline!$A:$AK,V$2,FALSE)</f>
        <v>#N/A</v>
      </c>
      <c r="W30" s="13" t="e">
        <f>VLOOKUP($B30,baseline!$A:$AK,W$2,FALSE)</f>
        <v>#N/A</v>
      </c>
      <c r="X30" s="13" t="e">
        <f>VLOOKUP($B30,baseline!$A:$AK,X$2,FALSE)</f>
        <v>#N/A</v>
      </c>
      <c r="Y30" s="13" t="e">
        <f>VLOOKUP($B30,baseline!$A:$AK,Y$2,FALSE)</f>
        <v>#N/A</v>
      </c>
      <c r="Z30" s="13" t="e">
        <f>VLOOKUP($B30,baseline!$A:$AK,Z$2,FALSE)</f>
        <v>#N/A</v>
      </c>
      <c r="AA30" s="13" t="e">
        <f>VLOOKUP($B30,baseline!$A:$AK,AA$2,FALSE)</f>
        <v>#N/A</v>
      </c>
      <c r="AB30" s="13" t="e">
        <f>VLOOKUP($B30,baseline!$A:$AK,AB$2,FALSE)</f>
        <v>#N/A</v>
      </c>
      <c r="AC30" s="13" t="e">
        <f>VLOOKUP($B30,baseline!$A:$AK,AC$2,FALSE)</f>
        <v>#N/A</v>
      </c>
      <c r="AD30" s="13" t="e">
        <f>VLOOKUP($B30,baseline!$A:$AK,AD$2,FALSE)</f>
        <v>#N/A</v>
      </c>
      <c r="AE30" s="13" t="e">
        <f>VLOOKUP($B30,baseline!$A:$AK,AE$2,FALSE)</f>
        <v>#N/A</v>
      </c>
      <c r="AF30" s="13" t="e">
        <f>VLOOKUP($B30,baseline!$A:$AK,AF$2,FALSE)</f>
        <v>#N/A</v>
      </c>
      <c r="AG30" s="13" t="e">
        <f>VLOOKUP($B30,baseline!$A:$AK,AG$2,FALSE)</f>
        <v>#N/A</v>
      </c>
      <c r="AH30" s="13" t="e">
        <f>VLOOKUP($B30,baseline!$A:$AK,AH$2,FALSE)</f>
        <v>#N/A</v>
      </c>
      <c r="AI30" s="13" t="e">
        <f>VLOOKUP($B30,baseline!$A:$AK,AI$2,FALSE)</f>
        <v>#N/A</v>
      </c>
      <c r="AJ30" s="13" t="e">
        <f>VLOOKUP($B30,baseline!$A:$AK,AJ$2,FALSE)</f>
        <v>#N/A</v>
      </c>
      <c r="AK30" s="13" t="e">
        <f>VLOOKUP($B30,baseline!$A:$AK,AK$2,FALSE)</f>
        <v>#N/A</v>
      </c>
      <c r="AL30" s="13" t="e">
        <f>VLOOKUP($B30,baseline!$A:$AK,AL$2,FALSE)</f>
        <v>#N/A</v>
      </c>
      <c r="AM30" s="13" t="e">
        <f>VLOOKUP($B30,baseline!$A:$AK,AM$2,FALSE)</f>
        <v>#N/A</v>
      </c>
      <c r="AN30" s="13" t="e">
        <f>VLOOKUP($B30,baseline!$A:$AK,AN$2,FALSE)</f>
        <v>#N/A</v>
      </c>
      <c r="AP30" s="3" t="e">
        <f t="shared" si="0"/>
        <v>#N/A</v>
      </c>
    </row>
    <row r="32" spans="1:48" s="12" customFormat="1" ht="19.8" x14ac:dyDescent="0.4">
      <c r="A32" s="11" t="s">
        <v>262</v>
      </c>
      <c r="C32" s="11"/>
      <c r="D32" s="16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</row>
    <row r="33" spans="2:40" x14ac:dyDescent="0.3">
      <c r="E33" s="5">
        <v>2015</v>
      </c>
      <c r="F33" s="5">
        <v>2016</v>
      </c>
      <c r="G33" s="5">
        <v>2017</v>
      </c>
      <c r="H33" s="5">
        <v>2018</v>
      </c>
      <c r="I33" s="5">
        <v>2019</v>
      </c>
      <c r="J33" s="5">
        <v>2020</v>
      </c>
      <c r="K33" s="5">
        <v>2021</v>
      </c>
      <c r="L33" s="5">
        <v>2022</v>
      </c>
      <c r="M33" s="5">
        <v>2023</v>
      </c>
      <c r="N33" s="5">
        <v>2024</v>
      </c>
      <c r="O33" s="5">
        <v>2025</v>
      </c>
      <c r="P33" s="5">
        <v>2026</v>
      </c>
      <c r="Q33" s="5">
        <v>2027</v>
      </c>
      <c r="R33" s="5">
        <v>2028</v>
      </c>
      <c r="S33" s="5">
        <v>2029</v>
      </c>
      <c r="T33" s="5">
        <v>2030</v>
      </c>
      <c r="U33" s="5">
        <v>2031</v>
      </c>
      <c r="V33" s="5">
        <v>2032</v>
      </c>
      <c r="W33" s="5">
        <v>2033</v>
      </c>
      <c r="X33" s="5">
        <v>2034</v>
      </c>
      <c r="Y33" s="5">
        <v>2035</v>
      </c>
      <c r="Z33" s="5">
        <v>2036</v>
      </c>
      <c r="AA33" s="5">
        <v>2037</v>
      </c>
      <c r="AB33" s="5">
        <v>2038</v>
      </c>
      <c r="AC33" s="5">
        <v>2039</v>
      </c>
      <c r="AD33" s="5">
        <v>2040</v>
      </c>
      <c r="AE33" s="5">
        <v>2041</v>
      </c>
      <c r="AF33" s="5">
        <v>2042</v>
      </c>
      <c r="AG33" s="5">
        <v>2043</v>
      </c>
      <c r="AH33" s="5">
        <v>2044</v>
      </c>
      <c r="AI33" s="5">
        <v>2045</v>
      </c>
      <c r="AJ33" s="5">
        <v>2046</v>
      </c>
      <c r="AK33" s="5">
        <v>2047</v>
      </c>
      <c r="AL33" s="5">
        <v>2048</v>
      </c>
      <c r="AM33" s="5">
        <v>2049</v>
      </c>
      <c r="AN33" s="5">
        <v>2050</v>
      </c>
    </row>
    <row r="34" spans="2:40" x14ac:dyDescent="0.3">
      <c r="B34" t="s">
        <v>1</v>
      </c>
      <c r="D34" t="s">
        <v>229</v>
      </c>
      <c r="E34" s="3" t="e">
        <f>E4/$E4</f>
        <v>#N/A</v>
      </c>
      <c r="F34" s="3" t="e">
        <f t="shared" ref="F34:AN41" si="1">F4/$E4</f>
        <v>#N/A</v>
      </c>
      <c r="G34" s="3" t="e">
        <f t="shared" si="1"/>
        <v>#N/A</v>
      </c>
      <c r="H34" s="3" t="e">
        <f t="shared" si="1"/>
        <v>#N/A</v>
      </c>
      <c r="I34" s="3" t="e">
        <f t="shared" si="1"/>
        <v>#N/A</v>
      </c>
      <c r="J34" s="3" t="e">
        <f t="shared" si="1"/>
        <v>#N/A</v>
      </c>
      <c r="K34" s="3" t="e">
        <f t="shared" si="1"/>
        <v>#N/A</v>
      </c>
      <c r="L34" s="3" t="e">
        <f t="shared" si="1"/>
        <v>#N/A</v>
      </c>
      <c r="M34" s="3" t="e">
        <f t="shared" si="1"/>
        <v>#N/A</v>
      </c>
      <c r="N34" s="3" t="e">
        <f t="shared" si="1"/>
        <v>#N/A</v>
      </c>
      <c r="O34" s="3" t="e">
        <f t="shared" si="1"/>
        <v>#N/A</v>
      </c>
      <c r="P34" s="3" t="e">
        <f t="shared" si="1"/>
        <v>#N/A</v>
      </c>
      <c r="Q34" s="3" t="e">
        <f t="shared" si="1"/>
        <v>#N/A</v>
      </c>
      <c r="R34" s="3" t="e">
        <f t="shared" si="1"/>
        <v>#N/A</v>
      </c>
      <c r="S34" s="3" t="e">
        <f t="shared" si="1"/>
        <v>#N/A</v>
      </c>
      <c r="T34" s="3" t="e">
        <f t="shared" si="1"/>
        <v>#N/A</v>
      </c>
      <c r="U34" s="3" t="e">
        <f t="shared" si="1"/>
        <v>#N/A</v>
      </c>
      <c r="V34" s="3" t="e">
        <f t="shared" si="1"/>
        <v>#N/A</v>
      </c>
      <c r="W34" s="3" t="e">
        <f t="shared" si="1"/>
        <v>#N/A</v>
      </c>
      <c r="X34" s="3" t="e">
        <f t="shared" si="1"/>
        <v>#N/A</v>
      </c>
      <c r="Y34" s="3" t="e">
        <f t="shared" si="1"/>
        <v>#N/A</v>
      </c>
      <c r="Z34" s="3" t="e">
        <f t="shared" si="1"/>
        <v>#N/A</v>
      </c>
      <c r="AA34" s="3" t="e">
        <f t="shared" si="1"/>
        <v>#N/A</v>
      </c>
      <c r="AB34" s="3" t="e">
        <f t="shared" si="1"/>
        <v>#N/A</v>
      </c>
      <c r="AC34" s="3" t="e">
        <f t="shared" si="1"/>
        <v>#N/A</v>
      </c>
      <c r="AD34" s="3" t="e">
        <f t="shared" si="1"/>
        <v>#N/A</v>
      </c>
      <c r="AE34" s="3" t="e">
        <f t="shared" si="1"/>
        <v>#N/A</v>
      </c>
      <c r="AF34" s="3" t="e">
        <f t="shared" si="1"/>
        <v>#N/A</v>
      </c>
      <c r="AG34" s="3" t="e">
        <f t="shared" si="1"/>
        <v>#N/A</v>
      </c>
      <c r="AH34" s="3" t="e">
        <f t="shared" si="1"/>
        <v>#N/A</v>
      </c>
      <c r="AI34" s="3" t="e">
        <f t="shared" si="1"/>
        <v>#N/A</v>
      </c>
      <c r="AJ34" s="3" t="e">
        <f t="shared" si="1"/>
        <v>#N/A</v>
      </c>
      <c r="AK34" s="3" t="e">
        <f t="shared" si="1"/>
        <v>#N/A</v>
      </c>
      <c r="AL34" s="3" t="e">
        <f t="shared" si="1"/>
        <v>#N/A</v>
      </c>
      <c r="AM34" s="3" t="e">
        <f t="shared" si="1"/>
        <v>#N/A</v>
      </c>
      <c r="AN34" s="3" t="e">
        <f t="shared" si="1"/>
        <v>#N/A</v>
      </c>
    </row>
    <row r="35" spans="2:40" x14ac:dyDescent="0.3">
      <c r="B35" t="s">
        <v>2</v>
      </c>
      <c r="D35" t="s">
        <v>229</v>
      </c>
      <c r="E35" s="3" t="e">
        <f t="shared" ref="E35:T60" si="2">E5/$E5</f>
        <v>#N/A</v>
      </c>
      <c r="F35" s="3" t="e">
        <f t="shared" si="2"/>
        <v>#N/A</v>
      </c>
      <c r="G35" s="3" t="e">
        <f t="shared" si="2"/>
        <v>#N/A</v>
      </c>
      <c r="H35" s="3" t="e">
        <f t="shared" si="2"/>
        <v>#N/A</v>
      </c>
      <c r="I35" s="3" t="e">
        <f t="shared" si="2"/>
        <v>#N/A</v>
      </c>
      <c r="J35" s="3" t="e">
        <f t="shared" si="2"/>
        <v>#N/A</v>
      </c>
      <c r="K35" s="3" t="e">
        <f t="shared" si="2"/>
        <v>#N/A</v>
      </c>
      <c r="L35" s="3" t="e">
        <f t="shared" si="2"/>
        <v>#N/A</v>
      </c>
      <c r="M35" s="3" t="e">
        <f t="shared" si="2"/>
        <v>#N/A</v>
      </c>
      <c r="N35" s="3" t="e">
        <f t="shared" si="2"/>
        <v>#N/A</v>
      </c>
      <c r="O35" s="3" t="e">
        <f t="shared" si="2"/>
        <v>#N/A</v>
      </c>
      <c r="P35" s="3" t="e">
        <f t="shared" si="2"/>
        <v>#N/A</v>
      </c>
      <c r="Q35" s="3" t="e">
        <f t="shared" si="2"/>
        <v>#N/A</v>
      </c>
      <c r="R35" s="3" t="e">
        <f t="shared" si="2"/>
        <v>#N/A</v>
      </c>
      <c r="S35" s="3" t="e">
        <f t="shared" si="2"/>
        <v>#N/A</v>
      </c>
      <c r="T35" s="3" t="e">
        <f t="shared" si="2"/>
        <v>#N/A</v>
      </c>
      <c r="U35" s="3" t="e">
        <f t="shared" si="1"/>
        <v>#N/A</v>
      </c>
      <c r="V35" s="3" t="e">
        <f t="shared" si="1"/>
        <v>#N/A</v>
      </c>
      <c r="W35" s="3" t="e">
        <f t="shared" si="1"/>
        <v>#N/A</v>
      </c>
      <c r="X35" s="3" t="e">
        <f t="shared" si="1"/>
        <v>#N/A</v>
      </c>
      <c r="Y35" s="3" t="e">
        <f t="shared" si="1"/>
        <v>#N/A</v>
      </c>
      <c r="Z35" s="3" t="e">
        <f t="shared" si="1"/>
        <v>#N/A</v>
      </c>
      <c r="AA35" s="3" t="e">
        <f t="shared" si="1"/>
        <v>#N/A</v>
      </c>
      <c r="AB35" s="3" t="e">
        <f t="shared" si="1"/>
        <v>#N/A</v>
      </c>
      <c r="AC35" s="3" t="e">
        <f t="shared" si="1"/>
        <v>#N/A</v>
      </c>
      <c r="AD35" s="3" t="e">
        <f t="shared" si="1"/>
        <v>#N/A</v>
      </c>
      <c r="AE35" s="3" t="e">
        <f t="shared" si="1"/>
        <v>#N/A</v>
      </c>
      <c r="AF35" s="3" t="e">
        <f t="shared" si="1"/>
        <v>#N/A</v>
      </c>
      <c r="AG35" s="3" t="e">
        <f t="shared" si="1"/>
        <v>#N/A</v>
      </c>
      <c r="AH35" s="3" t="e">
        <f t="shared" si="1"/>
        <v>#N/A</v>
      </c>
      <c r="AI35" s="3" t="e">
        <f t="shared" si="1"/>
        <v>#N/A</v>
      </c>
      <c r="AJ35" s="3" t="e">
        <f t="shared" si="1"/>
        <v>#N/A</v>
      </c>
      <c r="AK35" s="3" t="e">
        <f t="shared" si="1"/>
        <v>#N/A</v>
      </c>
      <c r="AL35" s="3" t="e">
        <f t="shared" si="1"/>
        <v>#N/A</v>
      </c>
      <c r="AM35" s="3" t="e">
        <f t="shared" si="1"/>
        <v>#N/A</v>
      </c>
      <c r="AN35" s="3" t="e">
        <f t="shared" si="1"/>
        <v>#N/A</v>
      </c>
    </row>
    <row r="36" spans="2:40" x14ac:dyDescent="0.3">
      <c r="B36" t="s">
        <v>3</v>
      </c>
      <c r="D36" t="s">
        <v>229</v>
      </c>
      <c r="E36" s="3" t="e">
        <f t="shared" si="2"/>
        <v>#N/A</v>
      </c>
      <c r="F36" s="3" t="e">
        <f t="shared" si="1"/>
        <v>#N/A</v>
      </c>
      <c r="G36" s="3" t="e">
        <f t="shared" si="1"/>
        <v>#N/A</v>
      </c>
      <c r="H36" s="3" t="e">
        <f t="shared" si="1"/>
        <v>#N/A</v>
      </c>
      <c r="I36" s="3" t="e">
        <f t="shared" si="1"/>
        <v>#N/A</v>
      </c>
      <c r="J36" s="3" t="e">
        <f t="shared" si="1"/>
        <v>#N/A</v>
      </c>
      <c r="K36" s="3" t="e">
        <f t="shared" si="1"/>
        <v>#N/A</v>
      </c>
      <c r="L36" s="3" t="e">
        <f t="shared" si="1"/>
        <v>#N/A</v>
      </c>
      <c r="M36" s="3" t="e">
        <f t="shared" si="1"/>
        <v>#N/A</v>
      </c>
      <c r="N36" s="3" t="e">
        <f t="shared" si="1"/>
        <v>#N/A</v>
      </c>
      <c r="O36" s="3" t="e">
        <f t="shared" si="1"/>
        <v>#N/A</v>
      </c>
      <c r="P36" s="3" t="e">
        <f t="shared" si="1"/>
        <v>#N/A</v>
      </c>
      <c r="Q36" s="3" t="e">
        <f t="shared" si="1"/>
        <v>#N/A</v>
      </c>
      <c r="R36" s="3" t="e">
        <f t="shared" si="1"/>
        <v>#N/A</v>
      </c>
      <c r="S36" s="3" t="e">
        <f t="shared" si="1"/>
        <v>#N/A</v>
      </c>
      <c r="T36" s="3" t="e">
        <f t="shared" si="1"/>
        <v>#N/A</v>
      </c>
      <c r="U36" s="3" t="e">
        <f t="shared" si="1"/>
        <v>#N/A</v>
      </c>
      <c r="V36" s="3" t="e">
        <f t="shared" si="1"/>
        <v>#N/A</v>
      </c>
      <c r="W36" s="3" t="e">
        <f t="shared" si="1"/>
        <v>#N/A</v>
      </c>
      <c r="X36" s="3" t="e">
        <f t="shared" si="1"/>
        <v>#N/A</v>
      </c>
      <c r="Y36" s="3" t="e">
        <f t="shared" si="1"/>
        <v>#N/A</v>
      </c>
      <c r="Z36" s="3" t="e">
        <f t="shared" si="1"/>
        <v>#N/A</v>
      </c>
      <c r="AA36" s="3" t="e">
        <f t="shared" si="1"/>
        <v>#N/A</v>
      </c>
      <c r="AB36" s="3" t="e">
        <f t="shared" si="1"/>
        <v>#N/A</v>
      </c>
      <c r="AC36" s="3" t="e">
        <f t="shared" si="1"/>
        <v>#N/A</v>
      </c>
      <c r="AD36" s="3" t="e">
        <f t="shared" si="1"/>
        <v>#N/A</v>
      </c>
      <c r="AE36" s="3" t="e">
        <f t="shared" si="1"/>
        <v>#N/A</v>
      </c>
      <c r="AF36" s="3" t="e">
        <f t="shared" si="1"/>
        <v>#N/A</v>
      </c>
      <c r="AG36" s="3" t="e">
        <f t="shared" si="1"/>
        <v>#N/A</v>
      </c>
      <c r="AH36" s="3" t="e">
        <f t="shared" si="1"/>
        <v>#N/A</v>
      </c>
      <c r="AI36" s="3" t="e">
        <f t="shared" si="1"/>
        <v>#N/A</v>
      </c>
      <c r="AJ36" s="3" t="e">
        <f t="shared" si="1"/>
        <v>#N/A</v>
      </c>
      <c r="AK36" s="3" t="e">
        <f t="shared" si="1"/>
        <v>#N/A</v>
      </c>
      <c r="AL36" s="3" t="e">
        <f t="shared" si="1"/>
        <v>#N/A</v>
      </c>
      <c r="AM36" s="3" t="e">
        <f t="shared" si="1"/>
        <v>#N/A</v>
      </c>
      <c r="AN36" s="3" t="e">
        <f t="shared" si="1"/>
        <v>#N/A</v>
      </c>
    </row>
    <row r="37" spans="2:40" x14ac:dyDescent="0.3">
      <c r="B37" t="s">
        <v>4</v>
      </c>
      <c r="D37" t="s">
        <v>229</v>
      </c>
      <c r="E37" s="3" t="e">
        <f t="shared" si="2"/>
        <v>#N/A</v>
      </c>
      <c r="F37" s="3" t="e">
        <f t="shared" si="1"/>
        <v>#N/A</v>
      </c>
      <c r="G37" s="3" t="e">
        <f t="shared" si="1"/>
        <v>#N/A</v>
      </c>
      <c r="H37" s="3" t="e">
        <f t="shared" si="1"/>
        <v>#N/A</v>
      </c>
      <c r="I37" s="3" t="e">
        <f t="shared" si="1"/>
        <v>#N/A</v>
      </c>
      <c r="J37" s="3" t="e">
        <f t="shared" si="1"/>
        <v>#N/A</v>
      </c>
      <c r="K37" s="3" t="e">
        <f t="shared" si="1"/>
        <v>#N/A</v>
      </c>
      <c r="L37" s="3" t="e">
        <f t="shared" si="1"/>
        <v>#N/A</v>
      </c>
      <c r="M37" s="3" t="e">
        <f t="shared" si="1"/>
        <v>#N/A</v>
      </c>
      <c r="N37" s="3" t="e">
        <f t="shared" si="1"/>
        <v>#N/A</v>
      </c>
      <c r="O37" s="3" t="e">
        <f t="shared" si="1"/>
        <v>#N/A</v>
      </c>
      <c r="P37" s="3" t="e">
        <f t="shared" si="1"/>
        <v>#N/A</v>
      </c>
      <c r="Q37" s="3" t="e">
        <f t="shared" si="1"/>
        <v>#N/A</v>
      </c>
      <c r="R37" s="3" t="e">
        <f t="shared" si="1"/>
        <v>#N/A</v>
      </c>
      <c r="S37" s="3" t="e">
        <f t="shared" si="1"/>
        <v>#N/A</v>
      </c>
      <c r="T37" s="3" t="e">
        <f t="shared" si="1"/>
        <v>#N/A</v>
      </c>
      <c r="U37" s="3" t="e">
        <f t="shared" si="1"/>
        <v>#N/A</v>
      </c>
      <c r="V37" s="3" t="e">
        <f t="shared" si="1"/>
        <v>#N/A</v>
      </c>
      <c r="W37" s="3" t="e">
        <f t="shared" si="1"/>
        <v>#N/A</v>
      </c>
      <c r="X37" s="3" t="e">
        <f t="shared" si="1"/>
        <v>#N/A</v>
      </c>
      <c r="Y37" s="3" t="e">
        <f t="shared" si="1"/>
        <v>#N/A</v>
      </c>
      <c r="Z37" s="3" t="e">
        <f t="shared" si="1"/>
        <v>#N/A</v>
      </c>
      <c r="AA37" s="3" t="e">
        <f t="shared" si="1"/>
        <v>#N/A</v>
      </c>
      <c r="AB37" s="3" t="e">
        <f t="shared" si="1"/>
        <v>#N/A</v>
      </c>
      <c r="AC37" s="3" t="e">
        <f t="shared" si="1"/>
        <v>#N/A</v>
      </c>
      <c r="AD37" s="3" t="e">
        <f t="shared" si="1"/>
        <v>#N/A</v>
      </c>
      <c r="AE37" s="3" t="e">
        <f t="shared" si="1"/>
        <v>#N/A</v>
      </c>
      <c r="AF37" s="3" t="e">
        <f t="shared" si="1"/>
        <v>#N/A</v>
      </c>
      <c r="AG37" s="3" t="e">
        <f t="shared" si="1"/>
        <v>#N/A</v>
      </c>
      <c r="AH37" s="3" t="e">
        <f t="shared" si="1"/>
        <v>#N/A</v>
      </c>
      <c r="AI37" s="3" t="e">
        <f t="shared" si="1"/>
        <v>#N/A</v>
      </c>
      <c r="AJ37" s="3" t="e">
        <f t="shared" si="1"/>
        <v>#N/A</v>
      </c>
      <c r="AK37" s="3" t="e">
        <f t="shared" si="1"/>
        <v>#N/A</v>
      </c>
      <c r="AL37" s="3" t="e">
        <f t="shared" si="1"/>
        <v>#N/A</v>
      </c>
      <c r="AM37" s="3" t="e">
        <f t="shared" si="1"/>
        <v>#N/A</v>
      </c>
      <c r="AN37" s="3" t="e">
        <f t="shared" si="1"/>
        <v>#N/A</v>
      </c>
    </row>
    <row r="38" spans="2:40" x14ac:dyDescent="0.3">
      <c r="B38" t="s">
        <v>5</v>
      </c>
      <c r="D38" t="s">
        <v>229</v>
      </c>
      <c r="E38" s="3" t="e">
        <f t="shared" si="2"/>
        <v>#N/A</v>
      </c>
      <c r="F38" s="3" t="e">
        <f t="shared" si="1"/>
        <v>#N/A</v>
      </c>
      <c r="G38" s="3" t="e">
        <f t="shared" si="1"/>
        <v>#N/A</v>
      </c>
      <c r="H38" s="3" t="e">
        <f t="shared" si="1"/>
        <v>#N/A</v>
      </c>
      <c r="I38" s="3" t="e">
        <f t="shared" si="1"/>
        <v>#N/A</v>
      </c>
      <c r="J38" s="3" t="e">
        <f t="shared" si="1"/>
        <v>#N/A</v>
      </c>
      <c r="K38" s="3" t="e">
        <f t="shared" si="1"/>
        <v>#N/A</v>
      </c>
      <c r="L38" s="3" t="e">
        <f t="shared" si="1"/>
        <v>#N/A</v>
      </c>
      <c r="M38" s="3" t="e">
        <f t="shared" si="1"/>
        <v>#N/A</v>
      </c>
      <c r="N38" s="3" t="e">
        <f t="shared" si="1"/>
        <v>#N/A</v>
      </c>
      <c r="O38" s="3" t="e">
        <f t="shared" si="1"/>
        <v>#N/A</v>
      </c>
      <c r="P38" s="3" t="e">
        <f t="shared" si="1"/>
        <v>#N/A</v>
      </c>
      <c r="Q38" s="3" t="e">
        <f t="shared" si="1"/>
        <v>#N/A</v>
      </c>
      <c r="R38" s="3" t="e">
        <f t="shared" si="1"/>
        <v>#N/A</v>
      </c>
      <c r="S38" s="3" t="e">
        <f t="shared" si="1"/>
        <v>#N/A</v>
      </c>
      <c r="T38" s="3" t="e">
        <f t="shared" si="1"/>
        <v>#N/A</v>
      </c>
      <c r="U38" s="3" t="e">
        <f t="shared" si="1"/>
        <v>#N/A</v>
      </c>
      <c r="V38" s="3" t="e">
        <f t="shared" si="1"/>
        <v>#N/A</v>
      </c>
      <c r="W38" s="3" t="e">
        <f t="shared" si="1"/>
        <v>#N/A</v>
      </c>
      <c r="X38" s="3" t="e">
        <f t="shared" si="1"/>
        <v>#N/A</v>
      </c>
      <c r="Y38" s="3" t="e">
        <f t="shared" si="1"/>
        <v>#N/A</v>
      </c>
      <c r="Z38" s="3" t="e">
        <f t="shared" si="1"/>
        <v>#N/A</v>
      </c>
      <c r="AA38" s="3" t="e">
        <f t="shared" si="1"/>
        <v>#N/A</v>
      </c>
      <c r="AB38" s="3" t="e">
        <f t="shared" si="1"/>
        <v>#N/A</v>
      </c>
      <c r="AC38" s="3" t="e">
        <f t="shared" si="1"/>
        <v>#N/A</v>
      </c>
      <c r="AD38" s="3" t="e">
        <f t="shared" si="1"/>
        <v>#N/A</v>
      </c>
      <c r="AE38" s="3" t="e">
        <f t="shared" si="1"/>
        <v>#N/A</v>
      </c>
      <c r="AF38" s="3" t="e">
        <f t="shared" si="1"/>
        <v>#N/A</v>
      </c>
      <c r="AG38" s="3" t="e">
        <f t="shared" si="1"/>
        <v>#N/A</v>
      </c>
      <c r="AH38" s="3" t="e">
        <f t="shared" si="1"/>
        <v>#N/A</v>
      </c>
      <c r="AI38" s="3" t="e">
        <f t="shared" si="1"/>
        <v>#N/A</v>
      </c>
      <c r="AJ38" s="3" t="e">
        <f t="shared" si="1"/>
        <v>#N/A</v>
      </c>
      <c r="AK38" s="3" t="e">
        <f t="shared" si="1"/>
        <v>#N/A</v>
      </c>
      <c r="AL38" s="3" t="e">
        <f t="shared" si="1"/>
        <v>#N/A</v>
      </c>
      <c r="AM38" s="3" t="e">
        <f t="shared" si="1"/>
        <v>#N/A</v>
      </c>
      <c r="AN38" s="3" t="e">
        <f t="shared" si="1"/>
        <v>#N/A</v>
      </c>
    </row>
    <row r="39" spans="2:40" x14ac:dyDescent="0.3">
      <c r="B39" t="s">
        <v>6</v>
      </c>
      <c r="D39" t="s">
        <v>229</v>
      </c>
      <c r="E39" s="3" t="e">
        <f t="shared" si="2"/>
        <v>#N/A</v>
      </c>
      <c r="F39" s="3" t="e">
        <f t="shared" si="1"/>
        <v>#N/A</v>
      </c>
      <c r="G39" s="3" t="e">
        <f t="shared" si="1"/>
        <v>#N/A</v>
      </c>
      <c r="H39" s="3" t="e">
        <f t="shared" si="1"/>
        <v>#N/A</v>
      </c>
      <c r="I39" s="3" t="e">
        <f t="shared" si="1"/>
        <v>#N/A</v>
      </c>
      <c r="J39" s="3" t="e">
        <f t="shared" si="1"/>
        <v>#N/A</v>
      </c>
      <c r="K39" s="3" t="e">
        <f t="shared" si="1"/>
        <v>#N/A</v>
      </c>
      <c r="L39" s="3" t="e">
        <f t="shared" si="1"/>
        <v>#N/A</v>
      </c>
      <c r="M39" s="3" t="e">
        <f t="shared" si="1"/>
        <v>#N/A</v>
      </c>
      <c r="N39" s="3" t="e">
        <f t="shared" si="1"/>
        <v>#N/A</v>
      </c>
      <c r="O39" s="3" t="e">
        <f t="shared" si="1"/>
        <v>#N/A</v>
      </c>
      <c r="P39" s="3" t="e">
        <f t="shared" si="1"/>
        <v>#N/A</v>
      </c>
      <c r="Q39" s="3" t="e">
        <f t="shared" si="1"/>
        <v>#N/A</v>
      </c>
      <c r="R39" s="3" t="e">
        <f t="shared" si="1"/>
        <v>#N/A</v>
      </c>
      <c r="S39" s="3" t="e">
        <f t="shared" si="1"/>
        <v>#N/A</v>
      </c>
      <c r="T39" s="3" t="e">
        <f t="shared" si="1"/>
        <v>#N/A</v>
      </c>
      <c r="U39" s="3" t="e">
        <f t="shared" si="1"/>
        <v>#N/A</v>
      </c>
      <c r="V39" s="3" t="e">
        <f t="shared" si="1"/>
        <v>#N/A</v>
      </c>
      <c r="W39" s="3" t="e">
        <f t="shared" si="1"/>
        <v>#N/A</v>
      </c>
      <c r="X39" s="3" t="e">
        <f t="shared" si="1"/>
        <v>#N/A</v>
      </c>
      <c r="Y39" s="3" t="e">
        <f t="shared" si="1"/>
        <v>#N/A</v>
      </c>
      <c r="Z39" s="3" t="e">
        <f t="shared" si="1"/>
        <v>#N/A</v>
      </c>
      <c r="AA39" s="3" t="e">
        <f t="shared" si="1"/>
        <v>#N/A</v>
      </c>
      <c r="AB39" s="3" t="e">
        <f t="shared" si="1"/>
        <v>#N/A</v>
      </c>
      <c r="AC39" s="3" t="e">
        <f t="shared" si="1"/>
        <v>#N/A</v>
      </c>
      <c r="AD39" s="3" t="e">
        <f t="shared" si="1"/>
        <v>#N/A</v>
      </c>
      <c r="AE39" s="3" t="e">
        <f t="shared" si="1"/>
        <v>#N/A</v>
      </c>
      <c r="AF39" s="3" t="e">
        <f t="shared" si="1"/>
        <v>#N/A</v>
      </c>
      <c r="AG39" s="3" t="e">
        <f t="shared" si="1"/>
        <v>#N/A</v>
      </c>
      <c r="AH39" s="3" t="e">
        <f t="shared" si="1"/>
        <v>#N/A</v>
      </c>
      <c r="AI39" s="3" t="e">
        <f t="shared" si="1"/>
        <v>#N/A</v>
      </c>
      <c r="AJ39" s="3" t="e">
        <f t="shared" si="1"/>
        <v>#N/A</v>
      </c>
      <c r="AK39" s="3" t="e">
        <f t="shared" si="1"/>
        <v>#N/A</v>
      </c>
      <c r="AL39" s="3" t="e">
        <f t="shared" si="1"/>
        <v>#N/A</v>
      </c>
      <c r="AM39" s="3" t="e">
        <f t="shared" si="1"/>
        <v>#N/A</v>
      </c>
      <c r="AN39" s="3" t="e">
        <f t="shared" si="1"/>
        <v>#N/A</v>
      </c>
    </row>
    <row r="40" spans="2:40" x14ac:dyDescent="0.3">
      <c r="B40" t="s">
        <v>7</v>
      </c>
      <c r="D40" t="s">
        <v>229</v>
      </c>
      <c r="E40" s="3" t="e">
        <f t="shared" si="2"/>
        <v>#N/A</v>
      </c>
      <c r="F40" s="3" t="e">
        <f t="shared" si="1"/>
        <v>#N/A</v>
      </c>
      <c r="G40" s="3" t="e">
        <f t="shared" si="1"/>
        <v>#N/A</v>
      </c>
      <c r="H40" s="3" t="e">
        <f t="shared" si="1"/>
        <v>#N/A</v>
      </c>
      <c r="I40" s="3" t="e">
        <f t="shared" si="1"/>
        <v>#N/A</v>
      </c>
      <c r="J40" s="3" t="e">
        <f t="shared" si="1"/>
        <v>#N/A</v>
      </c>
      <c r="K40" s="3" t="e">
        <f t="shared" si="1"/>
        <v>#N/A</v>
      </c>
      <c r="L40" s="3" t="e">
        <f t="shared" si="1"/>
        <v>#N/A</v>
      </c>
      <c r="M40" s="3" t="e">
        <f t="shared" si="1"/>
        <v>#N/A</v>
      </c>
      <c r="N40" s="3" t="e">
        <f t="shared" si="1"/>
        <v>#N/A</v>
      </c>
      <c r="O40" s="3" t="e">
        <f t="shared" si="1"/>
        <v>#N/A</v>
      </c>
      <c r="P40" s="3" t="e">
        <f t="shared" si="1"/>
        <v>#N/A</v>
      </c>
      <c r="Q40" s="3" t="e">
        <f t="shared" si="1"/>
        <v>#N/A</v>
      </c>
      <c r="R40" s="3" t="e">
        <f t="shared" si="1"/>
        <v>#N/A</v>
      </c>
      <c r="S40" s="3" t="e">
        <f t="shared" si="1"/>
        <v>#N/A</v>
      </c>
      <c r="T40" s="3" t="e">
        <f t="shared" si="1"/>
        <v>#N/A</v>
      </c>
      <c r="U40" s="3" t="e">
        <f t="shared" si="1"/>
        <v>#N/A</v>
      </c>
      <c r="V40" s="3" t="e">
        <f t="shared" si="1"/>
        <v>#N/A</v>
      </c>
      <c r="W40" s="3" t="e">
        <f t="shared" si="1"/>
        <v>#N/A</v>
      </c>
      <c r="X40" s="3" t="e">
        <f t="shared" si="1"/>
        <v>#N/A</v>
      </c>
      <c r="Y40" s="3" t="e">
        <f t="shared" si="1"/>
        <v>#N/A</v>
      </c>
      <c r="Z40" s="3" t="e">
        <f t="shared" si="1"/>
        <v>#N/A</v>
      </c>
      <c r="AA40" s="3" t="e">
        <f t="shared" si="1"/>
        <v>#N/A</v>
      </c>
      <c r="AB40" s="3" t="e">
        <f t="shared" si="1"/>
        <v>#N/A</v>
      </c>
      <c r="AC40" s="3" t="e">
        <f t="shared" si="1"/>
        <v>#N/A</v>
      </c>
      <c r="AD40" s="3" t="e">
        <f t="shared" si="1"/>
        <v>#N/A</v>
      </c>
      <c r="AE40" s="3" t="e">
        <f t="shared" si="1"/>
        <v>#N/A</v>
      </c>
      <c r="AF40" s="3" t="e">
        <f t="shared" si="1"/>
        <v>#N/A</v>
      </c>
      <c r="AG40" s="3" t="e">
        <f t="shared" si="1"/>
        <v>#N/A</v>
      </c>
      <c r="AH40" s="3" t="e">
        <f t="shared" si="1"/>
        <v>#N/A</v>
      </c>
      <c r="AI40" s="3" t="e">
        <f t="shared" si="1"/>
        <v>#N/A</v>
      </c>
      <c r="AJ40" s="3" t="e">
        <f t="shared" si="1"/>
        <v>#N/A</v>
      </c>
      <c r="AK40" s="3" t="e">
        <f t="shared" si="1"/>
        <v>#N/A</v>
      </c>
      <c r="AL40" s="3" t="e">
        <f t="shared" si="1"/>
        <v>#N/A</v>
      </c>
      <c r="AM40" s="3" t="e">
        <f t="shared" si="1"/>
        <v>#N/A</v>
      </c>
      <c r="AN40" s="3" t="e">
        <f t="shared" si="1"/>
        <v>#N/A</v>
      </c>
    </row>
    <row r="41" spans="2:40" x14ac:dyDescent="0.3">
      <c r="B41" t="s">
        <v>8</v>
      </c>
      <c r="D41" t="s">
        <v>229</v>
      </c>
      <c r="E41" s="3" t="e">
        <f t="shared" si="2"/>
        <v>#N/A</v>
      </c>
      <c r="F41" s="3" t="e">
        <f t="shared" si="1"/>
        <v>#N/A</v>
      </c>
      <c r="G41" s="3" t="e">
        <f t="shared" si="1"/>
        <v>#N/A</v>
      </c>
      <c r="H41" s="3" t="e">
        <f t="shared" si="1"/>
        <v>#N/A</v>
      </c>
      <c r="I41" s="3" t="e">
        <f t="shared" si="1"/>
        <v>#N/A</v>
      </c>
      <c r="J41" s="3" t="e">
        <f t="shared" si="1"/>
        <v>#N/A</v>
      </c>
      <c r="K41" s="3" t="e">
        <f t="shared" si="1"/>
        <v>#N/A</v>
      </c>
      <c r="L41" s="3" t="e">
        <f t="shared" si="1"/>
        <v>#N/A</v>
      </c>
      <c r="M41" s="3" t="e">
        <f t="shared" si="1"/>
        <v>#N/A</v>
      </c>
      <c r="N41" s="3" t="e">
        <f t="shared" si="1"/>
        <v>#N/A</v>
      </c>
      <c r="O41" s="3" t="e">
        <f t="shared" si="1"/>
        <v>#N/A</v>
      </c>
      <c r="P41" s="3" t="e">
        <f t="shared" si="1"/>
        <v>#N/A</v>
      </c>
      <c r="Q41" s="3" t="e">
        <f t="shared" si="1"/>
        <v>#N/A</v>
      </c>
      <c r="R41" s="3" t="e">
        <f t="shared" si="1"/>
        <v>#N/A</v>
      </c>
      <c r="S41" s="3" t="e">
        <f t="shared" si="1"/>
        <v>#N/A</v>
      </c>
      <c r="T41" s="3" t="e">
        <f t="shared" si="1"/>
        <v>#N/A</v>
      </c>
      <c r="U41" s="3" t="e">
        <f t="shared" si="1"/>
        <v>#N/A</v>
      </c>
      <c r="V41" s="3" t="e">
        <f t="shared" si="1"/>
        <v>#N/A</v>
      </c>
      <c r="W41" s="3" t="e">
        <f t="shared" si="1"/>
        <v>#N/A</v>
      </c>
      <c r="X41" s="3" t="e">
        <f t="shared" si="1"/>
        <v>#N/A</v>
      </c>
      <c r="Y41" s="3" t="e">
        <f t="shared" si="1"/>
        <v>#N/A</v>
      </c>
      <c r="Z41" s="3" t="e">
        <f t="shared" si="1"/>
        <v>#N/A</v>
      </c>
      <c r="AA41" s="3" t="e">
        <f t="shared" si="1"/>
        <v>#N/A</v>
      </c>
      <c r="AB41" s="3" t="e">
        <f t="shared" si="1"/>
        <v>#N/A</v>
      </c>
      <c r="AC41" s="3" t="e">
        <f t="shared" si="1"/>
        <v>#N/A</v>
      </c>
      <c r="AD41" s="3" t="e">
        <f t="shared" si="1"/>
        <v>#N/A</v>
      </c>
      <c r="AE41" s="3" t="e">
        <f t="shared" ref="F41:AN48" si="3">AE11/$E11</f>
        <v>#N/A</v>
      </c>
      <c r="AF41" s="3" t="e">
        <f t="shared" si="3"/>
        <v>#N/A</v>
      </c>
      <c r="AG41" s="3" t="e">
        <f t="shared" si="3"/>
        <v>#N/A</v>
      </c>
      <c r="AH41" s="3" t="e">
        <f t="shared" si="3"/>
        <v>#N/A</v>
      </c>
      <c r="AI41" s="3" t="e">
        <f t="shared" si="3"/>
        <v>#N/A</v>
      </c>
      <c r="AJ41" s="3" t="e">
        <f t="shared" si="3"/>
        <v>#N/A</v>
      </c>
      <c r="AK41" s="3" t="e">
        <f t="shared" si="3"/>
        <v>#N/A</v>
      </c>
      <c r="AL41" s="3" t="e">
        <f t="shared" si="3"/>
        <v>#N/A</v>
      </c>
      <c r="AM41" s="3" t="e">
        <f t="shared" si="3"/>
        <v>#N/A</v>
      </c>
      <c r="AN41" s="3" t="e">
        <f t="shared" si="3"/>
        <v>#N/A</v>
      </c>
    </row>
    <row r="42" spans="2:40" x14ac:dyDescent="0.3">
      <c r="B42" t="s">
        <v>9</v>
      </c>
      <c r="D42" t="s">
        <v>229</v>
      </c>
      <c r="E42" s="3" t="e">
        <f t="shared" si="2"/>
        <v>#N/A</v>
      </c>
      <c r="F42" s="3" t="e">
        <f t="shared" si="3"/>
        <v>#N/A</v>
      </c>
      <c r="G42" s="3" t="e">
        <f t="shared" si="3"/>
        <v>#N/A</v>
      </c>
      <c r="H42" s="3" t="e">
        <f t="shared" si="3"/>
        <v>#N/A</v>
      </c>
      <c r="I42" s="3" t="e">
        <f t="shared" si="3"/>
        <v>#N/A</v>
      </c>
      <c r="J42" s="3" t="e">
        <f t="shared" si="3"/>
        <v>#N/A</v>
      </c>
      <c r="K42" s="3" t="e">
        <f t="shared" si="3"/>
        <v>#N/A</v>
      </c>
      <c r="L42" s="3" t="e">
        <f t="shared" si="3"/>
        <v>#N/A</v>
      </c>
      <c r="M42" s="3" t="e">
        <f t="shared" si="3"/>
        <v>#N/A</v>
      </c>
      <c r="N42" s="3" t="e">
        <f t="shared" si="3"/>
        <v>#N/A</v>
      </c>
      <c r="O42" s="3" t="e">
        <f t="shared" si="3"/>
        <v>#N/A</v>
      </c>
      <c r="P42" s="3" t="e">
        <f t="shared" si="3"/>
        <v>#N/A</v>
      </c>
      <c r="Q42" s="3" t="e">
        <f t="shared" si="3"/>
        <v>#N/A</v>
      </c>
      <c r="R42" s="3" t="e">
        <f t="shared" si="3"/>
        <v>#N/A</v>
      </c>
      <c r="S42" s="3" t="e">
        <f t="shared" si="3"/>
        <v>#N/A</v>
      </c>
      <c r="T42" s="3" t="e">
        <f t="shared" si="3"/>
        <v>#N/A</v>
      </c>
      <c r="U42" s="3" t="e">
        <f t="shared" si="3"/>
        <v>#N/A</v>
      </c>
      <c r="V42" s="3" t="e">
        <f t="shared" si="3"/>
        <v>#N/A</v>
      </c>
      <c r="W42" s="3" t="e">
        <f t="shared" si="3"/>
        <v>#N/A</v>
      </c>
      <c r="X42" s="3" t="e">
        <f t="shared" si="3"/>
        <v>#N/A</v>
      </c>
      <c r="Y42" s="3" t="e">
        <f t="shared" si="3"/>
        <v>#N/A</v>
      </c>
      <c r="Z42" s="3" t="e">
        <f t="shared" si="3"/>
        <v>#N/A</v>
      </c>
      <c r="AA42" s="3" t="e">
        <f t="shared" si="3"/>
        <v>#N/A</v>
      </c>
      <c r="AB42" s="3" t="e">
        <f t="shared" si="3"/>
        <v>#N/A</v>
      </c>
      <c r="AC42" s="3" t="e">
        <f t="shared" si="3"/>
        <v>#N/A</v>
      </c>
      <c r="AD42" s="3" t="e">
        <f t="shared" si="3"/>
        <v>#N/A</v>
      </c>
      <c r="AE42" s="3" t="e">
        <f t="shared" si="3"/>
        <v>#N/A</v>
      </c>
      <c r="AF42" s="3" t="e">
        <f t="shared" si="3"/>
        <v>#N/A</v>
      </c>
      <c r="AG42" s="3" t="e">
        <f t="shared" si="3"/>
        <v>#N/A</v>
      </c>
      <c r="AH42" s="3" t="e">
        <f t="shared" si="3"/>
        <v>#N/A</v>
      </c>
      <c r="AI42" s="3" t="e">
        <f t="shared" si="3"/>
        <v>#N/A</v>
      </c>
      <c r="AJ42" s="3" t="e">
        <f t="shared" si="3"/>
        <v>#N/A</v>
      </c>
      <c r="AK42" s="3" t="e">
        <f t="shared" si="3"/>
        <v>#N/A</v>
      </c>
      <c r="AL42" s="3" t="e">
        <f t="shared" si="3"/>
        <v>#N/A</v>
      </c>
      <c r="AM42" s="3" t="e">
        <f t="shared" si="3"/>
        <v>#N/A</v>
      </c>
      <c r="AN42" s="3" t="e">
        <f t="shared" si="3"/>
        <v>#N/A</v>
      </c>
    </row>
    <row r="43" spans="2:40" x14ac:dyDescent="0.3">
      <c r="B43" t="s">
        <v>10</v>
      </c>
      <c r="D43" t="s">
        <v>229</v>
      </c>
      <c r="E43" s="3" t="e">
        <f t="shared" si="2"/>
        <v>#N/A</v>
      </c>
      <c r="F43" s="3" t="e">
        <f t="shared" si="3"/>
        <v>#N/A</v>
      </c>
      <c r="G43" s="3" t="e">
        <f t="shared" si="3"/>
        <v>#N/A</v>
      </c>
      <c r="H43" s="3" t="e">
        <f t="shared" si="3"/>
        <v>#N/A</v>
      </c>
      <c r="I43" s="3" t="e">
        <f t="shared" si="3"/>
        <v>#N/A</v>
      </c>
      <c r="J43" s="3" t="e">
        <f t="shared" si="3"/>
        <v>#N/A</v>
      </c>
      <c r="K43" s="3" t="e">
        <f t="shared" si="3"/>
        <v>#N/A</v>
      </c>
      <c r="L43" s="3" t="e">
        <f t="shared" si="3"/>
        <v>#N/A</v>
      </c>
      <c r="M43" s="3" t="e">
        <f t="shared" si="3"/>
        <v>#N/A</v>
      </c>
      <c r="N43" s="3" t="e">
        <f t="shared" si="3"/>
        <v>#N/A</v>
      </c>
      <c r="O43" s="3" t="e">
        <f t="shared" si="3"/>
        <v>#N/A</v>
      </c>
      <c r="P43" s="3" t="e">
        <f t="shared" si="3"/>
        <v>#N/A</v>
      </c>
      <c r="Q43" s="3" t="e">
        <f t="shared" si="3"/>
        <v>#N/A</v>
      </c>
      <c r="R43" s="3" t="e">
        <f t="shared" si="3"/>
        <v>#N/A</v>
      </c>
      <c r="S43" s="3" t="e">
        <f t="shared" si="3"/>
        <v>#N/A</v>
      </c>
      <c r="T43" s="3" t="e">
        <f t="shared" si="3"/>
        <v>#N/A</v>
      </c>
      <c r="U43" s="3" t="e">
        <f t="shared" si="3"/>
        <v>#N/A</v>
      </c>
      <c r="V43" s="3" t="e">
        <f t="shared" si="3"/>
        <v>#N/A</v>
      </c>
      <c r="W43" s="3" t="e">
        <f t="shared" si="3"/>
        <v>#N/A</v>
      </c>
      <c r="X43" s="3" t="e">
        <f t="shared" si="3"/>
        <v>#N/A</v>
      </c>
      <c r="Y43" s="3" t="e">
        <f t="shared" si="3"/>
        <v>#N/A</v>
      </c>
      <c r="Z43" s="3" t="e">
        <f t="shared" si="3"/>
        <v>#N/A</v>
      </c>
      <c r="AA43" s="3" t="e">
        <f t="shared" si="3"/>
        <v>#N/A</v>
      </c>
      <c r="AB43" s="3" t="e">
        <f t="shared" si="3"/>
        <v>#N/A</v>
      </c>
      <c r="AC43" s="3" t="e">
        <f t="shared" si="3"/>
        <v>#N/A</v>
      </c>
      <c r="AD43" s="3" t="e">
        <f t="shared" si="3"/>
        <v>#N/A</v>
      </c>
      <c r="AE43" s="3" t="e">
        <f t="shared" si="3"/>
        <v>#N/A</v>
      </c>
      <c r="AF43" s="3" t="e">
        <f t="shared" si="3"/>
        <v>#N/A</v>
      </c>
      <c r="AG43" s="3" t="e">
        <f t="shared" si="3"/>
        <v>#N/A</v>
      </c>
      <c r="AH43" s="3" t="e">
        <f t="shared" si="3"/>
        <v>#N/A</v>
      </c>
      <c r="AI43" s="3" t="e">
        <f t="shared" si="3"/>
        <v>#N/A</v>
      </c>
      <c r="AJ43" s="3" t="e">
        <f t="shared" si="3"/>
        <v>#N/A</v>
      </c>
      <c r="AK43" s="3" t="e">
        <f t="shared" si="3"/>
        <v>#N/A</v>
      </c>
      <c r="AL43" s="3" t="e">
        <f t="shared" si="3"/>
        <v>#N/A</v>
      </c>
      <c r="AM43" s="3" t="e">
        <f t="shared" si="3"/>
        <v>#N/A</v>
      </c>
      <c r="AN43" s="3" t="e">
        <f t="shared" si="3"/>
        <v>#N/A</v>
      </c>
    </row>
    <row r="44" spans="2:40" x14ac:dyDescent="0.3">
      <c r="B44" t="s">
        <v>11</v>
      </c>
      <c r="D44" t="s">
        <v>229</v>
      </c>
      <c r="E44" s="3" t="e">
        <f t="shared" si="2"/>
        <v>#N/A</v>
      </c>
      <c r="F44" s="3" t="e">
        <f t="shared" si="3"/>
        <v>#N/A</v>
      </c>
      <c r="G44" s="3" t="e">
        <f t="shared" si="3"/>
        <v>#N/A</v>
      </c>
      <c r="H44" s="3" t="e">
        <f t="shared" si="3"/>
        <v>#N/A</v>
      </c>
      <c r="I44" s="3" t="e">
        <f t="shared" si="3"/>
        <v>#N/A</v>
      </c>
      <c r="J44" s="3" t="e">
        <f t="shared" si="3"/>
        <v>#N/A</v>
      </c>
      <c r="K44" s="3" t="e">
        <f t="shared" si="3"/>
        <v>#N/A</v>
      </c>
      <c r="L44" s="3" t="e">
        <f t="shared" si="3"/>
        <v>#N/A</v>
      </c>
      <c r="M44" s="3" t="e">
        <f t="shared" si="3"/>
        <v>#N/A</v>
      </c>
      <c r="N44" s="3" t="e">
        <f t="shared" si="3"/>
        <v>#N/A</v>
      </c>
      <c r="O44" s="3" t="e">
        <f t="shared" si="3"/>
        <v>#N/A</v>
      </c>
      <c r="P44" s="3" t="e">
        <f t="shared" si="3"/>
        <v>#N/A</v>
      </c>
      <c r="Q44" s="3" t="e">
        <f t="shared" si="3"/>
        <v>#N/A</v>
      </c>
      <c r="R44" s="3" t="e">
        <f t="shared" si="3"/>
        <v>#N/A</v>
      </c>
      <c r="S44" s="3" t="e">
        <f t="shared" si="3"/>
        <v>#N/A</v>
      </c>
      <c r="T44" s="3" t="e">
        <f t="shared" si="3"/>
        <v>#N/A</v>
      </c>
      <c r="U44" s="3" t="e">
        <f t="shared" si="3"/>
        <v>#N/A</v>
      </c>
      <c r="V44" s="3" t="e">
        <f t="shared" si="3"/>
        <v>#N/A</v>
      </c>
      <c r="W44" s="3" t="e">
        <f t="shared" si="3"/>
        <v>#N/A</v>
      </c>
      <c r="X44" s="3" t="e">
        <f t="shared" si="3"/>
        <v>#N/A</v>
      </c>
      <c r="Y44" s="3" t="e">
        <f t="shared" si="3"/>
        <v>#N/A</v>
      </c>
      <c r="Z44" s="3" t="e">
        <f t="shared" si="3"/>
        <v>#N/A</v>
      </c>
      <c r="AA44" s="3" t="e">
        <f t="shared" si="3"/>
        <v>#N/A</v>
      </c>
      <c r="AB44" s="3" t="e">
        <f t="shared" si="3"/>
        <v>#N/A</v>
      </c>
      <c r="AC44" s="3" t="e">
        <f t="shared" si="3"/>
        <v>#N/A</v>
      </c>
      <c r="AD44" s="3" t="e">
        <f t="shared" si="3"/>
        <v>#N/A</v>
      </c>
      <c r="AE44" s="3" t="e">
        <f t="shared" si="3"/>
        <v>#N/A</v>
      </c>
      <c r="AF44" s="3" t="e">
        <f t="shared" si="3"/>
        <v>#N/A</v>
      </c>
      <c r="AG44" s="3" t="e">
        <f t="shared" si="3"/>
        <v>#N/A</v>
      </c>
      <c r="AH44" s="3" t="e">
        <f t="shared" si="3"/>
        <v>#N/A</v>
      </c>
      <c r="AI44" s="3" t="e">
        <f t="shared" si="3"/>
        <v>#N/A</v>
      </c>
      <c r="AJ44" s="3" t="e">
        <f t="shared" si="3"/>
        <v>#N/A</v>
      </c>
      <c r="AK44" s="3" t="e">
        <f t="shared" si="3"/>
        <v>#N/A</v>
      </c>
      <c r="AL44" s="3" t="e">
        <f t="shared" si="3"/>
        <v>#N/A</v>
      </c>
      <c r="AM44" s="3" t="e">
        <f t="shared" si="3"/>
        <v>#N/A</v>
      </c>
      <c r="AN44" s="3" t="e">
        <f t="shared" si="3"/>
        <v>#N/A</v>
      </c>
    </row>
    <row r="45" spans="2:40" x14ac:dyDescent="0.3">
      <c r="B45" t="s">
        <v>12</v>
      </c>
      <c r="D45" t="s">
        <v>229</v>
      </c>
      <c r="E45" s="3" t="e">
        <f t="shared" si="2"/>
        <v>#N/A</v>
      </c>
      <c r="F45" s="3" t="e">
        <f t="shared" si="3"/>
        <v>#N/A</v>
      </c>
      <c r="G45" s="3" t="e">
        <f t="shared" si="3"/>
        <v>#N/A</v>
      </c>
      <c r="H45" s="3" t="e">
        <f t="shared" si="3"/>
        <v>#N/A</v>
      </c>
      <c r="I45" s="3" t="e">
        <f t="shared" si="3"/>
        <v>#N/A</v>
      </c>
      <c r="J45" s="3" t="e">
        <f t="shared" si="3"/>
        <v>#N/A</v>
      </c>
      <c r="K45" s="3" t="e">
        <f t="shared" si="3"/>
        <v>#N/A</v>
      </c>
      <c r="L45" s="3" t="e">
        <f t="shared" si="3"/>
        <v>#N/A</v>
      </c>
      <c r="M45" s="3" t="e">
        <f t="shared" si="3"/>
        <v>#N/A</v>
      </c>
      <c r="N45" s="3" t="e">
        <f t="shared" si="3"/>
        <v>#N/A</v>
      </c>
      <c r="O45" s="3" t="e">
        <f t="shared" si="3"/>
        <v>#N/A</v>
      </c>
      <c r="P45" s="3" t="e">
        <f t="shared" si="3"/>
        <v>#N/A</v>
      </c>
      <c r="Q45" s="3" t="e">
        <f t="shared" si="3"/>
        <v>#N/A</v>
      </c>
      <c r="R45" s="3" t="e">
        <f t="shared" si="3"/>
        <v>#N/A</v>
      </c>
      <c r="S45" s="3" t="e">
        <f t="shared" si="3"/>
        <v>#N/A</v>
      </c>
      <c r="T45" s="3" t="e">
        <f t="shared" si="3"/>
        <v>#N/A</v>
      </c>
      <c r="U45" s="3" t="e">
        <f t="shared" si="3"/>
        <v>#N/A</v>
      </c>
      <c r="V45" s="3" t="e">
        <f t="shared" si="3"/>
        <v>#N/A</v>
      </c>
      <c r="W45" s="3" t="e">
        <f t="shared" si="3"/>
        <v>#N/A</v>
      </c>
      <c r="X45" s="3" t="e">
        <f t="shared" si="3"/>
        <v>#N/A</v>
      </c>
      <c r="Y45" s="3" t="e">
        <f t="shared" si="3"/>
        <v>#N/A</v>
      </c>
      <c r="Z45" s="3" t="e">
        <f t="shared" si="3"/>
        <v>#N/A</v>
      </c>
      <c r="AA45" s="3" t="e">
        <f t="shared" si="3"/>
        <v>#N/A</v>
      </c>
      <c r="AB45" s="3" t="e">
        <f t="shared" si="3"/>
        <v>#N/A</v>
      </c>
      <c r="AC45" s="3" t="e">
        <f t="shared" si="3"/>
        <v>#N/A</v>
      </c>
      <c r="AD45" s="3" t="e">
        <f t="shared" si="3"/>
        <v>#N/A</v>
      </c>
      <c r="AE45" s="3" t="e">
        <f t="shared" si="3"/>
        <v>#N/A</v>
      </c>
      <c r="AF45" s="3" t="e">
        <f t="shared" si="3"/>
        <v>#N/A</v>
      </c>
      <c r="AG45" s="3" t="e">
        <f t="shared" si="3"/>
        <v>#N/A</v>
      </c>
      <c r="AH45" s="3" t="e">
        <f t="shared" si="3"/>
        <v>#N/A</v>
      </c>
      <c r="AI45" s="3" t="e">
        <f t="shared" si="3"/>
        <v>#N/A</v>
      </c>
      <c r="AJ45" s="3" t="e">
        <f t="shared" si="3"/>
        <v>#N/A</v>
      </c>
      <c r="AK45" s="3" t="e">
        <f t="shared" si="3"/>
        <v>#N/A</v>
      </c>
      <c r="AL45" s="3" t="e">
        <f t="shared" si="3"/>
        <v>#N/A</v>
      </c>
      <c r="AM45" s="3" t="e">
        <f t="shared" si="3"/>
        <v>#N/A</v>
      </c>
      <c r="AN45" s="3" t="e">
        <f t="shared" si="3"/>
        <v>#N/A</v>
      </c>
    </row>
    <row r="46" spans="2:40" x14ac:dyDescent="0.3">
      <c r="B46" t="s">
        <v>13</v>
      </c>
      <c r="D46" t="s">
        <v>229</v>
      </c>
      <c r="E46" s="3" t="e">
        <f t="shared" si="2"/>
        <v>#N/A</v>
      </c>
      <c r="F46" s="3" t="e">
        <f t="shared" si="3"/>
        <v>#N/A</v>
      </c>
      <c r="G46" s="3" t="e">
        <f t="shared" si="3"/>
        <v>#N/A</v>
      </c>
      <c r="H46" s="3" t="e">
        <f t="shared" si="3"/>
        <v>#N/A</v>
      </c>
      <c r="I46" s="3" t="e">
        <f t="shared" si="3"/>
        <v>#N/A</v>
      </c>
      <c r="J46" s="3" t="e">
        <f t="shared" si="3"/>
        <v>#N/A</v>
      </c>
      <c r="K46" s="3" t="e">
        <f t="shared" si="3"/>
        <v>#N/A</v>
      </c>
      <c r="L46" s="3" t="e">
        <f t="shared" si="3"/>
        <v>#N/A</v>
      </c>
      <c r="M46" s="3" t="e">
        <f t="shared" si="3"/>
        <v>#N/A</v>
      </c>
      <c r="N46" s="3" t="e">
        <f t="shared" si="3"/>
        <v>#N/A</v>
      </c>
      <c r="O46" s="3" t="e">
        <f t="shared" si="3"/>
        <v>#N/A</v>
      </c>
      <c r="P46" s="3" t="e">
        <f t="shared" si="3"/>
        <v>#N/A</v>
      </c>
      <c r="Q46" s="3" t="e">
        <f t="shared" si="3"/>
        <v>#N/A</v>
      </c>
      <c r="R46" s="3" t="e">
        <f t="shared" si="3"/>
        <v>#N/A</v>
      </c>
      <c r="S46" s="3" t="e">
        <f t="shared" si="3"/>
        <v>#N/A</v>
      </c>
      <c r="T46" s="3" t="e">
        <f t="shared" si="3"/>
        <v>#N/A</v>
      </c>
      <c r="U46" s="3" t="e">
        <f t="shared" si="3"/>
        <v>#N/A</v>
      </c>
      <c r="V46" s="3" t="e">
        <f t="shared" si="3"/>
        <v>#N/A</v>
      </c>
      <c r="W46" s="3" t="e">
        <f t="shared" si="3"/>
        <v>#N/A</v>
      </c>
      <c r="X46" s="3" t="e">
        <f t="shared" si="3"/>
        <v>#N/A</v>
      </c>
      <c r="Y46" s="3" t="e">
        <f t="shared" si="3"/>
        <v>#N/A</v>
      </c>
      <c r="Z46" s="3" t="e">
        <f t="shared" si="3"/>
        <v>#N/A</v>
      </c>
      <c r="AA46" s="3" t="e">
        <f t="shared" si="3"/>
        <v>#N/A</v>
      </c>
      <c r="AB46" s="3" t="e">
        <f t="shared" si="3"/>
        <v>#N/A</v>
      </c>
      <c r="AC46" s="3" t="e">
        <f t="shared" si="3"/>
        <v>#N/A</v>
      </c>
      <c r="AD46" s="3" t="e">
        <f t="shared" si="3"/>
        <v>#N/A</v>
      </c>
      <c r="AE46" s="3" t="e">
        <f t="shared" si="3"/>
        <v>#N/A</v>
      </c>
      <c r="AF46" s="3" t="e">
        <f t="shared" si="3"/>
        <v>#N/A</v>
      </c>
      <c r="AG46" s="3" t="e">
        <f t="shared" si="3"/>
        <v>#N/A</v>
      </c>
      <c r="AH46" s="3" t="e">
        <f t="shared" si="3"/>
        <v>#N/A</v>
      </c>
      <c r="AI46" s="3" t="e">
        <f t="shared" si="3"/>
        <v>#N/A</v>
      </c>
      <c r="AJ46" s="3" t="e">
        <f t="shared" si="3"/>
        <v>#N/A</v>
      </c>
      <c r="AK46" s="3" t="e">
        <f t="shared" si="3"/>
        <v>#N/A</v>
      </c>
      <c r="AL46" s="3" t="e">
        <f t="shared" si="3"/>
        <v>#N/A</v>
      </c>
      <c r="AM46" s="3" t="e">
        <f t="shared" si="3"/>
        <v>#N/A</v>
      </c>
      <c r="AN46" s="3" t="e">
        <f t="shared" si="3"/>
        <v>#N/A</v>
      </c>
    </row>
    <row r="47" spans="2:40" x14ac:dyDescent="0.3">
      <c r="B47" t="s">
        <v>14</v>
      </c>
      <c r="D47" t="s">
        <v>229</v>
      </c>
      <c r="E47" s="3" t="e">
        <f t="shared" si="2"/>
        <v>#N/A</v>
      </c>
      <c r="F47" s="3" t="e">
        <f t="shared" si="3"/>
        <v>#N/A</v>
      </c>
      <c r="G47" s="3" t="e">
        <f t="shared" si="3"/>
        <v>#N/A</v>
      </c>
      <c r="H47" s="3" t="e">
        <f t="shared" si="3"/>
        <v>#N/A</v>
      </c>
      <c r="I47" s="3" t="e">
        <f t="shared" si="3"/>
        <v>#N/A</v>
      </c>
      <c r="J47" s="3" t="e">
        <f t="shared" si="3"/>
        <v>#N/A</v>
      </c>
      <c r="K47" s="3" t="e">
        <f t="shared" si="3"/>
        <v>#N/A</v>
      </c>
      <c r="L47" s="3" t="e">
        <f t="shared" si="3"/>
        <v>#N/A</v>
      </c>
      <c r="M47" s="3" t="e">
        <f t="shared" si="3"/>
        <v>#N/A</v>
      </c>
      <c r="N47" s="3" t="e">
        <f t="shared" si="3"/>
        <v>#N/A</v>
      </c>
      <c r="O47" s="3" t="e">
        <f t="shared" si="3"/>
        <v>#N/A</v>
      </c>
      <c r="P47" s="3" t="e">
        <f t="shared" si="3"/>
        <v>#N/A</v>
      </c>
      <c r="Q47" s="3" t="e">
        <f t="shared" si="3"/>
        <v>#N/A</v>
      </c>
      <c r="R47" s="3" t="e">
        <f t="shared" si="3"/>
        <v>#N/A</v>
      </c>
      <c r="S47" s="3" t="e">
        <f t="shared" si="3"/>
        <v>#N/A</v>
      </c>
      <c r="T47" s="3" t="e">
        <f t="shared" si="3"/>
        <v>#N/A</v>
      </c>
      <c r="U47" s="3" t="e">
        <f t="shared" si="3"/>
        <v>#N/A</v>
      </c>
      <c r="V47" s="3" t="e">
        <f t="shared" si="3"/>
        <v>#N/A</v>
      </c>
      <c r="W47" s="3" t="e">
        <f t="shared" si="3"/>
        <v>#N/A</v>
      </c>
      <c r="X47" s="3" t="e">
        <f t="shared" si="3"/>
        <v>#N/A</v>
      </c>
      <c r="Y47" s="3" t="e">
        <f t="shared" si="3"/>
        <v>#N/A</v>
      </c>
      <c r="Z47" s="3" t="e">
        <f t="shared" si="3"/>
        <v>#N/A</v>
      </c>
      <c r="AA47" s="3" t="e">
        <f t="shared" si="3"/>
        <v>#N/A</v>
      </c>
      <c r="AB47" s="3" t="e">
        <f t="shared" si="3"/>
        <v>#N/A</v>
      </c>
      <c r="AC47" s="3" t="e">
        <f t="shared" si="3"/>
        <v>#N/A</v>
      </c>
      <c r="AD47" s="3" t="e">
        <f t="shared" si="3"/>
        <v>#N/A</v>
      </c>
      <c r="AE47" s="3" t="e">
        <f t="shared" si="3"/>
        <v>#N/A</v>
      </c>
      <c r="AF47" s="3" t="e">
        <f t="shared" si="3"/>
        <v>#N/A</v>
      </c>
      <c r="AG47" s="3" t="e">
        <f t="shared" si="3"/>
        <v>#N/A</v>
      </c>
      <c r="AH47" s="3" t="e">
        <f t="shared" si="3"/>
        <v>#N/A</v>
      </c>
      <c r="AI47" s="3" t="e">
        <f t="shared" si="3"/>
        <v>#N/A</v>
      </c>
      <c r="AJ47" s="3" t="e">
        <f t="shared" si="3"/>
        <v>#N/A</v>
      </c>
      <c r="AK47" s="3" t="e">
        <f t="shared" si="3"/>
        <v>#N/A</v>
      </c>
      <c r="AL47" s="3" t="e">
        <f t="shared" si="3"/>
        <v>#N/A</v>
      </c>
      <c r="AM47" s="3" t="e">
        <f t="shared" si="3"/>
        <v>#N/A</v>
      </c>
      <c r="AN47" s="3" t="e">
        <f t="shared" si="3"/>
        <v>#N/A</v>
      </c>
    </row>
    <row r="48" spans="2:40" x14ac:dyDescent="0.3">
      <c r="B48" t="s">
        <v>15</v>
      </c>
      <c r="D48" t="s">
        <v>229</v>
      </c>
      <c r="E48" s="3" t="e">
        <f t="shared" si="2"/>
        <v>#N/A</v>
      </c>
      <c r="F48" s="3" t="e">
        <f t="shared" si="3"/>
        <v>#N/A</v>
      </c>
      <c r="G48" s="3" t="e">
        <f t="shared" si="3"/>
        <v>#N/A</v>
      </c>
      <c r="H48" s="3" t="e">
        <f t="shared" si="3"/>
        <v>#N/A</v>
      </c>
      <c r="I48" s="3" t="e">
        <f t="shared" si="3"/>
        <v>#N/A</v>
      </c>
      <c r="J48" s="3" t="e">
        <f t="shared" si="3"/>
        <v>#N/A</v>
      </c>
      <c r="K48" s="3" t="e">
        <f t="shared" si="3"/>
        <v>#N/A</v>
      </c>
      <c r="L48" s="3" t="e">
        <f t="shared" si="3"/>
        <v>#N/A</v>
      </c>
      <c r="M48" s="3" t="e">
        <f t="shared" si="3"/>
        <v>#N/A</v>
      </c>
      <c r="N48" s="3" t="e">
        <f t="shared" si="3"/>
        <v>#N/A</v>
      </c>
      <c r="O48" s="3" t="e">
        <f t="shared" si="3"/>
        <v>#N/A</v>
      </c>
      <c r="P48" s="3" t="e">
        <f t="shared" si="3"/>
        <v>#N/A</v>
      </c>
      <c r="Q48" s="3" t="e">
        <f t="shared" si="3"/>
        <v>#N/A</v>
      </c>
      <c r="R48" s="3" t="e">
        <f t="shared" si="3"/>
        <v>#N/A</v>
      </c>
      <c r="S48" s="3" t="e">
        <f t="shared" si="3"/>
        <v>#N/A</v>
      </c>
      <c r="T48" s="3" t="e">
        <f t="shared" si="3"/>
        <v>#N/A</v>
      </c>
      <c r="U48" s="3" t="e">
        <f t="shared" si="3"/>
        <v>#N/A</v>
      </c>
      <c r="V48" s="3" t="e">
        <f t="shared" si="3"/>
        <v>#N/A</v>
      </c>
      <c r="W48" s="3" t="e">
        <f t="shared" si="3"/>
        <v>#N/A</v>
      </c>
      <c r="X48" s="3" t="e">
        <f t="shared" si="3"/>
        <v>#N/A</v>
      </c>
      <c r="Y48" s="3" t="e">
        <f t="shared" si="3"/>
        <v>#N/A</v>
      </c>
      <c r="Z48" s="3" t="e">
        <f t="shared" si="3"/>
        <v>#N/A</v>
      </c>
      <c r="AA48" s="3" t="e">
        <f t="shared" si="3"/>
        <v>#N/A</v>
      </c>
      <c r="AB48" s="3" t="e">
        <f t="shared" si="3"/>
        <v>#N/A</v>
      </c>
      <c r="AC48" s="3" t="e">
        <f t="shared" si="3"/>
        <v>#N/A</v>
      </c>
      <c r="AD48" s="3" t="e">
        <f t="shared" si="3"/>
        <v>#N/A</v>
      </c>
      <c r="AE48" s="3" t="e">
        <f t="shared" si="3"/>
        <v>#N/A</v>
      </c>
      <c r="AF48" s="3" t="e">
        <f t="shared" si="3"/>
        <v>#N/A</v>
      </c>
      <c r="AG48" s="3" t="e">
        <f t="shared" si="3"/>
        <v>#N/A</v>
      </c>
      <c r="AH48" s="3" t="e">
        <f t="shared" si="3"/>
        <v>#N/A</v>
      </c>
      <c r="AI48" s="3" t="e">
        <f t="shared" si="3"/>
        <v>#N/A</v>
      </c>
      <c r="AJ48" s="3" t="e">
        <f t="shared" si="3"/>
        <v>#N/A</v>
      </c>
      <c r="AK48" s="3" t="e">
        <f t="shared" si="3"/>
        <v>#N/A</v>
      </c>
      <c r="AL48" s="3" t="e">
        <f t="shared" si="3"/>
        <v>#N/A</v>
      </c>
      <c r="AM48" s="3" t="e">
        <f t="shared" si="3"/>
        <v>#N/A</v>
      </c>
      <c r="AN48" s="3" t="e">
        <f t="shared" si="3"/>
        <v>#N/A</v>
      </c>
    </row>
    <row r="49" spans="2:42" x14ac:dyDescent="0.3">
      <c r="B49" t="s">
        <v>16</v>
      </c>
      <c r="D49" t="s">
        <v>229</v>
      </c>
      <c r="E49" s="3" t="e">
        <f t="shared" si="2"/>
        <v>#N/A</v>
      </c>
      <c r="F49" s="3" t="e">
        <f t="shared" ref="F49:AN56" si="4">F19/$E19</f>
        <v>#N/A</v>
      </c>
      <c r="G49" s="3" t="e">
        <f t="shared" si="4"/>
        <v>#N/A</v>
      </c>
      <c r="H49" s="3" t="e">
        <f t="shared" si="4"/>
        <v>#N/A</v>
      </c>
      <c r="I49" s="3" t="e">
        <f t="shared" si="4"/>
        <v>#N/A</v>
      </c>
      <c r="J49" s="3" t="e">
        <f t="shared" si="4"/>
        <v>#N/A</v>
      </c>
      <c r="K49" s="3" t="e">
        <f t="shared" si="4"/>
        <v>#N/A</v>
      </c>
      <c r="L49" s="3" t="e">
        <f t="shared" si="4"/>
        <v>#N/A</v>
      </c>
      <c r="M49" s="3" t="e">
        <f t="shared" si="4"/>
        <v>#N/A</v>
      </c>
      <c r="N49" s="3" t="e">
        <f t="shared" si="4"/>
        <v>#N/A</v>
      </c>
      <c r="O49" s="3" t="e">
        <f t="shared" si="4"/>
        <v>#N/A</v>
      </c>
      <c r="P49" s="3" t="e">
        <f t="shared" si="4"/>
        <v>#N/A</v>
      </c>
      <c r="Q49" s="3" t="e">
        <f t="shared" si="4"/>
        <v>#N/A</v>
      </c>
      <c r="R49" s="3" t="e">
        <f t="shared" si="4"/>
        <v>#N/A</v>
      </c>
      <c r="S49" s="3" t="e">
        <f t="shared" si="4"/>
        <v>#N/A</v>
      </c>
      <c r="T49" s="3" t="e">
        <f t="shared" si="4"/>
        <v>#N/A</v>
      </c>
      <c r="U49" s="3" t="e">
        <f t="shared" si="4"/>
        <v>#N/A</v>
      </c>
      <c r="V49" s="3" t="e">
        <f t="shared" si="4"/>
        <v>#N/A</v>
      </c>
      <c r="W49" s="3" t="e">
        <f t="shared" si="4"/>
        <v>#N/A</v>
      </c>
      <c r="X49" s="3" t="e">
        <f t="shared" si="4"/>
        <v>#N/A</v>
      </c>
      <c r="Y49" s="3" t="e">
        <f t="shared" si="4"/>
        <v>#N/A</v>
      </c>
      <c r="Z49" s="3" t="e">
        <f t="shared" si="4"/>
        <v>#N/A</v>
      </c>
      <c r="AA49" s="3" t="e">
        <f t="shared" si="4"/>
        <v>#N/A</v>
      </c>
      <c r="AB49" s="3" t="e">
        <f t="shared" si="4"/>
        <v>#N/A</v>
      </c>
      <c r="AC49" s="3" t="e">
        <f t="shared" si="4"/>
        <v>#N/A</v>
      </c>
      <c r="AD49" s="3" t="e">
        <f t="shared" si="4"/>
        <v>#N/A</v>
      </c>
      <c r="AE49" s="3" t="e">
        <f t="shared" si="4"/>
        <v>#N/A</v>
      </c>
      <c r="AF49" s="3" t="e">
        <f t="shared" si="4"/>
        <v>#N/A</v>
      </c>
      <c r="AG49" s="3" t="e">
        <f t="shared" si="4"/>
        <v>#N/A</v>
      </c>
      <c r="AH49" s="3" t="e">
        <f t="shared" si="4"/>
        <v>#N/A</v>
      </c>
      <c r="AI49" s="3" t="e">
        <f t="shared" si="4"/>
        <v>#N/A</v>
      </c>
      <c r="AJ49" s="3" t="e">
        <f t="shared" si="4"/>
        <v>#N/A</v>
      </c>
      <c r="AK49" s="3" t="e">
        <f t="shared" si="4"/>
        <v>#N/A</v>
      </c>
      <c r="AL49" s="3" t="e">
        <f t="shared" si="4"/>
        <v>#N/A</v>
      </c>
      <c r="AM49" s="3" t="e">
        <f t="shared" si="4"/>
        <v>#N/A</v>
      </c>
      <c r="AN49" s="3" t="e">
        <f t="shared" si="4"/>
        <v>#N/A</v>
      </c>
    </row>
    <row r="50" spans="2:42" x14ac:dyDescent="0.3">
      <c r="B50" t="s">
        <v>17</v>
      </c>
      <c r="D50" t="s">
        <v>229</v>
      </c>
      <c r="E50" s="3" t="e">
        <f t="shared" si="2"/>
        <v>#N/A</v>
      </c>
      <c r="F50" s="3" t="e">
        <f t="shared" si="4"/>
        <v>#N/A</v>
      </c>
      <c r="G50" s="3" t="e">
        <f t="shared" si="4"/>
        <v>#N/A</v>
      </c>
      <c r="H50" s="3" t="e">
        <f t="shared" si="4"/>
        <v>#N/A</v>
      </c>
      <c r="I50" s="3" t="e">
        <f t="shared" si="4"/>
        <v>#N/A</v>
      </c>
      <c r="J50" s="3" t="e">
        <f t="shared" si="4"/>
        <v>#N/A</v>
      </c>
      <c r="K50" s="3" t="e">
        <f t="shared" si="4"/>
        <v>#N/A</v>
      </c>
      <c r="L50" s="3" t="e">
        <f t="shared" si="4"/>
        <v>#N/A</v>
      </c>
      <c r="M50" s="3" t="e">
        <f t="shared" si="4"/>
        <v>#N/A</v>
      </c>
      <c r="N50" s="3" t="e">
        <f t="shared" si="4"/>
        <v>#N/A</v>
      </c>
      <c r="O50" s="3" t="e">
        <f t="shared" si="4"/>
        <v>#N/A</v>
      </c>
      <c r="P50" s="3" t="e">
        <f t="shared" si="4"/>
        <v>#N/A</v>
      </c>
      <c r="Q50" s="3" t="e">
        <f t="shared" si="4"/>
        <v>#N/A</v>
      </c>
      <c r="R50" s="3" t="e">
        <f t="shared" si="4"/>
        <v>#N/A</v>
      </c>
      <c r="S50" s="3" t="e">
        <f t="shared" si="4"/>
        <v>#N/A</v>
      </c>
      <c r="T50" s="3" t="e">
        <f t="shared" si="4"/>
        <v>#N/A</v>
      </c>
      <c r="U50" s="3" t="e">
        <f t="shared" si="4"/>
        <v>#N/A</v>
      </c>
      <c r="V50" s="3" t="e">
        <f t="shared" si="4"/>
        <v>#N/A</v>
      </c>
      <c r="W50" s="3" t="e">
        <f t="shared" si="4"/>
        <v>#N/A</v>
      </c>
      <c r="X50" s="3" t="e">
        <f t="shared" si="4"/>
        <v>#N/A</v>
      </c>
      <c r="Y50" s="3" t="e">
        <f t="shared" si="4"/>
        <v>#N/A</v>
      </c>
      <c r="Z50" s="3" t="e">
        <f t="shared" si="4"/>
        <v>#N/A</v>
      </c>
      <c r="AA50" s="3" t="e">
        <f t="shared" si="4"/>
        <v>#N/A</v>
      </c>
      <c r="AB50" s="3" t="e">
        <f t="shared" si="4"/>
        <v>#N/A</v>
      </c>
      <c r="AC50" s="3" t="e">
        <f t="shared" si="4"/>
        <v>#N/A</v>
      </c>
      <c r="AD50" s="3" t="e">
        <f t="shared" si="4"/>
        <v>#N/A</v>
      </c>
      <c r="AE50" s="3" t="e">
        <f t="shared" si="4"/>
        <v>#N/A</v>
      </c>
      <c r="AF50" s="3" t="e">
        <f t="shared" si="4"/>
        <v>#N/A</v>
      </c>
      <c r="AG50" s="3" t="e">
        <f t="shared" si="4"/>
        <v>#N/A</v>
      </c>
      <c r="AH50" s="3" t="e">
        <f t="shared" si="4"/>
        <v>#N/A</v>
      </c>
      <c r="AI50" s="3" t="e">
        <f t="shared" si="4"/>
        <v>#N/A</v>
      </c>
      <c r="AJ50" s="3" t="e">
        <f t="shared" si="4"/>
        <v>#N/A</v>
      </c>
      <c r="AK50" s="3" t="e">
        <f t="shared" si="4"/>
        <v>#N/A</v>
      </c>
      <c r="AL50" s="3" t="e">
        <f t="shared" si="4"/>
        <v>#N/A</v>
      </c>
      <c r="AM50" s="3" t="e">
        <f t="shared" si="4"/>
        <v>#N/A</v>
      </c>
      <c r="AN50" s="3" t="e">
        <f t="shared" si="4"/>
        <v>#N/A</v>
      </c>
    </row>
    <row r="51" spans="2:42" x14ac:dyDescent="0.3">
      <c r="B51" t="s">
        <v>18</v>
      </c>
      <c r="D51" t="s">
        <v>229</v>
      </c>
      <c r="E51" s="3" t="e">
        <f t="shared" si="2"/>
        <v>#N/A</v>
      </c>
      <c r="F51" s="3" t="e">
        <f t="shared" si="4"/>
        <v>#N/A</v>
      </c>
      <c r="G51" s="3" t="e">
        <f t="shared" si="4"/>
        <v>#N/A</v>
      </c>
      <c r="H51" s="3" t="e">
        <f t="shared" si="4"/>
        <v>#N/A</v>
      </c>
      <c r="I51" s="3" t="e">
        <f t="shared" si="4"/>
        <v>#N/A</v>
      </c>
      <c r="J51" s="3" t="e">
        <f t="shared" si="4"/>
        <v>#N/A</v>
      </c>
      <c r="K51" s="3" t="e">
        <f t="shared" si="4"/>
        <v>#N/A</v>
      </c>
      <c r="L51" s="3" t="e">
        <f t="shared" si="4"/>
        <v>#N/A</v>
      </c>
      <c r="M51" s="3" t="e">
        <f t="shared" si="4"/>
        <v>#N/A</v>
      </c>
      <c r="N51" s="3" t="e">
        <f t="shared" si="4"/>
        <v>#N/A</v>
      </c>
      <c r="O51" s="3" t="e">
        <f t="shared" si="4"/>
        <v>#N/A</v>
      </c>
      <c r="P51" s="3" t="e">
        <f t="shared" si="4"/>
        <v>#N/A</v>
      </c>
      <c r="Q51" s="3" t="e">
        <f t="shared" si="4"/>
        <v>#N/A</v>
      </c>
      <c r="R51" s="3" t="e">
        <f t="shared" si="4"/>
        <v>#N/A</v>
      </c>
      <c r="S51" s="3" t="e">
        <f t="shared" si="4"/>
        <v>#N/A</v>
      </c>
      <c r="T51" s="3" t="e">
        <f t="shared" si="4"/>
        <v>#N/A</v>
      </c>
      <c r="U51" s="3" t="e">
        <f t="shared" si="4"/>
        <v>#N/A</v>
      </c>
      <c r="V51" s="3" t="e">
        <f t="shared" si="4"/>
        <v>#N/A</v>
      </c>
      <c r="W51" s="3" t="e">
        <f t="shared" si="4"/>
        <v>#N/A</v>
      </c>
      <c r="X51" s="3" t="e">
        <f t="shared" si="4"/>
        <v>#N/A</v>
      </c>
      <c r="Y51" s="3" t="e">
        <f t="shared" si="4"/>
        <v>#N/A</v>
      </c>
      <c r="Z51" s="3" t="e">
        <f t="shared" si="4"/>
        <v>#N/A</v>
      </c>
      <c r="AA51" s="3" t="e">
        <f t="shared" si="4"/>
        <v>#N/A</v>
      </c>
      <c r="AB51" s="3" t="e">
        <f t="shared" si="4"/>
        <v>#N/A</v>
      </c>
      <c r="AC51" s="3" t="e">
        <f t="shared" si="4"/>
        <v>#N/A</v>
      </c>
      <c r="AD51" s="3" t="e">
        <f t="shared" si="4"/>
        <v>#N/A</v>
      </c>
      <c r="AE51" s="3" t="e">
        <f t="shared" si="4"/>
        <v>#N/A</v>
      </c>
      <c r="AF51" s="3" t="e">
        <f t="shared" si="4"/>
        <v>#N/A</v>
      </c>
      <c r="AG51" s="3" t="e">
        <f t="shared" si="4"/>
        <v>#N/A</v>
      </c>
      <c r="AH51" s="3" t="e">
        <f t="shared" si="4"/>
        <v>#N/A</v>
      </c>
      <c r="AI51" s="3" t="e">
        <f t="shared" si="4"/>
        <v>#N/A</v>
      </c>
      <c r="AJ51" s="3" t="e">
        <f t="shared" si="4"/>
        <v>#N/A</v>
      </c>
      <c r="AK51" s="3" t="e">
        <f t="shared" si="4"/>
        <v>#N/A</v>
      </c>
      <c r="AL51" s="3" t="e">
        <f t="shared" si="4"/>
        <v>#N/A</v>
      </c>
      <c r="AM51" s="3" t="e">
        <f t="shared" si="4"/>
        <v>#N/A</v>
      </c>
      <c r="AN51" s="3" t="e">
        <f t="shared" si="4"/>
        <v>#N/A</v>
      </c>
    </row>
    <row r="52" spans="2:42" x14ac:dyDescent="0.3">
      <c r="B52" t="s">
        <v>19</v>
      </c>
      <c r="D52" t="s">
        <v>229</v>
      </c>
      <c r="E52" s="3" t="e">
        <f t="shared" si="2"/>
        <v>#N/A</v>
      </c>
      <c r="F52" s="3" t="e">
        <f t="shared" si="4"/>
        <v>#N/A</v>
      </c>
      <c r="G52" s="3" t="e">
        <f t="shared" si="4"/>
        <v>#N/A</v>
      </c>
      <c r="H52" s="3" t="e">
        <f t="shared" si="4"/>
        <v>#N/A</v>
      </c>
      <c r="I52" s="3" t="e">
        <f t="shared" si="4"/>
        <v>#N/A</v>
      </c>
      <c r="J52" s="3" t="e">
        <f t="shared" si="4"/>
        <v>#N/A</v>
      </c>
      <c r="K52" s="3" t="e">
        <f t="shared" si="4"/>
        <v>#N/A</v>
      </c>
      <c r="L52" s="3" t="e">
        <f t="shared" si="4"/>
        <v>#N/A</v>
      </c>
      <c r="M52" s="3" t="e">
        <f t="shared" si="4"/>
        <v>#N/A</v>
      </c>
      <c r="N52" s="3" t="e">
        <f t="shared" si="4"/>
        <v>#N/A</v>
      </c>
      <c r="O52" s="3" t="e">
        <f t="shared" si="4"/>
        <v>#N/A</v>
      </c>
      <c r="P52" s="3" t="e">
        <f t="shared" si="4"/>
        <v>#N/A</v>
      </c>
      <c r="Q52" s="3" t="e">
        <f t="shared" si="4"/>
        <v>#N/A</v>
      </c>
      <c r="R52" s="3" t="e">
        <f t="shared" si="4"/>
        <v>#N/A</v>
      </c>
      <c r="S52" s="3" t="e">
        <f t="shared" si="4"/>
        <v>#N/A</v>
      </c>
      <c r="T52" s="3" t="e">
        <f t="shared" si="4"/>
        <v>#N/A</v>
      </c>
      <c r="U52" s="3" t="e">
        <f t="shared" si="4"/>
        <v>#N/A</v>
      </c>
      <c r="V52" s="3" t="e">
        <f t="shared" si="4"/>
        <v>#N/A</v>
      </c>
      <c r="W52" s="3" t="e">
        <f t="shared" si="4"/>
        <v>#N/A</v>
      </c>
      <c r="X52" s="3" t="e">
        <f t="shared" si="4"/>
        <v>#N/A</v>
      </c>
      <c r="Y52" s="3" t="e">
        <f t="shared" si="4"/>
        <v>#N/A</v>
      </c>
      <c r="Z52" s="3" t="e">
        <f t="shared" si="4"/>
        <v>#N/A</v>
      </c>
      <c r="AA52" s="3" t="e">
        <f t="shared" si="4"/>
        <v>#N/A</v>
      </c>
      <c r="AB52" s="3" t="e">
        <f t="shared" si="4"/>
        <v>#N/A</v>
      </c>
      <c r="AC52" s="3" t="e">
        <f t="shared" si="4"/>
        <v>#N/A</v>
      </c>
      <c r="AD52" s="3" t="e">
        <f t="shared" si="4"/>
        <v>#N/A</v>
      </c>
      <c r="AE52" s="3" t="e">
        <f t="shared" si="4"/>
        <v>#N/A</v>
      </c>
      <c r="AF52" s="3" t="e">
        <f t="shared" si="4"/>
        <v>#N/A</v>
      </c>
      <c r="AG52" s="3" t="e">
        <f t="shared" si="4"/>
        <v>#N/A</v>
      </c>
      <c r="AH52" s="3" t="e">
        <f t="shared" si="4"/>
        <v>#N/A</v>
      </c>
      <c r="AI52" s="3" t="e">
        <f t="shared" si="4"/>
        <v>#N/A</v>
      </c>
      <c r="AJ52" s="3" t="e">
        <f t="shared" si="4"/>
        <v>#N/A</v>
      </c>
      <c r="AK52" s="3" t="e">
        <f t="shared" si="4"/>
        <v>#N/A</v>
      </c>
      <c r="AL52" s="3" t="e">
        <f t="shared" si="4"/>
        <v>#N/A</v>
      </c>
      <c r="AM52" s="3" t="e">
        <f t="shared" si="4"/>
        <v>#N/A</v>
      </c>
      <c r="AN52" s="3" t="e">
        <f t="shared" si="4"/>
        <v>#N/A</v>
      </c>
    </row>
    <row r="53" spans="2:42" x14ac:dyDescent="0.3">
      <c r="B53" t="s">
        <v>20</v>
      </c>
      <c r="D53" t="s">
        <v>229</v>
      </c>
      <c r="E53" s="3" t="e">
        <f t="shared" si="2"/>
        <v>#N/A</v>
      </c>
      <c r="F53" s="3" t="e">
        <f t="shared" si="4"/>
        <v>#N/A</v>
      </c>
      <c r="G53" s="3" t="e">
        <f t="shared" si="4"/>
        <v>#N/A</v>
      </c>
      <c r="H53" s="3" t="e">
        <f t="shared" si="4"/>
        <v>#N/A</v>
      </c>
      <c r="I53" s="3" t="e">
        <f t="shared" si="4"/>
        <v>#N/A</v>
      </c>
      <c r="J53" s="3" t="e">
        <f t="shared" si="4"/>
        <v>#N/A</v>
      </c>
      <c r="K53" s="3" t="e">
        <f t="shared" si="4"/>
        <v>#N/A</v>
      </c>
      <c r="L53" s="3" t="e">
        <f t="shared" si="4"/>
        <v>#N/A</v>
      </c>
      <c r="M53" s="3" t="e">
        <f t="shared" si="4"/>
        <v>#N/A</v>
      </c>
      <c r="N53" s="3" t="e">
        <f t="shared" si="4"/>
        <v>#N/A</v>
      </c>
      <c r="O53" s="3" t="e">
        <f t="shared" si="4"/>
        <v>#N/A</v>
      </c>
      <c r="P53" s="3" t="e">
        <f t="shared" si="4"/>
        <v>#N/A</v>
      </c>
      <c r="Q53" s="3" t="e">
        <f t="shared" si="4"/>
        <v>#N/A</v>
      </c>
      <c r="R53" s="3" t="e">
        <f t="shared" si="4"/>
        <v>#N/A</v>
      </c>
      <c r="S53" s="3" t="e">
        <f t="shared" si="4"/>
        <v>#N/A</v>
      </c>
      <c r="T53" s="3" t="e">
        <f t="shared" si="4"/>
        <v>#N/A</v>
      </c>
      <c r="U53" s="3" t="e">
        <f t="shared" si="4"/>
        <v>#N/A</v>
      </c>
      <c r="V53" s="3" t="e">
        <f t="shared" si="4"/>
        <v>#N/A</v>
      </c>
      <c r="W53" s="3" t="e">
        <f t="shared" si="4"/>
        <v>#N/A</v>
      </c>
      <c r="X53" s="3" t="e">
        <f t="shared" si="4"/>
        <v>#N/A</v>
      </c>
      <c r="Y53" s="3" t="e">
        <f t="shared" si="4"/>
        <v>#N/A</v>
      </c>
      <c r="Z53" s="3" t="e">
        <f t="shared" si="4"/>
        <v>#N/A</v>
      </c>
      <c r="AA53" s="3" t="e">
        <f t="shared" si="4"/>
        <v>#N/A</v>
      </c>
      <c r="AB53" s="3" t="e">
        <f t="shared" si="4"/>
        <v>#N/A</v>
      </c>
      <c r="AC53" s="3" t="e">
        <f t="shared" si="4"/>
        <v>#N/A</v>
      </c>
      <c r="AD53" s="3" t="e">
        <f t="shared" si="4"/>
        <v>#N/A</v>
      </c>
      <c r="AE53" s="3" t="e">
        <f t="shared" si="4"/>
        <v>#N/A</v>
      </c>
      <c r="AF53" s="3" t="e">
        <f t="shared" si="4"/>
        <v>#N/A</v>
      </c>
      <c r="AG53" s="3" t="e">
        <f t="shared" si="4"/>
        <v>#N/A</v>
      </c>
      <c r="AH53" s="3" t="e">
        <f t="shared" si="4"/>
        <v>#N/A</v>
      </c>
      <c r="AI53" s="3" t="e">
        <f t="shared" si="4"/>
        <v>#N/A</v>
      </c>
      <c r="AJ53" s="3" t="e">
        <f t="shared" si="4"/>
        <v>#N/A</v>
      </c>
      <c r="AK53" s="3" t="e">
        <f t="shared" si="4"/>
        <v>#N/A</v>
      </c>
      <c r="AL53" s="3" t="e">
        <f t="shared" si="4"/>
        <v>#N/A</v>
      </c>
      <c r="AM53" s="3" t="e">
        <f t="shared" si="4"/>
        <v>#N/A</v>
      </c>
      <c r="AN53" s="3" t="e">
        <f t="shared" si="4"/>
        <v>#N/A</v>
      </c>
    </row>
    <row r="54" spans="2:42" x14ac:dyDescent="0.3">
      <c r="B54" t="s">
        <v>21</v>
      </c>
      <c r="D54" t="s">
        <v>229</v>
      </c>
      <c r="E54" s="3" t="e">
        <f t="shared" si="2"/>
        <v>#N/A</v>
      </c>
      <c r="F54" s="3" t="e">
        <f t="shared" si="4"/>
        <v>#N/A</v>
      </c>
      <c r="G54" s="3" t="e">
        <f t="shared" si="4"/>
        <v>#N/A</v>
      </c>
      <c r="H54" s="3" t="e">
        <f t="shared" si="4"/>
        <v>#N/A</v>
      </c>
      <c r="I54" s="3" t="e">
        <f t="shared" si="4"/>
        <v>#N/A</v>
      </c>
      <c r="J54" s="3" t="e">
        <f t="shared" si="4"/>
        <v>#N/A</v>
      </c>
      <c r="K54" s="3" t="e">
        <f t="shared" si="4"/>
        <v>#N/A</v>
      </c>
      <c r="L54" s="3" t="e">
        <f t="shared" si="4"/>
        <v>#N/A</v>
      </c>
      <c r="M54" s="3" t="e">
        <f t="shared" si="4"/>
        <v>#N/A</v>
      </c>
      <c r="N54" s="3" t="e">
        <f t="shared" si="4"/>
        <v>#N/A</v>
      </c>
      <c r="O54" s="3" t="e">
        <f t="shared" si="4"/>
        <v>#N/A</v>
      </c>
      <c r="P54" s="3" t="e">
        <f t="shared" si="4"/>
        <v>#N/A</v>
      </c>
      <c r="Q54" s="3" t="e">
        <f t="shared" si="4"/>
        <v>#N/A</v>
      </c>
      <c r="R54" s="3" t="e">
        <f t="shared" si="4"/>
        <v>#N/A</v>
      </c>
      <c r="S54" s="3" t="e">
        <f t="shared" si="4"/>
        <v>#N/A</v>
      </c>
      <c r="T54" s="3" t="e">
        <f t="shared" si="4"/>
        <v>#N/A</v>
      </c>
      <c r="U54" s="3" t="e">
        <f t="shared" si="4"/>
        <v>#N/A</v>
      </c>
      <c r="V54" s="3" t="e">
        <f t="shared" si="4"/>
        <v>#N/A</v>
      </c>
      <c r="W54" s="3" t="e">
        <f t="shared" si="4"/>
        <v>#N/A</v>
      </c>
      <c r="X54" s="3" t="e">
        <f t="shared" si="4"/>
        <v>#N/A</v>
      </c>
      <c r="Y54" s="3" t="e">
        <f t="shared" si="4"/>
        <v>#N/A</v>
      </c>
      <c r="Z54" s="3" t="e">
        <f t="shared" si="4"/>
        <v>#N/A</v>
      </c>
      <c r="AA54" s="3" t="e">
        <f t="shared" si="4"/>
        <v>#N/A</v>
      </c>
      <c r="AB54" s="3" t="e">
        <f t="shared" si="4"/>
        <v>#N/A</v>
      </c>
      <c r="AC54" s="3" t="e">
        <f t="shared" si="4"/>
        <v>#N/A</v>
      </c>
      <c r="AD54" s="3" t="e">
        <f t="shared" si="4"/>
        <v>#N/A</v>
      </c>
      <c r="AE54" s="3" t="e">
        <f t="shared" si="4"/>
        <v>#N/A</v>
      </c>
      <c r="AF54" s="3" t="e">
        <f t="shared" si="4"/>
        <v>#N/A</v>
      </c>
      <c r="AG54" s="3" t="e">
        <f t="shared" si="4"/>
        <v>#N/A</v>
      </c>
      <c r="AH54" s="3" t="e">
        <f t="shared" si="4"/>
        <v>#N/A</v>
      </c>
      <c r="AI54" s="3" t="e">
        <f t="shared" si="4"/>
        <v>#N/A</v>
      </c>
      <c r="AJ54" s="3" t="e">
        <f t="shared" si="4"/>
        <v>#N/A</v>
      </c>
      <c r="AK54" s="3" t="e">
        <f t="shared" si="4"/>
        <v>#N/A</v>
      </c>
      <c r="AL54" s="3" t="e">
        <f t="shared" si="4"/>
        <v>#N/A</v>
      </c>
      <c r="AM54" s="3" t="e">
        <f t="shared" si="4"/>
        <v>#N/A</v>
      </c>
      <c r="AN54" s="3" t="e">
        <f t="shared" si="4"/>
        <v>#N/A</v>
      </c>
    </row>
    <row r="55" spans="2:42" x14ac:dyDescent="0.3">
      <c r="B55" t="s">
        <v>22</v>
      </c>
      <c r="D55" t="s">
        <v>229</v>
      </c>
      <c r="E55" s="3" t="e">
        <f t="shared" si="2"/>
        <v>#N/A</v>
      </c>
      <c r="F55" s="3" t="e">
        <f t="shared" si="4"/>
        <v>#N/A</v>
      </c>
      <c r="G55" s="3" t="e">
        <f t="shared" si="4"/>
        <v>#N/A</v>
      </c>
      <c r="H55" s="3" t="e">
        <f t="shared" si="4"/>
        <v>#N/A</v>
      </c>
      <c r="I55" s="3" t="e">
        <f t="shared" si="4"/>
        <v>#N/A</v>
      </c>
      <c r="J55" s="3" t="e">
        <f t="shared" si="4"/>
        <v>#N/A</v>
      </c>
      <c r="K55" s="3" t="e">
        <f t="shared" si="4"/>
        <v>#N/A</v>
      </c>
      <c r="L55" s="3" t="e">
        <f t="shared" si="4"/>
        <v>#N/A</v>
      </c>
      <c r="M55" s="3" t="e">
        <f t="shared" si="4"/>
        <v>#N/A</v>
      </c>
      <c r="N55" s="3" t="e">
        <f t="shared" si="4"/>
        <v>#N/A</v>
      </c>
      <c r="O55" s="3" t="e">
        <f t="shared" si="4"/>
        <v>#N/A</v>
      </c>
      <c r="P55" s="3" t="e">
        <f t="shared" si="4"/>
        <v>#N/A</v>
      </c>
      <c r="Q55" s="3" t="e">
        <f t="shared" si="4"/>
        <v>#N/A</v>
      </c>
      <c r="R55" s="3" t="e">
        <f t="shared" si="4"/>
        <v>#N/A</v>
      </c>
      <c r="S55" s="3" t="e">
        <f t="shared" si="4"/>
        <v>#N/A</v>
      </c>
      <c r="T55" s="3" t="e">
        <f t="shared" si="4"/>
        <v>#N/A</v>
      </c>
      <c r="U55" s="3" t="e">
        <f t="shared" si="4"/>
        <v>#N/A</v>
      </c>
      <c r="V55" s="3" t="e">
        <f t="shared" si="4"/>
        <v>#N/A</v>
      </c>
      <c r="W55" s="3" t="e">
        <f t="shared" si="4"/>
        <v>#N/A</v>
      </c>
      <c r="X55" s="3" t="e">
        <f t="shared" si="4"/>
        <v>#N/A</v>
      </c>
      <c r="Y55" s="3" t="e">
        <f t="shared" si="4"/>
        <v>#N/A</v>
      </c>
      <c r="Z55" s="3" t="e">
        <f t="shared" si="4"/>
        <v>#N/A</v>
      </c>
      <c r="AA55" s="3" t="e">
        <f t="shared" si="4"/>
        <v>#N/A</v>
      </c>
      <c r="AB55" s="3" t="e">
        <f t="shared" si="4"/>
        <v>#N/A</v>
      </c>
      <c r="AC55" s="3" t="e">
        <f t="shared" si="4"/>
        <v>#N/A</v>
      </c>
      <c r="AD55" s="3" t="e">
        <f t="shared" si="4"/>
        <v>#N/A</v>
      </c>
      <c r="AE55" s="3" t="e">
        <f t="shared" si="4"/>
        <v>#N/A</v>
      </c>
      <c r="AF55" s="3" t="e">
        <f t="shared" si="4"/>
        <v>#N/A</v>
      </c>
      <c r="AG55" s="3" t="e">
        <f t="shared" si="4"/>
        <v>#N/A</v>
      </c>
      <c r="AH55" s="3" t="e">
        <f t="shared" si="4"/>
        <v>#N/A</v>
      </c>
      <c r="AI55" s="3" t="e">
        <f t="shared" si="4"/>
        <v>#N/A</v>
      </c>
      <c r="AJ55" s="3" t="e">
        <f t="shared" si="4"/>
        <v>#N/A</v>
      </c>
      <c r="AK55" s="3" t="e">
        <f t="shared" si="4"/>
        <v>#N/A</v>
      </c>
      <c r="AL55" s="3" t="e">
        <f t="shared" si="4"/>
        <v>#N/A</v>
      </c>
      <c r="AM55" s="3" t="e">
        <f t="shared" si="4"/>
        <v>#N/A</v>
      </c>
      <c r="AN55" s="3" t="e">
        <f t="shared" si="4"/>
        <v>#N/A</v>
      </c>
    </row>
    <row r="56" spans="2:42" x14ac:dyDescent="0.3">
      <c r="B56" t="s">
        <v>23</v>
      </c>
      <c r="D56" t="s">
        <v>229</v>
      </c>
      <c r="E56" s="3" t="e">
        <f t="shared" si="2"/>
        <v>#N/A</v>
      </c>
      <c r="F56" s="3" t="e">
        <f t="shared" si="4"/>
        <v>#N/A</v>
      </c>
      <c r="G56" s="3" t="e">
        <f t="shared" si="4"/>
        <v>#N/A</v>
      </c>
      <c r="H56" s="3" t="e">
        <f t="shared" si="4"/>
        <v>#N/A</v>
      </c>
      <c r="I56" s="3" t="e">
        <f t="shared" si="4"/>
        <v>#N/A</v>
      </c>
      <c r="J56" s="3" t="e">
        <f t="shared" si="4"/>
        <v>#N/A</v>
      </c>
      <c r="K56" s="3" t="e">
        <f t="shared" si="4"/>
        <v>#N/A</v>
      </c>
      <c r="L56" s="3" t="e">
        <f t="shared" si="4"/>
        <v>#N/A</v>
      </c>
      <c r="M56" s="3" t="e">
        <f t="shared" si="4"/>
        <v>#N/A</v>
      </c>
      <c r="N56" s="3" t="e">
        <f t="shared" si="4"/>
        <v>#N/A</v>
      </c>
      <c r="O56" s="3" t="e">
        <f t="shared" si="4"/>
        <v>#N/A</v>
      </c>
      <c r="P56" s="3" t="e">
        <f t="shared" ref="F56:AN60" si="5">P26/$E26</f>
        <v>#N/A</v>
      </c>
      <c r="Q56" s="3" t="e">
        <f t="shared" si="5"/>
        <v>#N/A</v>
      </c>
      <c r="R56" s="3" t="e">
        <f t="shared" si="5"/>
        <v>#N/A</v>
      </c>
      <c r="S56" s="3" t="e">
        <f t="shared" si="5"/>
        <v>#N/A</v>
      </c>
      <c r="T56" s="3" t="e">
        <f t="shared" si="5"/>
        <v>#N/A</v>
      </c>
      <c r="U56" s="3" t="e">
        <f t="shared" si="5"/>
        <v>#N/A</v>
      </c>
      <c r="V56" s="3" t="e">
        <f t="shared" si="5"/>
        <v>#N/A</v>
      </c>
      <c r="W56" s="3" t="e">
        <f t="shared" si="5"/>
        <v>#N/A</v>
      </c>
      <c r="X56" s="3" t="e">
        <f t="shared" si="5"/>
        <v>#N/A</v>
      </c>
      <c r="Y56" s="3" t="e">
        <f t="shared" si="5"/>
        <v>#N/A</v>
      </c>
      <c r="Z56" s="3" t="e">
        <f t="shared" si="5"/>
        <v>#N/A</v>
      </c>
      <c r="AA56" s="3" t="e">
        <f t="shared" si="5"/>
        <v>#N/A</v>
      </c>
      <c r="AB56" s="3" t="e">
        <f t="shared" si="5"/>
        <v>#N/A</v>
      </c>
      <c r="AC56" s="3" t="e">
        <f t="shared" si="5"/>
        <v>#N/A</v>
      </c>
      <c r="AD56" s="3" t="e">
        <f t="shared" si="5"/>
        <v>#N/A</v>
      </c>
      <c r="AE56" s="3" t="e">
        <f t="shared" si="5"/>
        <v>#N/A</v>
      </c>
      <c r="AF56" s="3" t="e">
        <f t="shared" si="5"/>
        <v>#N/A</v>
      </c>
      <c r="AG56" s="3" t="e">
        <f t="shared" si="5"/>
        <v>#N/A</v>
      </c>
      <c r="AH56" s="3" t="e">
        <f t="shared" si="5"/>
        <v>#N/A</v>
      </c>
      <c r="AI56" s="3" t="e">
        <f t="shared" si="5"/>
        <v>#N/A</v>
      </c>
      <c r="AJ56" s="3" t="e">
        <f t="shared" si="5"/>
        <v>#N/A</v>
      </c>
      <c r="AK56" s="3" t="e">
        <f t="shared" si="5"/>
        <v>#N/A</v>
      </c>
      <c r="AL56" s="3" t="e">
        <f t="shared" si="5"/>
        <v>#N/A</v>
      </c>
      <c r="AM56" s="3" t="e">
        <f t="shared" si="5"/>
        <v>#N/A</v>
      </c>
      <c r="AN56" s="3" t="e">
        <f t="shared" si="5"/>
        <v>#N/A</v>
      </c>
    </row>
    <row r="57" spans="2:42" x14ac:dyDescent="0.3">
      <c r="B57" t="s">
        <v>24</v>
      </c>
      <c r="D57" t="s">
        <v>229</v>
      </c>
      <c r="E57" s="3" t="e">
        <f t="shared" si="2"/>
        <v>#N/A</v>
      </c>
      <c r="F57" s="3" t="e">
        <f t="shared" si="5"/>
        <v>#N/A</v>
      </c>
      <c r="G57" s="3" t="e">
        <f t="shared" si="5"/>
        <v>#N/A</v>
      </c>
      <c r="H57" s="3" t="e">
        <f t="shared" si="5"/>
        <v>#N/A</v>
      </c>
      <c r="I57" s="3" t="e">
        <f t="shared" si="5"/>
        <v>#N/A</v>
      </c>
      <c r="J57" s="3" t="e">
        <f t="shared" si="5"/>
        <v>#N/A</v>
      </c>
      <c r="K57" s="3" t="e">
        <f t="shared" si="5"/>
        <v>#N/A</v>
      </c>
      <c r="L57" s="3" t="e">
        <f t="shared" si="5"/>
        <v>#N/A</v>
      </c>
      <c r="M57" s="3" t="e">
        <f t="shared" si="5"/>
        <v>#N/A</v>
      </c>
      <c r="N57" s="3" t="e">
        <f t="shared" si="5"/>
        <v>#N/A</v>
      </c>
      <c r="O57" s="3" t="e">
        <f t="shared" si="5"/>
        <v>#N/A</v>
      </c>
      <c r="P57" s="3" t="e">
        <f t="shared" si="5"/>
        <v>#N/A</v>
      </c>
      <c r="Q57" s="3" t="e">
        <f t="shared" si="5"/>
        <v>#N/A</v>
      </c>
      <c r="R57" s="3" t="e">
        <f t="shared" si="5"/>
        <v>#N/A</v>
      </c>
      <c r="S57" s="3" t="e">
        <f t="shared" si="5"/>
        <v>#N/A</v>
      </c>
      <c r="T57" s="3" t="e">
        <f t="shared" si="5"/>
        <v>#N/A</v>
      </c>
      <c r="U57" s="3" t="e">
        <f t="shared" si="5"/>
        <v>#N/A</v>
      </c>
      <c r="V57" s="3" t="e">
        <f t="shared" si="5"/>
        <v>#N/A</v>
      </c>
      <c r="W57" s="3" t="e">
        <f t="shared" si="5"/>
        <v>#N/A</v>
      </c>
      <c r="X57" s="3" t="e">
        <f t="shared" si="5"/>
        <v>#N/A</v>
      </c>
      <c r="Y57" s="3" t="e">
        <f t="shared" si="5"/>
        <v>#N/A</v>
      </c>
      <c r="Z57" s="3" t="e">
        <f t="shared" si="5"/>
        <v>#N/A</v>
      </c>
      <c r="AA57" s="3" t="e">
        <f t="shared" si="5"/>
        <v>#N/A</v>
      </c>
      <c r="AB57" s="3" t="e">
        <f t="shared" si="5"/>
        <v>#N/A</v>
      </c>
      <c r="AC57" s="3" t="e">
        <f t="shared" si="5"/>
        <v>#N/A</v>
      </c>
      <c r="AD57" s="3" t="e">
        <f t="shared" si="5"/>
        <v>#N/A</v>
      </c>
      <c r="AE57" s="3" t="e">
        <f t="shared" si="5"/>
        <v>#N/A</v>
      </c>
      <c r="AF57" s="3" t="e">
        <f t="shared" si="5"/>
        <v>#N/A</v>
      </c>
      <c r="AG57" s="3" t="e">
        <f t="shared" si="5"/>
        <v>#N/A</v>
      </c>
      <c r="AH57" s="3" t="e">
        <f t="shared" si="5"/>
        <v>#N/A</v>
      </c>
      <c r="AI57" s="3" t="e">
        <f t="shared" si="5"/>
        <v>#N/A</v>
      </c>
      <c r="AJ57" s="3" t="e">
        <f t="shared" si="5"/>
        <v>#N/A</v>
      </c>
      <c r="AK57" s="3" t="e">
        <f t="shared" si="5"/>
        <v>#N/A</v>
      </c>
      <c r="AL57" s="3" t="e">
        <f t="shared" si="5"/>
        <v>#N/A</v>
      </c>
      <c r="AM57" s="3" t="e">
        <f t="shared" si="5"/>
        <v>#N/A</v>
      </c>
      <c r="AN57" s="3" t="e">
        <f t="shared" si="5"/>
        <v>#N/A</v>
      </c>
      <c r="AP57" s="5" t="s">
        <v>230</v>
      </c>
    </row>
    <row r="58" spans="2:42" x14ac:dyDescent="0.3">
      <c r="B58" t="s">
        <v>25</v>
      </c>
      <c r="D58" t="s">
        <v>229</v>
      </c>
      <c r="E58" s="3" t="e">
        <f t="shared" si="2"/>
        <v>#N/A</v>
      </c>
      <c r="F58" s="3" t="e">
        <f t="shared" si="5"/>
        <v>#N/A</v>
      </c>
      <c r="G58" s="3" t="e">
        <f t="shared" si="5"/>
        <v>#N/A</v>
      </c>
      <c r="H58" s="3" t="e">
        <f t="shared" si="5"/>
        <v>#N/A</v>
      </c>
      <c r="I58" s="3" t="e">
        <f t="shared" si="5"/>
        <v>#N/A</v>
      </c>
      <c r="J58" s="3" t="e">
        <f t="shared" si="5"/>
        <v>#N/A</v>
      </c>
      <c r="K58" s="3" t="e">
        <f t="shared" si="5"/>
        <v>#N/A</v>
      </c>
      <c r="L58" s="3" t="e">
        <f t="shared" si="5"/>
        <v>#N/A</v>
      </c>
      <c r="M58" s="3" t="e">
        <f t="shared" si="5"/>
        <v>#N/A</v>
      </c>
      <c r="N58" s="3" t="e">
        <f t="shared" si="5"/>
        <v>#N/A</v>
      </c>
      <c r="O58" s="3" t="e">
        <f t="shared" si="5"/>
        <v>#N/A</v>
      </c>
      <c r="P58" s="3" t="e">
        <f t="shared" si="5"/>
        <v>#N/A</v>
      </c>
      <c r="Q58" s="3" t="e">
        <f t="shared" si="5"/>
        <v>#N/A</v>
      </c>
      <c r="R58" s="3" t="e">
        <f t="shared" si="5"/>
        <v>#N/A</v>
      </c>
      <c r="S58" s="3" t="e">
        <f t="shared" si="5"/>
        <v>#N/A</v>
      </c>
      <c r="T58" s="3" t="e">
        <f t="shared" si="5"/>
        <v>#N/A</v>
      </c>
      <c r="U58" s="3" t="e">
        <f t="shared" si="5"/>
        <v>#N/A</v>
      </c>
      <c r="V58" s="3" t="e">
        <f t="shared" si="5"/>
        <v>#N/A</v>
      </c>
      <c r="W58" s="3" t="e">
        <f t="shared" si="5"/>
        <v>#N/A</v>
      </c>
      <c r="X58" s="3" t="e">
        <f t="shared" si="5"/>
        <v>#N/A</v>
      </c>
      <c r="Y58" s="3" t="e">
        <f t="shared" si="5"/>
        <v>#N/A</v>
      </c>
      <c r="Z58" s="3" t="e">
        <f t="shared" si="5"/>
        <v>#N/A</v>
      </c>
      <c r="AA58" s="3" t="e">
        <f t="shared" si="5"/>
        <v>#N/A</v>
      </c>
      <c r="AB58" s="3" t="e">
        <f t="shared" si="5"/>
        <v>#N/A</v>
      </c>
      <c r="AC58" s="3" t="e">
        <f t="shared" si="5"/>
        <v>#N/A</v>
      </c>
      <c r="AD58" s="3" t="e">
        <f t="shared" si="5"/>
        <v>#N/A</v>
      </c>
      <c r="AE58" s="3" t="e">
        <f t="shared" si="5"/>
        <v>#N/A</v>
      </c>
      <c r="AF58" s="3" t="e">
        <f t="shared" si="5"/>
        <v>#N/A</v>
      </c>
      <c r="AG58" s="3" t="e">
        <f t="shared" si="5"/>
        <v>#N/A</v>
      </c>
      <c r="AH58" s="3" t="e">
        <f t="shared" si="5"/>
        <v>#N/A</v>
      </c>
      <c r="AI58" s="3" t="e">
        <f t="shared" si="5"/>
        <v>#N/A</v>
      </c>
      <c r="AJ58" s="3" t="e">
        <f t="shared" si="5"/>
        <v>#N/A</v>
      </c>
      <c r="AK58" s="3" t="e">
        <f t="shared" si="5"/>
        <v>#N/A</v>
      </c>
      <c r="AL58" s="3" t="e">
        <f t="shared" si="5"/>
        <v>#N/A</v>
      </c>
      <c r="AM58" s="3" t="e">
        <f t="shared" si="5"/>
        <v>#N/A</v>
      </c>
      <c r="AN58" s="3" t="e">
        <f t="shared" si="5"/>
        <v>#N/A</v>
      </c>
    </row>
    <row r="59" spans="2:42" x14ac:dyDescent="0.3">
      <c r="B59" t="s">
        <v>26</v>
      </c>
      <c r="D59" t="s">
        <v>229</v>
      </c>
      <c r="E59" s="3" t="e">
        <f t="shared" si="2"/>
        <v>#N/A</v>
      </c>
      <c r="F59" s="3" t="e">
        <f t="shared" si="5"/>
        <v>#N/A</v>
      </c>
      <c r="G59" s="3" t="e">
        <f t="shared" si="5"/>
        <v>#N/A</v>
      </c>
      <c r="H59" s="3" t="e">
        <f t="shared" si="5"/>
        <v>#N/A</v>
      </c>
      <c r="I59" s="3" t="e">
        <f t="shared" si="5"/>
        <v>#N/A</v>
      </c>
      <c r="J59" s="3" t="e">
        <f t="shared" si="5"/>
        <v>#N/A</v>
      </c>
      <c r="K59" s="3" t="e">
        <f t="shared" si="5"/>
        <v>#N/A</v>
      </c>
      <c r="L59" s="3" t="e">
        <f t="shared" si="5"/>
        <v>#N/A</v>
      </c>
      <c r="M59" s="3" t="e">
        <f t="shared" si="5"/>
        <v>#N/A</v>
      </c>
      <c r="N59" s="3" t="e">
        <f t="shared" si="5"/>
        <v>#N/A</v>
      </c>
      <c r="O59" s="3" t="e">
        <f t="shared" si="5"/>
        <v>#N/A</v>
      </c>
      <c r="P59" s="3" t="e">
        <f t="shared" si="5"/>
        <v>#N/A</v>
      </c>
      <c r="Q59" s="3" t="e">
        <f t="shared" si="5"/>
        <v>#N/A</v>
      </c>
      <c r="R59" s="3" t="e">
        <f t="shared" si="5"/>
        <v>#N/A</v>
      </c>
      <c r="S59" s="3" t="e">
        <f t="shared" si="5"/>
        <v>#N/A</v>
      </c>
      <c r="T59" s="3" t="e">
        <f t="shared" si="5"/>
        <v>#N/A</v>
      </c>
      <c r="U59" s="3" t="e">
        <f t="shared" si="5"/>
        <v>#N/A</v>
      </c>
      <c r="V59" s="3" t="e">
        <f t="shared" si="5"/>
        <v>#N/A</v>
      </c>
      <c r="W59" s="3" t="e">
        <f t="shared" si="5"/>
        <v>#N/A</v>
      </c>
      <c r="X59" s="3" t="e">
        <f t="shared" si="5"/>
        <v>#N/A</v>
      </c>
      <c r="Y59" s="3" t="e">
        <f t="shared" si="5"/>
        <v>#N/A</v>
      </c>
      <c r="Z59" s="3" t="e">
        <f t="shared" si="5"/>
        <v>#N/A</v>
      </c>
      <c r="AA59" s="3" t="e">
        <f t="shared" si="5"/>
        <v>#N/A</v>
      </c>
      <c r="AB59" s="3" t="e">
        <f t="shared" si="5"/>
        <v>#N/A</v>
      </c>
      <c r="AC59" s="3" t="e">
        <f t="shared" si="5"/>
        <v>#N/A</v>
      </c>
      <c r="AD59" s="3" t="e">
        <f t="shared" si="5"/>
        <v>#N/A</v>
      </c>
      <c r="AE59" s="3" t="e">
        <f t="shared" si="5"/>
        <v>#N/A</v>
      </c>
      <c r="AF59" s="3" t="e">
        <f t="shared" si="5"/>
        <v>#N/A</v>
      </c>
      <c r="AG59" s="3" t="e">
        <f t="shared" si="5"/>
        <v>#N/A</v>
      </c>
      <c r="AH59" s="3" t="e">
        <f t="shared" si="5"/>
        <v>#N/A</v>
      </c>
      <c r="AI59" s="3" t="e">
        <f t="shared" si="5"/>
        <v>#N/A</v>
      </c>
      <c r="AJ59" s="3" t="e">
        <f t="shared" si="5"/>
        <v>#N/A</v>
      </c>
      <c r="AK59" s="3" t="e">
        <f t="shared" si="5"/>
        <v>#N/A</v>
      </c>
      <c r="AL59" s="3" t="e">
        <f t="shared" si="5"/>
        <v>#N/A</v>
      </c>
      <c r="AM59" s="3" t="e">
        <f t="shared" si="5"/>
        <v>#N/A</v>
      </c>
      <c r="AN59" s="3" t="e">
        <f t="shared" si="5"/>
        <v>#N/A</v>
      </c>
    </row>
    <row r="60" spans="2:42" x14ac:dyDescent="0.3">
      <c r="B60" t="s">
        <v>27</v>
      </c>
      <c r="D60" t="s">
        <v>229</v>
      </c>
      <c r="E60" s="3" t="e">
        <f t="shared" si="2"/>
        <v>#N/A</v>
      </c>
      <c r="F60" s="3" t="e">
        <f t="shared" si="5"/>
        <v>#N/A</v>
      </c>
      <c r="G60" s="3" t="e">
        <f t="shared" si="5"/>
        <v>#N/A</v>
      </c>
      <c r="H60" s="3" t="e">
        <f t="shared" si="5"/>
        <v>#N/A</v>
      </c>
      <c r="I60" s="3" t="e">
        <f t="shared" si="5"/>
        <v>#N/A</v>
      </c>
      <c r="J60" s="3" t="e">
        <f t="shared" si="5"/>
        <v>#N/A</v>
      </c>
      <c r="K60" s="3" t="e">
        <f t="shared" si="5"/>
        <v>#N/A</v>
      </c>
      <c r="L60" s="3" t="e">
        <f t="shared" si="5"/>
        <v>#N/A</v>
      </c>
      <c r="M60" s="3" t="e">
        <f t="shared" si="5"/>
        <v>#N/A</v>
      </c>
      <c r="N60" s="3" t="e">
        <f t="shared" si="5"/>
        <v>#N/A</v>
      </c>
      <c r="O60" s="3" t="e">
        <f t="shared" si="5"/>
        <v>#N/A</v>
      </c>
      <c r="P60" s="3" t="e">
        <f t="shared" si="5"/>
        <v>#N/A</v>
      </c>
      <c r="Q60" s="3" t="e">
        <f t="shared" si="5"/>
        <v>#N/A</v>
      </c>
      <c r="R60" s="3" t="e">
        <f t="shared" si="5"/>
        <v>#N/A</v>
      </c>
      <c r="S60" s="3" t="e">
        <f t="shared" si="5"/>
        <v>#N/A</v>
      </c>
      <c r="T60" s="3" t="e">
        <f t="shared" si="5"/>
        <v>#N/A</v>
      </c>
      <c r="U60" s="3" t="e">
        <f t="shared" si="5"/>
        <v>#N/A</v>
      </c>
      <c r="V60" s="3" t="e">
        <f t="shared" si="5"/>
        <v>#N/A</v>
      </c>
      <c r="W60" s="3" t="e">
        <f t="shared" si="5"/>
        <v>#N/A</v>
      </c>
      <c r="X60" s="3" t="e">
        <f t="shared" si="5"/>
        <v>#N/A</v>
      </c>
      <c r="Y60" s="3" t="e">
        <f t="shared" si="5"/>
        <v>#N/A</v>
      </c>
      <c r="Z60" s="3" t="e">
        <f t="shared" si="5"/>
        <v>#N/A</v>
      </c>
      <c r="AA60" s="3" t="e">
        <f t="shared" si="5"/>
        <v>#N/A</v>
      </c>
      <c r="AB60" s="3" t="e">
        <f t="shared" si="5"/>
        <v>#N/A</v>
      </c>
      <c r="AC60" s="3" t="e">
        <f t="shared" si="5"/>
        <v>#N/A</v>
      </c>
      <c r="AD60" s="3" t="e">
        <f t="shared" si="5"/>
        <v>#N/A</v>
      </c>
      <c r="AE60" s="3" t="e">
        <f t="shared" si="5"/>
        <v>#N/A</v>
      </c>
      <c r="AF60" s="3" t="e">
        <f t="shared" si="5"/>
        <v>#N/A</v>
      </c>
      <c r="AG60" s="3" t="e">
        <f t="shared" si="5"/>
        <v>#N/A</v>
      </c>
      <c r="AH60" s="3" t="e">
        <f t="shared" si="5"/>
        <v>#N/A</v>
      </c>
      <c r="AI60" s="3" t="e">
        <f t="shared" si="5"/>
        <v>#N/A</v>
      </c>
      <c r="AJ60" s="3" t="e">
        <f t="shared" si="5"/>
        <v>#N/A</v>
      </c>
      <c r="AK60" s="3" t="e">
        <f t="shared" si="5"/>
        <v>#N/A</v>
      </c>
      <c r="AL60" s="3" t="e">
        <f t="shared" si="5"/>
        <v>#N/A</v>
      </c>
      <c r="AM60" s="3" t="e">
        <f t="shared" si="5"/>
        <v>#N/A</v>
      </c>
      <c r="AN60" s="3" t="e">
        <f t="shared" si="5"/>
        <v>#N/A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55D3E-DB9B-4350-8FD4-E84B79B12B00}">
  <sheetPr>
    <tabColor theme="5"/>
  </sheetPr>
  <dimension ref="A1:AV50"/>
  <sheetViews>
    <sheetView topLeftCell="A19" workbookViewId="0">
      <selection activeCell="Y64" sqref="Y64"/>
    </sheetView>
  </sheetViews>
  <sheetFormatPr defaultRowHeight="14.4" x14ac:dyDescent="0.3"/>
  <sheetData>
    <row r="1" spans="1:48" s="12" customFormat="1" ht="19.8" x14ac:dyDescent="0.4">
      <c r="A1" s="11" t="s">
        <v>265</v>
      </c>
      <c r="C1" s="11"/>
      <c r="D1" s="16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</row>
    <row r="2" spans="1:48" x14ac:dyDescent="0.3">
      <c r="E2" s="14">
        <v>2</v>
      </c>
      <c r="F2" s="14">
        <v>3</v>
      </c>
      <c r="G2" s="14">
        <v>4</v>
      </c>
      <c r="H2" s="14">
        <v>5</v>
      </c>
      <c r="I2" s="14">
        <v>6</v>
      </c>
      <c r="J2" s="14">
        <v>7</v>
      </c>
      <c r="K2" s="14">
        <v>8</v>
      </c>
      <c r="L2" s="14">
        <v>9</v>
      </c>
      <c r="M2" s="14">
        <v>10</v>
      </c>
      <c r="N2" s="14">
        <v>11</v>
      </c>
      <c r="O2" s="14">
        <v>12</v>
      </c>
      <c r="P2" s="14">
        <v>13</v>
      </c>
      <c r="Q2" s="14">
        <v>14</v>
      </c>
      <c r="R2" s="14">
        <v>15</v>
      </c>
      <c r="S2" s="14">
        <v>16</v>
      </c>
      <c r="T2" s="14">
        <v>17</v>
      </c>
      <c r="U2" s="14">
        <v>18</v>
      </c>
      <c r="V2" s="14">
        <v>19</v>
      </c>
      <c r="W2" s="14">
        <v>20</v>
      </c>
      <c r="X2" s="14">
        <v>21</v>
      </c>
      <c r="Y2" s="14">
        <v>22</v>
      </c>
      <c r="Z2" s="14">
        <v>23</v>
      </c>
      <c r="AA2" s="14">
        <v>24</v>
      </c>
      <c r="AB2" s="14">
        <v>25</v>
      </c>
      <c r="AC2" s="14">
        <v>26</v>
      </c>
      <c r="AD2" s="14">
        <v>27</v>
      </c>
      <c r="AE2" s="14">
        <v>28</v>
      </c>
      <c r="AF2" s="14">
        <v>29</v>
      </c>
      <c r="AG2" s="14">
        <v>30</v>
      </c>
      <c r="AH2" s="14">
        <v>31</v>
      </c>
      <c r="AI2" s="14">
        <v>32</v>
      </c>
      <c r="AJ2" s="14">
        <v>33</v>
      </c>
      <c r="AK2" s="14">
        <v>34</v>
      </c>
      <c r="AL2" s="14">
        <v>35</v>
      </c>
      <c r="AM2" s="14">
        <v>36</v>
      </c>
      <c r="AN2" s="14">
        <v>37</v>
      </c>
    </row>
    <row r="3" spans="1:48" x14ac:dyDescent="0.3">
      <c r="E3" s="5">
        <v>2015</v>
      </c>
      <c r="F3" s="5">
        <v>2016</v>
      </c>
      <c r="G3" s="5">
        <v>2017</v>
      </c>
      <c r="H3" s="5">
        <v>2018</v>
      </c>
      <c r="I3" s="5">
        <v>2019</v>
      </c>
      <c r="J3" s="5">
        <v>2020</v>
      </c>
      <c r="K3" s="5">
        <v>2021</v>
      </c>
      <c r="L3" s="5">
        <v>2022</v>
      </c>
      <c r="M3" s="5">
        <v>2023</v>
      </c>
      <c r="N3" s="5">
        <v>2024</v>
      </c>
      <c r="O3" s="5">
        <v>2025</v>
      </c>
      <c r="P3" s="5">
        <v>2026</v>
      </c>
      <c r="Q3" s="5">
        <v>2027</v>
      </c>
      <c r="R3" s="5">
        <v>2028</v>
      </c>
      <c r="S3" s="5">
        <v>2029</v>
      </c>
      <c r="T3" s="5">
        <v>2030</v>
      </c>
      <c r="U3" s="5">
        <v>2031</v>
      </c>
      <c r="V3" s="5">
        <v>2032</v>
      </c>
      <c r="W3" s="5">
        <v>2033</v>
      </c>
      <c r="X3" s="5">
        <v>2034</v>
      </c>
      <c r="Y3" s="5">
        <v>2035</v>
      </c>
      <c r="Z3" s="5">
        <v>2036</v>
      </c>
      <c r="AA3" s="5">
        <v>2037</v>
      </c>
      <c r="AB3" s="5">
        <v>2038</v>
      </c>
      <c r="AC3" s="5">
        <v>2039</v>
      </c>
      <c r="AD3" s="5">
        <v>2040</v>
      </c>
      <c r="AE3" s="5">
        <v>2041</v>
      </c>
      <c r="AF3" s="5">
        <v>2042</v>
      </c>
      <c r="AG3" s="5">
        <v>2043</v>
      </c>
      <c r="AH3" s="5">
        <v>2044</v>
      </c>
      <c r="AI3" s="5">
        <v>2045</v>
      </c>
      <c r="AJ3" s="5">
        <v>2046</v>
      </c>
      <c r="AK3" s="5">
        <v>2047</v>
      </c>
      <c r="AL3" s="5">
        <v>2048</v>
      </c>
      <c r="AM3" s="5">
        <v>2049</v>
      </c>
      <c r="AN3" s="5">
        <v>2050</v>
      </c>
    </row>
    <row r="4" spans="1:48" x14ac:dyDescent="0.3">
      <c r="B4" t="s">
        <v>82</v>
      </c>
      <c r="D4" t="s">
        <v>172</v>
      </c>
      <c r="E4" s="3" t="e">
        <f>VLOOKUP($B4,baseline!$A:$AK,E$2,FALSE)</f>
        <v>#N/A</v>
      </c>
      <c r="F4" s="3" t="e">
        <f>VLOOKUP($B4,baseline!$A:$AK,F$2,FALSE)</f>
        <v>#N/A</v>
      </c>
      <c r="G4" s="3" t="e">
        <f>VLOOKUP($B4,baseline!$A:$AK,G$2,FALSE)</f>
        <v>#N/A</v>
      </c>
      <c r="H4" s="3" t="e">
        <f>VLOOKUP($B4,baseline!$A:$AK,H$2,FALSE)</f>
        <v>#N/A</v>
      </c>
      <c r="I4" s="3" t="e">
        <f>VLOOKUP($B4,baseline!$A:$AK,I$2,FALSE)</f>
        <v>#N/A</v>
      </c>
      <c r="J4" s="3" t="e">
        <f>VLOOKUP($B4,baseline!$A:$AK,J$2,FALSE)</f>
        <v>#N/A</v>
      </c>
      <c r="K4" s="3" t="e">
        <f>VLOOKUP($B4,baseline!$A:$AK,K$2,FALSE)</f>
        <v>#N/A</v>
      </c>
      <c r="L4" s="3" t="e">
        <f>VLOOKUP($B4,baseline!$A:$AK,L$2,FALSE)</f>
        <v>#N/A</v>
      </c>
      <c r="M4" s="3" t="e">
        <f>VLOOKUP($B4,baseline!$A:$AK,M$2,FALSE)</f>
        <v>#N/A</v>
      </c>
      <c r="N4" s="3" t="e">
        <f>VLOOKUP($B4,baseline!$A:$AK,N$2,FALSE)</f>
        <v>#N/A</v>
      </c>
      <c r="O4" s="3" t="e">
        <f>VLOOKUP($B4,baseline!$A:$AK,O$2,FALSE)</f>
        <v>#N/A</v>
      </c>
      <c r="P4" s="3" t="e">
        <f>VLOOKUP($B4,baseline!$A:$AK,P$2,FALSE)</f>
        <v>#N/A</v>
      </c>
      <c r="Q4" s="3" t="e">
        <f>VLOOKUP($B4,baseline!$A:$AK,Q$2,FALSE)</f>
        <v>#N/A</v>
      </c>
      <c r="R4" s="3" t="e">
        <f>VLOOKUP($B4,baseline!$A:$AK,R$2,FALSE)</f>
        <v>#N/A</v>
      </c>
      <c r="S4" s="3" t="e">
        <f>VLOOKUP($B4,baseline!$A:$AK,S$2,FALSE)</f>
        <v>#N/A</v>
      </c>
      <c r="T4" s="3" t="e">
        <f>VLOOKUP($B4,baseline!$A:$AK,T$2,FALSE)</f>
        <v>#N/A</v>
      </c>
      <c r="U4" s="3" t="e">
        <f>VLOOKUP($B4,baseline!$A:$AK,U$2,FALSE)</f>
        <v>#N/A</v>
      </c>
      <c r="V4" s="3" t="e">
        <f>VLOOKUP($B4,baseline!$A:$AK,V$2,FALSE)</f>
        <v>#N/A</v>
      </c>
      <c r="W4" s="3" t="e">
        <f>VLOOKUP($B4,baseline!$A:$AK,W$2,FALSE)</f>
        <v>#N/A</v>
      </c>
      <c r="X4" s="3" t="e">
        <f>VLOOKUP($B4,baseline!$A:$AK,X$2,FALSE)</f>
        <v>#N/A</v>
      </c>
      <c r="Y4" s="3" t="e">
        <f>VLOOKUP($B4,baseline!$A:$AK,Y$2,FALSE)</f>
        <v>#N/A</v>
      </c>
      <c r="Z4" s="3" t="e">
        <f>VLOOKUP($B4,baseline!$A:$AK,Z$2,FALSE)</f>
        <v>#N/A</v>
      </c>
      <c r="AA4" s="3" t="e">
        <f>VLOOKUP($B4,baseline!$A:$AK,AA$2,FALSE)</f>
        <v>#N/A</v>
      </c>
      <c r="AB4" s="3" t="e">
        <f>VLOOKUP($B4,baseline!$A:$AK,AB$2,FALSE)</f>
        <v>#N/A</v>
      </c>
      <c r="AC4" s="3" t="e">
        <f>VLOOKUP($B4,baseline!$A:$AK,AC$2,FALSE)</f>
        <v>#N/A</v>
      </c>
      <c r="AD4" s="3" t="e">
        <f>VLOOKUP($B4,baseline!$A:$AK,AD$2,FALSE)</f>
        <v>#N/A</v>
      </c>
      <c r="AE4" s="3" t="e">
        <f>VLOOKUP($B4,baseline!$A:$AK,AE$2,FALSE)</f>
        <v>#N/A</v>
      </c>
      <c r="AF4" s="3" t="e">
        <f>VLOOKUP($B4,baseline!$A:$AK,AF$2,FALSE)</f>
        <v>#N/A</v>
      </c>
      <c r="AG4" s="3" t="e">
        <f>VLOOKUP($B4,baseline!$A:$AK,AG$2,FALSE)</f>
        <v>#N/A</v>
      </c>
      <c r="AH4" s="3" t="e">
        <f>VLOOKUP($B4,baseline!$A:$AK,AH$2,FALSE)</f>
        <v>#N/A</v>
      </c>
      <c r="AI4" s="3" t="e">
        <f>VLOOKUP($B4,baseline!$A:$AK,AI$2,FALSE)</f>
        <v>#N/A</v>
      </c>
      <c r="AJ4" s="3" t="e">
        <f>VLOOKUP($B4,baseline!$A:$AK,AJ$2,FALSE)</f>
        <v>#N/A</v>
      </c>
      <c r="AK4" s="3" t="e">
        <f>VLOOKUP($B4,baseline!$A:$AK,AK$2,FALSE)</f>
        <v>#N/A</v>
      </c>
      <c r="AL4" s="3" t="e">
        <f>VLOOKUP($B4,baseline!$A:$AK,AL$2,FALSE)</f>
        <v>#N/A</v>
      </c>
      <c r="AM4" s="3" t="e">
        <f>VLOOKUP($B4,baseline!$A:$AK,AM$2,FALSE)</f>
        <v>#N/A</v>
      </c>
      <c r="AN4" s="3" t="e">
        <f>VLOOKUP($B4,baseline!$A:$AK,AN$2,FALSE)</f>
        <v>#N/A</v>
      </c>
      <c r="AP4" s="3" t="e">
        <f t="shared" ref="AP4:AP25" si="0">AN4/E4</f>
        <v>#N/A</v>
      </c>
    </row>
    <row r="5" spans="1:48" x14ac:dyDescent="0.3">
      <c r="B5" t="s">
        <v>83</v>
      </c>
      <c r="D5" t="s">
        <v>172</v>
      </c>
      <c r="E5" s="3" t="e">
        <f>VLOOKUP($B5,baseline!$A:$AK,E$2,FALSE)</f>
        <v>#N/A</v>
      </c>
      <c r="F5" s="3" t="e">
        <f>VLOOKUP($B5,baseline!$A:$AK,F$2,FALSE)</f>
        <v>#N/A</v>
      </c>
      <c r="G5" s="3" t="e">
        <f>VLOOKUP($B5,baseline!$A:$AK,G$2,FALSE)</f>
        <v>#N/A</v>
      </c>
      <c r="H5" s="3" t="e">
        <f>VLOOKUP($B5,baseline!$A:$AK,H$2,FALSE)</f>
        <v>#N/A</v>
      </c>
      <c r="I5" s="3" t="e">
        <f>VLOOKUP($B5,baseline!$A:$AK,I$2,FALSE)</f>
        <v>#N/A</v>
      </c>
      <c r="J5" s="3" t="e">
        <f>VLOOKUP($B5,baseline!$A:$AK,J$2,FALSE)</f>
        <v>#N/A</v>
      </c>
      <c r="K5" s="3" t="e">
        <f>VLOOKUP($B5,baseline!$A:$AK,K$2,FALSE)</f>
        <v>#N/A</v>
      </c>
      <c r="L5" s="3" t="e">
        <f>VLOOKUP($B5,baseline!$A:$AK,L$2,FALSE)</f>
        <v>#N/A</v>
      </c>
      <c r="M5" s="3" t="e">
        <f>VLOOKUP($B5,baseline!$A:$AK,M$2,FALSE)</f>
        <v>#N/A</v>
      </c>
      <c r="N5" s="3" t="e">
        <f>VLOOKUP($B5,baseline!$A:$AK,N$2,FALSE)</f>
        <v>#N/A</v>
      </c>
      <c r="O5" s="3" t="e">
        <f>VLOOKUP($B5,baseline!$A:$AK,O$2,FALSE)</f>
        <v>#N/A</v>
      </c>
      <c r="P5" s="3" t="e">
        <f>VLOOKUP($B5,baseline!$A:$AK,P$2,FALSE)</f>
        <v>#N/A</v>
      </c>
      <c r="Q5" s="3" t="e">
        <f>VLOOKUP($B5,baseline!$A:$AK,Q$2,FALSE)</f>
        <v>#N/A</v>
      </c>
      <c r="R5" s="3" t="e">
        <f>VLOOKUP($B5,baseline!$A:$AK,R$2,FALSE)</f>
        <v>#N/A</v>
      </c>
      <c r="S5" s="3" t="e">
        <f>VLOOKUP($B5,baseline!$A:$AK,S$2,FALSE)</f>
        <v>#N/A</v>
      </c>
      <c r="T5" s="3" t="e">
        <f>VLOOKUP($B5,baseline!$A:$AK,T$2,FALSE)</f>
        <v>#N/A</v>
      </c>
      <c r="U5" s="3" t="e">
        <f>VLOOKUP($B5,baseline!$A:$AK,U$2,FALSE)</f>
        <v>#N/A</v>
      </c>
      <c r="V5" s="3" t="e">
        <f>VLOOKUP($B5,baseline!$A:$AK,V$2,FALSE)</f>
        <v>#N/A</v>
      </c>
      <c r="W5" s="3" t="e">
        <f>VLOOKUP($B5,baseline!$A:$AK,W$2,FALSE)</f>
        <v>#N/A</v>
      </c>
      <c r="X5" s="3" t="e">
        <f>VLOOKUP($B5,baseline!$A:$AK,X$2,FALSE)</f>
        <v>#N/A</v>
      </c>
      <c r="Y5" s="3" t="e">
        <f>VLOOKUP($B5,baseline!$A:$AK,Y$2,FALSE)</f>
        <v>#N/A</v>
      </c>
      <c r="Z5" s="3" t="e">
        <f>VLOOKUP($B5,baseline!$A:$AK,Z$2,FALSE)</f>
        <v>#N/A</v>
      </c>
      <c r="AA5" s="3" t="e">
        <f>VLOOKUP($B5,baseline!$A:$AK,AA$2,FALSE)</f>
        <v>#N/A</v>
      </c>
      <c r="AB5" s="3" t="e">
        <f>VLOOKUP($B5,baseline!$A:$AK,AB$2,FALSE)</f>
        <v>#N/A</v>
      </c>
      <c r="AC5" s="3" t="e">
        <f>VLOOKUP($B5,baseline!$A:$AK,AC$2,FALSE)</f>
        <v>#N/A</v>
      </c>
      <c r="AD5" s="3" t="e">
        <f>VLOOKUP($B5,baseline!$A:$AK,AD$2,FALSE)</f>
        <v>#N/A</v>
      </c>
      <c r="AE5" s="3" t="e">
        <f>VLOOKUP($B5,baseline!$A:$AK,AE$2,FALSE)</f>
        <v>#N/A</v>
      </c>
      <c r="AF5" s="3" t="e">
        <f>VLOOKUP($B5,baseline!$A:$AK,AF$2,FALSE)</f>
        <v>#N/A</v>
      </c>
      <c r="AG5" s="3" t="e">
        <f>VLOOKUP($B5,baseline!$A:$AK,AG$2,FALSE)</f>
        <v>#N/A</v>
      </c>
      <c r="AH5" s="3" t="e">
        <f>VLOOKUP($B5,baseline!$A:$AK,AH$2,FALSE)</f>
        <v>#N/A</v>
      </c>
      <c r="AI5" s="3" t="e">
        <f>VLOOKUP($B5,baseline!$A:$AK,AI$2,FALSE)</f>
        <v>#N/A</v>
      </c>
      <c r="AJ5" s="3" t="e">
        <f>VLOOKUP($B5,baseline!$A:$AK,AJ$2,FALSE)</f>
        <v>#N/A</v>
      </c>
      <c r="AK5" s="3" t="e">
        <f>VLOOKUP($B5,baseline!$A:$AK,AK$2,FALSE)</f>
        <v>#N/A</v>
      </c>
      <c r="AL5" s="3" t="e">
        <f>VLOOKUP($B5,baseline!$A:$AK,AL$2,FALSE)</f>
        <v>#N/A</v>
      </c>
      <c r="AM5" s="3" t="e">
        <f>VLOOKUP($B5,baseline!$A:$AK,AM$2,FALSE)</f>
        <v>#N/A</v>
      </c>
      <c r="AN5" s="3" t="e">
        <f>VLOOKUP($B5,baseline!$A:$AK,AN$2,FALSE)</f>
        <v>#N/A</v>
      </c>
      <c r="AP5" s="3" t="e">
        <f t="shared" si="0"/>
        <v>#N/A</v>
      </c>
    </row>
    <row r="6" spans="1:48" x14ac:dyDescent="0.3">
      <c r="B6" t="s">
        <v>84</v>
      </c>
      <c r="D6" t="s">
        <v>172</v>
      </c>
      <c r="E6" s="3" t="e">
        <f>VLOOKUP($B6,baseline!$A:$AK,E$2,FALSE)</f>
        <v>#N/A</v>
      </c>
      <c r="F6" s="3" t="e">
        <f>VLOOKUP($B6,baseline!$A:$AK,F$2,FALSE)</f>
        <v>#N/A</v>
      </c>
      <c r="G6" s="3" t="e">
        <f>VLOOKUP($B6,baseline!$A:$AK,G$2,FALSE)</f>
        <v>#N/A</v>
      </c>
      <c r="H6" s="3" t="e">
        <f>VLOOKUP($B6,baseline!$A:$AK,H$2,FALSE)</f>
        <v>#N/A</v>
      </c>
      <c r="I6" s="3" t="e">
        <f>VLOOKUP($B6,baseline!$A:$AK,I$2,FALSE)</f>
        <v>#N/A</v>
      </c>
      <c r="J6" s="3" t="e">
        <f>VLOOKUP($B6,baseline!$A:$AK,J$2,FALSE)</f>
        <v>#N/A</v>
      </c>
      <c r="K6" s="3" t="e">
        <f>VLOOKUP($B6,baseline!$A:$AK,K$2,FALSE)</f>
        <v>#N/A</v>
      </c>
      <c r="L6" s="3" t="e">
        <f>VLOOKUP($B6,baseline!$A:$AK,L$2,FALSE)</f>
        <v>#N/A</v>
      </c>
      <c r="M6" s="3" t="e">
        <f>VLOOKUP($B6,baseline!$A:$AK,M$2,FALSE)</f>
        <v>#N/A</v>
      </c>
      <c r="N6" s="3" t="e">
        <f>VLOOKUP($B6,baseline!$A:$AK,N$2,FALSE)</f>
        <v>#N/A</v>
      </c>
      <c r="O6" s="3" t="e">
        <f>VLOOKUP($B6,baseline!$A:$AK,O$2,FALSE)</f>
        <v>#N/A</v>
      </c>
      <c r="P6" s="3" t="e">
        <f>VLOOKUP($B6,baseline!$A:$AK,P$2,FALSE)</f>
        <v>#N/A</v>
      </c>
      <c r="Q6" s="3" t="e">
        <f>VLOOKUP($B6,baseline!$A:$AK,Q$2,FALSE)</f>
        <v>#N/A</v>
      </c>
      <c r="R6" s="3" t="e">
        <f>VLOOKUP($B6,baseline!$A:$AK,R$2,FALSE)</f>
        <v>#N/A</v>
      </c>
      <c r="S6" s="3" t="e">
        <f>VLOOKUP($B6,baseline!$A:$AK,S$2,FALSE)</f>
        <v>#N/A</v>
      </c>
      <c r="T6" s="3" t="e">
        <f>VLOOKUP($B6,baseline!$A:$AK,T$2,FALSE)</f>
        <v>#N/A</v>
      </c>
      <c r="U6" s="3" t="e">
        <f>VLOOKUP($B6,baseline!$A:$AK,U$2,FALSE)</f>
        <v>#N/A</v>
      </c>
      <c r="V6" s="3" t="e">
        <f>VLOOKUP($B6,baseline!$A:$AK,V$2,FALSE)</f>
        <v>#N/A</v>
      </c>
      <c r="W6" s="3" t="e">
        <f>VLOOKUP($B6,baseline!$A:$AK,W$2,FALSE)</f>
        <v>#N/A</v>
      </c>
      <c r="X6" s="3" t="e">
        <f>VLOOKUP($B6,baseline!$A:$AK,X$2,FALSE)</f>
        <v>#N/A</v>
      </c>
      <c r="Y6" s="3" t="e">
        <f>VLOOKUP($B6,baseline!$A:$AK,Y$2,FALSE)</f>
        <v>#N/A</v>
      </c>
      <c r="Z6" s="3" t="e">
        <f>VLOOKUP($B6,baseline!$A:$AK,Z$2,FALSE)</f>
        <v>#N/A</v>
      </c>
      <c r="AA6" s="3" t="e">
        <f>VLOOKUP($B6,baseline!$A:$AK,AA$2,FALSE)</f>
        <v>#N/A</v>
      </c>
      <c r="AB6" s="3" t="e">
        <f>VLOOKUP($B6,baseline!$A:$AK,AB$2,FALSE)</f>
        <v>#N/A</v>
      </c>
      <c r="AC6" s="3" t="e">
        <f>VLOOKUP($B6,baseline!$A:$AK,AC$2,FALSE)</f>
        <v>#N/A</v>
      </c>
      <c r="AD6" s="3" t="e">
        <f>VLOOKUP($B6,baseline!$A:$AK,AD$2,FALSE)</f>
        <v>#N/A</v>
      </c>
      <c r="AE6" s="3" t="e">
        <f>VLOOKUP($B6,baseline!$A:$AK,AE$2,FALSE)</f>
        <v>#N/A</v>
      </c>
      <c r="AF6" s="3" t="e">
        <f>VLOOKUP($B6,baseline!$A:$AK,AF$2,FALSE)</f>
        <v>#N/A</v>
      </c>
      <c r="AG6" s="3" t="e">
        <f>VLOOKUP($B6,baseline!$A:$AK,AG$2,FALSE)</f>
        <v>#N/A</v>
      </c>
      <c r="AH6" s="3" t="e">
        <f>VLOOKUP($B6,baseline!$A:$AK,AH$2,FALSE)</f>
        <v>#N/A</v>
      </c>
      <c r="AI6" s="3" t="e">
        <f>VLOOKUP($B6,baseline!$A:$AK,AI$2,FALSE)</f>
        <v>#N/A</v>
      </c>
      <c r="AJ6" s="3" t="e">
        <f>VLOOKUP($B6,baseline!$A:$AK,AJ$2,FALSE)</f>
        <v>#N/A</v>
      </c>
      <c r="AK6" s="3" t="e">
        <f>VLOOKUP($B6,baseline!$A:$AK,AK$2,FALSE)</f>
        <v>#N/A</v>
      </c>
      <c r="AL6" s="3" t="e">
        <f>VLOOKUP($B6,baseline!$A:$AK,AL$2,FALSE)</f>
        <v>#N/A</v>
      </c>
      <c r="AM6" s="3" t="e">
        <f>VLOOKUP($B6,baseline!$A:$AK,AM$2,FALSE)</f>
        <v>#N/A</v>
      </c>
      <c r="AN6" s="3" t="e">
        <f>VLOOKUP($B6,baseline!$A:$AK,AN$2,FALSE)</f>
        <v>#N/A</v>
      </c>
      <c r="AP6" s="3" t="e">
        <f t="shared" si="0"/>
        <v>#N/A</v>
      </c>
    </row>
    <row r="7" spans="1:48" x14ac:dyDescent="0.3">
      <c r="B7" t="s">
        <v>85</v>
      </c>
      <c r="D7" t="s">
        <v>172</v>
      </c>
      <c r="E7" s="3" t="e">
        <f>VLOOKUP($B7,baseline!$A:$AK,E$2,FALSE)</f>
        <v>#N/A</v>
      </c>
      <c r="F7" s="3" t="e">
        <f>VLOOKUP($B7,baseline!$A:$AK,F$2,FALSE)</f>
        <v>#N/A</v>
      </c>
      <c r="G7" s="3" t="e">
        <f>VLOOKUP($B7,baseline!$A:$AK,G$2,FALSE)</f>
        <v>#N/A</v>
      </c>
      <c r="H7" s="3" t="e">
        <f>VLOOKUP($B7,baseline!$A:$AK,H$2,FALSE)</f>
        <v>#N/A</v>
      </c>
      <c r="I7" s="3" t="e">
        <f>VLOOKUP($B7,baseline!$A:$AK,I$2,FALSE)</f>
        <v>#N/A</v>
      </c>
      <c r="J7" s="3" t="e">
        <f>VLOOKUP($B7,baseline!$A:$AK,J$2,FALSE)</f>
        <v>#N/A</v>
      </c>
      <c r="K7" s="3" t="e">
        <f>VLOOKUP($B7,baseline!$A:$AK,K$2,FALSE)</f>
        <v>#N/A</v>
      </c>
      <c r="L7" s="3" t="e">
        <f>VLOOKUP($B7,baseline!$A:$AK,L$2,FALSE)</f>
        <v>#N/A</v>
      </c>
      <c r="M7" s="3" t="e">
        <f>VLOOKUP($B7,baseline!$A:$AK,M$2,FALSE)</f>
        <v>#N/A</v>
      </c>
      <c r="N7" s="3" t="e">
        <f>VLOOKUP($B7,baseline!$A:$AK,N$2,FALSE)</f>
        <v>#N/A</v>
      </c>
      <c r="O7" s="3" t="e">
        <f>VLOOKUP($B7,baseline!$A:$AK,O$2,FALSE)</f>
        <v>#N/A</v>
      </c>
      <c r="P7" s="3" t="e">
        <f>VLOOKUP($B7,baseline!$A:$AK,P$2,FALSE)</f>
        <v>#N/A</v>
      </c>
      <c r="Q7" s="3" t="e">
        <f>VLOOKUP($B7,baseline!$A:$AK,Q$2,FALSE)</f>
        <v>#N/A</v>
      </c>
      <c r="R7" s="3" t="e">
        <f>VLOOKUP($B7,baseline!$A:$AK,R$2,FALSE)</f>
        <v>#N/A</v>
      </c>
      <c r="S7" s="3" t="e">
        <f>VLOOKUP($B7,baseline!$A:$AK,S$2,FALSE)</f>
        <v>#N/A</v>
      </c>
      <c r="T7" s="3" t="e">
        <f>VLOOKUP($B7,baseline!$A:$AK,T$2,FALSE)</f>
        <v>#N/A</v>
      </c>
      <c r="U7" s="3" t="e">
        <f>VLOOKUP($B7,baseline!$A:$AK,U$2,FALSE)</f>
        <v>#N/A</v>
      </c>
      <c r="V7" s="3" t="e">
        <f>VLOOKUP($B7,baseline!$A:$AK,V$2,FALSE)</f>
        <v>#N/A</v>
      </c>
      <c r="W7" s="3" t="e">
        <f>VLOOKUP($B7,baseline!$A:$AK,W$2,FALSE)</f>
        <v>#N/A</v>
      </c>
      <c r="X7" s="3" t="e">
        <f>VLOOKUP($B7,baseline!$A:$AK,X$2,FALSE)</f>
        <v>#N/A</v>
      </c>
      <c r="Y7" s="3" t="e">
        <f>VLOOKUP($B7,baseline!$A:$AK,Y$2,FALSE)</f>
        <v>#N/A</v>
      </c>
      <c r="Z7" s="3" t="e">
        <f>VLOOKUP($B7,baseline!$A:$AK,Z$2,FALSE)</f>
        <v>#N/A</v>
      </c>
      <c r="AA7" s="3" t="e">
        <f>VLOOKUP($B7,baseline!$A:$AK,AA$2,FALSE)</f>
        <v>#N/A</v>
      </c>
      <c r="AB7" s="3" t="e">
        <f>VLOOKUP($B7,baseline!$A:$AK,AB$2,FALSE)</f>
        <v>#N/A</v>
      </c>
      <c r="AC7" s="3" t="e">
        <f>VLOOKUP($B7,baseline!$A:$AK,AC$2,FALSE)</f>
        <v>#N/A</v>
      </c>
      <c r="AD7" s="3" t="e">
        <f>VLOOKUP($B7,baseline!$A:$AK,AD$2,FALSE)</f>
        <v>#N/A</v>
      </c>
      <c r="AE7" s="3" t="e">
        <f>VLOOKUP($B7,baseline!$A:$AK,AE$2,FALSE)</f>
        <v>#N/A</v>
      </c>
      <c r="AF7" s="3" t="e">
        <f>VLOOKUP($B7,baseline!$A:$AK,AF$2,FALSE)</f>
        <v>#N/A</v>
      </c>
      <c r="AG7" s="3" t="e">
        <f>VLOOKUP($B7,baseline!$A:$AK,AG$2,FALSE)</f>
        <v>#N/A</v>
      </c>
      <c r="AH7" s="3" t="e">
        <f>VLOOKUP($B7,baseline!$A:$AK,AH$2,FALSE)</f>
        <v>#N/A</v>
      </c>
      <c r="AI7" s="3" t="e">
        <f>VLOOKUP($B7,baseline!$A:$AK,AI$2,FALSE)</f>
        <v>#N/A</v>
      </c>
      <c r="AJ7" s="3" t="e">
        <f>VLOOKUP($B7,baseline!$A:$AK,AJ$2,FALSE)</f>
        <v>#N/A</v>
      </c>
      <c r="AK7" s="3" t="e">
        <f>VLOOKUP($B7,baseline!$A:$AK,AK$2,FALSE)</f>
        <v>#N/A</v>
      </c>
      <c r="AL7" s="3" t="e">
        <f>VLOOKUP($B7,baseline!$A:$AK,AL$2,FALSE)</f>
        <v>#N/A</v>
      </c>
      <c r="AM7" s="3" t="e">
        <f>VLOOKUP($B7,baseline!$A:$AK,AM$2,FALSE)</f>
        <v>#N/A</v>
      </c>
      <c r="AN7" s="3" t="e">
        <f>VLOOKUP($B7,baseline!$A:$AK,AN$2,FALSE)</f>
        <v>#N/A</v>
      </c>
      <c r="AP7" s="3" t="e">
        <f t="shared" si="0"/>
        <v>#N/A</v>
      </c>
    </row>
    <row r="8" spans="1:48" x14ac:dyDescent="0.3">
      <c r="B8" t="s">
        <v>86</v>
      </c>
      <c r="D8" t="s">
        <v>172</v>
      </c>
      <c r="E8" s="3" t="e">
        <f>VLOOKUP($B8,baseline!$A:$AK,E$2,FALSE)</f>
        <v>#N/A</v>
      </c>
      <c r="F8" s="3" t="e">
        <f>VLOOKUP($B8,baseline!$A:$AK,F$2,FALSE)</f>
        <v>#N/A</v>
      </c>
      <c r="G8" s="3" t="e">
        <f>VLOOKUP($B8,baseline!$A:$AK,G$2,FALSE)</f>
        <v>#N/A</v>
      </c>
      <c r="H8" s="3" t="e">
        <f>VLOOKUP($B8,baseline!$A:$AK,H$2,FALSE)</f>
        <v>#N/A</v>
      </c>
      <c r="I8" s="3" t="e">
        <f>VLOOKUP($B8,baseline!$A:$AK,I$2,FALSE)</f>
        <v>#N/A</v>
      </c>
      <c r="J8" s="3" t="e">
        <f>VLOOKUP($B8,baseline!$A:$AK,J$2,FALSE)</f>
        <v>#N/A</v>
      </c>
      <c r="K8" s="3" t="e">
        <f>VLOOKUP($B8,baseline!$A:$AK,K$2,FALSE)</f>
        <v>#N/A</v>
      </c>
      <c r="L8" s="3" t="e">
        <f>VLOOKUP($B8,baseline!$A:$AK,L$2,FALSE)</f>
        <v>#N/A</v>
      </c>
      <c r="M8" s="3" t="e">
        <f>VLOOKUP($B8,baseline!$A:$AK,M$2,FALSE)</f>
        <v>#N/A</v>
      </c>
      <c r="N8" s="3" t="e">
        <f>VLOOKUP($B8,baseline!$A:$AK,N$2,FALSE)</f>
        <v>#N/A</v>
      </c>
      <c r="O8" s="3" t="e">
        <f>VLOOKUP($B8,baseline!$A:$AK,O$2,FALSE)</f>
        <v>#N/A</v>
      </c>
      <c r="P8" s="3" t="e">
        <f>VLOOKUP($B8,baseline!$A:$AK,P$2,FALSE)</f>
        <v>#N/A</v>
      </c>
      <c r="Q8" s="3" t="e">
        <f>VLOOKUP($B8,baseline!$A:$AK,Q$2,FALSE)</f>
        <v>#N/A</v>
      </c>
      <c r="R8" s="3" t="e">
        <f>VLOOKUP($B8,baseline!$A:$AK,R$2,FALSE)</f>
        <v>#N/A</v>
      </c>
      <c r="S8" s="3" t="e">
        <f>VLOOKUP($B8,baseline!$A:$AK,S$2,FALSE)</f>
        <v>#N/A</v>
      </c>
      <c r="T8" s="3" t="e">
        <f>VLOOKUP($B8,baseline!$A:$AK,T$2,FALSE)</f>
        <v>#N/A</v>
      </c>
      <c r="U8" s="3" t="e">
        <f>VLOOKUP($B8,baseline!$A:$AK,U$2,FALSE)</f>
        <v>#N/A</v>
      </c>
      <c r="V8" s="3" t="e">
        <f>VLOOKUP($B8,baseline!$A:$AK,V$2,FALSE)</f>
        <v>#N/A</v>
      </c>
      <c r="W8" s="3" t="e">
        <f>VLOOKUP($B8,baseline!$A:$AK,W$2,FALSE)</f>
        <v>#N/A</v>
      </c>
      <c r="X8" s="3" t="e">
        <f>VLOOKUP($B8,baseline!$A:$AK,X$2,FALSE)</f>
        <v>#N/A</v>
      </c>
      <c r="Y8" s="3" t="e">
        <f>VLOOKUP($B8,baseline!$A:$AK,Y$2,FALSE)</f>
        <v>#N/A</v>
      </c>
      <c r="Z8" s="3" t="e">
        <f>VLOOKUP($B8,baseline!$A:$AK,Z$2,FALSE)</f>
        <v>#N/A</v>
      </c>
      <c r="AA8" s="3" t="e">
        <f>VLOOKUP($B8,baseline!$A:$AK,AA$2,FALSE)</f>
        <v>#N/A</v>
      </c>
      <c r="AB8" s="3" t="e">
        <f>VLOOKUP($B8,baseline!$A:$AK,AB$2,FALSE)</f>
        <v>#N/A</v>
      </c>
      <c r="AC8" s="3" t="e">
        <f>VLOOKUP($B8,baseline!$A:$AK,AC$2,FALSE)</f>
        <v>#N/A</v>
      </c>
      <c r="AD8" s="3" t="e">
        <f>VLOOKUP($B8,baseline!$A:$AK,AD$2,FALSE)</f>
        <v>#N/A</v>
      </c>
      <c r="AE8" s="3" t="e">
        <f>VLOOKUP($B8,baseline!$A:$AK,AE$2,FALSE)</f>
        <v>#N/A</v>
      </c>
      <c r="AF8" s="3" t="e">
        <f>VLOOKUP($B8,baseline!$A:$AK,AF$2,FALSE)</f>
        <v>#N/A</v>
      </c>
      <c r="AG8" s="3" t="e">
        <f>VLOOKUP($B8,baseline!$A:$AK,AG$2,FALSE)</f>
        <v>#N/A</v>
      </c>
      <c r="AH8" s="3" t="e">
        <f>VLOOKUP($B8,baseline!$A:$AK,AH$2,FALSE)</f>
        <v>#N/A</v>
      </c>
      <c r="AI8" s="3" t="e">
        <f>VLOOKUP($B8,baseline!$A:$AK,AI$2,FALSE)</f>
        <v>#N/A</v>
      </c>
      <c r="AJ8" s="3" t="e">
        <f>VLOOKUP($B8,baseline!$A:$AK,AJ$2,FALSE)</f>
        <v>#N/A</v>
      </c>
      <c r="AK8" s="3" t="e">
        <f>VLOOKUP($B8,baseline!$A:$AK,AK$2,FALSE)</f>
        <v>#N/A</v>
      </c>
      <c r="AL8" s="3" t="e">
        <f>VLOOKUP($B8,baseline!$A:$AK,AL$2,FALSE)</f>
        <v>#N/A</v>
      </c>
      <c r="AM8" s="3" t="e">
        <f>VLOOKUP($B8,baseline!$A:$AK,AM$2,FALSE)</f>
        <v>#N/A</v>
      </c>
      <c r="AN8" s="3" t="e">
        <f>VLOOKUP($B8,baseline!$A:$AK,AN$2,FALSE)</f>
        <v>#N/A</v>
      </c>
      <c r="AP8" s="3" t="e">
        <f t="shared" si="0"/>
        <v>#N/A</v>
      </c>
    </row>
    <row r="9" spans="1:48" x14ac:dyDescent="0.3">
      <c r="B9" t="s">
        <v>87</v>
      </c>
      <c r="D9" t="s">
        <v>172</v>
      </c>
      <c r="E9" s="3" t="e">
        <f>VLOOKUP($B9,baseline!$A:$AK,E$2,FALSE)</f>
        <v>#N/A</v>
      </c>
      <c r="F9" s="3" t="e">
        <f>VLOOKUP($B9,baseline!$A:$AK,F$2,FALSE)</f>
        <v>#N/A</v>
      </c>
      <c r="G9" s="3" t="e">
        <f>VLOOKUP($B9,baseline!$A:$AK,G$2,FALSE)</f>
        <v>#N/A</v>
      </c>
      <c r="H9" s="3" t="e">
        <f>VLOOKUP($B9,baseline!$A:$AK,H$2,FALSE)</f>
        <v>#N/A</v>
      </c>
      <c r="I9" s="3" t="e">
        <f>VLOOKUP($B9,baseline!$A:$AK,I$2,FALSE)</f>
        <v>#N/A</v>
      </c>
      <c r="J9" s="3" t="e">
        <f>VLOOKUP($B9,baseline!$A:$AK,J$2,FALSE)</f>
        <v>#N/A</v>
      </c>
      <c r="K9" s="3" t="e">
        <f>VLOOKUP($B9,baseline!$A:$AK,K$2,FALSE)</f>
        <v>#N/A</v>
      </c>
      <c r="L9" s="3" t="e">
        <f>VLOOKUP($B9,baseline!$A:$AK,L$2,FALSE)</f>
        <v>#N/A</v>
      </c>
      <c r="M9" s="3" t="e">
        <f>VLOOKUP($B9,baseline!$A:$AK,M$2,FALSE)</f>
        <v>#N/A</v>
      </c>
      <c r="N9" s="3" t="e">
        <f>VLOOKUP($B9,baseline!$A:$AK,N$2,FALSE)</f>
        <v>#N/A</v>
      </c>
      <c r="O9" s="3" t="e">
        <f>VLOOKUP($B9,baseline!$A:$AK,O$2,FALSE)</f>
        <v>#N/A</v>
      </c>
      <c r="P9" s="3" t="e">
        <f>VLOOKUP($B9,baseline!$A:$AK,P$2,FALSE)</f>
        <v>#N/A</v>
      </c>
      <c r="Q9" s="3" t="e">
        <f>VLOOKUP($B9,baseline!$A:$AK,Q$2,FALSE)</f>
        <v>#N/A</v>
      </c>
      <c r="R9" s="3" t="e">
        <f>VLOOKUP($B9,baseline!$A:$AK,R$2,FALSE)</f>
        <v>#N/A</v>
      </c>
      <c r="S9" s="3" t="e">
        <f>VLOOKUP($B9,baseline!$A:$AK,S$2,FALSE)</f>
        <v>#N/A</v>
      </c>
      <c r="T9" s="3" t="e">
        <f>VLOOKUP($B9,baseline!$A:$AK,T$2,FALSE)</f>
        <v>#N/A</v>
      </c>
      <c r="U9" s="3" t="e">
        <f>VLOOKUP($B9,baseline!$A:$AK,U$2,FALSE)</f>
        <v>#N/A</v>
      </c>
      <c r="V9" s="3" t="e">
        <f>VLOOKUP($B9,baseline!$A:$AK,V$2,FALSE)</f>
        <v>#N/A</v>
      </c>
      <c r="W9" s="3" t="e">
        <f>VLOOKUP($B9,baseline!$A:$AK,W$2,FALSE)</f>
        <v>#N/A</v>
      </c>
      <c r="X9" s="3" t="e">
        <f>VLOOKUP($B9,baseline!$A:$AK,X$2,FALSE)</f>
        <v>#N/A</v>
      </c>
      <c r="Y9" s="3" t="e">
        <f>VLOOKUP($B9,baseline!$A:$AK,Y$2,FALSE)</f>
        <v>#N/A</v>
      </c>
      <c r="Z9" s="3" t="e">
        <f>VLOOKUP($B9,baseline!$A:$AK,Z$2,FALSE)</f>
        <v>#N/A</v>
      </c>
      <c r="AA9" s="3" t="e">
        <f>VLOOKUP($B9,baseline!$A:$AK,AA$2,FALSE)</f>
        <v>#N/A</v>
      </c>
      <c r="AB9" s="3" t="e">
        <f>VLOOKUP($B9,baseline!$A:$AK,AB$2,FALSE)</f>
        <v>#N/A</v>
      </c>
      <c r="AC9" s="3" t="e">
        <f>VLOOKUP($B9,baseline!$A:$AK,AC$2,FALSE)</f>
        <v>#N/A</v>
      </c>
      <c r="AD9" s="3" t="e">
        <f>VLOOKUP($B9,baseline!$A:$AK,AD$2,FALSE)</f>
        <v>#N/A</v>
      </c>
      <c r="AE9" s="3" t="e">
        <f>VLOOKUP($B9,baseline!$A:$AK,AE$2,FALSE)</f>
        <v>#N/A</v>
      </c>
      <c r="AF9" s="3" t="e">
        <f>VLOOKUP($B9,baseline!$A:$AK,AF$2,FALSE)</f>
        <v>#N/A</v>
      </c>
      <c r="AG9" s="3" t="e">
        <f>VLOOKUP($B9,baseline!$A:$AK,AG$2,FALSE)</f>
        <v>#N/A</v>
      </c>
      <c r="AH9" s="3" t="e">
        <f>VLOOKUP($B9,baseline!$A:$AK,AH$2,FALSE)</f>
        <v>#N/A</v>
      </c>
      <c r="AI9" s="3" t="e">
        <f>VLOOKUP($B9,baseline!$A:$AK,AI$2,FALSE)</f>
        <v>#N/A</v>
      </c>
      <c r="AJ9" s="3" t="e">
        <f>VLOOKUP($B9,baseline!$A:$AK,AJ$2,FALSE)</f>
        <v>#N/A</v>
      </c>
      <c r="AK9" s="3" t="e">
        <f>VLOOKUP($B9,baseline!$A:$AK,AK$2,FALSE)</f>
        <v>#N/A</v>
      </c>
      <c r="AL9" s="3" t="e">
        <f>VLOOKUP($B9,baseline!$A:$AK,AL$2,FALSE)</f>
        <v>#N/A</v>
      </c>
      <c r="AM9" s="3" t="e">
        <f>VLOOKUP($B9,baseline!$A:$AK,AM$2,FALSE)</f>
        <v>#N/A</v>
      </c>
      <c r="AN9" s="3" t="e">
        <f>VLOOKUP($B9,baseline!$A:$AK,AN$2,FALSE)</f>
        <v>#N/A</v>
      </c>
      <c r="AP9" s="3" t="e">
        <f t="shared" si="0"/>
        <v>#N/A</v>
      </c>
    </row>
    <row r="10" spans="1:48" x14ac:dyDescent="0.3">
      <c r="B10" t="s">
        <v>88</v>
      </c>
      <c r="D10" t="s">
        <v>172</v>
      </c>
      <c r="E10" s="3" t="e">
        <f>VLOOKUP($B10,baseline!$A:$AK,E$2,FALSE)</f>
        <v>#N/A</v>
      </c>
      <c r="F10" s="3" t="e">
        <f>VLOOKUP($B10,baseline!$A:$AK,F$2,FALSE)</f>
        <v>#N/A</v>
      </c>
      <c r="G10" s="3" t="e">
        <f>VLOOKUP($B10,baseline!$A:$AK,G$2,FALSE)</f>
        <v>#N/A</v>
      </c>
      <c r="H10" s="3" t="e">
        <f>VLOOKUP($B10,baseline!$A:$AK,H$2,FALSE)</f>
        <v>#N/A</v>
      </c>
      <c r="I10" s="3" t="e">
        <f>VLOOKUP($B10,baseline!$A:$AK,I$2,FALSE)</f>
        <v>#N/A</v>
      </c>
      <c r="J10" s="3" t="e">
        <f>VLOOKUP($B10,baseline!$A:$AK,J$2,FALSE)</f>
        <v>#N/A</v>
      </c>
      <c r="K10" s="3" t="e">
        <f>VLOOKUP($B10,baseline!$A:$AK,K$2,FALSE)</f>
        <v>#N/A</v>
      </c>
      <c r="L10" s="3" t="e">
        <f>VLOOKUP($B10,baseline!$A:$AK,L$2,FALSE)</f>
        <v>#N/A</v>
      </c>
      <c r="M10" s="3" t="e">
        <f>VLOOKUP($B10,baseline!$A:$AK,M$2,FALSE)</f>
        <v>#N/A</v>
      </c>
      <c r="N10" s="3" t="e">
        <f>VLOOKUP($B10,baseline!$A:$AK,N$2,FALSE)</f>
        <v>#N/A</v>
      </c>
      <c r="O10" s="3" t="e">
        <f>VLOOKUP($B10,baseline!$A:$AK,O$2,FALSE)</f>
        <v>#N/A</v>
      </c>
      <c r="P10" s="3" t="e">
        <f>VLOOKUP($B10,baseline!$A:$AK,P$2,FALSE)</f>
        <v>#N/A</v>
      </c>
      <c r="Q10" s="3" t="e">
        <f>VLOOKUP($B10,baseline!$A:$AK,Q$2,FALSE)</f>
        <v>#N/A</v>
      </c>
      <c r="R10" s="3" t="e">
        <f>VLOOKUP($B10,baseline!$A:$AK,R$2,FALSE)</f>
        <v>#N/A</v>
      </c>
      <c r="S10" s="3" t="e">
        <f>VLOOKUP($B10,baseline!$A:$AK,S$2,FALSE)</f>
        <v>#N/A</v>
      </c>
      <c r="T10" s="3" t="e">
        <f>VLOOKUP($B10,baseline!$A:$AK,T$2,FALSE)</f>
        <v>#N/A</v>
      </c>
      <c r="U10" s="3" t="e">
        <f>VLOOKUP($B10,baseline!$A:$AK,U$2,FALSE)</f>
        <v>#N/A</v>
      </c>
      <c r="V10" s="3" t="e">
        <f>VLOOKUP($B10,baseline!$A:$AK,V$2,FALSE)</f>
        <v>#N/A</v>
      </c>
      <c r="W10" s="3" t="e">
        <f>VLOOKUP($B10,baseline!$A:$AK,W$2,FALSE)</f>
        <v>#N/A</v>
      </c>
      <c r="X10" s="3" t="e">
        <f>VLOOKUP($B10,baseline!$A:$AK,X$2,FALSE)</f>
        <v>#N/A</v>
      </c>
      <c r="Y10" s="3" t="e">
        <f>VLOOKUP($B10,baseline!$A:$AK,Y$2,FALSE)</f>
        <v>#N/A</v>
      </c>
      <c r="Z10" s="3" t="e">
        <f>VLOOKUP($B10,baseline!$A:$AK,Z$2,FALSE)</f>
        <v>#N/A</v>
      </c>
      <c r="AA10" s="3" t="e">
        <f>VLOOKUP($B10,baseline!$A:$AK,AA$2,FALSE)</f>
        <v>#N/A</v>
      </c>
      <c r="AB10" s="3" t="e">
        <f>VLOOKUP($B10,baseline!$A:$AK,AB$2,FALSE)</f>
        <v>#N/A</v>
      </c>
      <c r="AC10" s="3" t="e">
        <f>VLOOKUP($B10,baseline!$A:$AK,AC$2,FALSE)</f>
        <v>#N/A</v>
      </c>
      <c r="AD10" s="3" t="e">
        <f>VLOOKUP($B10,baseline!$A:$AK,AD$2,FALSE)</f>
        <v>#N/A</v>
      </c>
      <c r="AE10" s="3" t="e">
        <f>VLOOKUP($B10,baseline!$A:$AK,AE$2,FALSE)</f>
        <v>#N/A</v>
      </c>
      <c r="AF10" s="3" t="e">
        <f>VLOOKUP($B10,baseline!$A:$AK,AF$2,FALSE)</f>
        <v>#N/A</v>
      </c>
      <c r="AG10" s="3" t="e">
        <f>VLOOKUP($B10,baseline!$A:$AK,AG$2,FALSE)</f>
        <v>#N/A</v>
      </c>
      <c r="AH10" s="3" t="e">
        <f>VLOOKUP($B10,baseline!$A:$AK,AH$2,FALSE)</f>
        <v>#N/A</v>
      </c>
      <c r="AI10" s="3" t="e">
        <f>VLOOKUP($B10,baseline!$A:$AK,AI$2,FALSE)</f>
        <v>#N/A</v>
      </c>
      <c r="AJ10" s="3" t="e">
        <f>VLOOKUP($B10,baseline!$A:$AK,AJ$2,FALSE)</f>
        <v>#N/A</v>
      </c>
      <c r="AK10" s="3" t="e">
        <f>VLOOKUP($B10,baseline!$A:$AK,AK$2,FALSE)</f>
        <v>#N/A</v>
      </c>
      <c r="AL10" s="3" t="e">
        <f>VLOOKUP($B10,baseline!$A:$AK,AL$2,FALSE)</f>
        <v>#N/A</v>
      </c>
      <c r="AM10" s="3" t="e">
        <f>VLOOKUP($B10,baseline!$A:$AK,AM$2,FALSE)</f>
        <v>#N/A</v>
      </c>
      <c r="AN10" s="3" t="e">
        <f>VLOOKUP($B10,baseline!$A:$AK,AN$2,FALSE)</f>
        <v>#N/A</v>
      </c>
      <c r="AP10" s="3" t="e">
        <f t="shared" si="0"/>
        <v>#N/A</v>
      </c>
    </row>
    <row r="11" spans="1:48" x14ac:dyDescent="0.3">
      <c r="B11" t="s">
        <v>89</v>
      </c>
      <c r="D11" t="s">
        <v>172</v>
      </c>
      <c r="E11" s="3" t="e">
        <f>VLOOKUP($B11,baseline!$A:$AK,E$2,FALSE)</f>
        <v>#N/A</v>
      </c>
      <c r="F11" s="3" t="e">
        <f>VLOOKUP($B11,baseline!$A:$AK,F$2,FALSE)</f>
        <v>#N/A</v>
      </c>
      <c r="G11" s="3" t="e">
        <f>VLOOKUP($B11,baseline!$A:$AK,G$2,FALSE)</f>
        <v>#N/A</v>
      </c>
      <c r="H11" s="3" t="e">
        <f>VLOOKUP($B11,baseline!$A:$AK,H$2,FALSE)</f>
        <v>#N/A</v>
      </c>
      <c r="I11" s="3" t="e">
        <f>VLOOKUP($B11,baseline!$A:$AK,I$2,FALSE)</f>
        <v>#N/A</v>
      </c>
      <c r="J11" s="3" t="e">
        <f>VLOOKUP($B11,baseline!$A:$AK,J$2,FALSE)</f>
        <v>#N/A</v>
      </c>
      <c r="K11" s="3" t="e">
        <f>VLOOKUP($B11,baseline!$A:$AK,K$2,FALSE)</f>
        <v>#N/A</v>
      </c>
      <c r="L11" s="3" t="e">
        <f>VLOOKUP($B11,baseline!$A:$AK,L$2,FALSE)</f>
        <v>#N/A</v>
      </c>
      <c r="M11" s="3" t="e">
        <f>VLOOKUP($B11,baseline!$A:$AK,M$2,FALSE)</f>
        <v>#N/A</v>
      </c>
      <c r="N11" s="3" t="e">
        <f>VLOOKUP($B11,baseline!$A:$AK,N$2,FALSE)</f>
        <v>#N/A</v>
      </c>
      <c r="O11" s="3" t="e">
        <f>VLOOKUP($B11,baseline!$A:$AK,O$2,FALSE)</f>
        <v>#N/A</v>
      </c>
      <c r="P11" s="3" t="e">
        <f>VLOOKUP($B11,baseline!$A:$AK,P$2,FALSE)</f>
        <v>#N/A</v>
      </c>
      <c r="Q11" s="3" t="e">
        <f>VLOOKUP($B11,baseline!$A:$AK,Q$2,FALSE)</f>
        <v>#N/A</v>
      </c>
      <c r="R11" s="3" t="e">
        <f>VLOOKUP($B11,baseline!$A:$AK,R$2,FALSE)</f>
        <v>#N/A</v>
      </c>
      <c r="S11" s="3" t="e">
        <f>VLOOKUP($B11,baseline!$A:$AK,S$2,FALSE)</f>
        <v>#N/A</v>
      </c>
      <c r="T11" s="3" t="e">
        <f>VLOOKUP($B11,baseline!$A:$AK,T$2,FALSE)</f>
        <v>#N/A</v>
      </c>
      <c r="U11" s="3" t="e">
        <f>VLOOKUP($B11,baseline!$A:$AK,U$2,FALSE)</f>
        <v>#N/A</v>
      </c>
      <c r="V11" s="3" t="e">
        <f>VLOOKUP($B11,baseline!$A:$AK,V$2,FALSE)</f>
        <v>#N/A</v>
      </c>
      <c r="W11" s="3" t="e">
        <f>VLOOKUP($B11,baseline!$A:$AK,W$2,FALSE)</f>
        <v>#N/A</v>
      </c>
      <c r="X11" s="3" t="e">
        <f>VLOOKUP($B11,baseline!$A:$AK,X$2,FALSE)</f>
        <v>#N/A</v>
      </c>
      <c r="Y11" s="3" t="e">
        <f>VLOOKUP($B11,baseline!$A:$AK,Y$2,FALSE)</f>
        <v>#N/A</v>
      </c>
      <c r="Z11" s="3" t="e">
        <f>VLOOKUP($B11,baseline!$A:$AK,Z$2,FALSE)</f>
        <v>#N/A</v>
      </c>
      <c r="AA11" s="3" t="e">
        <f>VLOOKUP($B11,baseline!$A:$AK,AA$2,FALSE)</f>
        <v>#N/A</v>
      </c>
      <c r="AB11" s="3" t="e">
        <f>VLOOKUP($B11,baseline!$A:$AK,AB$2,FALSE)</f>
        <v>#N/A</v>
      </c>
      <c r="AC11" s="3" t="e">
        <f>VLOOKUP($B11,baseline!$A:$AK,AC$2,FALSE)</f>
        <v>#N/A</v>
      </c>
      <c r="AD11" s="3" t="e">
        <f>VLOOKUP($B11,baseline!$A:$AK,AD$2,FALSE)</f>
        <v>#N/A</v>
      </c>
      <c r="AE11" s="3" t="e">
        <f>VLOOKUP($B11,baseline!$A:$AK,AE$2,FALSE)</f>
        <v>#N/A</v>
      </c>
      <c r="AF11" s="3" t="e">
        <f>VLOOKUP($B11,baseline!$A:$AK,AF$2,FALSE)</f>
        <v>#N/A</v>
      </c>
      <c r="AG11" s="3" t="e">
        <f>VLOOKUP($B11,baseline!$A:$AK,AG$2,FALSE)</f>
        <v>#N/A</v>
      </c>
      <c r="AH11" s="3" t="e">
        <f>VLOOKUP($B11,baseline!$A:$AK,AH$2,FALSE)</f>
        <v>#N/A</v>
      </c>
      <c r="AI11" s="3" t="e">
        <f>VLOOKUP($B11,baseline!$A:$AK,AI$2,FALSE)</f>
        <v>#N/A</v>
      </c>
      <c r="AJ11" s="3" t="e">
        <f>VLOOKUP($B11,baseline!$A:$AK,AJ$2,FALSE)</f>
        <v>#N/A</v>
      </c>
      <c r="AK11" s="3" t="e">
        <f>VLOOKUP($B11,baseline!$A:$AK,AK$2,FALSE)</f>
        <v>#N/A</v>
      </c>
      <c r="AL11" s="3" t="e">
        <f>VLOOKUP($B11,baseline!$A:$AK,AL$2,FALSE)</f>
        <v>#N/A</v>
      </c>
      <c r="AM11" s="3" t="e">
        <f>VLOOKUP($B11,baseline!$A:$AK,AM$2,FALSE)</f>
        <v>#N/A</v>
      </c>
      <c r="AN11" s="3" t="e">
        <f>VLOOKUP($B11,baseline!$A:$AK,AN$2,FALSE)</f>
        <v>#N/A</v>
      </c>
      <c r="AP11" s="3" t="e">
        <f t="shared" si="0"/>
        <v>#N/A</v>
      </c>
    </row>
    <row r="12" spans="1:48" x14ac:dyDescent="0.3">
      <c r="B12" t="s">
        <v>90</v>
      </c>
      <c r="D12" t="s">
        <v>172</v>
      </c>
      <c r="E12" s="3" t="e">
        <f>VLOOKUP($B12,baseline!$A:$AK,E$2,FALSE)</f>
        <v>#N/A</v>
      </c>
      <c r="F12" s="3" t="e">
        <f>VLOOKUP($B12,baseline!$A:$AK,F$2,FALSE)</f>
        <v>#N/A</v>
      </c>
      <c r="G12" s="3" t="e">
        <f>VLOOKUP($B12,baseline!$A:$AK,G$2,FALSE)</f>
        <v>#N/A</v>
      </c>
      <c r="H12" s="3" t="e">
        <f>VLOOKUP($B12,baseline!$A:$AK,H$2,FALSE)</f>
        <v>#N/A</v>
      </c>
      <c r="I12" s="3" t="e">
        <f>VLOOKUP($B12,baseline!$A:$AK,I$2,FALSE)</f>
        <v>#N/A</v>
      </c>
      <c r="J12" s="3" t="e">
        <f>VLOOKUP($B12,baseline!$A:$AK,J$2,FALSE)</f>
        <v>#N/A</v>
      </c>
      <c r="K12" s="3" t="e">
        <f>VLOOKUP($B12,baseline!$A:$AK,K$2,FALSE)</f>
        <v>#N/A</v>
      </c>
      <c r="L12" s="3" t="e">
        <f>VLOOKUP($B12,baseline!$A:$AK,L$2,FALSE)</f>
        <v>#N/A</v>
      </c>
      <c r="M12" s="3" t="e">
        <f>VLOOKUP($B12,baseline!$A:$AK,M$2,FALSE)</f>
        <v>#N/A</v>
      </c>
      <c r="N12" s="3" t="e">
        <f>VLOOKUP($B12,baseline!$A:$AK,N$2,FALSE)</f>
        <v>#N/A</v>
      </c>
      <c r="O12" s="3" t="e">
        <f>VLOOKUP($B12,baseline!$A:$AK,O$2,FALSE)</f>
        <v>#N/A</v>
      </c>
      <c r="P12" s="3" t="e">
        <f>VLOOKUP($B12,baseline!$A:$AK,P$2,FALSE)</f>
        <v>#N/A</v>
      </c>
      <c r="Q12" s="3" t="e">
        <f>VLOOKUP($B12,baseline!$A:$AK,Q$2,FALSE)</f>
        <v>#N/A</v>
      </c>
      <c r="R12" s="3" t="e">
        <f>VLOOKUP($B12,baseline!$A:$AK,R$2,FALSE)</f>
        <v>#N/A</v>
      </c>
      <c r="S12" s="3" t="e">
        <f>VLOOKUP($B12,baseline!$A:$AK,S$2,FALSE)</f>
        <v>#N/A</v>
      </c>
      <c r="T12" s="3" t="e">
        <f>VLOOKUP($B12,baseline!$A:$AK,T$2,FALSE)</f>
        <v>#N/A</v>
      </c>
      <c r="U12" s="3" t="e">
        <f>VLOOKUP($B12,baseline!$A:$AK,U$2,FALSE)</f>
        <v>#N/A</v>
      </c>
      <c r="V12" s="3" t="e">
        <f>VLOOKUP($B12,baseline!$A:$AK,V$2,FALSE)</f>
        <v>#N/A</v>
      </c>
      <c r="W12" s="3" t="e">
        <f>VLOOKUP($B12,baseline!$A:$AK,W$2,FALSE)</f>
        <v>#N/A</v>
      </c>
      <c r="X12" s="3" t="e">
        <f>VLOOKUP($B12,baseline!$A:$AK,X$2,FALSE)</f>
        <v>#N/A</v>
      </c>
      <c r="Y12" s="3" t="e">
        <f>VLOOKUP($B12,baseline!$A:$AK,Y$2,FALSE)</f>
        <v>#N/A</v>
      </c>
      <c r="Z12" s="3" t="e">
        <f>VLOOKUP($B12,baseline!$A:$AK,Z$2,FALSE)</f>
        <v>#N/A</v>
      </c>
      <c r="AA12" s="3" t="e">
        <f>VLOOKUP($B12,baseline!$A:$AK,AA$2,FALSE)</f>
        <v>#N/A</v>
      </c>
      <c r="AB12" s="3" t="e">
        <f>VLOOKUP($B12,baseline!$A:$AK,AB$2,FALSE)</f>
        <v>#N/A</v>
      </c>
      <c r="AC12" s="3" t="e">
        <f>VLOOKUP($B12,baseline!$A:$AK,AC$2,FALSE)</f>
        <v>#N/A</v>
      </c>
      <c r="AD12" s="3" t="e">
        <f>VLOOKUP($B12,baseline!$A:$AK,AD$2,FALSE)</f>
        <v>#N/A</v>
      </c>
      <c r="AE12" s="3" t="e">
        <f>VLOOKUP($B12,baseline!$A:$AK,AE$2,FALSE)</f>
        <v>#N/A</v>
      </c>
      <c r="AF12" s="3" t="e">
        <f>VLOOKUP($B12,baseline!$A:$AK,AF$2,FALSE)</f>
        <v>#N/A</v>
      </c>
      <c r="AG12" s="3" t="e">
        <f>VLOOKUP($B12,baseline!$A:$AK,AG$2,FALSE)</f>
        <v>#N/A</v>
      </c>
      <c r="AH12" s="3" t="e">
        <f>VLOOKUP($B12,baseline!$A:$AK,AH$2,FALSE)</f>
        <v>#N/A</v>
      </c>
      <c r="AI12" s="3" t="e">
        <f>VLOOKUP($B12,baseline!$A:$AK,AI$2,FALSE)</f>
        <v>#N/A</v>
      </c>
      <c r="AJ12" s="3" t="e">
        <f>VLOOKUP($B12,baseline!$A:$AK,AJ$2,FALSE)</f>
        <v>#N/A</v>
      </c>
      <c r="AK12" s="3" t="e">
        <f>VLOOKUP($B12,baseline!$A:$AK,AK$2,FALSE)</f>
        <v>#N/A</v>
      </c>
      <c r="AL12" s="3" t="e">
        <f>VLOOKUP($B12,baseline!$A:$AK,AL$2,FALSE)</f>
        <v>#N/A</v>
      </c>
      <c r="AM12" s="3" t="e">
        <f>VLOOKUP($B12,baseline!$A:$AK,AM$2,FALSE)</f>
        <v>#N/A</v>
      </c>
      <c r="AN12" s="3" t="e">
        <f>VLOOKUP($B12,baseline!$A:$AK,AN$2,FALSE)</f>
        <v>#N/A</v>
      </c>
      <c r="AP12" s="3" t="e">
        <f t="shared" si="0"/>
        <v>#N/A</v>
      </c>
    </row>
    <row r="13" spans="1:48" x14ac:dyDescent="0.3">
      <c r="B13" t="s">
        <v>91</v>
      </c>
      <c r="D13" t="s">
        <v>172</v>
      </c>
      <c r="E13" s="3" t="e">
        <f>VLOOKUP($B13,baseline!$A:$AK,E$2,FALSE)</f>
        <v>#N/A</v>
      </c>
      <c r="F13" s="3" t="e">
        <f>VLOOKUP($B13,baseline!$A:$AK,F$2,FALSE)</f>
        <v>#N/A</v>
      </c>
      <c r="G13" s="3" t="e">
        <f>VLOOKUP($B13,baseline!$A:$AK,G$2,FALSE)</f>
        <v>#N/A</v>
      </c>
      <c r="H13" s="3" t="e">
        <f>VLOOKUP($B13,baseline!$A:$AK,H$2,FALSE)</f>
        <v>#N/A</v>
      </c>
      <c r="I13" s="3" t="e">
        <f>VLOOKUP($B13,baseline!$A:$AK,I$2,FALSE)</f>
        <v>#N/A</v>
      </c>
      <c r="J13" s="3" t="e">
        <f>VLOOKUP($B13,baseline!$A:$AK,J$2,FALSE)</f>
        <v>#N/A</v>
      </c>
      <c r="K13" s="3" t="e">
        <f>VLOOKUP($B13,baseline!$A:$AK,K$2,FALSE)</f>
        <v>#N/A</v>
      </c>
      <c r="L13" s="3" t="e">
        <f>VLOOKUP($B13,baseline!$A:$AK,L$2,FALSE)</f>
        <v>#N/A</v>
      </c>
      <c r="M13" s="3" t="e">
        <f>VLOOKUP($B13,baseline!$A:$AK,M$2,FALSE)</f>
        <v>#N/A</v>
      </c>
      <c r="N13" s="3" t="e">
        <f>VLOOKUP($B13,baseline!$A:$AK,N$2,FALSE)</f>
        <v>#N/A</v>
      </c>
      <c r="O13" s="3" t="e">
        <f>VLOOKUP($B13,baseline!$A:$AK,O$2,FALSE)</f>
        <v>#N/A</v>
      </c>
      <c r="P13" s="3" t="e">
        <f>VLOOKUP($B13,baseline!$A:$AK,P$2,FALSE)</f>
        <v>#N/A</v>
      </c>
      <c r="Q13" s="3" t="e">
        <f>VLOOKUP($B13,baseline!$A:$AK,Q$2,FALSE)</f>
        <v>#N/A</v>
      </c>
      <c r="R13" s="3" t="e">
        <f>VLOOKUP($B13,baseline!$A:$AK,R$2,FALSE)</f>
        <v>#N/A</v>
      </c>
      <c r="S13" s="3" t="e">
        <f>VLOOKUP($B13,baseline!$A:$AK,S$2,FALSE)</f>
        <v>#N/A</v>
      </c>
      <c r="T13" s="3" t="e">
        <f>VLOOKUP($B13,baseline!$A:$AK,T$2,FALSE)</f>
        <v>#N/A</v>
      </c>
      <c r="U13" s="3" t="e">
        <f>VLOOKUP($B13,baseline!$A:$AK,U$2,FALSE)</f>
        <v>#N/A</v>
      </c>
      <c r="V13" s="3" t="e">
        <f>VLOOKUP($B13,baseline!$A:$AK,V$2,FALSE)</f>
        <v>#N/A</v>
      </c>
      <c r="W13" s="3" t="e">
        <f>VLOOKUP($B13,baseline!$A:$AK,W$2,FALSE)</f>
        <v>#N/A</v>
      </c>
      <c r="X13" s="3" t="e">
        <f>VLOOKUP($B13,baseline!$A:$AK,X$2,FALSE)</f>
        <v>#N/A</v>
      </c>
      <c r="Y13" s="3" t="e">
        <f>VLOOKUP($B13,baseline!$A:$AK,Y$2,FALSE)</f>
        <v>#N/A</v>
      </c>
      <c r="Z13" s="3" t="e">
        <f>VLOOKUP($B13,baseline!$A:$AK,Z$2,FALSE)</f>
        <v>#N/A</v>
      </c>
      <c r="AA13" s="3" t="e">
        <f>VLOOKUP($B13,baseline!$A:$AK,AA$2,FALSE)</f>
        <v>#N/A</v>
      </c>
      <c r="AB13" s="3" t="e">
        <f>VLOOKUP($B13,baseline!$A:$AK,AB$2,FALSE)</f>
        <v>#N/A</v>
      </c>
      <c r="AC13" s="3" t="e">
        <f>VLOOKUP($B13,baseline!$A:$AK,AC$2,FALSE)</f>
        <v>#N/A</v>
      </c>
      <c r="AD13" s="3" t="e">
        <f>VLOOKUP($B13,baseline!$A:$AK,AD$2,FALSE)</f>
        <v>#N/A</v>
      </c>
      <c r="AE13" s="3" t="e">
        <f>VLOOKUP($B13,baseline!$A:$AK,AE$2,FALSE)</f>
        <v>#N/A</v>
      </c>
      <c r="AF13" s="3" t="e">
        <f>VLOOKUP($B13,baseline!$A:$AK,AF$2,FALSE)</f>
        <v>#N/A</v>
      </c>
      <c r="AG13" s="3" t="e">
        <f>VLOOKUP($B13,baseline!$A:$AK,AG$2,FALSE)</f>
        <v>#N/A</v>
      </c>
      <c r="AH13" s="3" t="e">
        <f>VLOOKUP($B13,baseline!$A:$AK,AH$2,FALSE)</f>
        <v>#N/A</v>
      </c>
      <c r="AI13" s="3" t="e">
        <f>VLOOKUP($B13,baseline!$A:$AK,AI$2,FALSE)</f>
        <v>#N/A</v>
      </c>
      <c r="AJ13" s="3" t="e">
        <f>VLOOKUP($B13,baseline!$A:$AK,AJ$2,FALSE)</f>
        <v>#N/A</v>
      </c>
      <c r="AK13" s="3" t="e">
        <f>VLOOKUP($B13,baseline!$A:$AK,AK$2,FALSE)</f>
        <v>#N/A</v>
      </c>
      <c r="AL13" s="3" t="e">
        <f>VLOOKUP($B13,baseline!$A:$AK,AL$2,FALSE)</f>
        <v>#N/A</v>
      </c>
      <c r="AM13" s="3" t="e">
        <f>VLOOKUP($B13,baseline!$A:$AK,AM$2,FALSE)</f>
        <v>#N/A</v>
      </c>
      <c r="AN13" s="3" t="e">
        <f>VLOOKUP($B13,baseline!$A:$AK,AN$2,FALSE)</f>
        <v>#N/A</v>
      </c>
      <c r="AP13" s="3" t="e">
        <f t="shared" si="0"/>
        <v>#N/A</v>
      </c>
    </row>
    <row r="14" spans="1:48" x14ac:dyDescent="0.3">
      <c r="B14" t="s">
        <v>92</v>
      </c>
      <c r="D14" t="s">
        <v>172</v>
      </c>
      <c r="E14" s="3" t="e">
        <f>VLOOKUP($B14,baseline!$A:$AK,E$2,FALSE)</f>
        <v>#N/A</v>
      </c>
      <c r="F14" s="3" t="e">
        <f>VLOOKUP($B14,baseline!$A:$AK,F$2,FALSE)</f>
        <v>#N/A</v>
      </c>
      <c r="G14" s="3" t="e">
        <f>VLOOKUP($B14,baseline!$A:$AK,G$2,FALSE)</f>
        <v>#N/A</v>
      </c>
      <c r="H14" s="3" t="e">
        <f>VLOOKUP($B14,baseline!$A:$AK,H$2,FALSE)</f>
        <v>#N/A</v>
      </c>
      <c r="I14" s="3" t="e">
        <f>VLOOKUP($B14,baseline!$A:$AK,I$2,FALSE)</f>
        <v>#N/A</v>
      </c>
      <c r="J14" s="3" t="e">
        <f>VLOOKUP($B14,baseline!$A:$AK,J$2,FALSE)</f>
        <v>#N/A</v>
      </c>
      <c r="K14" s="3" t="e">
        <f>VLOOKUP($B14,baseline!$A:$AK,K$2,FALSE)</f>
        <v>#N/A</v>
      </c>
      <c r="L14" s="3" t="e">
        <f>VLOOKUP($B14,baseline!$A:$AK,L$2,FALSE)</f>
        <v>#N/A</v>
      </c>
      <c r="M14" s="3" t="e">
        <f>VLOOKUP($B14,baseline!$A:$AK,M$2,FALSE)</f>
        <v>#N/A</v>
      </c>
      <c r="N14" s="3" t="e">
        <f>VLOOKUP($B14,baseline!$A:$AK,N$2,FALSE)</f>
        <v>#N/A</v>
      </c>
      <c r="O14" s="3" t="e">
        <f>VLOOKUP($B14,baseline!$A:$AK,O$2,FALSE)</f>
        <v>#N/A</v>
      </c>
      <c r="P14" s="3" t="e">
        <f>VLOOKUP($B14,baseline!$A:$AK,P$2,FALSE)</f>
        <v>#N/A</v>
      </c>
      <c r="Q14" s="3" t="e">
        <f>VLOOKUP($B14,baseline!$A:$AK,Q$2,FALSE)</f>
        <v>#N/A</v>
      </c>
      <c r="R14" s="3" t="e">
        <f>VLOOKUP($B14,baseline!$A:$AK,R$2,FALSE)</f>
        <v>#N/A</v>
      </c>
      <c r="S14" s="3" t="e">
        <f>VLOOKUP($B14,baseline!$A:$AK,S$2,FALSE)</f>
        <v>#N/A</v>
      </c>
      <c r="T14" s="3" t="e">
        <f>VLOOKUP($B14,baseline!$A:$AK,T$2,FALSE)</f>
        <v>#N/A</v>
      </c>
      <c r="U14" s="3" t="e">
        <f>VLOOKUP($B14,baseline!$A:$AK,U$2,FALSE)</f>
        <v>#N/A</v>
      </c>
      <c r="V14" s="3" t="e">
        <f>VLOOKUP($B14,baseline!$A:$AK,V$2,FALSE)</f>
        <v>#N/A</v>
      </c>
      <c r="W14" s="3" t="e">
        <f>VLOOKUP($B14,baseline!$A:$AK,W$2,FALSE)</f>
        <v>#N/A</v>
      </c>
      <c r="X14" s="3" t="e">
        <f>VLOOKUP($B14,baseline!$A:$AK,X$2,FALSE)</f>
        <v>#N/A</v>
      </c>
      <c r="Y14" s="3" t="e">
        <f>VLOOKUP($B14,baseline!$A:$AK,Y$2,FALSE)</f>
        <v>#N/A</v>
      </c>
      <c r="Z14" s="3" t="e">
        <f>VLOOKUP($B14,baseline!$A:$AK,Z$2,FALSE)</f>
        <v>#N/A</v>
      </c>
      <c r="AA14" s="3" t="e">
        <f>VLOOKUP($B14,baseline!$A:$AK,AA$2,FALSE)</f>
        <v>#N/A</v>
      </c>
      <c r="AB14" s="3" t="e">
        <f>VLOOKUP($B14,baseline!$A:$AK,AB$2,FALSE)</f>
        <v>#N/A</v>
      </c>
      <c r="AC14" s="3" t="e">
        <f>VLOOKUP($B14,baseline!$A:$AK,AC$2,FALSE)</f>
        <v>#N/A</v>
      </c>
      <c r="AD14" s="3" t="e">
        <f>VLOOKUP($B14,baseline!$A:$AK,AD$2,FALSE)</f>
        <v>#N/A</v>
      </c>
      <c r="AE14" s="3" t="e">
        <f>VLOOKUP($B14,baseline!$A:$AK,AE$2,FALSE)</f>
        <v>#N/A</v>
      </c>
      <c r="AF14" s="3" t="e">
        <f>VLOOKUP($B14,baseline!$A:$AK,AF$2,FALSE)</f>
        <v>#N/A</v>
      </c>
      <c r="AG14" s="3" t="e">
        <f>VLOOKUP($B14,baseline!$A:$AK,AG$2,FALSE)</f>
        <v>#N/A</v>
      </c>
      <c r="AH14" s="3" t="e">
        <f>VLOOKUP($B14,baseline!$A:$AK,AH$2,FALSE)</f>
        <v>#N/A</v>
      </c>
      <c r="AI14" s="3" t="e">
        <f>VLOOKUP($B14,baseline!$A:$AK,AI$2,FALSE)</f>
        <v>#N/A</v>
      </c>
      <c r="AJ14" s="3" t="e">
        <f>VLOOKUP($B14,baseline!$A:$AK,AJ$2,FALSE)</f>
        <v>#N/A</v>
      </c>
      <c r="AK14" s="3" t="e">
        <f>VLOOKUP($B14,baseline!$A:$AK,AK$2,FALSE)</f>
        <v>#N/A</v>
      </c>
      <c r="AL14" s="3" t="e">
        <f>VLOOKUP($B14,baseline!$A:$AK,AL$2,FALSE)</f>
        <v>#N/A</v>
      </c>
      <c r="AM14" s="3" t="e">
        <f>VLOOKUP($B14,baseline!$A:$AK,AM$2,FALSE)</f>
        <v>#N/A</v>
      </c>
      <c r="AN14" s="3" t="e">
        <f>VLOOKUP($B14,baseline!$A:$AK,AN$2,FALSE)</f>
        <v>#N/A</v>
      </c>
      <c r="AP14" s="3" t="e">
        <f t="shared" si="0"/>
        <v>#N/A</v>
      </c>
    </row>
    <row r="15" spans="1:48" x14ac:dyDescent="0.3">
      <c r="B15" t="s">
        <v>93</v>
      </c>
      <c r="D15" t="s">
        <v>172</v>
      </c>
      <c r="E15" s="3" t="e">
        <f>VLOOKUP($B15,baseline!$A:$AK,E$2,FALSE)</f>
        <v>#N/A</v>
      </c>
      <c r="F15" s="3" t="e">
        <f>VLOOKUP($B15,baseline!$A:$AK,F$2,FALSE)</f>
        <v>#N/A</v>
      </c>
      <c r="G15" s="3" t="e">
        <f>VLOOKUP($B15,baseline!$A:$AK,G$2,FALSE)</f>
        <v>#N/A</v>
      </c>
      <c r="H15" s="3" t="e">
        <f>VLOOKUP($B15,baseline!$A:$AK,H$2,FALSE)</f>
        <v>#N/A</v>
      </c>
      <c r="I15" s="3" t="e">
        <f>VLOOKUP($B15,baseline!$A:$AK,I$2,FALSE)</f>
        <v>#N/A</v>
      </c>
      <c r="J15" s="3" t="e">
        <f>VLOOKUP($B15,baseline!$A:$AK,J$2,FALSE)</f>
        <v>#N/A</v>
      </c>
      <c r="K15" s="3" t="e">
        <f>VLOOKUP($B15,baseline!$A:$AK,K$2,FALSE)</f>
        <v>#N/A</v>
      </c>
      <c r="L15" s="3" t="e">
        <f>VLOOKUP($B15,baseline!$A:$AK,L$2,FALSE)</f>
        <v>#N/A</v>
      </c>
      <c r="M15" s="3" t="e">
        <f>VLOOKUP($B15,baseline!$A:$AK,M$2,FALSE)</f>
        <v>#N/A</v>
      </c>
      <c r="N15" s="3" t="e">
        <f>VLOOKUP($B15,baseline!$A:$AK,N$2,FALSE)</f>
        <v>#N/A</v>
      </c>
      <c r="O15" s="3" t="e">
        <f>VLOOKUP($B15,baseline!$A:$AK,O$2,FALSE)</f>
        <v>#N/A</v>
      </c>
      <c r="P15" s="3" t="e">
        <f>VLOOKUP($B15,baseline!$A:$AK,P$2,FALSE)</f>
        <v>#N/A</v>
      </c>
      <c r="Q15" s="3" t="e">
        <f>VLOOKUP($B15,baseline!$A:$AK,Q$2,FALSE)</f>
        <v>#N/A</v>
      </c>
      <c r="R15" s="3" t="e">
        <f>VLOOKUP($B15,baseline!$A:$AK,R$2,FALSE)</f>
        <v>#N/A</v>
      </c>
      <c r="S15" s="3" t="e">
        <f>VLOOKUP($B15,baseline!$A:$AK,S$2,FALSE)</f>
        <v>#N/A</v>
      </c>
      <c r="T15" s="3" t="e">
        <f>VLOOKUP($B15,baseline!$A:$AK,T$2,FALSE)</f>
        <v>#N/A</v>
      </c>
      <c r="U15" s="3" t="e">
        <f>VLOOKUP($B15,baseline!$A:$AK,U$2,FALSE)</f>
        <v>#N/A</v>
      </c>
      <c r="V15" s="3" t="e">
        <f>VLOOKUP($B15,baseline!$A:$AK,V$2,FALSE)</f>
        <v>#N/A</v>
      </c>
      <c r="W15" s="3" t="e">
        <f>VLOOKUP($B15,baseline!$A:$AK,W$2,FALSE)</f>
        <v>#N/A</v>
      </c>
      <c r="X15" s="3" t="e">
        <f>VLOOKUP($B15,baseline!$A:$AK,X$2,FALSE)</f>
        <v>#N/A</v>
      </c>
      <c r="Y15" s="3" t="e">
        <f>VLOOKUP($B15,baseline!$A:$AK,Y$2,FALSE)</f>
        <v>#N/A</v>
      </c>
      <c r="Z15" s="3" t="e">
        <f>VLOOKUP($B15,baseline!$A:$AK,Z$2,FALSE)</f>
        <v>#N/A</v>
      </c>
      <c r="AA15" s="3" t="e">
        <f>VLOOKUP($B15,baseline!$A:$AK,AA$2,FALSE)</f>
        <v>#N/A</v>
      </c>
      <c r="AB15" s="3" t="e">
        <f>VLOOKUP($B15,baseline!$A:$AK,AB$2,FALSE)</f>
        <v>#N/A</v>
      </c>
      <c r="AC15" s="3" t="e">
        <f>VLOOKUP($B15,baseline!$A:$AK,AC$2,FALSE)</f>
        <v>#N/A</v>
      </c>
      <c r="AD15" s="3" t="e">
        <f>VLOOKUP($B15,baseline!$A:$AK,AD$2,FALSE)</f>
        <v>#N/A</v>
      </c>
      <c r="AE15" s="3" t="e">
        <f>VLOOKUP($B15,baseline!$A:$AK,AE$2,FALSE)</f>
        <v>#N/A</v>
      </c>
      <c r="AF15" s="3" t="e">
        <f>VLOOKUP($B15,baseline!$A:$AK,AF$2,FALSE)</f>
        <v>#N/A</v>
      </c>
      <c r="AG15" s="3" t="e">
        <f>VLOOKUP($B15,baseline!$A:$AK,AG$2,FALSE)</f>
        <v>#N/A</v>
      </c>
      <c r="AH15" s="3" t="e">
        <f>VLOOKUP($B15,baseline!$A:$AK,AH$2,FALSE)</f>
        <v>#N/A</v>
      </c>
      <c r="AI15" s="3" t="e">
        <f>VLOOKUP($B15,baseline!$A:$AK,AI$2,FALSE)</f>
        <v>#N/A</v>
      </c>
      <c r="AJ15" s="3" t="e">
        <f>VLOOKUP($B15,baseline!$A:$AK,AJ$2,FALSE)</f>
        <v>#N/A</v>
      </c>
      <c r="AK15" s="3" t="e">
        <f>VLOOKUP($B15,baseline!$A:$AK,AK$2,FALSE)</f>
        <v>#N/A</v>
      </c>
      <c r="AL15" s="3" t="e">
        <f>VLOOKUP($B15,baseline!$A:$AK,AL$2,FALSE)</f>
        <v>#N/A</v>
      </c>
      <c r="AM15" s="3" t="e">
        <f>VLOOKUP($B15,baseline!$A:$AK,AM$2,FALSE)</f>
        <v>#N/A</v>
      </c>
      <c r="AN15" s="3" t="e">
        <f>VLOOKUP($B15,baseline!$A:$AK,AN$2,FALSE)</f>
        <v>#N/A</v>
      </c>
      <c r="AP15" s="3" t="e">
        <f t="shared" si="0"/>
        <v>#N/A</v>
      </c>
    </row>
    <row r="16" spans="1:48" x14ac:dyDescent="0.3">
      <c r="B16" t="s">
        <v>94</v>
      </c>
      <c r="D16" t="s">
        <v>172</v>
      </c>
      <c r="E16" s="3" t="e">
        <f>VLOOKUP($B16,baseline!$A:$AK,E$2,FALSE)</f>
        <v>#N/A</v>
      </c>
      <c r="F16" s="3" t="e">
        <f>VLOOKUP($B16,baseline!$A:$AK,F$2,FALSE)</f>
        <v>#N/A</v>
      </c>
      <c r="G16" s="3" t="e">
        <f>VLOOKUP($B16,baseline!$A:$AK,G$2,FALSE)</f>
        <v>#N/A</v>
      </c>
      <c r="H16" s="3" t="e">
        <f>VLOOKUP($B16,baseline!$A:$AK,H$2,FALSE)</f>
        <v>#N/A</v>
      </c>
      <c r="I16" s="3" t="e">
        <f>VLOOKUP($B16,baseline!$A:$AK,I$2,FALSE)</f>
        <v>#N/A</v>
      </c>
      <c r="J16" s="3" t="e">
        <f>VLOOKUP($B16,baseline!$A:$AK,J$2,FALSE)</f>
        <v>#N/A</v>
      </c>
      <c r="K16" s="3" t="e">
        <f>VLOOKUP($B16,baseline!$A:$AK,K$2,FALSE)</f>
        <v>#N/A</v>
      </c>
      <c r="L16" s="3" t="e">
        <f>VLOOKUP($B16,baseline!$A:$AK,L$2,FALSE)</f>
        <v>#N/A</v>
      </c>
      <c r="M16" s="3" t="e">
        <f>VLOOKUP($B16,baseline!$A:$AK,M$2,FALSE)</f>
        <v>#N/A</v>
      </c>
      <c r="N16" s="3" t="e">
        <f>VLOOKUP($B16,baseline!$A:$AK,N$2,FALSE)</f>
        <v>#N/A</v>
      </c>
      <c r="O16" s="3" t="e">
        <f>VLOOKUP($B16,baseline!$A:$AK,O$2,FALSE)</f>
        <v>#N/A</v>
      </c>
      <c r="P16" s="3" t="e">
        <f>VLOOKUP($B16,baseline!$A:$AK,P$2,FALSE)</f>
        <v>#N/A</v>
      </c>
      <c r="Q16" s="3" t="e">
        <f>VLOOKUP($B16,baseline!$A:$AK,Q$2,FALSE)</f>
        <v>#N/A</v>
      </c>
      <c r="R16" s="3" t="e">
        <f>VLOOKUP($B16,baseline!$A:$AK,R$2,FALSE)</f>
        <v>#N/A</v>
      </c>
      <c r="S16" s="3" t="e">
        <f>VLOOKUP($B16,baseline!$A:$AK,S$2,FALSE)</f>
        <v>#N/A</v>
      </c>
      <c r="T16" s="3" t="e">
        <f>VLOOKUP($B16,baseline!$A:$AK,T$2,FALSE)</f>
        <v>#N/A</v>
      </c>
      <c r="U16" s="3" t="e">
        <f>VLOOKUP($B16,baseline!$A:$AK,U$2,FALSE)</f>
        <v>#N/A</v>
      </c>
      <c r="V16" s="3" t="e">
        <f>VLOOKUP($B16,baseline!$A:$AK,V$2,FALSE)</f>
        <v>#N/A</v>
      </c>
      <c r="W16" s="3" t="e">
        <f>VLOOKUP($B16,baseline!$A:$AK,W$2,FALSE)</f>
        <v>#N/A</v>
      </c>
      <c r="X16" s="3" t="e">
        <f>VLOOKUP($B16,baseline!$A:$AK,X$2,FALSE)</f>
        <v>#N/A</v>
      </c>
      <c r="Y16" s="3" t="e">
        <f>VLOOKUP($B16,baseline!$A:$AK,Y$2,FALSE)</f>
        <v>#N/A</v>
      </c>
      <c r="Z16" s="3" t="e">
        <f>VLOOKUP($B16,baseline!$A:$AK,Z$2,FALSE)</f>
        <v>#N/A</v>
      </c>
      <c r="AA16" s="3" t="e">
        <f>VLOOKUP($B16,baseline!$A:$AK,AA$2,FALSE)</f>
        <v>#N/A</v>
      </c>
      <c r="AB16" s="3" t="e">
        <f>VLOOKUP($B16,baseline!$A:$AK,AB$2,FALSE)</f>
        <v>#N/A</v>
      </c>
      <c r="AC16" s="3" t="e">
        <f>VLOOKUP($B16,baseline!$A:$AK,AC$2,FALSE)</f>
        <v>#N/A</v>
      </c>
      <c r="AD16" s="3" t="e">
        <f>VLOOKUP($B16,baseline!$A:$AK,AD$2,FALSE)</f>
        <v>#N/A</v>
      </c>
      <c r="AE16" s="3" t="e">
        <f>VLOOKUP($B16,baseline!$A:$AK,AE$2,FALSE)</f>
        <v>#N/A</v>
      </c>
      <c r="AF16" s="3" t="e">
        <f>VLOOKUP($B16,baseline!$A:$AK,AF$2,FALSE)</f>
        <v>#N/A</v>
      </c>
      <c r="AG16" s="3" t="e">
        <f>VLOOKUP($B16,baseline!$A:$AK,AG$2,FALSE)</f>
        <v>#N/A</v>
      </c>
      <c r="AH16" s="3" t="e">
        <f>VLOOKUP($B16,baseline!$A:$AK,AH$2,FALSE)</f>
        <v>#N/A</v>
      </c>
      <c r="AI16" s="3" t="e">
        <f>VLOOKUP($B16,baseline!$A:$AK,AI$2,FALSE)</f>
        <v>#N/A</v>
      </c>
      <c r="AJ16" s="3" t="e">
        <f>VLOOKUP($B16,baseline!$A:$AK,AJ$2,FALSE)</f>
        <v>#N/A</v>
      </c>
      <c r="AK16" s="3" t="e">
        <f>VLOOKUP($B16,baseline!$A:$AK,AK$2,FALSE)</f>
        <v>#N/A</v>
      </c>
      <c r="AL16" s="3" t="e">
        <f>VLOOKUP($B16,baseline!$A:$AK,AL$2,FALSE)</f>
        <v>#N/A</v>
      </c>
      <c r="AM16" s="3" t="e">
        <f>VLOOKUP($B16,baseline!$A:$AK,AM$2,FALSE)</f>
        <v>#N/A</v>
      </c>
      <c r="AN16" s="3" t="e">
        <f>VLOOKUP($B16,baseline!$A:$AK,AN$2,FALSE)</f>
        <v>#N/A</v>
      </c>
      <c r="AP16" s="3" t="e">
        <f t="shared" si="0"/>
        <v>#N/A</v>
      </c>
    </row>
    <row r="17" spans="1:48" x14ac:dyDescent="0.3">
      <c r="B17" t="s">
        <v>95</v>
      </c>
      <c r="D17" t="s">
        <v>172</v>
      </c>
      <c r="E17" s="3" t="e">
        <f>VLOOKUP($B17,baseline!$A:$AK,E$2,FALSE)</f>
        <v>#N/A</v>
      </c>
      <c r="F17" s="3" t="e">
        <f>VLOOKUP($B17,baseline!$A:$AK,F$2,FALSE)</f>
        <v>#N/A</v>
      </c>
      <c r="G17" s="3" t="e">
        <f>VLOOKUP($B17,baseline!$A:$AK,G$2,FALSE)</f>
        <v>#N/A</v>
      </c>
      <c r="H17" s="3" t="e">
        <f>VLOOKUP($B17,baseline!$A:$AK,H$2,FALSE)</f>
        <v>#N/A</v>
      </c>
      <c r="I17" s="3" t="e">
        <f>VLOOKUP($B17,baseline!$A:$AK,I$2,FALSE)</f>
        <v>#N/A</v>
      </c>
      <c r="J17" s="3" t="e">
        <f>VLOOKUP($B17,baseline!$A:$AK,J$2,FALSE)</f>
        <v>#N/A</v>
      </c>
      <c r="K17" s="3" t="e">
        <f>VLOOKUP($B17,baseline!$A:$AK,K$2,FALSE)</f>
        <v>#N/A</v>
      </c>
      <c r="L17" s="3" t="e">
        <f>VLOOKUP($B17,baseline!$A:$AK,L$2,FALSE)</f>
        <v>#N/A</v>
      </c>
      <c r="M17" s="3" t="e">
        <f>VLOOKUP($B17,baseline!$A:$AK,M$2,FALSE)</f>
        <v>#N/A</v>
      </c>
      <c r="N17" s="3" t="e">
        <f>VLOOKUP($B17,baseline!$A:$AK,N$2,FALSE)</f>
        <v>#N/A</v>
      </c>
      <c r="O17" s="3" t="e">
        <f>VLOOKUP($B17,baseline!$A:$AK,O$2,FALSE)</f>
        <v>#N/A</v>
      </c>
      <c r="P17" s="3" t="e">
        <f>VLOOKUP($B17,baseline!$A:$AK,P$2,FALSE)</f>
        <v>#N/A</v>
      </c>
      <c r="Q17" s="3" t="e">
        <f>VLOOKUP($B17,baseline!$A:$AK,Q$2,FALSE)</f>
        <v>#N/A</v>
      </c>
      <c r="R17" s="3" t="e">
        <f>VLOOKUP($B17,baseline!$A:$AK,R$2,FALSE)</f>
        <v>#N/A</v>
      </c>
      <c r="S17" s="3" t="e">
        <f>VLOOKUP($B17,baseline!$A:$AK,S$2,FALSE)</f>
        <v>#N/A</v>
      </c>
      <c r="T17" s="3" t="e">
        <f>VLOOKUP($B17,baseline!$A:$AK,T$2,FALSE)</f>
        <v>#N/A</v>
      </c>
      <c r="U17" s="3" t="e">
        <f>VLOOKUP($B17,baseline!$A:$AK,U$2,FALSE)</f>
        <v>#N/A</v>
      </c>
      <c r="V17" s="3" t="e">
        <f>VLOOKUP($B17,baseline!$A:$AK,V$2,FALSE)</f>
        <v>#N/A</v>
      </c>
      <c r="W17" s="3" t="e">
        <f>VLOOKUP($B17,baseline!$A:$AK,W$2,FALSE)</f>
        <v>#N/A</v>
      </c>
      <c r="X17" s="3" t="e">
        <f>VLOOKUP($B17,baseline!$A:$AK,X$2,FALSE)</f>
        <v>#N/A</v>
      </c>
      <c r="Y17" s="3" t="e">
        <f>VLOOKUP($B17,baseline!$A:$AK,Y$2,FALSE)</f>
        <v>#N/A</v>
      </c>
      <c r="Z17" s="3" t="e">
        <f>VLOOKUP($B17,baseline!$A:$AK,Z$2,FALSE)</f>
        <v>#N/A</v>
      </c>
      <c r="AA17" s="3" t="e">
        <f>VLOOKUP($B17,baseline!$A:$AK,AA$2,FALSE)</f>
        <v>#N/A</v>
      </c>
      <c r="AB17" s="3" t="e">
        <f>VLOOKUP($B17,baseline!$A:$AK,AB$2,FALSE)</f>
        <v>#N/A</v>
      </c>
      <c r="AC17" s="3" t="e">
        <f>VLOOKUP($B17,baseline!$A:$AK,AC$2,FALSE)</f>
        <v>#N/A</v>
      </c>
      <c r="AD17" s="3" t="e">
        <f>VLOOKUP($B17,baseline!$A:$AK,AD$2,FALSE)</f>
        <v>#N/A</v>
      </c>
      <c r="AE17" s="3" t="e">
        <f>VLOOKUP($B17,baseline!$A:$AK,AE$2,FALSE)</f>
        <v>#N/A</v>
      </c>
      <c r="AF17" s="3" t="e">
        <f>VLOOKUP($B17,baseline!$A:$AK,AF$2,FALSE)</f>
        <v>#N/A</v>
      </c>
      <c r="AG17" s="3" t="e">
        <f>VLOOKUP($B17,baseline!$A:$AK,AG$2,FALSE)</f>
        <v>#N/A</v>
      </c>
      <c r="AH17" s="3" t="e">
        <f>VLOOKUP($B17,baseline!$A:$AK,AH$2,FALSE)</f>
        <v>#N/A</v>
      </c>
      <c r="AI17" s="3" t="e">
        <f>VLOOKUP($B17,baseline!$A:$AK,AI$2,FALSE)</f>
        <v>#N/A</v>
      </c>
      <c r="AJ17" s="3" t="e">
        <f>VLOOKUP($B17,baseline!$A:$AK,AJ$2,FALSE)</f>
        <v>#N/A</v>
      </c>
      <c r="AK17" s="3" t="e">
        <f>VLOOKUP($B17,baseline!$A:$AK,AK$2,FALSE)</f>
        <v>#N/A</v>
      </c>
      <c r="AL17" s="3" t="e">
        <f>VLOOKUP($B17,baseline!$A:$AK,AL$2,FALSE)</f>
        <v>#N/A</v>
      </c>
      <c r="AM17" s="3" t="e">
        <f>VLOOKUP($B17,baseline!$A:$AK,AM$2,FALSE)</f>
        <v>#N/A</v>
      </c>
      <c r="AN17" s="3" t="e">
        <f>VLOOKUP($B17,baseline!$A:$AK,AN$2,FALSE)</f>
        <v>#N/A</v>
      </c>
      <c r="AP17" s="3" t="e">
        <f t="shared" si="0"/>
        <v>#N/A</v>
      </c>
    </row>
    <row r="18" spans="1:48" x14ac:dyDescent="0.3">
      <c r="B18" t="s">
        <v>96</v>
      </c>
      <c r="D18" t="s">
        <v>172</v>
      </c>
      <c r="E18" s="3" t="e">
        <f>VLOOKUP($B18,baseline!$A:$AK,E$2,FALSE)</f>
        <v>#N/A</v>
      </c>
      <c r="F18" s="3" t="e">
        <f>VLOOKUP($B18,baseline!$A:$AK,F$2,FALSE)</f>
        <v>#N/A</v>
      </c>
      <c r="G18" s="3" t="e">
        <f>VLOOKUP($B18,baseline!$A:$AK,G$2,FALSE)</f>
        <v>#N/A</v>
      </c>
      <c r="H18" s="3" t="e">
        <f>VLOOKUP($B18,baseline!$A:$AK,H$2,FALSE)</f>
        <v>#N/A</v>
      </c>
      <c r="I18" s="3" t="e">
        <f>VLOOKUP($B18,baseline!$A:$AK,I$2,FALSE)</f>
        <v>#N/A</v>
      </c>
      <c r="J18" s="3" t="e">
        <f>VLOOKUP($B18,baseline!$A:$AK,J$2,FALSE)</f>
        <v>#N/A</v>
      </c>
      <c r="K18" s="3" t="e">
        <f>VLOOKUP($B18,baseline!$A:$AK,K$2,FALSE)</f>
        <v>#N/A</v>
      </c>
      <c r="L18" s="3" t="e">
        <f>VLOOKUP($B18,baseline!$A:$AK,L$2,FALSE)</f>
        <v>#N/A</v>
      </c>
      <c r="M18" s="3" t="e">
        <f>VLOOKUP($B18,baseline!$A:$AK,M$2,FALSE)</f>
        <v>#N/A</v>
      </c>
      <c r="N18" s="3" t="e">
        <f>VLOOKUP($B18,baseline!$A:$AK,N$2,FALSE)</f>
        <v>#N/A</v>
      </c>
      <c r="O18" s="3" t="e">
        <f>VLOOKUP($B18,baseline!$A:$AK,O$2,FALSE)</f>
        <v>#N/A</v>
      </c>
      <c r="P18" s="3" t="e">
        <f>VLOOKUP($B18,baseline!$A:$AK,P$2,FALSE)</f>
        <v>#N/A</v>
      </c>
      <c r="Q18" s="3" t="e">
        <f>VLOOKUP($B18,baseline!$A:$AK,Q$2,FALSE)</f>
        <v>#N/A</v>
      </c>
      <c r="R18" s="3" t="e">
        <f>VLOOKUP($B18,baseline!$A:$AK,R$2,FALSE)</f>
        <v>#N/A</v>
      </c>
      <c r="S18" s="3" t="e">
        <f>VLOOKUP($B18,baseline!$A:$AK,S$2,FALSE)</f>
        <v>#N/A</v>
      </c>
      <c r="T18" s="3" t="e">
        <f>VLOOKUP($B18,baseline!$A:$AK,T$2,FALSE)</f>
        <v>#N/A</v>
      </c>
      <c r="U18" s="3" t="e">
        <f>VLOOKUP($B18,baseline!$A:$AK,U$2,FALSE)</f>
        <v>#N/A</v>
      </c>
      <c r="V18" s="3" t="e">
        <f>VLOOKUP($B18,baseline!$A:$AK,V$2,FALSE)</f>
        <v>#N/A</v>
      </c>
      <c r="W18" s="3" t="e">
        <f>VLOOKUP($B18,baseline!$A:$AK,W$2,FALSE)</f>
        <v>#N/A</v>
      </c>
      <c r="X18" s="3" t="e">
        <f>VLOOKUP($B18,baseline!$A:$AK,X$2,FALSE)</f>
        <v>#N/A</v>
      </c>
      <c r="Y18" s="3" t="e">
        <f>VLOOKUP($B18,baseline!$A:$AK,Y$2,FALSE)</f>
        <v>#N/A</v>
      </c>
      <c r="Z18" s="3" t="e">
        <f>VLOOKUP($B18,baseline!$A:$AK,Z$2,FALSE)</f>
        <v>#N/A</v>
      </c>
      <c r="AA18" s="3" t="e">
        <f>VLOOKUP($B18,baseline!$A:$AK,AA$2,FALSE)</f>
        <v>#N/A</v>
      </c>
      <c r="AB18" s="3" t="e">
        <f>VLOOKUP($B18,baseline!$A:$AK,AB$2,FALSE)</f>
        <v>#N/A</v>
      </c>
      <c r="AC18" s="3" t="e">
        <f>VLOOKUP($B18,baseline!$A:$AK,AC$2,FALSE)</f>
        <v>#N/A</v>
      </c>
      <c r="AD18" s="3" t="e">
        <f>VLOOKUP($B18,baseline!$A:$AK,AD$2,FALSE)</f>
        <v>#N/A</v>
      </c>
      <c r="AE18" s="3" t="e">
        <f>VLOOKUP($B18,baseline!$A:$AK,AE$2,FALSE)</f>
        <v>#N/A</v>
      </c>
      <c r="AF18" s="3" t="e">
        <f>VLOOKUP($B18,baseline!$A:$AK,AF$2,FALSE)</f>
        <v>#N/A</v>
      </c>
      <c r="AG18" s="3" t="e">
        <f>VLOOKUP($B18,baseline!$A:$AK,AG$2,FALSE)</f>
        <v>#N/A</v>
      </c>
      <c r="AH18" s="3" t="e">
        <f>VLOOKUP($B18,baseline!$A:$AK,AH$2,FALSE)</f>
        <v>#N/A</v>
      </c>
      <c r="AI18" s="3" t="e">
        <f>VLOOKUP($B18,baseline!$A:$AK,AI$2,FALSE)</f>
        <v>#N/A</v>
      </c>
      <c r="AJ18" s="3" t="e">
        <f>VLOOKUP($B18,baseline!$A:$AK,AJ$2,FALSE)</f>
        <v>#N/A</v>
      </c>
      <c r="AK18" s="3" t="e">
        <f>VLOOKUP($B18,baseline!$A:$AK,AK$2,FALSE)</f>
        <v>#N/A</v>
      </c>
      <c r="AL18" s="3" t="e">
        <f>VLOOKUP($B18,baseline!$A:$AK,AL$2,FALSE)</f>
        <v>#N/A</v>
      </c>
      <c r="AM18" s="3" t="e">
        <f>VLOOKUP($B18,baseline!$A:$AK,AM$2,FALSE)</f>
        <v>#N/A</v>
      </c>
      <c r="AN18" s="3" t="e">
        <f>VLOOKUP($B18,baseline!$A:$AK,AN$2,FALSE)</f>
        <v>#N/A</v>
      </c>
      <c r="AP18" s="3" t="e">
        <f t="shared" si="0"/>
        <v>#N/A</v>
      </c>
    </row>
    <row r="19" spans="1:48" x14ac:dyDescent="0.3">
      <c r="B19" t="s">
        <v>97</v>
      </c>
      <c r="D19" t="s">
        <v>172</v>
      </c>
      <c r="E19" s="3" t="e">
        <f>VLOOKUP($B19,baseline!$A:$AK,E$2,FALSE)</f>
        <v>#N/A</v>
      </c>
      <c r="F19" s="3" t="e">
        <f>VLOOKUP($B19,baseline!$A:$AK,F$2,FALSE)</f>
        <v>#N/A</v>
      </c>
      <c r="G19" s="3" t="e">
        <f>VLOOKUP($B19,baseline!$A:$AK,G$2,FALSE)</f>
        <v>#N/A</v>
      </c>
      <c r="H19" s="3" t="e">
        <f>VLOOKUP($B19,baseline!$A:$AK,H$2,FALSE)</f>
        <v>#N/A</v>
      </c>
      <c r="I19" s="3" t="e">
        <f>VLOOKUP($B19,baseline!$A:$AK,I$2,FALSE)</f>
        <v>#N/A</v>
      </c>
      <c r="J19" s="3" t="e">
        <f>VLOOKUP($B19,baseline!$A:$AK,J$2,FALSE)</f>
        <v>#N/A</v>
      </c>
      <c r="K19" s="3" t="e">
        <f>VLOOKUP($B19,baseline!$A:$AK,K$2,FALSE)</f>
        <v>#N/A</v>
      </c>
      <c r="L19" s="3" t="e">
        <f>VLOOKUP($B19,baseline!$A:$AK,L$2,FALSE)</f>
        <v>#N/A</v>
      </c>
      <c r="M19" s="3" t="e">
        <f>VLOOKUP($B19,baseline!$A:$AK,M$2,FALSE)</f>
        <v>#N/A</v>
      </c>
      <c r="N19" s="3" t="e">
        <f>VLOOKUP($B19,baseline!$A:$AK,N$2,FALSE)</f>
        <v>#N/A</v>
      </c>
      <c r="O19" s="3" t="e">
        <f>VLOOKUP($B19,baseline!$A:$AK,O$2,FALSE)</f>
        <v>#N/A</v>
      </c>
      <c r="P19" s="3" t="e">
        <f>VLOOKUP($B19,baseline!$A:$AK,P$2,FALSE)</f>
        <v>#N/A</v>
      </c>
      <c r="Q19" s="3" t="e">
        <f>VLOOKUP($B19,baseline!$A:$AK,Q$2,FALSE)</f>
        <v>#N/A</v>
      </c>
      <c r="R19" s="3" t="e">
        <f>VLOOKUP($B19,baseline!$A:$AK,R$2,FALSE)</f>
        <v>#N/A</v>
      </c>
      <c r="S19" s="3" t="e">
        <f>VLOOKUP($B19,baseline!$A:$AK,S$2,FALSE)</f>
        <v>#N/A</v>
      </c>
      <c r="T19" s="3" t="e">
        <f>VLOOKUP($B19,baseline!$A:$AK,T$2,FALSE)</f>
        <v>#N/A</v>
      </c>
      <c r="U19" s="3" t="e">
        <f>VLOOKUP($B19,baseline!$A:$AK,U$2,FALSE)</f>
        <v>#N/A</v>
      </c>
      <c r="V19" s="3" t="e">
        <f>VLOOKUP($B19,baseline!$A:$AK,V$2,FALSE)</f>
        <v>#N/A</v>
      </c>
      <c r="W19" s="3" t="e">
        <f>VLOOKUP($B19,baseline!$A:$AK,W$2,FALSE)</f>
        <v>#N/A</v>
      </c>
      <c r="X19" s="3" t="e">
        <f>VLOOKUP($B19,baseline!$A:$AK,X$2,FALSE)</f>
        <v>#N/A</v>
      </c>
      <c r="Y19" s="3" t="e">
        <f>VLOOKUP($B19,baseline!$A:$AK,Y$2,FALSE)</f>
        <v>#N/A</v>
      </c>
      <c r="Z19" s="3" t="e">
        <f>VLOOKUP($B19,baseline!$A:$AK,Z$2,FALSE)</f>
        <v>#N/A</v>
      </c>
      <c r="AA19" s="3" t="e">
        <f>VLOOKUP($B19,baseline!$A:$AK,AA$2,FALSE)</f>
        <v>#N/A</v>
      </c>
      <c r="AB19" s="3" t="e">
        <f>VLOOKUP($B19,baseline!$A:$AK,AB$2,FALSE)</f>
        <v>#N/A</v>
      </c>
      <c r="AC19" s="3" t="e">
        <f>VLOOKUP($B19,baseline!$A:$AK,AC$2,FALSE)</f>
        <v>#N/A</v>
      </c>
      <c r="AD19" s="3" t="e">
        <f>VLOOKUP($B19,baseline!$A:$AK,AD$2,FALSE)</f>
        <v>#N/A</v>
      </c>
      <c r="AE19" s="3" t="e">
        <f>VLOOKUP($B19,baseline!$A:$AK,AE$2,FALSE)</f>
        <v>#N/A</v>
      </c>
      <c r="AF19" s="3" t="e">
        <f>VLOOKUP($B19,baseline!$A:$AK,AF$2,FALSE)</f>
        <v>#N/A</v>
      </c>
      <c r="AG19" s="3" t="e">
        <f>VLOOKUP($B19,baseline!$A:$AK,AG$2,FALSE)</f>
        <v>#N/A</v>
      </c>
      <c r="AH19" s="3" t="e">
        <f>VLOOKUP($B19,baseline!$A:$AK,AH$2,FALSE)</f>
        <v>#N/A</v>
      </c>
      <c r="AI19" s="3" t="e">
        <f>VLOOKUP($B19,baseline!$A:$AK,AI$2,FALSE)</f>
        <v>#N/A</v>
      </c>
      <c r="AJ19" s="3" t="e">
        <f>VLOOKUP($B19,baseline!$A:$AK,AJ$2,FALSE)</f>
        <v>#N/A</v>
      </c>
      <c r="AK19" s="3" t="e">
        <f>VLOOKUP($B19,baseline!$A:$AK,AK$2,FALSE)</f>
        <v>#N/A</v>
      </c>
      <c r="AL19" s="3" t="e">
        <f>VLOOKUP($B19,baseline!$A:$AK,AL$2,FALSE)</f>
        <v>#N/A</v>
      </c>
      <c r="AM19" s="3" t="e">
        <f>VLOOKUP($B19,baseline!$A:$AK,AM$2,FALSE)</f>
        <v>#N/A</v>
      </c>
      <c r="AN19" s="3" t="e">
        <f>VLOOKUP($B19,baseline!$A:$AK,AN$2,FALSE)</f>
        <v>#N/A</v>
      </c>
      <c r="AP19" s="3" t="e">
        <f t="shared" si="0"/>
        <v>#N/A</v>
      </c>
    </row>
    <row r="20" spans="1:48" x14ac:dyDescent="0.3">
      <c r="B20" t="s">
        <v>98</v>
      </c>
      <c r="D20" t="s">
        <v>172</v>
      </c>
      <c r="E20" s="3" t="e">
        <f>VLOOKUP($B20,baseline!$A:$AK,E$2,FALSE)</f>
        <v>#N/A</v>
      </c>
      <c r="F20" s="3" t="e">
        <f>VLOOKUP($B20,baseline!$A:$AK,F$2,FALSE)</f>
        <v>#N/A</v>
      </c>
      <c r="G20" s="3" t="e">
        <f>VLOOKUP($B20,baseline!$A:$AK,G$2,FALSE)</f>
        <v>#N/A</v>
      </c>
      <c r="H20" s="3" t="e">
        <f>VLOOKUP($B20,baseline!$A:$AK,H$2,FALSE)</f>
        <v>#N/A</v>
      </c>
      <c r="I20" s="3" t="e">
        <f>VLOOKUP($B20,baseline!$A:$AK,I$2,FALSE)</f>
        <v>#N/A</v>
      </c>
      <c r="J20" s="3" t="e">
        <f>VLOOKUP($B20,baseline!$A:$AK,J$2,FALSE)</f>
        <v>#N/A</v>
      </c>
      <c r="K20" s="3" t="e">
        <f>VLOOKUP($B20,baseline!$A:$AK,K$2,FALSE)</f>
        <v>#N/A</v>
      </c>
      <c r="L20" s="3" t="e">
        <f>VLOOKUP($B20,baseline!$A:$AK,L$2,FALSE)</f>
        <v>#N/A</v>
      </c>
      <c r="M20" s="3" t="e">
        <f>VLOOKUP($B20,baseline!$A:$AK,M$2,FALSE)</f>
        <v>#N/A</v>
      </c>
      <c r="N20" s="3" t="e">
        <f>VLOOKUP($B20,baseline!$A:$AK,N$2,FALSE)</f>
        <v>#N/A</v>
      </c>
      <c r="O20" s="3" t="e">
        <f>VLOOKUP($B20,baseline!$A:$AK,O$2,FALSE)</f>
        <v>#N/A</v>
      </c>
      <c r="P20" s="3" t="e">
        <f>VLOOKUP($B20,baseline!$A:$AK,P$2,FALSE)</f>
        <v>#N/A</v>
      </c>
      <c r="Q20" s="3" t="e">
        <f>VLOOKUP($B20,baseline!$A:$AK,Q$2,FALSE)</f>
        <v>#N/A</v>
      </c>
      <c r="R20" s="3" t="e">
        <f>VLOOKUP($B20,baseline!$A:$AK,R$2,FALSE)</f>
        <v>#N/A</v>
      </c>
      <c r="S20" s="3" t="e">
        <f>VLOOKUP($B20,baseline!$A:$AK,S$2,FALSE)</f>
        <v>#N/A</v>
      </c>
      <c r="T20" s="3" t="e">
        <f>VLOOKUP($B20,baseline!$A:$AK,T$2,FALSE)</f>
        <v>#N/A</v>
      </c>
      <c r="U20" s="3" t="e">
        <f>VLOOKUP($B20,baseline!$A:$AK,U$2,FALSE)</f>
        <v>#N/A</v>
      </c>
      <c r="V20" s="3" t="e">
        <f>VLOOKUP($B20,baseline!$A:$AK,V$2,FALSE)</f>
        <v>#N/A</v>
      </c>
      <c r="W20" s="3" t="e">
        <f>VLOOKUP($B20,baseline!$A:$AK,W$2,FALSE)</f>
        <v>#N/A</v>
      </c>
      <c r="X20" s="3" t="e">
        <f>VLOOKUP($B20,baseline!$A:$AK,X$2,FALSE)</f>
        <v>#N/A</v>
      </c>
      <c r="Y20" s="3" t="e">
        <f>VLOOKUP($B20,baseline!$A:$AK,Y$2,FALSE)</f>
        <v>#N/A</v>
      </c>
      <c r="Z20" s="3" t="e">
        <f>VLOOKUP($B20,baseline!$A:$AK,Z$2,FALSE)</f>
        <v>#N/A</v>
      </c>
      <c r="AA20" s="3" t="e">
        <f>VLOOKUP($B20,baseline!$A:$AK,AA$2,FALSE)</f>
        <v>#N/A</v>
      </c>
      <c r="AB20" s="3" t="e">
        <f>VLOOKUP($B20,baseline!$A:$AK,AB$2,FALSE)</f>
        <v>#N/A</v>
      </c>
      <c r="AC20" s="3" t="e">
        <f>VLOOKUP($B20,baseline!$A:$AK,AC$2,FALSE)</f>
        <v>#N/A</v>
      </c>
      <c r="AD20" s="3" t="e">
        <f>VLOOKUP($B20,baseline!$A:$AK,AD$2,FALSE)</f>
        <v>#N/A</v>
      </c>
      <c r="AE20" s="3" t="e">
        <f>VLOOKUP($B20,baseline!$A:$AK,AE$2,FALSE)</f>
        <v>#N/A</v>
      </c>
      <c r="AF20" s="3" t="e">
        <f>VLOOKUP($B20,baseline!$A:$AK,AF$2,FALSE)</f>
        <v>#N/A</v>
      </c>
      <c r="AG20" s="3" t="e">
        <f>VLOOKUP($B20,baseline!$A:$AK,AG$2,FALSE)</f>
        <v>#N/A</v>
      </c>
      <c r="AH20" s="3" t="e">
        <f>VLOOKUP($B20,baseline!$A:$AK,AH$2,FALSE)</f>
        <v>#N/A</v>
      </c>
      <c r="AI20" s="3" t="e">
        <f>VLOOKUP($B20,baseline!$A:$AK,AI$2,FALSE)</f>
        <v>#N/A</v>
      </c>
      <c r="AJ20" s="3" t="e">
        <f>VLOOKUP($B20,baseline!$A:$AK,AJ$2,FALSE)</f>
        <v>#N/A</v>
      </c>
      <c r="AK20" s="3" t="e">
        <f>VLOOKUP($B20,baseline!$A:$AK,AK$2,FALSE)</f>
        <v>#N/A</v>
      </c>
      <c r="AL20" s="3" t="e">
        <f>VLOOKUP($B20,baseline!$A:$AK,AL$2,FALSE)</f>
        <v>#N/A</v>
      </c>
      <c r="AM20" s="3" t="e">
        <f>VLOOKUP($B20,baseline!$A:$AK,AM$2,FALSE)</f>
        <v>#N/A</v>
      </c>
      <c r="AN20" s="3" t="e">
        <f>VLOOKUP($B20,baseline!$A:$AK,AN$2,FALSE)</f>
        <v>#N/A</v>
      </c>
      <c r="AP20" s="3" t="e">
        <f t="shared" si="0"/>
        <v>#N/A</v>
      </c>
    </row>
    <row r="21" spans="1:48" x14ac:dyDescent="0.3">
      <c r="B21" t="s">
        <v>99</v>
      </c>
      <c r="D21" t="s">
        <v>172</v>
      </c>
      <c r="E21" s="3" t="e">
        <f>VLOOKUP($B21,baseline!$A:$AK,E$2,FALSE)</f>
        <v>#N/A</v>
      </c>
      <c r="F21" s="3" t="e">
        <f>VLOOKUP($B21,baseline!$A:$AK,F$2,FALSE)</f>
        <v>#N/A</v>
      </c>
      <c r="G21" s="3" t="e">
        <f>VLOOKUP($B21,baseline!$A:$AK,G$2,FALSE)</f>
        <v>#N/A</v>
      </c>
      <c r="H21" s="3" t="e">
        <f>VLOOKUP($B21,baseline!$A:$AK,H$2,FALSE)</f>
        <v>#N/A</v>
      </c>
      <c r="I21" s="3" t="e">
        <f>VLOOKUP($B21,baseline!$A:$AK,I$2,FALSE)</f>
        <v>#N/A</v>
      </c>
      <c r="J21" s="3" t="e">
        <f>VLOOKUP($B21,baseline!$A:$AK,J$2,FALSE)</f>
        <v>#N/A</v>
      </c>
      <c r="K21" s="3" t="e">
        <f>VLOOKUP($B21,baseline!$A:$AK,K$2,FALSE)</f>
        <v>#N/A</v>
      </c>
      <c r="L21" s="3" t="e">
        <f>VLOOKUP($B21,baseline!$A:$AK,L$2,FALSE)</f>
        <v>#N/A</v>
      </c>
      <c r="M21" s="3" t="e">
        <f>VLOOKUP($B21,baseline!$A:$AK,M$2,FALSE)</f>
        <v>#N/A</v>
      </c>
      <c r="N21" s="3" t="e">
        <f>VLOOKUP($B21,baseline!$A:$AK,N$2,FALSE)</f>
        <v>#N/A</v>
      </c>
      <c r="O21" s="3" t="e">
        <f>VLOOKUP($B21,baseline!$A:$AK,O$2,FALSE)</f>
        <v>#N/A</v>
      </c>
      <c r="P21" s="3" t="e">
        <f>VLOOKUP($B21,baseline!$A:$AK,P$2,FALSE)</f>
        <v>#N/A</v>
      </c>
      <c r="Q21" s="3" t="e">
        <f>VLOOKUP($B21,baseline!$A:$AK,Q$2,FALSE)</f>
        <v>#N/A</v>
      </c>
      <c r="R21" s="3" t="e">
        <f>VLOOKUP($B21,baseline!$A:$AK,R$2,FALSE)</f>
        <v>#N/A</v>
      </c>
      <c r="S21" s="3" t="e">
        <f>VLOOKUP($B21,baseline!$A:$AK,S$2,FALSE)</f>
        <v>#N/A</v>
      </c>
      <c r="T21" s="3" t="e">
        <f>VLOOKUP($B21,baseline!$A:$AK,T$2,FALSE)</f>
        <v>#N/A</v>
      </c>
      <c r="U21" s="3" t="e">
        <f>VLOOKUP($B21,baseline!$A:$AK,U$2,FALSE)</f>
        <v>#N/A</v>
      </c>
      <c r="V21" s="3" t="e">
        <f>VLOOKUP($B21,baseline!$A:$AK,V$2,FALSE)</f>
        <v>#N/A</v>
      </c>
      <c r="W21" s="3" t="e">
        <f>VLOOKUP($B21,baseline!$A:$AK,W$2,FALSE)</f>
        <v>#N/A</v>
      </c>
      <c r="X21" s="3" t="e">
        <f>VLOOKUP($B21,baseline!$A:$AK,X$2,FALSE)</f>
        <v>#N/A</v>
      </c>
      <c r="Y21" s="3" t="e">
        <f>VLOOKUP($B21,baseline!$A:$AK,Y$2,FALSE)</f>
        <v>#N/A</v>
      </c>
      <c r="Z21" s="3" t="e">
        <f>VLOOKUP($B21,baseline!$A:$AK,Z$2,FALSE)</f>
        <v>#N/A</v>
      </c>
      <c r="AA21" s="3" t="e">
        <f>VLOOKUP($B21,baseline!$A:$AK,AA$2,FALSE)</f>
        <v>#N/A</v>
      </c>
      <c r="AB21" s="3" t="e">
        <f>VLOOKUP($B21,baseline!$A:$AK,AB$2,FALSE)</f>
        <v>#N/A</v>
      </c>
      <c r="AC21" s="3" t="e">
        <f>VLOOKUP($B21,baseline!$A:$AK,AC$2,FALSE)</f>
        <v>#N/A</v>
      </c>
      <c r="AD21" s="3" t="e">
        <f>VLOOKUP($B21,baseline!$A:$AK,AD$2,FALSE)</f>
        <v>#N/A</v>
      </c>
      <c r="AE21" s="3" t="e">
        <f>VLOOKUP($B21,baseline!$A:$AK,AE$2,FALSE)</f>
        <v>#N/A</v>
      </c>
      <c r="AF21" s="3" t="e">
        <f>VLOOKUP($B21,baseline!$A:$AK,AF$2,FALSE)</f>
        <v>#N/A</v>
      </c>
      <c r="AG21" s="3" t="e">
        <f>VLOOKUP($B21,baseline!$A:$AK,AG$2,FALSE)</f>
        <v>#N/A</v>
      </c>
      <c r="AH21" s="3" t="e">
        <f>VLOOKUP($B21,baseline!$A:$AK,AH$2,FALSE)</f>
        <v>#N/A</v>
      </c>
      <c r="AI21" s="3" t="e">
        <f>VLOOKUP($B21,baseline!$A:$AK,AI$2,FALSE)</f>
        <v>#N/A</v>
      </c>
      <c r="AJ21" s="3" t="e">
        <f>VLOOKUP($B21,baseline!$A:$AK,AJ$2,FALSE)</f>
        <v>#N/A</v>
      </c>
      <c r="AK21" s="3" t="e">
        <f>VLOOKUP($B21,baseline!$A:$AK,AK$2,FALSE)</f>
        <v>#N/A</v>
      </c>
      <c r="AL21" s="3" t="e">
        <f>VLOOKUP($B21,baseline!$A:$AK,AL$2,FALSE)</f>
        <v>#N/A</v>
      </c>
      <c r="AM21" s="3" t="e">
        <f>VLOOKUP($B21,baseline!$A:$AK,AM$2,FALSE)</f>
        <v>#N/A</v>
      </c>
      <c r="AN21" s="3" t="e">
        <f>VLOOKUP($B21,baseline!$A:$AK,AN$2,FALSE)</f>
        <v>#N/A</v>
      </c>
      <c r="AP21" s="3" t="e">
        <f t="shared" si="0"/>
        <v>#N/A</v>
      </c>
    </row>
    <row r="22" spans="1:48" x14ac:dyDescent="0.3">
      <c r="B22" t="s">
        <v>100</v>
      </c>
      <c r="D22" t="s">
        <v>172</v>
      </c>
      <c r="E22" s="3" t="e">
        <f>VLOOKUP($B22,baseline!$A:$AK,E$2,FALSE)</f>
        <v>#N/A</v>
      </c>
      <c r="F22" s="3" t="e">
        <f>VLOOKUP($B22,baseline!$A:$AK,F$2,FALSE)</f>
        <v>#N/A</v>
      </c>
      <c r="G22" s="3" t="e">
        <f>VLOOKUP($B22,baseline!$A:$AK,G$2,FALSE)</f>
        <v>#N/A</v>
      </c>
      <c r="H22" s="3" t="e">
        <f>VLOOKUP($B22,baseline!$A:$AK,H$2,FALSE)</f>
        <v>#N/A</v>
      </c>
      <c r="I22" s="3" t="e">
        <f>VLOOKUP($B22,baseline!$A:$AK,I$2,FALSE)</f>
        <v>#N/A</v>
      </c>
      <c r="J22" s="3" t="e">
        <f>VLOOKUP($B22,baseline!$A:$AK,J$2,FALSE)</f>
        <v>#N/A</v>
      </c>
      <c r="K22" s="3" t="e">
        <f>VLOOKUP($B22,baseline!$A:$AK,K$2,FALSE)</f>
        <v>#N/A</v>
      </c>
      <c r="L22" s="3" t="e">
        <f>VLOOKUP($B22,baseline!$A:$AK,L$2,FALSE)</f>
        <v>#N/A</v>
      </c>
      <c r="M22" s="3" t="e">
        <f>VLOOKUP($B22,baseline!$A:$AK,M$2,FALSE)</f>
        <v>#N/A</v>
      </c>
      <c r="N22" s="3" t="e">
        <f>VLOOKUP($B22,baseline!$A:$AK,N$2,FALSE)</f>
        <v>#N/A</v>
      </c>
      <c r="O22" s="3" t="e">
        <f>VLOOKUP($B22,baseline!$A:$AK,O$2,FALSE)</f>
        <v>#N/A</v>
      </c>
      <c r="P22" s="3" t="e">
        <f>VLOOKUP($B22,baseline!$A:$AK,P$2,FALSE)</f>
        <v>#N/A</v>
      </c>
      <c r="Q22" s="3" t="e">
        <f>VLOOKUP($B22,baseline!$A:$AK,Q$2,FALSE)</f>
        <v>#N/A</v>
      </c>
      <c r="R22" s="3" t="e">
        <f>VLOOKUP($B22,baseline!$A:$AK,R$2,FALSE)</f>
        <v>#N/A</v>
      </c>
      <c r="S22" s="3" t="e">
        <f>VLOOKUP($B22,baseline!$A:$AK,S$2,FALSE)</f>
        <v>#N/A</v>
      </c>
      <c r="T22" s="3" t="e">
        <f>VLOOKUP($B22,baseline!$A:$AK,T$2,FALSE)</f>
        <v>#N/A</v>
      </c>
      <c r="U22" s="3" t="e">
        <f>VLOOKUP($B22,baseline!$A:$AK,U$2,FALSE)</f>
        <v>#N/A</v>
      </c>
      <c r="V22" s="3" t="e">
        <f>VLOOKUP($B22,baseline!$A:$AK,V$2,FALSE)</f>
        <v>#N/A</v>
      </c>
      <c r="W22" s="3" t="e">
        <f>VLOOKUP($B22,baseline!$A:$AK,W$2,FALSE)</f>
        <v>#N/A</v>
      </c>
      <c r="X22" s="3" t="e">
        <f>VLOOKUP($B22,baseline!$A:$AK,X$2,FALSE)</f>
        <v>#N/A</v>
      </c>
      <c r="Y22" s="3" t="e">
        <f>VLOOKUP($B22,baseline!$A:$AK,Y$2,FALSE)</f>
        <v>#N/A</v>
      </c>
      <c r="Z22" s="3" t="e">
        <f>VLOOKUP($B22,baseline!$A:$AK,Z$2,FALSE)</f>
        <v>#N/A</v>
      </c>
      <c r="AA22" s="3" t="e">
        <f>VLOOKUP($B22,baseline!$A:$AK,AA$2,FALSE)</f>
        <v>#N/A</v>
      </c>
      <c r="AB22" s="3" t="e">
        <f>VLOOKUP($B22,baseline!$A:$AK,AB$2,FALSE)</f>
        <v>#N/A</v>
      </c>
      <c r="AC22" s="3" t="e">
        <f>VLOOKUP($B22,baseline!$A:$AK,AC$2,FALSE)</f>
        <v>#N/A</v>
      </c>
      <c r="AD22" s="3" t="e">
        <f>VLOOKUP($B22,baseline!$A:$AK,AD$2,FALSE)</f>
        <v>#N/A</v>
      </c>
      <c r="AE22" s="3" t="e">
        <f>VLOOKUP($B22,baseline!$A:$AK,AE$2,FALSE)</f>
        <v>#N/A</v>
      </c>
      <c r="AF22" s="3" t="e">
        <f>VLOOKUP($B22,baseline!$A:$AK,AF$2,FALSE)</f>
        <v>#N/A</v>
      </c>
      <c r="AG22" s="3" t="e">
        <f>VLOOKUP($B22,baseline!$A:$AK,AG$2,FALSE)</f>
        <v>#N/A</v>
      </c>
      <c r="AH22" s="3" t="e">
        <f>VLOOKUP($B22,baseline!$A:$AK,AH$2,FALSE)</f>
        <v>#N/A</v>
      </c>
      <c r="AI22" s="3" t="e">
        <f>VLOOKUP($B22,baseline!$A:$AK,AI$2,FALSE)</f>
        <v>#N/A</v>
      </c>
      <c r="AJ22" s="3" t="e">
        <f>VLOOKUP($B22,baseline!$A:$AK,AJ$2,FALSE)</f>
        <v>#N/A</v>
      </c>
      <c r="AK22" s="3" t="e">
        <f>VLOOKUP($B22,baseline!$A:$AK,AK$2,FALSE)</f>
        <v>#N/A</v>
      </c>
      <c r="AL22" s="3" t="e">
        <f>VLOOKUP($B22,baseline!$A:$AK,AL$2,FALSE)</f>
        <v>#N/A</v>
      </c>
      <c r="AM22" s="3" t="e">
        <f>VLOOKUP($B22,baseline!$A:$AK,AM$2,FALSE)</f>
        <v>#N/A</v>
      </c>
      <c r="AN22" s="3" t="e">
        <f>VLOOKUP($B22,baseline!$A:$AK,AN$2,FALSE)</f>
        <v>#N/A</v>
      </c>
      <c r="AP22" s="3" t="e">
        <f t="shared" si="0"/>
        <v>#N/A</v>
      </c>
    </row>
    <row r="23" spans="1:48" x14ac:dyDescent="0.3">
      <c r="B23" t="s">
        <v>101</v>
      </c>
      <c r="D23" t="s">
        <v>172</v>
      </c>
      <c r="E23" s="3" t="e">
        <f>VLOOKUP($B23,baseline!$A:$AK,E$2,FALSE)</f>
        <v>#N/A</v>
      </c>
      <c r="F23" s="3" t="e">
        <f>VLOOKUP($B23,baseline!$A:$AK,F$2,FALSE)</f>
        <v>#N/A</v>
      </c>
      <c r="G23" s="3" t="e">
        <f>VLOOKUP($B23,baseline!$A:$AK,G$2,FALSE)</f>
        <v>#N/A</v>
      </c>
      <c r="H23" s="3" t="e">
        <f>VLOOKUP($B23,baseline!$A:$AK,H$2,FALSE)</f>
        <v>#N/A</v>
      </c>
      <c r="I23" s="3" t="e">
        <f>VLOOKUP($B23,baseline!$A:$AK,I$2,FALSE)</f>
        <v>#N/A</v>
      </c>
      <c r="J23" s="3" t="e">
        <f>VLOOKUP($B23,baseline!$A:$AK,J$2,FALSE)</f>
        <v>#N/A</v>
      </c>
      <c r="K23" s="3" t="e">
        <f>VLOOKUP($B23,baseline!$A:$AK,K$2,FALSE)</f>
        <v>#N/A</v>
      </c>
      <c r="L23" s="3" t="e">
        <f>VLOOKUP($B23,baseline!$A:$AK,L$2,FALSE)</f>
        <v>#N/A</v>
      </c>
      <c r="M23" s="3" t="e">
        <f>VLOOKUP($B23,baseline!$A:$AK,M$2,FALSE)</f>
        <v>#N/A</v>
      </c>
      <c r="N23" s="3" t="e">
        <f>VLOOKUP($B23,baseline!$A:$AK,N$2,FALSE)</f>
        <v>#N/A</v>
      </c>
      <c r="O23" s="3" t="e">
        <f>VLOOKUP($B23,baseline!$A:$AK,O$2,FALSE)</f>
        <v>#N/A</v>
      </c>
      <c r="P23" s="3" t="e">
        <f>VLOOKUP($B23,baseline!$A:$AK,P$2,FALSE)</f>
        <v>#N/A</v>
      </c>
      <c r="Q23" s="3" t="e">
        <f>VLOOKUP($B23,baseline!$A:$AK,Q$2,FALSE)</f>
        <v>#N/A</v>
      </c>
      <c r="R23" s="3" t="e">
        <f>VLOOKUP($B23,baseline!$A:$AK,R$2,FALSE)</f>
        <v>#N/A</v>
      </c>
      <c r="S23" s="3" t="e">
        <f>VLOOKUP($B23,baseline!$A:$AK,S$2,FALSE)</f>
        <v>#N/A</v>
      </c>
      <c r="T23" s="3" t="e">
        <f>VLOOKUP($B23,baseline!$A:$AK,T$2,FALSE)</f>
        <v>#N/A</v>
      </c>
      <c r="U23" s="3" t="e">
        <f>VLOOKUP($B23,baseline!$A:$AK,U$2,FALSE)</f>
        <v>#N/A</v>
      </c>
      <c r="V23" s="3" t="e">
        <f>VLOOKUP($B23,baseline!$A:$AK,V$2,FALSE)</f>
        <v>#N/A</v>
      </c>
      <c r="W23" s="3" t="e">
        <f>VLOOKUP($B23,baseline!$A:$AK,W$2,FALSE)</f>
        <v>#N/A</v>
      </c>
      <c r="X23" s="3" t="e">
        <f>VLOOKUP($B23,baseline!$A:$AK,X$2,FALSE)</f>
        <v>#N/A</v>
      </c>
      <c r="Y23" s="3" t="e">
        <f>VLOOKUP($B23,baseline!$A:$AK,Y$2,FALSE)</f>
        <v>#N/A</v>
      </c>
      <c r="Z23" s="3" t="e">
        <f>VLOOKUP($B23,baseline!$A:$AK,Z$2,FALSE)</f>
        <v>#N/A</v>
      </c>
      <c r="AA23" s="3" t="e">
        <f>VLOOKUP($B23,baseline!$A:$AK,AA$2,FALSE)</f>
        <v>#N/A</v>
      </c>
      <c r="AB23" s="3" t="e">
        <f>VLOOKUP($B23,baseline!$A:$AK,AB$2,FALSE)</f>
        <v>#N/A</v>
      </c>
      <c r="AC23" s="3" t="e">
        <f>VLOOKUP($B23,baseline!$A:$AK,AC$2,FALSE)</f>
        <v>#N/A</v>
      </c>
      <c r="AD23" s="3" t="e">
        <f>VLOOKUP($B23,baseline!$A:$AK,AD$2,FALSE)</f>
        <v>#N/A</v>
      </c>
      <c r="AE23" s="3" t="e">
        <f>VLOOKUP($B23,baseline!$A:$AK,AE$2,FALSE)</f>
        <v>#N/A</v>
      </c>
      <c r="AF23" s="3" t="e">
        <f>VLOOKUP($B23,baseline!$A:$AK,AF$2,FALSE)</f>
        <v>#N/A</v>
      </c>
      <c r="AG23" s="3" t="e">
        <f>VLOOKUP($B23,baseline!$A:$AK,AG$2,FALSE)</f>
        <v>#N/A</v>
      </c>
      <c r="AH23" s="3" t="e">
        <f>VLOOKUP($B23,baseline!$A:$AK,AH$2,FALSE)</f>
        <v>#N/A</v>
      </c>
      <c r="AI23" s="3" t="e">
        <f>VLOOKUP($B23,baseline!$A:$AK,AI$2,FALSE)</f>
        <v>#N/A</v>
      </c>
      <c r="AJ23" s="3" t="e">
        <f>VLOOKUP($B23,baseline!$A:$AK,AJ$2,FALSE)</f>
        <v>#N/A</v>
      </c>
      <c r="AK23" s="3" t="e">
        <f>VLOOKUP($B23,baseline!$A:$AK,AK$2,FALSE)</f>
        <v>#N/A</v>
      </c>
      <c r="AL23" s="3" t="e">
        <f>VLOOKUP($B23,baseline!$A:$AK,AL$2,FALSE)</f>
        <v>#N/A</v>
      </c>
      <c r="AM23" s="3" t="e">
        <f>VLOOKUP($B23,baseline!$A:$AK,AM$2,FALSE)</f>
        <v>#N/A</v>
      </c>
      <c r="AN23" s="3" t="e">
        <f>VLOOKUP($B23,baseline!$A:$AK,AN$2,FALSE)</f>
        <v>#N/A</v>
      </c>
      <c r="AP23" s="3" t="e">
        <f t="shared" si="0"/>
        <v>#N/A</v>
      </c>
    </row>
    <row r="24" spans="1:48" x14ac:dyDescent="0.3">
      <c r="B24" t="s">
        <v>102</v>
      </c>
      <c r="D24" t="s">
        <v>172</v>
      </c>
      <c r="E24" s="3" t="e">
        <f>VLOOKUP($B24,baseline!$A:$AK,E$2,FALSE)</f>
        <v>#N/A</v>
      </c>
      <c r="F24" s="3" t="e">
        <f>VLOOKUP($B24,baseline!$A:$AK,F$2,FALSE)</f>
        <v>#N/A</v>
      </c>
      <c r="G24" s="3" t="e">
        <f>VLOOKUP($B24,baseline!$A:$AK,G$2,FALSE)</f>
        <v>#N/A</v>
      </c>
      <c r="H24" s="3" t="e">
        <f>VLOOKUP($B24,baseline!$A:$AK,H$2,FALSE)</f>
        <v>#N/A</v>
      </c>
      <c r="I24" s="3" t="e">
        <f>VLOOKUP($B24,baseline!$A:$AK,I$2,FALSE)</f>
        <v>#N/A</v>
      </c>
      <c r="J24" s="3" t="e">
        <f>VLOOKUP($B24,baseline!$A:$AK,J$2,FALSE)</f>
        <v>#N/A</v>
      </c>
      <c r="K24" s="3" t="e">
        <f>VLOOKUP($B24,baseline!$A:$AK,K$2,FALSE)</f>
        <v>#N/A</v>
      </c>
      <c r="L24" s="3" t="e">
        <f>VLOOKUP($B24,baseline!$A:$AK,L$2,FALSE)</f>
        <v>#N/A</v>
      </c>
      <c r="M24" s="3" t="e">
        <f>VLOOKUP($B24,baseline!$A:$AK,M$2,FALSE)</f>
        <v>#N/A</v>
      </c>
      <c r="N24" s="3" t="e">
        <f>VLOOKUP($B24,baseline!$A:$AK,N$2,FALSE)</f>
        <v>#N/A</v>
      </c>
      <c r="O24" s="3" t="e">
        <f>VLOOKUP($B24,baseline!$A:$AK,O$2,FALSE)</f>
        <v>#N/A</v>
      </c>
      <c r="P24" s="3" t="e">
        <f>VLOOKUP($B24,baseline!$A:$AK,P$2,FALSE)</f>
        <v>#N/A</v>
      </c>
      <c r="Q24" s="3" t="e">
        <f>VLOOKUP($B24,baseline!$A:$AK,Q$2,FALSE)</f>
        <v>#N/A</v>
      </c>
      <c r="R24" s="3" t="e">
        <f>VLOOKUP($B24,baseline!$A:$AK,R$2,FALSE)</f>
        <v>#N/A</v>
      </c>
      <c r="S24" s="3" t="e">
        <f>VLOOKUP($B24,baseline!$A:$AK,S$2,FALSE)</f>
        <v>#N/A</v>
      </c>
      <c r="T24" s="3" t="e">
        <f>VLOOKUP($B24,baseline!$A:$AK,T$2,FALSE)</f>
        <v>#N/A</v>
      </c>
      <c r="U24" s="3" t="e">
        <f>VLOOKUP($B24,baseline!$A:$AK,U$2,FALSE)</f>
        <v>#N/A</v>
      </c>
      <c r="V24" s="3" t="e">
        <f>VLOOKUP($B24,baseline!$A:$AK,V$2,FALSE)</f>
        <v>#N/A</v>
      </c>
      <c r="W24" s="3" t="e">
        <f>VLOOKUP($B24,baseline!$A:$AK,W$2,FALSE)</f>
        <v>#N/A</v>
      </c>
      <c r="X24" s="3" t="e">
        <f>VLOOKUP($B24,baseline!$A:$AK,X$2,FALSE)</f>
        <v>#N/A</v>
      </c>
      <c r="Y24" s="3" t="e">
        <f>VLOOKUP($B24,baseline!$A:$AK,Y$2,FALSE)</f>
        <v>#N/A</v>
      </c>
      <c r="Z24" s="3" t="e">
        <f>VLOOKUP($B24,baseline!$A:$AK,Z$2,FALSE)</f>
        <v>#N/A</v>
      </c>
      <c r="AA24" s="3" t="e">
        <f>VLOOKUP($B24,baseline!$A:$AK,AA$2,FALSE)</f>
        <v>#N/A</v>
      </c>
      <c r="AB24" s="3" t="e">
        <f>VLOOKUP($B24,baseline!$A:$AK,AB$2,FALSE)</f>
        <v>#N/A</v>
      </c>
      <c r="AC24" s="3" t="e">
        <f>VLOOKUP($B24,baseline!$A:$AK,AC$2,FALSE)</f>
        <v>#N/A</v>
      </c>
      <c r="AD24" s="3" t="e">
        <f>VLOOKUP($B24,baseline!$A:$AK,AD$2,FALSE)</f>
        <v>#N/A</v>
      </c>
      <c r="AE24" s="3" t="e">
        <f>VLOOKUP($B24,baseline!$A:$AK,AE$2,FALSE)</f>
        <v>#N/A</v>
      </c>
      <c r="AF24" s="3" t="e">
        <f>VLOOKUP($B24,baseline!$A:$AK,AF$2,FALSE)</f>
        <v>#N/A</v>
      </c>
      <c r="AG24" s="3" t="e">
        <f>VLOOKUP($B24,baseline!$A:$AK,AG$2,FALSE)</f>
        <v>#N/A</v>
      </c>
      <c r="AH24" s="3" t="e">
        <f>VLOOKUP($B24,baseline!$A:$AK,AH$2,FALSE)</f>
        <v>#N/A</v>
      </c>
      <c r="AI24" s="3" t="e">
        <f>VLOOKUP($B24,baseline!$A:$AK,AI$2,FALSE)</f>
        <v>#N/A</v>
      </c>
      <c r="AJ24" s="3" t="e">
        <f>VLOOKUP($B24,baseline!$A:$AK,AJ$2,FALSE)</f>
        <v>#N/A</v>
      </c>
      <c r="AK24" s="3" t="e">
        <f>VLOOKUP($B24,baseline!$A:$AK,AK$2,FALSE)</f>
        <v>#N/A</v>
      </c>
      <c r="AL24" s="3" t="e">
        <f>VLOOKUP($B24,baseline!$A:$AK,AL$2,FALSE)</f>
        <v>#N/A</v>
      </c>
      <c r="AM24" s="3" t="e">
        <f>VLOOKUP($B24,baseline!$A:$AK,AM$2,FALSE)</f>
        <v>#N/A</v>
      </c>
      <c r="AN24" s="3" t="e">
        <f>VLOOKUP($B24,baseline!$A:$AK,AN$2,FALSE)</f>
        <v>#N/A</v>
      </c>
      <c r="AP24" s="3" t="e">
        <f t="shared" si="0"/>
        <v>#N/A</v>
      </c>
    </row>
    <row r="25" spans="1:48" x14ac:dyDescent="0.3">
      <c r="B25" t="s">
        <v>103</v>
      </c>
      <c r="D25" t="s">
        <v>172</v>
      </c>
      <c r="E25" s="3" t="e">
        <f>VLOOKUP($B25,baseline!$A:$AK,E$2,FALSE)</f>
        <v>#N/A</v>
      </c>
      <c r="F25" s="3" t="e">
        <f>VLOOKUP($B25,baseline!$A:$AK,F$2,FALSE)</f>
        <v>#N/A</v>
      </c>
      <c r="G25" s="3" t="e">
        <f>VLOOKUP($B25,baseline!$A:$AK,G$2,FALSE)</f>
        <v>#N/A</v>
      </c>
      <c r="H25" s="3" t="e">
        <f>VLOOKUP($B25,baseline!$A:$AK,H$2,FALSE)</f>
        <v>#N/A</v>
      </c>
      <c r="I25" s="3" t="e">
        <f>VLOOKUP($B25,baseline!$A:$AK,I$2,FALSE)</f>
        <v>#N/A</v>
      </c>
      <c r="J25" s="3" t="e">
        <f>VLOOKUP($B25,baseline!$A:$AK,J$2,FALSE)</f>
        <v>#N/A</v>
      </c>
      <c r="K25" s="3" t="e">
        <f>VLOOKUP($B25,baseline!$A:$AK,K$2,FALSE)</f>
        <v>#N/A</v>
      </c>
      <c r="L25" s="3" t="e">
        <f>VLOOKUP($B25,baseline!$A:$AK,L$2,FALSE)</f>
        <v>#N/A</v>
      </c>
      <c r="M25" s="3" t="e">
        <f>VLOOKUP($B25,baseline!$A:$AK,M$2,FALSE)</f>
        <v>#N/A</v>
      </c>
      <c r="N25" s="3" t="e">
        <f>VLOOKUP($B25,baseline!$A:$AK,N$2,FALSE)</f>
        <v>#N/A</v>
      </c>
      <c r="O25" s="3" t="e">
        <f>VLOOKUP($B25,baseline!$A:$AK,O$2,FALSE)</f>
        <v>#N/A</v>
      </c>
      <c r="P25" s="3" t="e">
        <f>VLOOKUP($B25,baseline!$A:$AK,P$2,FALSE)</f>
        <v>#N/A</v>
      </c>
      <c r="Q25" s="3" t="e">
        <f>VLOOKUP($B25,baseline!$A:$AK,Q$2,FALSE)</f>
        <v>#N/A</v>
      </c>
      <c r="R25" s="3" t="e">
        <f>VLOOKUP($B25,baseline!$A:$AK,R$2,FALSE)</f>
        <v>#N/A</v>
      </c>
      <c r="S25" s="3" t="e">
        <f>VLOOKUP($B25,baseline!$A:$AK,S$2,FALSE)</f>
        <v>#N/A</v>
      </c>
      <c r="T25" s="3" t="e">
        <f>VLOOKUP($B25,baseline!$A:$AK,T$2,FALSE)</f>
        <v>#N/A</v>
      </c>
      <c r="U25" s="3" t="e">
        <f>VLOOKUP($B25,baseline!$A:$AK,U$2,FALSE)</f>
        <v>#N/A</v>
      </c>
      <c r="V25" s="3" t="e">
        <f>VLOOKUP($B25,baseline!$A:$AK,V$2,FALSE)</f>
        <v>#N/A</v>
      </c>
      <c r="W25" s="3" t="e">
        <f>VLOOKUP($B25,baseline!$A:$AK,W$2,FALSE)</f>
        <v>#N/A</v>
      </c>
      <c r="X25" s="3" t="e">
        <f>VLOOKUP($B25,baseline!$A:$AK,X$2,FALSE)</f>
        <v>#N/A</v>
      </c>
      <c r="Y25" s="3" t="e">
        <f>VLOOKUP($B25,baseline!$A:$AK,Y$2,FALSE)</f>
        <v>#N/A</v>
      </c>
      <c r="Z25" s="3" t="e">
        <f>VLOOKUP($B25,baseline!$A:$AK,Z$2,FALSE)</f>
        <v>#N/A</v>
      </c>
      <c r="AA25" s="3" t="e">
        <f>VLOOKUP($B25,baseline!$A:$AK,AA$2,FALSE)</f>
        <v>#N/A</v>
      </c>
      <c r="AB25" s="3" t="e">
        <f>VLOOKUP($B25,baseline!$A:$AK,AB$2,FALSE)</f>
        <v>#N/A</v>
      </c>
      <c r="AC25" s="3" t="e">
        <f>VLOOKUP($B25,baseline!$A:$AK,AC$2,FALSE)</f>
        <v>#N/A</v>
      </c>
      <c r="AD25" s="3" t="e">
        <f>VLOOKUP($B25,baseline!$A:$AK,AD$2,FALSE)</f>
        <v>#N/A</v>
      </c>
      <c r="AE25" s="3" t="e">
        <f>VLOOKUP($B25,baseline!$A:$AK,AE$2,FALSE)</f>
        <v>#N/A</v>
      </c>
      <c r="AF25" s="3" t="e">
        <f>VLOOKUP($B25,baseline!$A:$AK,AF$2,FALSE)</f>
        <v>#N/A</v>
      </c>
      <c r="AG25" s="3" t="e">
        <f>VLOOKUP($B25,baseline!$A:$AK,AG$2,FALSE)</f>
        <v>#N/A</v>
      </c>
      <c r="AH25" s="3" t="e">
        <f>VLOOKUP($B25,baseline!$A:$AK,AH$2,FALSE)</f>
        <v>#N/A</v>
      </c>
      <c r="AI25" s="3" t="e">
        <f>VLOOKUP($B25,baseline!$A:$AK,AI$2,FALSE)</f>
        <v>#N/A</v>
      </c>
      <c r="AJ25" s="3" t="e">
        <f>VLOOKUP($B25,baseline!$A:$AK,AJ$2,FALSE)</f>
        <v>#N/A</v>
      </c>
      <c r="AK25" s="3" t="e">
        <f>VLOOKUP($B25,baseline!$A:$AK,AK$2,FALSE)</f>
        <v>#N/A</v>
      </c>
      <c r="AL25" s="3" t="e">
        <f>VLOOKUP($B25,baseline!$A:$AK,AL$2,FALSE)</f>
        <v>#N/A</v>
      </c>
      <c r="AM25" s="3" t="e">
        <f>VLOOKUP($B25,baseline!$A:$AK,AM$2,FALSE)</f>
        <v>#N/A</v>
      </c>
      <c r="AN25" s="3" t="e">
        <f>VLOOKUP($B25,baseline!$A:$AK,AN$2,FALSE)</f>
        <v>#N/A</v>
      </c>
      <c r="AP25" s="3" t="e">
        <f t="shared" si="0"/>
        <v>#N/A</v>
      </c>
    </row>
    <row r="27" spans="1:48" s="12" customFormat="1" ht="19.8" x14ac:dyDescent="0.4">
      <c r="A27" s="11" t="s">
        <v>262</v>
      </c>
      <c r="C27" s="11"/>
      <c r="D27" s="16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</row>
    <row r="28" spans="1:48" x14ac:dyDescent="0.3">
      <c r="E28" s="5">
        <v>2015</v>
      </c>
      <c r="F28" s="5">
        <v>2016</v>
      </c>
      <c r="G28" s="5">
        <v>2017</v>
      </c>
      <c r="H28" s="5">
        <v>2018</v>
      </c>
      <c r="I28" s="5">
        <v>2019</v>
      </c>
      <c r="J28" s="5">
        <v>2020</v>
      </c>
      <c r="K28" s="5">
        <v>2021</v>
      </c>
      <c r="L28" s="5">
        <v>2022</v>
      </c>
      <c r="M28" s="5">
        <v>2023</v>
      </c>
      <c r="N28" s="5">
        <v>2024</v>
      </c>
      <c r="O28" s="5">
        <v>2025</v>
      </c>
      <c r="P28" s="5">
        <v>2026</v>
      </c>
      <c r="Q28" s="5">
        <v>2027</v>
      </c>
      <c r="R28" s="5">
        <v>2028</v>
      </c>
      <c r="S28" s="5">
        <v>2029</v>
      </c>
      <c r="T28" s="5">
        <v>2030</v>
      </c>
      <c r="U28" s="5">
        <v>2031</v>
      </c>
      <c r="V28" s="5">
        <v>2032</v>
      </c>
      <c r="W28" s="5">
        <v>2033</v>
      </c>
      <c r="X28" s="5">
        <v>2034</v>
      </c>
      <c r="Y28" s="5">
        <v>2035</v>
      </c>
      <c r="Z28" s="5">
        <v>2036</v>
      </c>
      <c r="AA28" s="5">
        <v>2037</v>
      </c>
      <c r="AB28" s="5">
        <v>2038</v>
      </c>
      <c r="AC28" s="5">
        <v>2039</v>
      </c>
      <c r="AD28" s="5">
        <v>2040</v>
      </c>
      <c r="AE28" s="5">
        <v>2041</v>
      </c>
      <c r="AF28" s="5">
        <v>2042</v>
      </c>
      <c r="AG28" s="5">
        <v>2043</v>
      </c>
      <c r="AH28" s="5">
        <v>2044</v>
      </c>
      <c r="AI28" s="5">
        <v>2045</v>
      </c>
      <c r="AJ28" s="5">
        <v>2046</v>
      </c>
      <c r="AK28" s="5">
        <v>2047</v>
      </c>
      <c r="AL28" s="5">
        <v>2048</v>
      </c>
      <c r="AM28" s="5">
        <v>2049</v>
      </c>
      <c r="AN28" s="5">
        <v>2050</v>
      </c>
    </row>
    <row r="29" spans="1:48" x14ac:dyDescent="0.3">
      <c r="B29" t="s">
        <v>82</v>
      </c>
      <c r="D29" t="s">
        <v>229</v>
      </c>
      <c r="E29" s="3" t="e">
        <f t="shared" ref="E29:AN29" si="1">E4/$E4</f>
        <v>#N/A</v>
      </c>
      <c r="F29" s="3" t="e">
        <f t="shared" si="1"/>
        <v>#N/A</v>
      </c>
      <c r="G29" s="3" t="e">
        <f t="shared" si="1"/>
        <v>#N/A</v>
      </c>
      <c r="H29" s="3" t="e">
        <f t="shared" si="1"/>
        <v>#N/A</v>
      </c>
      <c r="I29" s="3" t="e">
        <f t="shared" si="1"/>
        <v>#N/A</v>
      </c>
      <c r="J29" s="3" t="e">
        <f t="shared" si="1"/>
        <v>#N/A</v>
      </c>
      <c r="K29" s="3" t="e">
        <f t="shared" si="1"/>
        <v>#N/A</v>
      </c>
      <c r="L29" s="3" t="e">
        <f t="shared" si="1"/>
        <v>#N/A</v>
      </c>
      <c r="M29" s="3" t="e">
        <f t="shared" si="1"/>
        <v>#N/A</v>
      </c>
      <c r="N29" s="3" t="e">
        <f t="shared" si="1"/>
        <v>#N/A</v>
      </c>
      <c r="O29" s="3" t="e">
        <f t="shared" si="1"/>
        <v>#N/A</v>
      </c>
      <c r="P29" s="3" t="e">
        <f t="shared" si="1"/>
        <v>#N/A</v>
      </c>
      <c r="Q29" s="3" t="e">
        <f t="shared" si="1"/>
        <v>#N/A</v>
      </c>
      <c r="R29" s="3" t="e">
        <f t="shared" si="1"/>
        <v>#N/A</v>
      </c>
      <c r="S29" s="3" t="e">
        <f t="shared" si="1"/>
        <v>#N/A</v>
      </c>
      <c r="T29" s="3" t="e">
        <f t="shared" si="1"/>
        <v>#N/A</v>
      </c>
      <c r="U29" s="3" t="e">
        <f t="shared" si="1"/>
        <v>#N/A</v>
      </c>
      <c r="V29" s="3" t="e">
        <f t="shared" si="1"/>
        <v>#N/A</v>
      </c>
      <c r="W29" s="3" t="e">
        <f t="shared" si="1"/>
        <v>#N/A</v>
      </c>
      <c r="X29" s="3" t="e">
        <f t="shared" si="1"/>
        <v>#N/A</v>
      </c>
      <c r="Y29" s="3" t="e">
        <f t="shared" si="1"/>
        <v>#N/A</v>
      </c>
      <c r="Z29" s="3" t="e">
        <f t="shared" si="1"/>
        <v>#N/A</v>
      </c>
      <c r="AA29" s="3" t="e">
        <f t="shared" si="1"/>
        <v>#N/A</v>
      </c>
      <c r="AB29" s="3" t="e">
        <f t="shared" si="1"/>
        <v>#N/A</v>
      </c>
      <c r="AC29" s="3" t="e">
        <f t="shared" si="1"/>
        <v>#N/A</v>
      </c>
      <c r="AD29" s="3" t="e">
        <f t="shared" si="1"/>
        <v>#N/A</v>
      </c>
      <c r="AE29" s="3" t="e">
        <f t="shared" si="1"/>
        <v>#N/A</v>
      </c>
      <c r="AF29" s="3" t="e">
        <f t="shared" si="1"/>
        <v>#N/A</v>
      </c>
      <c r="AG29" s="3" t="e">
        <f t="shared" si="1"/>
        <v>#N/A</v>
      </c>
      <c r="AH29" s="3" t="e">
        <f t="shared" si="1"/>
        <v>#N/A</v>
      </c>
      <c r="AI29" s="3" t="e">
        <f t="shared" si="1"/>
        <v>#N/A</v>
      </c>
      <c r="AJ29" s="3" t="e">
        <f t="shared" si="1"/>
        <v>#N/A</v>
      </c>
      <c r="AK29" s="3" t="e">
        <f t="shared" si="1"/>
        <v>#N/A</v>
      </c>
      <c r="AL29" s="3" t="e">
        <f t="shared" si="1"/>
        <v>#N/A</v>
      </c>
      <c r="AM29" s="3" t="e">
        <f t="shared" si="1"/>
        <v>#N/A</v>
      </c>
      <c r="AN29" s="3" t="e">
        <f t="shared" si="1"/>
        <v>#N/A</v>
      </c>
    </row>
    <row r="30" spans="1:48" x14ac:dyDescent="0.3">
      <c r="B30" t="s">
        <v>83</v>
      </c>
      <c r="D30" t="s">
        <v>229</v>
      </c>
      <c r="E30" s="3" t="e">
        <f t="shared" ref="E30:AN30" si="2">E5/$E5</f>
        <v>#N/A</v>
      </c>
      <c r="F30" s="3" t="e">
        <f t="shared" si="2"/>
        <v>#N/A</v>
      </c>
      <c r="G30" s="3" t="e">
        <f t="shared" si="2"/>
        <v>#N/A</v>
      </c>
      <c r="H30" s="3" t="e">
        <f t="shared" si="2"/>
        <v>#N/A</v>
      </c>
      <c r="I30" s="3" t="e">
        <f t="shared" si="2"/>
        <v>#N/A</v>
      </c>
      <c r="J30" s="3" t="e">
        <f t="shared" si="2"/>
        <v>#N/A</v>
      </c>
      <c r="K30" s="3" t="e">
        <f t="shared" si="2"/>
        <v>#N/A</v>
      </c>
      <c r="L30" s="3" t="e">
        <f t="shared" si="2"/>
        <v>#N/A</v>
      </c>
      <c r="M30" s="3" t="e">
        <f t="shared" si="2"/>
        <v>#N/A</v>
      </c>
      <c r="N30" s="3" t="e">
        <f t="shared" si="2"/>
        <v>#N/A</v>
      </c>
      <c r="O30" s="3" t="e">
        <f t="shared" si="2"/>
        <v>#N/A</v>
      </c>
      <c r="P30" s="3" t="e">
        <f t="shared" si="2"/>
        <v>#N/A</v>
      </c>
      <c r="Q30" s="3" t="e">
        <f t="shared" si="2"/>
        <v>#N/A</v>
      </c>
      <c r="R30" s="3" t="e">
        <f t="shared" si="2"/>
        <v>#N/A</v>
      </c>
      <c r="S30" s="3" t="e">
        <f t="shared" si="2"/>
        <v>#N/A</v>
      </c>
      <c r="T30" s="3" t="e">
        <f t="shared" si="2"/>
        <v>#N/A</v>
      </c>
      <c r="U30" s="3" t="e">
        <f t="shared" si="2"/>
        <v>#N/A</v>
      </c>
      <c r="V30" s="3" t="e">
        <f t="shared" si="2"/>
        <v>#N/A</v>
      </c>
      <c r="W30" s="3" t="e">
        <f t="shared" si="2"/>
        <v>#N/A</v>
      </c>
      <c r="X30" s="3" t="e">
        <f t="shared" si="2"/>
        <v>#N/A</v>
      </c>
      <c r="Y30" s="3" t="e">
        <f t="shared" si="2"/>
        <v>#N/A</v>
      </c>
      <c r="Z30" s="3" t="e">
        <f t="shared" si="2"/>
        <v>#N/A</v>
      </c>
      <c r="AA30" s="3" t="e">
        <f t="shared" si="2"/>
        <v>#N/A</v>
      </c>
      <c r="AB30" s="3" t="e">
        <f t="shared" si="2"/>
        <v>#N/A</v>
      </c>
      <c r="AC30" s="3" t="e">
        <f t="shared" si="2"/>
        <v>#N/A</v>
      </c>
      <c r="AD30" s="3" t="e">
        <f t="shared" si="2"/>
        <v>#N/A</v>
      </c>
      <c r="AE30" s="3" t="e">
        <f t="shared" si="2"/>
        <v>#N/A</v>
      </c>
      <c r="AF30" s="3" t="e">
        <f t="shared" si="2"/>
        <v>#N/A</v>
      </c>
      <c r="AG30" s="3" t="e">
        <f t="shared" si="2"/>
        <v>#N/A</v>
      </c>
      <c r="AH30" s="3" t="e">
        <f t="shared" si="2"/>
        <v>#N/A</v>
      </c>
      <c r="AI30" s="3" t="e">
        <f t="shared" si="2"/>
        <v>#N/A</v>
      </c>
      <c r="AJ30" s="3" t="e">
        <f t="shared" si="2"/>
        <v>#N/A</v>
      </c>
      <c r="AK30" s="3" t="e">
        <f t="shared" si="2"/>
        <v>#N/A</v>
      </c>
      <c r="AL30" s="3" t="e">
        <f t="shared" si="2"/>
        <v>#N/A</v>
      </c>
      <c r="AM30" s="3" t="e">
        <f t="shared" si="2"/>
        <v>#N/A</v>
      </c>
      <c r="AN30" s="3" t="e">
        <f t="shared" si="2"/>
        <v>#N/A</v>
      </c>
    </row>
    <row r="31" spans="1:48" x14ac:dyDescent="0.3">
      <c r="B31" t="s">
        <v>84</v>
      </c>
      <c r="D31" t="s">
        <v>229</v>
      </c>
      <c r="E31" s="3" t="e">
        <f t="shared" ref="E31:AN31" si="3">E6/$E6</f>
        <v>#N/A</v>
      </c>
      <c r="F31" s="3" t="e">
        <f t="shared" si="3"/>
        <v>#N/A</v>
      </c>
      <c r="G31" s="3" t="e">
        <f t="shared" si="3"/>
        <v>#N/A</v>
      </c>
      <c r="H31" s="3" t="e">
        <f t="shared" si="3"/>
        <v>#N/A</v>
      </c>
      <c r="I31" s="3" t="e">
        <f t="shared" si="3"/>
        <v>#N/A</v>
      </c>
      <c r="J31" s="3" t="e">
        <f t="shared" si="3"/>
        <v>#N/A</v>
      </c>
      <c r="K31" s="3" t="e">
        <f t="shared" si="3"/>
        <v>#N/A</v>
      </c>
      <c r="L31" s="3" t="e">
        <f t="shared" si="3"/>
        <v>#N/A</v>
      </c>
      <c r="M31" s="3" t="e">
        <f t="shared" si="3"/>
        <v>#N/A</v>
      </c>
      <c r="N31" s="3" t="e">
        <f t="shared" si="3"/>
        <v>#N/A</v>
      </c>
      <c r="O31" s="3" t="e">
        <f t="shared" si="3"/>
        <v>#N/A</v>
      </c>
      <c r="P31" s="3" t="e">
        <f t="shared" si="3"/>
        <v>#N/A</v>
      </c>
      <c r="Q31" s="3" t="e">
        <f t="shared" si="3"/>
        <v>#N/A</v>
      </c>
      <c r="R31" s="3" t="e">
        <f t="shared" si="3"/>
        <v>#N/A</v>
      </c>
      <c r="S31" s="3" t="e">
        <f t="shared" si="3"/>
        <v>#N/A</v>
      </c>
      <c r="T31" s="3" t="e">
        <f t="shared" si="3"/>
        <v>#N/A</v>
      </c>
      <c r="U31" s="3" t="e">
        <f t="shared" si="3"/>
        <v>#N/A</v>
      </c>
      <c r="V31" s="3" t="e">
        <f t="shared" si="3"/>
        <v>#N/A</v>
      </c>
      <c r="W31" s="3" t="e">
        <f t="shared" si="3"/>
        <v>#N/A</v>
      </c>
      <c r="X31" s="3" t="e">
        <f t="shared" si="3"/>
        <v>#N/A</v>
      </c>
      <c r="Y31" s="3" t="e">
        <f t="shared" si="3"/>
        <v>#N/A</v>
      </c>
      <c r="Z31" s="3" t="e">
        <f t="shared" si="3"/>
        <v>#N/A</v>
      </c>
      <c r="AA31" s="3" t="e">
        <f t="shared" si="3"/>
        <v>#N/A</v>
      </c>
      <c r="AB31" s="3" t="e">
        <f t="shared" si="3"/>
        <v>#N/A</v>
      </c>
      <c r="AC31" s="3" t="e">
        <f t="shared" si="3"/>
        <v>#N/A</v>
      </c>
      <c r="AD31" s="3" t="e">
        <f t="shared" si="3"/>
        <v>#N/A</v>
      </c>
      <c r="AE31" s="3" t="e">
        <f t="shared" si="3"/>
        <v>#N/A</v>
      </c>
      <c r="AF31" s="3" t="e">
        <f t="shared" si="3"/>
        <v>#N/A</v>
      </c>
      <c r="AG31" s="3" t="e">
        <f t="shared" si="3"/>
        <v>#N/A</v>
      </c>
      <c r="AH31" s="3" t="e">
        <f t="shared" si="3"/>
        <v>#N/A</v>
      </c>
      <c r="AI31" s="3" t="e">
        <f t="shared" si="3"/>
        <v>#N/A</v>
      </c>
      <c r="AJ31" s="3" t="e">
        <f t="shared" si="3"/>
        <v>#N/A</v>
      </c>
      <c r="AK31" s="3" t="e">
        <f t="shared" si="3"/>
        <v>#N/A</v>
      </c>
      <c r="AL31" s="3" t="e">
        <f t="shared" si="3"/>
        <v>#N/A</v>
      </c>
      <c r="AM31" s="3" t="e">
        <f t="shared" si="3"/>
        <v>#N/A</v>
      </c>
      <c r="AN31" s="3" t="e">
        <f t="shared" si="3"/>
        <v>#N/A</v>
      </c>
    </row>
    <row r="32" spans="1:48" x14ac:dyDescent="0.3">
      <c r="B32" t="s">
        <v>85</v>
      </c>
      <c r="D32" t="s">
        <v>229</v>
      </c>
      <c r="E32" s="3" t="e">
        <f t="shared" ref="E32:AN32" si="4">E7/$E7</f>
        <v>#N/A</v>
      </c>
      <c r="F32" s="3" t="e">
        <f t="shared" si="4"/>
        <v>#N/A</v>
      </c>
      <c r="G32" s="3" t="e">
        <f t="shared" si="4"/>
        <v>#N/A</v>
      </c>
      <c r="H32" s="3" t="e">
        <f t="shared" si="4"/>
        <v>#N/A</v>
      </c>
      <c r="I32" s="3" t="e">
        <f t="shared" si="4"/>
        <v>#N/A</v>
      </c>
      <c r="J32" s="3" t="e">
        <f t="shared" si="4"/>
        <v>#N/A</v>
      </c>
      <c r="K32" s="3" t="e">
        <f t="shared" si="4"/>
        <v>#N/A</v>
      </c>
      <c r="L32" s="3" t="e">
        <f t="shared" si="4"/>
        <v>#N/A</v>
      </c>
      <c r="M32" s="3" t="e">
        <f t="shared" si="4"/>
        <v>#N/A</v>
      </c>
      <c r="N32" s="3" t="e">
        <f t="shared" si="4"/>
        <v>#N/A</v>
      </c>
      <c r="O32" s="3" t="e">
        <f t="shared" si="4"/>
        <v>#N/A</v>
      </c>
      <c r="P32" s="3" t="e">
        <f t="shared" si="4"/>
        <v>#N/A</v>
      </c>
      <c r="Q32" s="3" t="e">
        <f t="shared" si="4"/>
        <v>#N/A</v>
      </c>
      <c r="R32" s="3" t="e">
        <f t="shared" si="4"/>
        <v>#N/A</v>
      </c>
      <c r="S32" s="3" t="e">
        <f t="shared" si="4"/>
        <v>#N/A</v>
      </c>
      <c r="T32" s="3" t="e">
        <f t="shared" si="4"/>
        <v>#N/A</v>
      </c>
      <c r="U32" s="3" t="e">
        <f t="shared" si="4"/>
        <v>#N/A</v>
      </c>
      <c r="V32" s="3" t="e">
        <f t="shared" si="4"/>
        <v>#N/A</v>
      </c>
      <c r="W32" s="3" t="e">
        <f t="shared" si="4"/>
        <v>#N/A</v>
      </c>
      <c r="X32" s="3" t="e">
        <f t="shared" si="4"/>
        <v>#N/A</v>
      </c>
      <c r="Y32" s="3" t="e">
        <f t="shared" si="4"/>
        <v>#N/A</v>
      </c>
      <c r="Z32" s="3" t="e">
        <f t="shared" si="4"/>
        <v>#N/A</v>
      </c>
      <c r="AA32" s="3" t="e">
        <f t="shared" si="4"/>
        <v>#N/A</v>
      </c>
      <c r="AB32" s="3" t="e">
        <f t="shared" si="4"/>
        <v>#N/A</v>
      </c>
      <c r="AC32" s="3" t="e">
        <f t="shared" si="4"/>
        <v>#N/A</v>
      </c>
      <c r="AD32" s="3" t="e">
        <f t="shared" si="4"/>
        <v>#N/A</v>
      </c>
      <c r="AE32" s="3" t="e">
        <f t="shared" si="4"/>
        <v>#N/A</v>
      </c>
      <c r="AF32" s="3" t="e">
        <f t="shared" si="4"/>
        <v>#N/A</v>
      </c>
      <c r="AG32" s="3" t="e">
        <f t="shared" si="4"/>
        <v>#N/A</v>
      </c>
      <c r="AH32" s="3" t="e">
        <f t="shared" si="4"/>
        <v>#N/A</v>
      </c>
      <c r="AI32" s="3" t="e">
        <f t="shared" si="4"/>
        <v>#N/A</v>
      </c>
      <c r="AJ32" s="3" t="e">
        <f t="shared" si="4"/>
        <v>#N/A</v>
      </c>
      <c r="AK32" s="3" t="e">
        <f t="shared" si="4"/>
        <v>#N/A</v>
      </c>
      <c r="AL32" s="3" t="e">
        <f t="shared" si="4"/>
        <v>#N/A</v>
      </c>
      <c r="AM32" s="3" t="e">
        <f t="shared" si="4"/>
        <v>#N/A</v>
      </c>
      <c r="AN32" s="3" t="e">
        <f t="shared" si="4"/>
        <v>#N/A</v>
      </c>
    </row>
    <row r="33" spans="2:40" x14ac:dyDescent="0.3">
      <c r="B33" t="s">
        <v>86</v>
      </c>
      <c r="D33" t="s">
        <v>229</v>
      </c>
      <c r="E33" s="3" t="e">
        <f t="shared" ref="E33:AN33" si="5">E8/$E8</f>
        <v>#N/A</v>
      </c>
      <c r="F33" s="3" t="e">
        <f t="shared" si="5"/>
        <v>#N/A</v>
      </c>
      <c r="G33" s="3" t="e">
        <f t="shared" si="5"/>
        <v>#N/A</v>
      </c>
      <c r="H33" s="3" t="e">
        <f t="shared" si="5"/>
        <v>#N/A</v>
      </c>
      <c r="I33" s="3" t="e">
        <f t="shared" si="5"/>
        <v>#N/A</v>
      </c>
      <c r="J33" s="3" t="e">
        <f t="shared" si="5"/>
        <v>#N/A</v>
      </c>
      <c r="K33" s="3" t="e">
        <f t="shared" si="5"/>
        <v>#N/A</v>
      </c>
      <c r="L33" s="3" t="e">
        <f t="shared" si="5"/>
        <v>#N/A</v>
      </c>
      <c r="M33" s="3" t="e">
        <f t="shared" si="5"/>
        <v>#N/A</v>
      </c>
      <c r="N33" s="3" t="e">
        <f t="shared" si="5"/>
        <v>#N/A</v>
      </c>
      <c r="O33" s="3" t="e">
        <f t="shared" si="5"/>
        <v>#N/A</v>
      </c>
      <c r="P33" s="3" t="e">
        <f t="shared" si="5"/>
        <v>#N/A</v>
      </c>
      <c r="Q33" s="3" t="e">
        <f t="shared" si="5"/>
        <v>#N/A</v>
      </c>
      <c r="R33" s="3" t="e">
        <f t="shared" si="5"/>
        <v>#N/A</v>
      </c>
      <c r="S33" s="3" t="e">
        <f t="shared" si="5"/>
        <v>#N/A</v>
      </c>
      <c r="T33" s="3" t="e">
        <f t="shared" si="5"/>
        <v>#N/A</v>
      </c>
      <c r="U33" s="3" t="e">
        <f t="shared" si="5"/>
        <v>#N/A</v>
      </c>
      <c r="V33" s="3" t="e">
        <f t="shared" si="5"/>
        <v>#N/A</v>
      </c>
      <c r="W33" s="3" t="e">
        <f t="shared" si="5"/>
        <v>#N/A</v>
      </c>
      <c r="X33" s="3" t="e">
        <f t="shared" si="5"/>
        <v>#N/A</v>
      </c>
      <c r="Y33" s="3" t="e">
        <f t="shared" si="5"/>
        <v>#N/A</v>
      </c>
      <c r="Z33" s="3" t="e">
        <f t="shared" si="5"/>
        <v>#N/A</v>
      </c>
      <c r="AA33" s="3" t="e">
        <f t="shared" si="5"/>
        <v>#N/A</v>
      </c>
      <c r="AB33" s="3" t="e">
        <f t="shared" si="5"/>
        <v>#N/A</v>
      </c>
      <c r="AC33" s="3" t="e">
        <f t="shared" si="5"/>
        <v>#N/A</v>
      </c>
      <c r="AD33" s="3" t="e">
        <f t="shared" si="5"/>
        <v>#N/A</v>
      </c>
      <c r="AE33" s="3" t="e">
        <f t="shared" si="5"/>
        <v>#N/A</v>
      </c>
      <c r="AF33" s="3" t="e">
        <f t="shared" si="5"/>
        <v>#N/A</v>
      </c>
      <c r="AG33" s="3" t="e">
        <f t="shared" si="5"/>
        <v>#N/A</v>
      </c>
      <c r="AH33" s="3" t="e">
        <f t="shared" si="5"/>
        <v>#N/A</v>
      </c>
      <c r="AI33" s="3" t="e">
        <f t="shared" si="5"/>
        <v>#N/A</v>
      </c>
      <c r="AJ33" s="3" t="e">
        <f t="shared" si="5"/>
        <v>#N/A</v>
      </c>
      <c r="AK33" s="3" t="e">
        <f t="shared" si="5"/>
        <v>#N/A</v>
      </c>
      <c r="AL33" s="3" t="e">
        <f t="shared" si="5"/>
        <v>#N/A</v>
      </c>
      <c r="AM33" s="3" t="e">
        <f t="shared" si="5"/>
        <v>#N/A</v>
      </c>
      <c r="AN33" s="3" t="e">
        <f t="shared" si="5"/>
        <v>#N/A</v>
      </c>
    </row>
    <row r="34" spans="2:40" x14ac:dyDescent="0.3">
      <c r="B34" t="s">
        <v>87</v>
      </c>
      <c r="D34" t="s">
        <v>229</v>
      </c>
      <c r="E34" s="3" t="e">
        <f t="shared" ref="E34:AN34" si="6">E9/$E9</f>
        <v>#N/A</v>
      </c>
      <c r="F34" s="3" t="e">
        <f t="shared" si="6"/>
        <v>#N/A</v>
      </c>
      <c r="G34" s="3" t="e">
        <f t="shared" si="6"/>
        <v>#N/A</v>
      </c>
      <c r="H34" s="3" t="e">
        <f t="shared" si="6"/>
        <v>#N/A</v>
      </c>
      <c r="I34" s="3" t="e">
        <f t="shared" si="6"/>
        <v>#N/A</v>
      </c>
      <c r="J34" s="3" t="e">
        <f t="shared" si="6"/>
        <v>#N/A</v>
      </c>
      <c r="K34" s="3" t="e">
        <f t="shared" si="6"/>
        <v>#N/A</v>
      </c>
      <c r="L34" s="3" t="e">
        <f t="shared" si="6"/>
        <v>#N/A</v>
      </c>
      <c r="M34" s="3" t="e">
        <f t="shared" si="6"/>
        <v>#N/A</v>
      </c>
      <c r="N34" s="3" t="e">
        <f t="shared" si="6"/>
        <v>#N/A</v>
      </c>
      <c r="O34" s="3" t="e">
        <f t="shared" si="6"/>
        <v>#N/A</v>
      </c>
      <c r="P34" s="3" t="e">
        <f t="shared" si="6"/>
        <v>#N/A</v>
      </c>
      <c r="Q34" s="3" t="e">
        <f t="shared" si="6"/>
        <v>#N/A</v>
      </c>
      <c r="R34" s="3" t="e">
        <f t="shared" si="6"/>
        <v>#N/A</v>
      </c>
      <c r="S34" s="3" t="e">
        <f t="shared" si="6"/>
        <v>#N/A</v>
      </c>
      <c r="T34" s="3" t="e">
        <f t="shared" si="6"/>
        <v>#N/A</v>
      </c>
      <c r="U34" s="3" t="e">
        <f t="shared" si="6"/>
        <v>#N/A</v>
      </c>
      <c r="V34" s="3" t="e">
        <f t="shared" si="6"/>
        <v>#N/A</v>
      </c>
      <c r="W34" s="3" t="e">
        <f t="shared" si="6"/>
        <v>#N/A</v>
      </c>
      <c r="X34" s="3" t="e">
        <f t="shared" si="6"/>
        <v>#N/A</v>
      </c>
      <c r="Y34" s="3" t="e">
        <f t="shared" si="6"/>
        <v>#N/A</v>
      </c>
      <c r="Z34" s="3" t="e">
        <f t="shared" si="6"/>
        <v>#N/A</v>
      </c>
      <c r="AA34" s="3" t="e">
        <f t="shared" si="6"/>
        <v>#N/A</v>
      </c>
      <c r="AB34" s="3" t="e">
        <f t="shared" si="6"/>
        <v>#N/A</v>
      </c>
      <c r="AC34" s="3" t="e">
        <f t="shared" si="6"/>
        <v>#N/A</v>
      </c>
      <c r="AD34" s="3" t="e">
        <f t="shared" si="6"/>
        <v>#N/A</v>
      </c>
      <c r="AE34" s="3" t="e">
        <f t="shared" si="6"/>
        <v>#N/A</v>
      </c>
      <c r="AF34" s="3" t="e">
        <f t="shared" si="6"/>
        <v>#N/A</v>
      </c>
      <c r="AG34" s="3" t="e">
        <f t="shared" si="6"/>
        <v>#N/A</v>
      </c>
      <c r="AH34" s="3" t="e">
        <f t="shared" si="6"/>
        <v>#N/A</v>
      </c>
      <c r="AI34" s="3" t="e">
        <f t="shared" si="6"/>
        <v>#N/A</v>
      </c>
      <c r="AJ34" s="3" t="e">
        <f t="shared" si="6"/>
        <v>#N/A</v>
      </c>
      <c r="AK34" s="3" t="e">
        <f t="shared" si="6"/>
        <v>#N/A</v>
      </c>
      <c r="AL34" s="3" t="e">
        <f t="shared" si="6"/>
        <v>#N/A</v>
      </c>
      <c r="AM34" s="3" t="e">
        <f t="shared" si="6"/>
        <v>#N/A</v>
      </c>
      <c r="AN34" s="3" t="e">
        <f t="shared" si="6"/>
        <v>#N/A</v>
      </c>
    </row>
    <row r="35" spans="2:40" x14ac:dyDescent="0.3">
      <c r="B35" t="s">
        <v>88</v>
      </c>
      <c r="D35" t="s">
        <v>229</v>
      </c>
      <c r="E35" s="3" t="e">
        <f t="shared" ref="E35:AN35" si="7">E10/$E10</f>
        <v>#N/A</v>
      </c>
      <c r="F35" s="3" t="e">
        <f t="shared" si="7"/>
        <v>#N/A</v>
      </c>
      <c r="G35" s="3" t="e">
        <f t="shared" si="7"/>
        <v>#N/A</v>
      </c>
      <c r="H35" s="3" t="e">
        <f t="shared" si="7"/>
        <v>#N/A</v>
      </c>
      <c r="I35" s="3" t="e">
        <f t="shared" si="7"/>
        <v>#N/A</v>
      </c>
      <c r="J35" s="3" t="e">
        <f t="shared" si="7"/>
        <v>#N/A</v>
      </c>
      <c r="K35" s="3" t="e">
        <f t="shared" si="7"/>
        <v>#N/A</v>
      </c>
      <c r="L35" s="3" t="e">
        <f t="shared" si="7"/>
        <v>#N/A</v>
      </c>
      <c r="M35" s="3" t="e">
        <f t="shared" si="7"/>
        <v>#N/A</v>
      </c>
      <c r="N35" s="3" t="e">
        <f t="shared" si="7"/>
        <v>#N/A</v>
      </c>
      <c r="O35" s="3" t="e">
        <f t="shared" si="7"/>
        <v>#N/A</v>
      </c>
      <c r="P35" s="3" t="e">
        <f t="shared" si="7"/>
        <v>#N/A</v>
      </c>
      <c r="Q35" s="3" t="e">
        <f t="shared" si="7"/>
        <v>#N/A</v>
      </c>
      <c r="R35" s="3" t="e">
        <f t="shared" si="7"/>
        <v>#N/A</v>
      </c>
      <c r="S35" s="3" t="e">
        <f t="shared" si="7"/>
        <v>#N/A</v>
      </c>
      <c r="T35" s="3" t="e">
        <f t="shared" si="7"/>
        <v>#N/A</v>
      </c>
      <c r="U35" s="3" t="e">
        <f t="shared" si="7"/>
        <v>#N/A</v>
      </c>
      <c r="V35" s="3" t="e">
        <f t="shared" si="7"/>
        <v>#N/A</v>
      </c>
      <c r="W35" s="3" t="e">
        <f t="shared" si="7"/>
        <v>#N/A</v>
      </c>
      <c r="X35" s="3" t="e">
        <f t="shared" si="7"/>
        <v>#N/A</v>
      </c>
      <c r="Y35" s="3" t="e">
        <f t="shared" si="7"/>
        <v>#N/A</v>
      </c>
      <c r="Z35" s="3" t="e">
        <f t="shared" si="7"/>
        <v>#N/A</v>
      </c>
      <c r="AA35" s="3" t="e">
        <f t="shared" si="7"/>
        <v>#N/A</v>
      </c>
      <c r="AB35" s="3" t="e">
        <f t="shared" si="7"/>
        <v>#N/A</v>
      </c>
      <c r="AC35" s="3" t="e">
        <f t="shared" si="7"/>
        <v>#N/A</v>
      </c>
      <c r="AD35" s="3" t="e">
        <f t="shared" si="7"/>
        <v>#N/A</v>
      </c>
      <c r="AE35" s="3" t="e">
        <f t="shared" si="7"/>
        <v>#N/A</v>
      </c>
      <c r="AF35" s="3" t="e">
        <f t="shared" si="7"/>
        <v>#N/A</v>
      </c>
      <c r="AG35" s="3" t="e">
        <f t="shared" si="7"/>
        <v>#N/A</v>
      </c>
      <c r="AH35" s="3" t="e">
        <f t="shared" si="7"/>
        <v>#N/A</v>
      </c>
      <c r="AI35" s="3" t="e">
        <f t="shared" si="7"/>
        <v>#N/A</v>
      </c>
      <c r="AJ35" s="3" t="e">
        <f t="shared" si="7"/>
        <v>#N/A</v>
      </c>
      <c r="AK35" s="3" t="e">
        <f t="shared" si="7"/>
        <v>#N/A</v>
      </c>
      <c r="AL35" s="3" t="e">
        <f t="shared" si="7"/>
        <v>#N/A</v>
      </c>
      <c r="AM35" s="3" t="e">
        <f t="shared" si="7"/>
        <v>#N/A</v>
      </c>
      <c r="AN35" s="3" t="e">
        <f t="shared" si="7"/>
        <v>#N/A</v>
      </c>
    </row>
    <row r="36" spans="2:40" x14ac:dyDescent="0.3">
      <c r="B36" t="s">
        <v>89</v>
      </c>
      <c r="D36" t="s">
        <v>229</v>
      </c>
      <c r="E36" s="3" t="e">
        <f t="shared" ref="E36:AN36" si="8">E11/$E11</f>
        <v>#N/A</v>
      </c>
      <c r="F36" s="3" t="e">
        <f t="shared" si="8"/>
        <v>#N/A</v>
      </c>
      <c r="G36" s="3" t="e">
        <f t="shared" si="8"/>
        <v>#N/A</v>
      </c>
      <c r="H36" s="3" t="e">
        <f t="shared" si="8"/>
        <v>#N/A</v>
      </c>
      <c r="I36" s="3" t="e">
        <f t="shared" si="8"/>
        <v>#N/A</v>
      </c>
      <c r="J36" s="3" t="e">
        <f t="shared" si="8"/>
        <v>#N/A</v>
      </c>
      <c r="K36" s="3" t="e">
        <f t="shared" si="8"/>
        <v>#N/A</v>
      </c>
      <c r="L36" s="3" t="e">
        <f t="shared" si="8"/>
        <v>#N/A</v>
      </c>
      <c r="M36" s="3" t="e">
        <f t="shared" si="8"/>
        <v>#N/A</v>
      </c>
      <c r="N36" s="3" t="e">
        <f t="shared" si="8"/>
        <v>#N/A</v>
      </c>
      <c r="O36" s="3" t="e">
        <f t="shared" si="8"/>
        <v>#N/A</v>
      </c>
      <c r="P36" s="3" t="e">
        <f t="shared" si="8"/>
        <v>#N/A</v>
      </c>
      <c r="Q36" s="3" t="e">
        <f t="shared" si="8"/>
        <v>#N/A</v>
      </c>
      <c r="R36" s="3" t="e">
        <f t="shared" si="8"/>
        <v>#N/A</v>
      </c>
      <c r="S36" s="3" t="e">
        <f t="shared" si="8"/>
        <v>#N/A</v>
      </c>
      <c r="T36" s="3" t="e">
        <f t="shared" si="8"/>
        <v>#N/A</v>
      </c>
      <c r="U36" s="3" t="e">
        <f t="shared" si="8"/>
        <v>#N/A</v>
      </c>
      <c r="V36" s="3" t="e">
        <f t="shared" si="8"/>
        <v>#N/A</v>
      </c>
      <c r="W36" s="3" t="e">
        <f t="shared" si="8"/>
        <v>#N/A</v>
      </c>
      <c r="X36" s="3" t="e">
        <f t="shared" si="8"/>
        <v>#N/A</v>
      </c>
      <c r="Y36" s="3" t="e">
        <f t="shared" si="8"/>
        <v>#N/A</v>
      </c>
      <c r="Z36" s="3" t="e">
        <f t="shared" si="8"/>
        <v>#N/A</v>
      </c>
      <c r="AA36" s="3" t="e">
        <f t="shared" si="8"/>
        <v>#N/A</v>
      </c>
      <c r="AB36" s="3" t="e">
        <f t="shared" si="8"/>
        <v>#N/A</v>
      </c>
      <c r="AC36" s="3" t="e">
        <f t="shared" si="8"/>
        <v>#N/A</v>
      </c>
      <c r="AD36" s="3" t="e">
        <f t="shared" si="8"/>
        <v>#N/A</v>
      </c>
      <c r="AE36" s="3" t="e">
        <f t="shared" si="8"/>
        <v>#N/A</v>
      </c>
      <c r="AF36" s="3" t="e">
        <f t="shared" si="8"/>
        <v>#N/A</v>
      </c>
      <c r="AG36" s="3" t="e">
        <f t="shared" si="8"/>
        <v>#N/A</v>
      </c>
      <c r="AH36" s="3" t="e">
        <f t="shared" si="8"/>
        <v>#N/A</v>
      </c>
      <c r="AI36" s="3" t="e">
        <f t="shared" si="8"/>
        <v>#N/A</v>
      </c>
      <c r="AJ36" s="3" t="e">
        <f t="shared" si="8"/>
        <v>#N/A</v>
      </c>
      <c r="AK36" s="3" t="e">
        <f t="shared" si="8"/>
        <v>#N/A</v>
      </c>
      <c r="AL36" s="3" t="e">
        <f t="shared" si="8"/>
        <v>#N/A</v>
      </c>
      <c r="AM36" s="3" t="e">
        <f t="shared" si="8"/>
        <v>#N/A</v>
      </c>
      <c r="AN36" s="3" t="e">
        <f t="shared" si="8"/>
        <v>#N/A</v>
      </c>
    </row>
    <row r="37" spans="2:40" x14ac:dyDescent="0.3">
      <c r="B37" t="s">
        <v>90</v>
      </c>
      <c r="D37" t="s">
        <v>229</v>
      </c>
      <c r="E37" s="3" t="e">
        <f t="shared" ref="E37:AN37" si="9">E12/$E12</f>
        <v>#N/A</v>
      </c>
      <c r="F37" s="3" t="e">
        <f t="shared" si="9"/>
        <v>#N/A</v>
      </c>
      <c r="G37" s="3" t="e">
        <f t="shared" si="9"/>
        <v>#N/A</v>
      </c>
      <c r="H37" s="3" t="e">
        <f t="shared" si="9"/>
        <v>#N/A</v>
      </c>
      <c r="I37" s="3" t="e">
        <f t="shared" si="9"/>
        <v>#N/A</v>
      </c>
      <c r="J37" s="3" t="e">
        <f t="shared" si="9"/>
        <v>#N/A</v>
      </c>
      <c r="K37" s="3" t="e">
        <f t="shared" si="9"/>
        <v>#N/A</v>
      </c>
      <c r="L37" s="3" t="e">
        <f t="shared" si="9"/>
        <v>#N/A</v>
      </c>
      <c r="M37" s="3" t="e">
        <f t="shared" si="9"/>
        <v>#N/A</v>
      </c>
      <c r="N37" s="3" t="e">
        <f t="shared" si="9"/>
        <v>#N/A</v>
      </c>
      <c r="O37" s="3" t="e">
        <f t="shared" si="9"/>
        <v>#N/A</v>
      </c>
      <c r="P37" s="3" t="e">
        <f t="shared" si="9"/>
        <v>#N/A</v>
      </c>
      <c r="Q37" s="3" t="e">
        <f t="shared" si="9"/>
        <v>#N/A</v>
      </c>
      <c r="R37" s="3" t="e">
        <f t="shared" si="9"/>
        <v>#N/A</v>
      </c>
      <c r="S37" s="3" t="e">
        <f t="shared" si="9"/>
        <v>#N/A</v>
      </c>
      <c r="T37" s="3" t="e">
        <f t="shared" si="9"/>
        <v>#N/A</v>
      </c>
      <c r="U37" s="3" t="e">
        <f t="shared" si="9"/>
        <v>#N/A</v>
      </c>
      <c r="V37" s="3" t="e">
        <f t="shared" si="9"/>
        <v>#N/A</v>
      </c>
      <c r="W37" s="3" t="e">
        <f t="shared" si="9"/>
        <v>#N/A</v>
      </c>
      <c r="X37" s="3" t="e">
        <f t="shared" si="9"/>
        <v>#N/A</v>
      </c>
      <c r="Y37" s="3" t="e">
        <f t="shared" si="9"/>
        <v>#N/A</v>
      </c>
      <c r="Z37" s="3" t="e">
        <f t="shared" si="9"/>
        <v>#N/A</v>
      </c>
      <c r="AA37" s="3" t="e">
        <f t="shared" si="9"/>
        <v>#N/A</v>
      </c>
      <c r="AB37" s="3" t="e">
        <f t="shared" si="9"/>
        <v>#N/A</v>
      </c>
      <c r="AC37" s="3" t="e">
        <f t="shared" si="9"/>
        <v>#N/A</v>
      </c>
      <c r="AD37" s="3" t="e">
        <f t="shared" si="9"/>
        <v>#N/A</v>
      </c>
      <c r="AE37" s="3" t="e">
        <f t="shared" si="9"/>
        <v>#N/A</v>
      </c>
      <c r="AF37" s="3" t="e">
        <f t="shared" si="9"/>
        <v>#N/A</v>
      </c>
      <c r="AG37" s="3" t="e">
        <f t="shared" si="9"/>
        <v>#N/A</v>
      </c>
      <c r="AH37" s="3" t="e">
        <f t="shared" si="9"/>
        <v>#N/A</v>
      </c>
      <c r="AI37" s="3" t="e">
        <f t="shared" si="9"/>
        <v>#N/A</v>
      </c>
      <c r="AJ37" s="3" t="e">
        <f t="shared" si="9"/>
        <v>#N/A</v>
      </c>
      <c r="AK37" s="3" t="e">
        <f t="shared" si="9"/>
        <v>#N/A</v>
      </c>
      <c r="AL37" s="3" t="e">
        <f t="shared" si="9"/>
        <v>#N/A</v>
      </c>
      <c r="AM37" s="3" t="e">
        <f t="shared" si="9"/>
        <v>#N/A</v>
      </c>
      <c r="AN37" s="3" t="e">
        <f t="shared" si="9"/>
        <v>#N/A</v>
      </c>
    </row>
    <row r="38" spans="2:40" x14ac:dyDescent="0.3">
      <c r="B38" t="s">
        <v>91</v>
      </c>
      <c r="D38" t="s">
        <v>229</v>
      </c>
      <c r="E38" s="3" t="e">
        <f t="shared" ref="E38:AN38" si="10">E13/$E13</f>
        <v>#N/A</v>
      </c>
      <c r="F38" s="3" t="e">
        <f t="shared" si="10"/>
        <v>#N/A</v>
      </c>
      <c r="G38" s="3" t="e">
        <f t="shared" si="10"/>
        <v>#N/A</v>
      </c>
      <c r="H38" s="3" t="e">
        <f t="shared" si="10"/>
        <v>#N/A</v>
      </c>
      <c r="I38" s="3" t="e">
        <f t="shared" si="10"/>
        <v>#N/A</v>
      </c>
      <c r="J38" s="3" t="e">
        <f t="shared" si="10"/>
        <v>#N/A</v>
      </c>
      <c r="K38" s="3" t="e">
        <f t="shared" si="10"/>
        <v>#N/A</v>
      </c>
      <c r="L38" s="3" t="e">
        <f t="shared" si="10"/>
        <v>#N/A</v>
      </c>
      <c r="M38" s="3" t="e">
        <f t="shared" si="10"/>
        <v>#N/A</v>
      </c>
      <c r="N38" s="3" t="e">
        <f t="shared" si="10"/>
        <v>#N/A</v>
      </c>
      <c r="O38" s="3" t="e">
        <f t="shared" si="10"/>
        <v>#N/A</v>
      </c>
      <c r="P38" s="3" t="e">
        <f t="shared" si="10"/>
        <v>#N/A</v>
      </c>
      <c r="Q38" s="3" t="e">
        <f t="shared" si="10"/>
        <v>#N/A</v>
      </c>
      <c r="R38" s="3" t="e">
        <f t="shared" si="10"/>
        <v>#N/A</v>
      </c>
      <c r="S38" s="3" t="e">
        <f t="shared" si="10"/>
        <v>#N/A</v>
      </c>
      <c r="T38" s="3" t="e">
        <f t="shared" si="10"/>
        <v>#N/A</v>
      </c>
      <c r="U38" s="3" t="e">
        <f t="shared" si="10"/>
        <v>#N/A</v>
      </c>
      <c r="V38" s="3" t="e">
        <f t="shared" si="10"/>
        <v>#N/A</v>
      </c>
      <c r="W38" s="3" t="e">
        <f t="shared" si="10"/>
        <v>#N/A</v>
      </c>
      <c r="X38" s="3" t="e">
        <f t="shared" si="10"/>
        <v>#N/A</v>
      </c>
      <c r="Y38" s="3" t="e">
        <f t="shared" si="10"/>
        <v>#N/A</v>
      </c>
      <c r="Z38" s="3" t="e">
        <f t="shared" si="10"/>
        <v>#N/A</v>
      </c>
      <c r="AA38" s="3" t="e">
        <f t="shared" si="10"/>
        <v>#N/A</v>
      </c>
      <c r="AB38" s="3" t="e">
        <f t="shared" si="10"/>
        <v>#N/A</v>
      </c>
      <c r="AC38" s="3" t="e">
        <f t="shared" si="10"/>
        <v>#N/A</v>
      </c>
      <c r="AD38" s="3" t="e">
        <f t="shared" si="10"/>
        <v>#N/A</v>
      </c>
      <c r="AE38" s="3" t="e">
        <f t="shared" si="10"/>
        <v>#N/A</v>
      </c>
      <c r="AF38" s="3" t="e">
        <f t="shared" si="10"/>
        <v>#N/A</v>
      </c>
      <c r="AG38" s="3" t="e">
        <f t="shared" si="10"/>
        <v>#N/A</v>
      </c>
      <c r="AH38" s="3" t="e">
        <f t="shared" si="10"/>
        <v>#N/A</v>
      </c>
      <c r="AI38" s="3" t="e">
        <f t="shared" si="10"/>
        <v>#N/A</v>
      </c>
      <c r="AJ38" s="3" t="e">
        <f t="shared" si="10"/>
        <v>#N/A</v>
      </c>
      <c r="AK38" s="3" t="e">
        <f t="shared" si="10"/>
        <v>#N/A</v>
      </c>
      <c r="AL38" s="3" t="e">
        <f t="shared" si="10"/>
        <v>#N/A</v>
      </c>
      <c r="AM38" s="3" t="e">
        <f t="shared" si="10"/>
        <v>#N/A</v>
      </c>
      <c r="AN38" s="3" t="e">
        <f t="shared" si="10"/>
        <v>#N/A</v>
      </c>
    </row>
    <row r="39" spans="2:40" x14ac:dyDescent="0.3">
      <c r="B39" t="s">
        <v>92</v>
      </c>
      <c r="D39" t="s">
        <v>229</v>
      </c>
      <c r="E39" s="3" t="e">
        <f t="shared" ref="E39:AN39" si="11">E14/$E14</f>
        <v>#N/A</v>
      </c>
      <c r="F39" s="3" t="e">
        <f t="shared" si="11"/>
        <v>#N/A</v>
      </c>
      <c r="G39" s="3" t="e">
        <f t="shared" si="11"/>
        <v>#N/A</v>
      </c>
      <c r="H39" s="3" t="e">
        <f t="shared" si="11"/>
        <v>#N/A</v>
      </c>
      <c r="I39" s="3" t="e">
        <f t="shared" si="11"/>
        <v>#N/A</v>
      </c>
      <c r="J39" s="3" t="e">
        <f t="shared" si="11"/>
        <v>#N/A</v>
      </c>
      <c r="K39" s="3" t="e">
        <f t="shared" si="11"/>
        <v>#N/A</v>
      </c>
      <c r="L39" s="3" t="e">
        <f t="shared" si="11"/>
        <v>#N/A</v>
      </c>
      <c r="M39" s="3" t="e">
        <f t="shared" si="11"/>
        <v>#N/A</v>
      </c>
      <c r="N39" s="3" t="e">
        <f t="shared" si="11"/>
        <v>#N/A</v>
      </c>
      <c r="O39" s="3" t="e">
        <f t="shared" si="11"/>
        <v>#N/A</v>
      </c>
      <c r="P39" s="3" t="e">
        <f t="shared" si="11"/>
        <v>#N/A</v>
      </c>
      <c r="Q39" s="3" t="e">
        <f t="shared" si="11"/>
        <v>#N/A</v>
      </c>
      <c r="R39" s="3" t="e">
        <f t="shared" si="11"/>
        <v>#N/A</v>
      </c>
      <c r="S39" s="3" t="e">
        <f t="shared" si="11"/>
        <v>#N/A</v>
      </c>
      <c r="T39" s="3" t="e">
        <f t="shared" si="11"/>
        <v>#N/A</v>
      </c>
      <c r="U39" s="3" t="e">
        <f t="shared" si="11"/>
        <v>#N/A</v>
      </c>
      <c r="V39" s="3" t="e">
        <f t="shared" si="11"/>
        <v>#N/A</v>
      </c>
      <c r="W39" s="3" t="e">
        <f t="shared" si="11"/>
        <v>#N/A</v>
      </c>
      <c r="X39" s="3" t="e">
        <f t="shared" si="11"/>
        <v>#N/A</v>
      </c>
      <c r="Y39" s="3" t="e">
        <f t="shared" si="11"/>
        <v>#N/A</v>
      </c>
      <c r="Z39" s="3" t="e">
        <f t="shared" si="11"/>
        <v>#N/A</v>
      </c>
      <c r="AA39" s="3" t="e">
        <f t="shared" si="11"/>
        <v>#N/A</v>
      </c>
      <c r="AB39" s="3" t="e">
        <f t="shared" si="11"/>
        <v>#N/A</v>
      </c>
      <c r="AC39" s="3" t="e">
        <f t="shared" si="11"/>
        <v>#N/A</v>
      </c>
      <c r="AD39" s="3" t="e">
        <f t="shared" si="11"/>
        <v>#N/A</v>
      </c>
      <c r="AE39" s="3" t="e">
        <f t="shared" si="11"/>
        <v>#N/A</v>
      </c>
      <c r="AF39" s="3" t="e">
        <f t="shared" si="11"/>
        <v>#N/A</v>
      </c>
      <c r="AG39" s="3" t="e">
        <f t="shared" si="11"/>
        <v>#N/A</v>
      </c>
      <c r="AH39" s="3" t="e">
        <f t="shared" si="11"/>
        <v>#N/A</v>
      </c>
      <c r="AI39" s="3" t="e">
        <f t="shared" si="11"/>
        <v>#N/A</v>
      </c>
      <c r="AJ39" s="3" t="e">
        <f t="shared" si="11"/>
        <v>#N/A</v>
      </c>
      <c r="AK39" s="3" t="e">
        <f t="shared" si="11"/>
        <v>#N/A</v>
      </c>
      <c r="AL39" s="3" t="e">
        <f t="shared" si="11"/>
        <v>#N/A</v>
      </c>
      <c r="AM39" s="3" t="e">
        <f t="shared" si="11"/>
        <v>#N/A</v>
      </c>
      <c r="AN39" s="3" t="e">
        <f t="shared" si="11"/>
        <v>#N/A</v>
      </c>
    </row>
    <row r="40" spans="2:40" x14ac:dyDescent="0.3">
      <c r="B40" t="s">
        <v>93</v>
      </c>
      <c r="D40" t="s">
        <v>229</v>
      </c>
      <c r="E40" s="3" t="e">
        <f t="shared" ref="E40:AN40" si="12">E15/$E15</f>
        <v>#N/A</v>
      </c>
      <c r="F40" s="3" t="e">
        <f t="shared" si="12"/>
        <v>#N/A</v>
      </c>
      <c r="G40" s="3" t="e">
        <f t="shared" si="12"/>
        <v>#N/A</v>
      </c>
      <c r="H40" s="3" t="e">
        <f t="shared" si="12"/>
        <v>#N/A</v>
      </c>
      <c r="I40" s="3" t="e">
        <f t="shared" si="12"/>
        <v>#N/A</v>
      </c>
      <c r="J40" s="3" t="e">
        <f t="shared" si="12"/>
        <v>#N/A</v>
      </c>
      <c r="K40" s="3" t="e">
        <f t="shared" si="12"/>
        <v>#N/A</v>
      </c>
      <c r="L40" s="3" t="e">
        <f t="shared" si="12"/>
        <v>#N/A</v>
      </c>
      <c r="M40" s="3" t="e">
        <f t="shared" si="12"/>
        <v>#N/A</v>
      </c>
      <c r="N40" s="3" t="e">
        <f t="shared" si="12"/>
        <v>#N/A</v>
      </c>
      <c r="O40" s="3" t="e">
        <f t="shared" si="12"/>
        <v>#N/A</v>
      </c>
      <c r="P40" s="3" t="e">
        <f t="shared" si="12"/>
        <v>#N/A</v>
      </c>
      <c r="Q40" s="3" t="e">
        <f t="shared" si="12"/>
        <v>#N/A</v>
      </c>
      <c r="R40" s="3" t="e">
        <f t="shared" si="12"/>
        <v>#N/A</v>
      </c>
      <c r="S40" s="3" t="e">
        <f t="shared" si="12"/>
        <v>#N/A</v>
      </c>
      <c r="T40" s="3" t="e">
        <f t="shared" si="12"/>
        <v>#N/A</v>
      </c>
      <c r="U40" s="3" t="e">
        <f t="shared" si="12"/>
        <v>#N/A</v>
      </c>
      <c r="V40" s="3" t="e">
        <f t="shared" si="12"/>
        <v>#N/A</v>
      </c>
      <c r="W40" s="3" t="e">
        <f t="shared" si="12"/>
        <v>#N/A</v>
      </c>
      <c r="X40" s="3" t="e">
        <f t="shared" si="12"/>
        <v>#N/A</v>
      </c>
      <c r="Y40" s="3" t="e">
        <f t="shared" si="12"/>
        <v>#N/A</v>
      </c>
      <c r="Z40" s="3" t="e">
        <f t="shared" si="12"/>
        <v>#N/A</v>
      </c>
      <c r="AA40" s="3" t="e">
        <f t="shared" si="12"/>
        <v>#N/A</v>
      </c>
      <c r="AB40" s="3" t="e">
        <f t="shared" si="12"/>
        <v>#N/A</v>
      </c>
      <c r="AC40" s="3" t="e">
        <f t="shared" si="12"/>
        <v>#N/A</v>
      </c>
      <c r="AD40" s="3" t="e">
        <f t="shared" si="12"/>
        <v>#N/A</v>
      </c>
      <c r="AE40" s="3" t="e">
        <f t="shared" si="12"/>
        <v>#N/A</v>
      </c>
      <c r="AF40" s="3" t="e">
        <f t="shared" si="12"/>
        <v>#N/A</v>
      </c>
      <c r="AG40" s="3" t="e">
        <f t="shared" si="12"/>
        <v>#N/A</v>
      </c>
      <c r="AH40" s="3" t="e">
        <f t="shared" si="12"/>
        <v>#N/A</v>
      </c>
      <c r="AI40" s="3" t="e">
        <f t="shared" si="12"/>
        <v>#N/A</v>
      </c>
      <c r="AJ40" s="3" t="e">
        <f t="shared" si="12"/>
        <v>#N/A</v>
      </c>
      <c r="AK40" s="3" t="e">
        <f t="shared" si="12"/>
        <v>#N/A</v>
      </c>
      <c r="AL40" s="3" t="e">
        <f t="shared" si="12"/>
        <v>#N/A</v>
      </c>
      <c r="AM40" s="3" t="e">
        <f t="shared" si="12"/>
        <v>#N/A</v>
      </c>
      <c r="AN40" s="3" t="e">
        <f t="shared" si="12"/>
        <v>#N/A</v>
      </c>
    </row>
    <row r="41" spans="2:40" x14ac:dyDescent="0.3">
      <c r="B41" t="s">
        <v>94</v>
      </c>
      <c r="D41" t="s">
        <v>229</v>
      </c>
      <c r="E41" s="3" t="e">
        <f t="shared" ref="E41:AN41" si="13">E16/$E16</f>
        <v>#N/A</v>
      </c>
      <c r="F41" s="3" t="e">
        <f t="shared" si="13"/>
        <v>#N/A</v>
      </c>
      <c r="G41" s="3" t="e">
        <f t="shared" si="13"/>
        <v>#N/A</v>
      </c>
      <c r="H41" s="3" t="e">
        <f t="shared" si="13"/>
        <v>#N/A</v>
      </c>
      <c r="I41" s="3" t="e">
        <f t="shared" si="13"/>
        <v>#N/A</v>
      </c>
      <c r="J41" s="3" t="e">
        <f t="shared" si="13"/>
        <v>#N/A</v>
      </c>
      <c r="K41" s="3" t="e">
        <f t="shared" si="13"/>
        <v>#N/A</v>
      </c>
      <c r="L41" s="3" t="e">
        <f t="shared" si="13"/>
        <v>#N/A</v>
      </c>
      <c r="M41" s="3" t="e">
        <f t="shared" si="13"/>
        <v>#N/A</v>
      </c>
      <c r="N41" s="3" t="e">
        <f t="shared" si="13"/>
        <v>#N/A</v>
      </c>
      <c r="O41" s="3" t="e">
        <f t="shared" si="13"/>
        <v>#N/A</v>
      </c>
      <c r="P41" s="3" t="e">
        <f t="shared" si="13"/>
        <v>#N/A</v>
      </c>
      <c r="Q41" s="3" t="e">
        <f t="shared" si="13"/>
        <v>#N/A</v>
      </c>
      <c r="R41" s="3" t="e">
        <f t="shared" si="13"/>
        <v>#N/A</v>
      </c>
      <c r="S41" s="3" t="e">
        <f t="shared" si="13"/>
        <v>#N/A</v>
      </c>
      <c r="T41" s="3" t="e">
        <f t="shared" si="13"/>
        <v>#N/A</v>
      </c>
      <c r="U41" s="3" t="e">
        <f t="shared" si="13"/>
        <v>#N/A</v>
      </c>
      <c r="V41" s="3" t="e">
        <f t="shared" si="13"/>
        <v>#N/A</v>
      </c>
      <c r="W41" s="3" t="e">
        <f t="shared" si="13"/>
        <v>#N/A</v>
      </c>
      <c r="X41" s="3" t="e">
        <f t="shared" si="13"/>
        <v>#N/A</v>
      </c>
      <c r="Y41" s="3" t="e">
        <f t="shared" si="13"/>
        <v>#N/A</v>
      </c>
      <c r="Z41" s="3" t="e">
        <f t="shared" si="13"/>
        <v>#N/A</v>
      </c>
      <c r="AA41" s="3" t="e">
        <f t="shared" si="13"/>
        <v>#N/A</v>
      </c>
      <c r="AB41" s="3" t="e">
        <f t="shared" si="13"/>
        <v>#N/A</v>
      </c>
      <c r="AC41" s="3" t="e">
        <f t="shared" si="13"/>
        <v>#N/A</v>
      </c>
      <c r="AD41" s="3" t="e">
        <f t="shared" si="13"/>
        <v>#N/A</v>
      </c>
      <c r="AE41" s="3" t="e">
        <f t="shared" si="13"/>
        <v>#N/A</v>
      </c>
      <c r="AF41" s="3" t="e">
        <f t="shared" si="13"/>
        <v>#N/A</v>
      </c>
      <c r="AG41" s="3" t="e">
        <f t="shared" si="13"/>
        <v>#N/A</v>
      </c>
      <c r="AH41" s="3" t="e">
        <f t="shared" si="13"/>
        <v>#N/A</v>
      </c>
      <c r="AI41" s="3" t="e">
        <f t="shared" si="13"/>
        <v>#N/A</v>
      </c>
      <c r="AJ41" s="3" t="e">
        <f t="shared" si="13"/>
        <v>#N/A</v>
      </c>
      <c r="AK41" s="3" t="e">
        <f t="shared" si="13"/>
        <v>#N/A</v>
      </c>
      <c r="AL41" s="3" t="e">
        <f t="shared" si="13"/>
        <v>#N/A</v>
      </c>
      <c r="AM41" s="3" t="e">
        <f t="shared" si="13"/>
        <v>#N/A</v>
      </c>
      <c r="AN41" s="3" t="e">
        <f t="shared" si="13"/>
        <v>#N/A</v>
      </c>
    </row>
    <row r="42" spans="2:40" x14ac:dyDescent="0.3">
      <c r="B42" t="s">
        <v>95</v>
      </c>
      <c r="D42" t="s">
        <v>229</v>
      </c>
      <c r="E42" s="3" t="e">
        <f t="shared" ref="E42:AN42" si="14">E17/$E17</f>
        <v>#N/A</v>
      </c>
      <c r="F42" s="3" t="e">
        <f t="shared" si="14"/>
        <v>#N/A</v>
      </c>
      <c r="G42" s="3" t="e">
        <f t="shared" si="14"/>
        <v>#N/A</v>
      </c>
      <c r="H42" s="3" t="e">
        <f t="shared" si="14"/>
        <v>#N/A</v>
      </c>
      <c r="I42" s="3" t="e">
        <f t="shared" si="14"/>
        <v>#N/A</v>
      </c>
      <c r="J42" s="3" t="e">
        <f t="shared" si="14"/>
        <v>#N/A</v>
      </c>
      <c r="K42" s="3" t="e">
        <f t="shared" si="14"/>
        <v>#N/A</v>
      </c>
      <c r="L42" s="3" t="e">
        <f t="shared" si="14"/>
        <v>#N/A</v>
      </c>
      <c r="M42" s="3" t="e">
        <f t="shared" si="14"/>
        <v>#N/A</v>
      </c>
      <c r="N42" s="3" t="e">
        <f t="shared" si="14"/>
        <v>#N/A</v>
      </c>
      <c r="O42" s="3" t="e">
        <f t="shared" si="14"/>
        <v>#N/A</v>
      </c>
      <c r="P42" s="3" t="e">
        <f t="shared" si="14"/>
        <v>#N/A</v>
      </c>
      <c r="Q42" s="3" t="e">
        <f t="shared" si="14"/>
        <v>#N/A</v>
      </c>
      <c r="R42" s="3" t="e">
        <f t="shared" si="14"/>
        <v>#N/A</v>
      </c>
      <c r="S42" s="3" t="e">
        <f t="shared" si="14"/>
        <v>#N/A</v>
      </c>
      <c r="T42" s="3" t="e">
        <f t="shared" si="14"/>
        <v>#N/A</v>
      </c>
      <c r="U42" s="3" t="e">
        <f t="shared" si="14"/>
        <v>#N/A</v>
      </c>
      <c r="V42" s="3" t="e">
        <f t="shared" si="14"/>
        <v>#N/A</v>
      </c>
      <c r="W42" s="3" t="e">
        <f t="shared" si="14"/>
        <v>#N/A</v>
      </c>
      <c r="X42" s="3" t="e">
        <f t="shared" si="14"/>
        <v>#N/A</v>
      </c>
      <c r="Y42" s="3" t="e">
        <f t="shared" si="14"/>
        <v>#N/A</v>
      </c>
      <c r="Z42" s="3" t="e">
        <f t="shared" si="14"/>
        <v>#N/A</v>
      </c>
      <c r="AA42" s="3" t="e">
        <f t="shared" si="14"/>
        <v>#N/A</v>
      </c>
      <c r="AB42" s="3" t="e">
        <f t="shared" si="14"/>
        <v>#N/A</v>
      </c>
      <c r="AC42" s="3" t="e">
        <f t="shared" si="14"/>
        <v>#N/A</v>
      </c>
      <c r="AD42" s="3" t="e">
        <f t="shared" si="14"/>
        <v>#N/A</v>
      </c>
      <c r="AE42" s="3" t="e">
        <f t="shared" si="14"/>
        <v>#N/A</v>
      </c>
      <c r="AF42" s="3" t="e">
        <f t="shared" si="14"/>
        <v>#N/A</v>
      </c>
      <c r="AG42" s="3" t="e">
        <f t="shared" si="14"/>
        <v>#N/A</v>
      </c>
      <c r="AH42" s="3" t="e">
        <f t="shared" si="14"/>
        <v>#N/A</v>
      </c>
      <c r="AI42" s="3" t="e">
        <f t="shared" si="14"/>
        <v>#N/A</v>
      </c>
      <c r="AJ42" s="3" t="e">
        <f t="shared" si="14"/>
        <v>#N/A</v>
      </c>
      <c r="AK42" s="3" t="e">
        <f t="shared" si="14"/>
        <v>#N/A</v>
      </c>
      <c r="AL42" s="3" t="e">
        <f t="shared" si="14"/>
        <v>#N/A</v>
      </c>
      <c r="AM42" s="3" t="e">
        <f t="shared" si="14"/>
        <v>#N/A</v>
      </c>
      <c r="AN42" s="3" t="e">
        <f t="shared" si="14"/>
        <v>#N/A</v>
      </c>
    </row>
    <row r="43" spans="2:40" x14ac:dyDescent="0.3">
      <c r="B43" t="s">
        <v>96</v>
      </c>
      <c r="D43" t="s">
        <v>229</v>
      </c>
      <c r="E43" s="3" t="e">
        <f t="shared" ref="E43:AN43" si="15">E18/$E18</f>
        <v>#N/A</v>
      </c>
      <c r="F43" s="3" t="e">
        <f t="shared" si="15"/>
        <v>#N/A</v>
      </c>
      <c r="G43" s="3" t="e">
        <f t="shared" si="15"/>
        <v>#N/A</v>
      </c>
      <c r="H43" s="3" t="e">
        <f t="shared" si="15"/>
        <v>#N/A</v>
      </c>
      <c r="I43" s="3" t="e">
        <f t="shared" si="15"/>
        <v>#N/A</v>
      </c>
      <c r="J43" s="3" t="e">
        <f t="shared" si="15"/>
        <v>#N/A</v>
      </c>
      <c r="K43" s="3" t="e">
        <f t="shared" si="15"/>
        <v>#N/A</v>
      </c>
      <c r="L43" s="3" t="e">
        <f t="shared" si="15"/>
        <v>#N/A</v>
      </c>
      <c r="M43" s="3" t="e">
        <f t="shared" si="15"/>
        <v>#N/A</v>
      </c>
      <c r="N43" s="3" t="e">
        <f t="shared" si="15"/>
        <v>#N/A</v>
      </c>
      <c r="O43" s="3" t="e">
        <f t="shared" si="15"/>
        <v>#N/A</v>
      </c>
      <c r="P43" s="3" t="e">
        <f t="shared" si="15"/>
        <v>#N/A</v>
      </c>
      <c r="Q43" s="3" t="e">
        <f t="shared" si="15"/>
        <v>#N/A</v>
      </c>
      <c r="R43" s="3" t="e">
        <f t="shared" si="15"/>
        <v>#N/A</v>
      </c>
      <c r="S43" s="3" t="e">
        <f t="shared" si="15"/>
        <v>#N/A</v>
      </c>
      <c r="T43" s="3" t="e">
        <f t="shared" si="15"/>
        <v>#N/A</v>
      </c>
      <c r="U43" s="3" t="e">
        <f t="shared" si="15"/>
        <v>#N/A</v>
      </c>
      <c r="V43" s="3" t="e">
        <f t="shared" si="15"/>
        <v>#N/A</v>
      </c>
      <c r="W43" s="3" t="e">
        <f t="shared" si="15"/>
        <v>#N/A</v>
      </c>
      <c r="X43" s="3" t="e">
        <f t="shared" si="15"/>
        <v>#N/A</v>
      </c>
      <c r="Y43" s="3" t="e">
        <f t="shared" si="15"/>
        <v>#N/A</v>
      </c>
      <c r="Z43" s="3" t="e">
        <f t="shared" si="15"/>
        <v>#N/A</v>
      </c>
      <c r="AA43" s="3" t="e">
        <f t="shared" si="15"/>
        <v>#N/A</v>
      </c>
      <c r="AB43" s="3" t="e">
        <f t="shared" si="15"/>
        <v>#N/A</v>
      </c>
      <c r="AC43" s="3" t="e">
        <f t="shared" si="15"/>
        <v>#N/A</v>
      </c>
      <c r="AD43" s="3" t="e">
        <f t="shared" si="15"/>
        <v>#N/A</v>
      </c>
      <c r="AE43" s="3" t="e">
        <f t="shared" si="15"/>
        <v>#N/A</v>
      </c>
      <c r="AF43" s="3" t="e">
        <f t="shared" si="15"/>
        <v>#N/A</v>
      </c>
      <c r="AG43" s="3" t="e">
        <f t="shared" si="15"/>
        <v>#N/A</v>
      </c>
      <c r="AH43" s="3" t="e">
        <f t="shared" si="15"/>
        <v>#N/A</v>
      </c>
      <c r="AI43" s="3" t="e">
        <f t="shared" si="15"/>
        <v>#N/A</v>
      </c>
      <c r="AJ43" s="3" t="e">
        <f t="shared" si="15"/>
        <v>#N/A</v>
      </c>
      <c r="AK43" s="3" t="e">
        <f t="shared" si="15"/>
        <v>#N/A</v>
      </c>
      <c r="AL43" s="3" t="e">
        <f t="shared" si="15"/>
        <v>#N/A</v>
      </c>
      <c r="AM43" s="3" t="e">
        <f t="shared" si="15"/>
        <v>#N/A</v>
      </c>
      <c r="AN43" s="3" t="e">
        <f t="shared" si="15"/>
        <v>#N/A</v>
      </c>
    </row>
    <row r="44" spans="2:40" x14ac:dyDescent="0.3">
      <c r="B44" t="s">
        <v>97</v>
      </c>
      <c r="D44" t="s">
        <v>229</v>
      </c>
      <c r="E44" s="3" t="e">
        <f t="shared" ref="E44:AN44" si="16">E19/$E19</f>
        <v>#N/A</v>
      </c>
      <c r="F44" s="3" t="e">
        <f t="shared" si="16"/>
        <v>#N/A</v>
      </c>
      <c r="G44" s="3" t="e">
        <f t="shared" si="16"/>
        <v>#N/A</v>
      </c>
      <c r="H44" s="3" t="e">
        <f t="shared" si="16"/>
        <v>#N/A</v>
      </c>
      <c r="I44" s="3" t="e">
        <f t="shared" si="16"/>
        <v>#N/A</v>
      </c>
      <c r="J44" s="3" t="e">
        <f t="shared" si="16"/>
        <v>#N/A</v>
      </c>
      <c r="K44" s="3" t="e">
        <f t="shared" si="16"/>
        <v>#N/A</v>
      </c>
      <c r="L44" s="3" t="e">
        <f t="shared" si="16"/>
        <v>#N/A</v>
      </c>
      <c r="M44" s="3" t="e">
        <f t="shared" si="16"/>
        <v>#N/A</v>
      </c>
      <c r="N44" s="3" t="e">
        <f t="shared" si="16"/>
        <v>#N/A</v>
      </c>
      <c r="O44" s="3" t="e">
        <f t="shared" si="16"/>
        <v>#N/A</v>
      </c>
      <c r="P44" s="3" t="e">
        <f t="shared" si="16"/>
        <v>#N/A</v>
      </c>
      <c r="Q44" s="3" t="e">
        <f t="shared" si="16"/>
        <v>#N/A</v>
      </c>
      <c r="R44" s="3" t="e">
        <f t="shared" si="16"/>
        <v>#N/A</v>
      </c>
      <c r="S44" s="3" t="e">
        <f t="shared" si="16"/>
        <v>#N/A</v>
      </c>
      <c r="T44" s="3" t="e">
        <f t="shared" si="16"/>
        <v>#N/A</v>
      </c>
      <c r="U44" s="3" t="e">
        <f t="shared" si="16"/>
        <v>#N/A</v>
      </c>
      <c r="V44" s="3" t="e">
        <f t="shared" si="16"/>
        <v>#N/A</v>
      </c>
      <c r="W44" s="3" t="e">
        <f t="shared" si="16"/>
        <v>#N/A</v>
      </c>
      <c r="X44" s="3" t="e">
        <f t="shared" si="16"/>
        <v>#N/A</v>
      </c>
      <c r="Y44" s="3" t="e">
        <f t="shared" si="16"/>
        <v>#N/A</v>
      </c>
      <c r="Z44" s="3" t="e">
        <f t="shared" si="16"/>
        <v>#N/A</v>
      </c>
      <c r="AA44" s="3" t="e">
        <f t="shared" si="16"/>
        <v>#N/A</v>
      </c>
      <c r="AB44" s="3" t="e">
        <f t="shared" si="16"/>
        <v>#N/A</v>
      </c>
      <c r="AC44" s="3" t="e">
        <f t="shared" si="16"/>
        <v>#N/A</v>
      </c>
      <c r="AD44" s="3" t="e">
        <f t="shared" si="16"/>
        <v>#N/A</v>
      </c>
      <c r="AE44" s="3" t="e">
        <f t="shared" si="16"/>
        <v>#N/A</v>
      </c>
      <c r="AF44" s="3" t="e">
        <f t="shared" si="16"/>
        <v>#N/A</v>
      </c>
      <c r="AG44" s="3" t="e">
        <f t="shared" si="16"/>
        <v>#N/A</v>
      </c>
      <c r="AH44" s="3" t="e">
        <f t="shared" si="16"/>
        <v>#N/A</v>
      </c>
      <c r="AI44" s="3" t="e">
        <f t="shared" si="16"/>
        <v>#N/A</v>
      </c>
      <c r="AJ44" s="3" t="e">
        <f t="shared" si="16"/>
        <v>#N/A</v>
      </c>
      <c r="AK44" s="3" t="e">
        <f t="shared" si="16"/>
        <v>#N/A</v>
      </c>
      <c r="AL44" s="3" t="e">
        <f t="shared" si="16"/>
        <v>#N/A</v>
      </c>
      <c r="AM44" s="3" t="e">
        <f t="shared" si="16"/>
        <v>#N/A</v>
      </c>
      <c r="AN44" s="3" t="e">
        <f t="shared" si="16"/>
        <v>#N/A</v>
      </c>
    </row>
    <row r="45" spans="2:40" x14ac:dyDescent="0.3">
      <c r="B45" t="s">
        <v>98</v>
      </c>
      <c r="D45" t="s">
        <v>229</v>
      </c>
      <c r="E45" s="3" t="e">
        <f t="shared" ref="E45:AN45" si="17">E20/$E20</f>
        <v>#N/A</v>
      </c>
      <c r="F45" s="3" t="e">
        <f t="shared" si="17"/>
        <v>#N/A</v>
      </c>
      <c r="G45" s="3" t="e">
        <f t="shared" si="17"/>
        <v>#N/A</v>
      </c>
      <c r="H45" s="3" t="e">
        <f t="shared" si="17"/>
        <v>#N/A</v>
      </c>
      <c r="I45" s="3" t="e">
        <f t="shared" si="17"/>
        <v>#N/A</v>
      </c>
      <c r="J45" s="3" t="e">
        <f t="shared" si="17"/>
        <v>#N/A</v>
      </c>
      <c r="K45" s="3" t="e">
        <f t="shared" si="17"/>
        <v>#N/A</v>
      </c>
      <c r="L45" s="3" t="e">
        <f t="shared" si="17"/>
        <v>#N/A</v>
      </c>
      <c r="M45" s="3" t="e">
        <f t="shared" si="17"/>
        <v>#N/A</v>
      </c>
      <c r="N45" s="3" t="e">
        <f t="shared" si="17"/>
        <v>#N/A</v>
      </c>
      <c r="O45" s="3" t="e">
        <f t="shared" si="17"/>
        <v>#N/A</v>
      </c>
      <c r="P45" s="3" t="e">
        <f t="shared" si="17"/>
        <v>#N/A</v>
      </c>
      <c r="Q45" s="3" t="e">
        <f t="shared" si="17"/>
        <v>#N/A</v>
      </c>
      <c r="R45" s="3" t="e">
        <f t="shared" si="17"/>
        <v>#N/A</v>
      </c>
      <c r="S45" s="3" t="e">
        <f t="shared" si="17"/>
        <v>#N/A</v>
      </c>
      <c r="T45" s="3" t="e">
        <f t="shared" si="17"/>
        <v>#N/A</v>
      </c>
      <c r="U45" s="3" t="e">
        <f t="shared" si="17"/>
        <v>#N/A</v>
      </c>
      <c r="V45" s="3" t="e">
        <f t="shared" si="17"/>
        <v>#N/A</v>
      </c>
      <c r="W45" s="3" t="e">
        <f t="shared" si="17"/>
        <v>#N/A</v>
      </c>
      <c r="X45" s="3" t="e">
        <f t="shared" si="17"/>
        <v>#N/A</v>
      </c>
      <c r="Y45" s="3" t="e">
        <f t="shared" si="17"/>
        <v>#N/A</v>
      </c>
      <c r="Z45" s="3" t="e">
        <f t="shared" si="17"/>
        <v>#N/A</v>
      </c>
      <c r="AA45" s="3" t="e">
        <f t="shared" si="17"/>
        <v>#N/A</v>
      </c>
      <c r="AB45" s="3" t="e">
        <f t="shared" si="17"/>
        <v>#N/A</v>
      </c>
      <c r="AC45" s="3" t="e">
        <f t="shared" si="17"/>
        <v>#N/A</v>
      </c>
      <c r="AD45" s="3" t="e">
        <f t="shared" si="17"/>
        <v>#N/A</v>
      </c>
      <c r="AE45" s="3" t="e">
        <f t="shared" si="17"/>
        <v>#N/A</v>
      </c>
      <c r="AF45" s="3" t="e">
        <f t="shared" si="17"/>
        <v>#N/A</v>
      </c>
      <c r="AG45" s="3" t="e">
        <f t="shared" si="17"/>
        <v>#N/A</v>
      </c>
      <c r="AH45" s="3" t="e">
        <f t="shared" si="17"/>
        <v>#N/A</v>
      </c>
      <c r="AI45" s="3" t="e">
        <f t="shared" si="17"/>
        <v>#N/A</v>
      </c>
      <c r="AJ45" s="3" t="e">
        <f t="shared" si="17"/>
        <v>#N/A</v>
      </c>
      <c r="AK45" s="3" t="e">
        <f t="shared" si="17"/>
        <v>#N/A</v>
      </c>
      <c r="AL45" s="3" t="e">
        <f t="shared" si="17"/>
        <v>#N/A</v>
      </c>
      <c r="AM45" s="3" t="e">
        <f t="shared" si="17"/>
        <v>#N/A</v>
      </c>
      <c r="AN45" s="3" t="e">
        <f t="shared" si="17"/>
        <v>#N/A</v>
      </c>
    </row>
    <row r="46" spans="2:40" x14ac:dyDescent="0.3">
      <c r="B46" t="s">
        <v>99</v>
      </c>
      <c r="D46" t="s">
        <v>229</v>
      </c>
      <c r="E46" s="3" t="e">
        <f t="shared" ref="E46:AN46" si="18">E21/$E21</f>
        <v>#N/A</v>
      </c>
      <c r="F46" s="3" t="e">
        <f t="shared" si="18"/>
        <v>#N/A</v>
      </c>
      <c r="G46" s="3" t="e">
        <f t="shared" si="18"/>
        <v>#N/A</v>
      </c>
      <c r="H46" s="3" t="e">
        <f t="shared" si="18"/>
        <v>#N/A</v>
      </c>
      <c r="I46" s="3" t="e">
        <f t="shared" si="18"/>
        <v>#N/A</v>
      </c>
      <c r="J46" s="3" t="e">
        <f t="shared" si="18"/>
        <v>#N/A</v>
      </c>
      <c r="K46" s="3" t="e">
        <f t="shared" si="18"/>
        <v>#N/A</v>
      </c>
      <c r="L46" s="3" t="e">
        <f t="shared" si="18"/>
        <v>#N/A</v>
      </c>
      <c r="M46" s="3" t="e">
        <f t="shared" si="18"/>
        <v>#N/A</v>
      </c>
      <c r="N46" s="3" t="e">
        <f t="shared" si="18"/>
        <v>#N/A</v>
      </c>
      <c r="O46" s="3" t="e">
        <f t="shared" si="18"/>
        <v>#N/A</v>
      </c>
      <c r="P46" s="3" t="e">
        <f t="shared" si="18"/>
        <v>#N/A</v>
      </c>
      <c r="Q46" s="3" t="e">
        <f t="shared" si="18"/>
        <v>#N/A</v>
      </c>
      <c r="R46" s="3" t="e">
        <f t="shared" si="18"/>
        <v>#N/A</v>
      </c>
      <c r="S46" s="3" t="e">
        <f t="shared" si="18"/>
        <v>#N/A</v>
      </c>
      <c r="T46" s="3" t="e">
        <f t="shared" si="18"/>
        <v>#N/A</v>
      </c>
      <c r="U46" s="3" t="e">
        <f t="shared" si="18"/>
        <v>#N/A</v>
      </c>
      <c r="V46" s="3" t="e">
        <f t="shared" si="18"/>
        <v>#N/A</v>
      </c>
      <c r="W46" s="3" t="e">
        <f t="shared" si="18"/>
        <v>#N/A</v>
      </c>
      <c r="X46" s="3" t="e">
        <f t="shared" si="18"/>
        <v>#N/A</v>
      </c>
      <c r="Y46" s="3" t="e">
        <f t="shared" si="18"/>
        <v>#N/A</v>
      </c>
      <c r="Z46" s="3" t="e">
        <f t="shared" si="18"/>
        <v>#N/A</v>
      </c>
      <c r="AA46" s="3" t="e">
        <f t="shared" si="18"/>
        <v>#N/A</v>
      </c>
      <c r="AB46" s="3" t="e">
        <f t="shared" si="18"/>
        <v>#N/A</v>
      </c>
      <c r="AC46" s="3" t="e">
        <f t="shared" si="18"/>
        <v>#N/A</v>
      </c>
      <c r="AD46" s="3" t="e">
        <f t="shared" si="18"/>
        <v>#N/A</v>
      </c>
      <c r="AE46" s="3" t="e">
        <f t="shared" si="18"/>
        <v>#N/A</v>
      </c>
      <c r="AF46" s="3" t="e">
        <f t="shared" si="18"/>
        <v>#N/A</v>
      </c>
      <c r="AG46" s="3" t="e">
        <f t="shared" si="18"/>
        <v>#N/A</v>
      </c>
      <c r="AH46" s="3" t="e">
        <f t="shared" si="18"/>
        <v>#N/A</v>
      </c>
      <c r="AI46" s="3" t="e">
        <f t="shared" si="18"/>
        <v>#N/A</v>
      </c>
      <c r="AJ46" s="3" t="e">
        <f t="shared" si="18"/>
        <v>#N/A</v>
      </c>
      <c r="AK46" s="3" t="e">
        <f t="shared" si="18"/>
        <v>#N/A</v>
      </c>
      <c r="AL46" s="3" t="e">
        <f t="shared" si="18"/>
        <v>#N/A</v>
      </c>
      <c r="AM46" s="3" t="e">
        <f t="shared" si="18"/>
        <v>#N/A</v>
      </c>
      <c r="AN46" s="3" t="e">
        <f t="shared" si="18"/>
        <v>#N/A</v>
      </c>
    </row>
    <row r="47" spans="2:40" x14ac:dyDescent="0.3">
      <c r="B47" t="s">
        <v>100</v>
      </c>
      <c r="D47" t="s">
        <v>229</v>
      </c>
      <c r="E47" s="3" t="e">
        <f t="shared" ref="E47:AN47" si="19">E22/$E22</f>
        <v>#N/A</v>
      </c>
      <c r="F47" s="3" t="e">
        <f t="shared" si="19"/>
        <v>#N/A</v>
      </c>
      <c r="G47" s="3" t="e">
        <f t="shared" si="19"/>
        <v>#N/A</v>
      </c>
      <c r="H47" s="3" t="e">
        <f t="shared" si="19"/>
        <v>#N/A</v>
      </c>
      <c r="I47" s="3" t="e">
        <f t="shared" si="19"/>
        <v>#N/A</v>
      </c>
      <c r="J47" s="3" t="e">
        <f t="shared" si="19"/>
        <v>#N/A</v>
      </c>
      <c r="K47" s="3" t="e">
        <f t="shared" si="19"/>
        <v>#N/A</v>
      </c>
      <c r="L47" s="3" t="e">
        <f t="shared" si="19"/>
        <v>#N/A</v>
      </c>
      <c r="M47" s="3" t="e">
        <f t="shared" si="19"/>
        <v>#N/A</v>
      </c>
      <c r="N47" s="3" t="e">
        <f t="shared" si="19"/>
        <v>#N/A</v>
      </c>
      <c r="O47" s="3" t="e">
        <f t="shared" si="19"/>
        <v>#N/A</v>
      </c>
      <c r="P47" s="3" t="e">
        <f t="shared" si="19"/>
        <v>#N/A</v>
      </c>
      <c r="Q47" s="3" t="e">
        <f t="shared" si="19"/>
        <v>#N/A</v>
      </c>
      <c r="R47" s="3" t="e">
        <f t="shared" si="19"/>
        <v>#N/A</v>
      </c>
      <c r="S47" s="3" t="e">
        <f t="shared" si="19"/>
        <v>#N/A</v>
      </c>
      <c r="T47" s="3" t="e">
        <f t="shared" si="19"/>
        <v>#N/A</v>
      </c>
      <c r="U47" s="3" t="e">
        <f t="shared" si="19"/>
        <v>#N/A</v>
      </c>
      <c r="V47" s="3" t="e">
        <f t="shared" si="19"/>
        <v>#N/A</v>
      </c>
      <c r="W47" s="3" t="e">
        <f t="shared" si="19"/>
        <v>#N/A</v>
      </c>
      <c r="X47" s="3" t="e">
        <f t="shared" si="19"/>
        <v>#N/A</v>
      </c>
      <c r="Y47" s="3" t="e">
        <f t="shared" si="19"/>
        <v>#N/A</v>
      </c>
      <c r="Z47" s="3" t="e">
        <f t="shared" si="19"/>
        <v>#N/A</v>
      </c>
      <c r="AA47" s="3" t="e">
        <f t="shared" si="19"/>
        <v>#N/A</v>
      </c>
      <c r="AB47" s="3" t="e">
        <f t="shared" si="19"/>
        <v>#N/A</v>
      </c>
      <c r="AC47" s="3" t="e">
        <f t="shared" si="19"/>
        <v>#N/A</v>
      </c>
      <c r="AD47" s="3" t="e">
        <f t="shared" si="19"/>
        <v>#N/A</v>
      </c>
      <c r="AE47" s="3" t="e">
        <f t="shared" si="19"/>
        <v>#N/A</v>
      </c>
      <c r="AF47" s="3" t="e">
        <f t="shared" si="19"/>
        <v>#N/A</v>
      </c>
      <c r="AG47" s="3" t="e">
        <f t="shared" si="19"/>
        <v>#N/A</v>
      </c>
      <c r="AH47" s="3" t="e">
        <f t="shared" si="19"/>
        <v>#N/A</v>
      </c>
      <c r="AI47" s="3" t="e">
        <f t="shared" si="19"/>
        <v>#N/A</v>
      </c>
      <c r="AJ47" s="3" t="e">
        <f t="shared" si="19"/>
        <v>#N/A</v>
      </c>
      <c r="AK47" s="3" t="e">
        <f t="shared" si="19"/>
        <v>#N/A</v>
      </c>
      <c r="AL47" s="3" t="e">
        <f t="shared" si="19"/>
        <v>#N/A</v>
      </c>
      <c r="AM47" s="3" t="e">
        <f t="shared" si="19"/>
        <v>#N/A</v>
      </c>
      <c r="AN47" s="3" t="e">
        <f t="shared" si="19"/>
        <v>#N/A</v>
      </c>
    </row>
    <row r="48" spans="2:40" x14ac:dyDescent="0.3">
      <c r="B48" t="s">
        <v>101</v>
      </c>
      <c r="D48" t="s">
        <v>229</v>
      </c>
      <c r="E48" s="3" t="e">
        <f t="shared" ref="E48:AN48" si="20">E23/$E23</f>
        <v>#N/A</v>
      </c>
      <c r="F48" s="3" t="e">
        <f t="shared" si="20"/>
        <v>#N/A</v>
      </c>
      <c r="G48" s="3" t="e">
        <f t="shared" si="20"/>
        <v>#N/A</v>
      </c>
      <c r="H48" s="3" t="e">
        <f t="shared" si="20"/>
        <v>#N/A</v>
      </c>
      <c r="I48" s="3" t="e">
        <f t="shared" si="20"/>
        <v>#N/A</v>
      </c>
      <c r="J48" s="3" t="e">
        <f t="shared" si="20"/>
        <v>#N/A</v>
      </c>
      <c r="K48" s="3" t="e">
        <f t="shared" si="20"/>
        <v>#N/A</v>
      </c>
      <c r="L48" s="3" t="e">
        <f t="shared" si="20"/>
        <v>#N/A</v>
      </c>
      <c r="M48" s="3" t="e">
        <f t="shared" si="20"/>
        <v>#N/A</v>
      </c>
      <c r="N48" s="3" t="e">
        <f t="shared" si="20"/>
        <v>#N/A</v>
      </c>
      <c r="O48" s="3" t="e">
        <f t="shared" si="20"/>
        <v>#N/A</v>
      </c>
      <c r="P48" s="3" t="e">
        <f t="shared" si="20"/>
        <v>#N/A</v>
      </c>
      <c r="Q48" s="3" t="e">
        <f t="shared" si="20"/>
        <v>#N/A</v>
      </c>
      <c r="R48" s="3" t="e">
        <f t="shared" si="20"/>
        <v>#N/A</v>
      </c>
      <c r="S48" s="3" t="e">
        <f t="shared" si="20"/>
        <v>#N/A</v>
      </c>
      <c r="T48" s="3" t="e">
        <f t="shared" si="20"/>
        <v>#N/A</v>
      </c>
      <c r="U48" s="3" t="e">
        <f t="shared" si="20"/>
        <v>#N/A</v>
      </c>
      <c r="V48" s="3" t="e">
        <f t="shared" si="20"/>
        <v>#N/A</v>
      </c>
      <c r="W48" s="3" t="e">
        <f t="shared" si="20"/>
        <v>#N/A</v>
      </c>
      <c r="X48" s="3" t="e">
        <f t="shared" si="20"/>
        <v>#N/A</v>
      </c>
      <c r="Y48" s="3" t="e">
        <f t="shared" si="20"/>
        <v>#N/A</v>
      </c>
      <c r="Z48" s="3" t="e">
        <f t="shared" si="20"/>
        <v>#N/A</v>
      </c>
      <c r="AA48" s="3" t="e">
        <f t="shared" si="20"/>
        <v>#N/A</v>
      </c>
      <c r="AB48" s="3" t="e">
        <f t="shared" si="20"/>
        <v>#N/A</v>
      </c>
      <c r="AC48" s="3" t="e">
        <f t="shared" si="20"/>
        <v>#N/A</v>
      </c>
      <c r="AD48" s="3" t="e">
        <f t="shared" si="20"/>
        <v>#N/A</v>
      </c>
      <c r="AE48" s="3" t="e">
        <f t="shared" si="20"/>
        <v>#N/A</v>
      </c>
      <c r="AF48" s="3" t="e">
        <f t="shared" si="20"/>
        <v>#N/A</v>
      </c>
      <c r="AG48" s="3" t="e">
        <f t="shared" si="20"/>
        <v>#N/A</v>
      </c>
      <c r="AH48" s="3" t="e">
        <f t="shared" si="20"/>
        <v>#N/A</v>
      </c>
      <c r="AI48" s="3" t="e">
        <f t="shared" si="20"/>
        <v>#N/A</v>
      </c>
      <c r="AJ48" s="3" t="e">
        <f t="shared" si="20"/>
        <v>#N/A</v>
      </c>
      <c r="AK48" s="3" t="e">
        <f t="shared" si="20"/>
        <v>#N/A</v>
      </c>
      <c r="AL48" s="3" t="e">
        <f t="shared" si="20"/>
        <v>#N/A</v>
      </c>
      <c r="AM48" s="3" t="e">
        <f t="shared" si="20"/>
        <v>#N/A</v>
      </c>
      <c r="AN48" s="3" t="e">
        <f t="shared" si="20"/>
        <v>#N/A</v>
      </c>
    </row>
    <row r="49" spans="2:40" x14ac:dyDescent="0.3">
      <c r="B49" t="s">
        <v>102</v>
      </c>
      <c r="D49" t="s">
        <v>229</v>
      </c>
      <c r="E49" s="3" t="e">
        <f t="shared" ref="E49:AN49" si="21">E24/$E24</f>
        <v>#N/A</v>
      </c>
      <c r="F49" s="3" t="e">
        <f t="shared" si="21"/>
        <v>#N/A</v>
      </c>
      <c r="G49" s="3" t="e">
        <f t="shared" si="21"/>
        <v>#N/A</v>
      </c>
      <c r="H49" s="3" t="e">
        <f t="shared" si="21"/>
        <v>#N/A</v>
      </c>
      <c r="I49" s="3" t="e">
        <f t="shared" si="21"/>
        <v>#N/A</v>
      </c>
      <c r="J49" s="3" t="e">
        <f t="shared" si="21"/>
        <v>#N/A</v>
      </c>
      <c r="K49" s="3" t="e">
        <f t="shared" si="21"/>
        <v>#N/A</v>
      </c>
      <c r="L49" s="3" t="e">
        <f t="shared" si="21"/>
        <v>#N/A</v>
      </c>
      <c r="M49" s="3" t="e">
        <f t="shared" si="21"/>
        <v>#N/A</v>
      </c>
      <c r="N49" s="3" t="e">
        <f t="shared" si="21"/>
        <v>#N/A</v>
      </c>
      <c r="O49" s="3" t="e">
        <f t="shared" si="21"/>
        <v>#N/A</v>
      </c>
      <c r="P49" s="3" t="e">
        <f t="shared" si="21"/>
        <v>#N/A</v>
      </c>
      <c r="Q49" s="3" t="e">
        <f t="shared" si="21"/>
        <v>#N/A</v>
      </c>
      <c r="R49" s="3" t="e">
        <f t="shared" si="21"/>
        <v>#N/A</v>
      </c>
      <c r="S49" s="3" t="e">
        <f t="shared" si="21"/>
        <v>#N/A</v>
      </c>
      <c r="T49" s="3" t="e">
        <f t="shared" si="21"/>
        <v>#N/A</v>
      </c>
      <c r="U49" s="3" t="e">
        <f t="shared" si="21"/>
        <v>#N/A</v>
      </c>
      <c r="V49" s="3" t="e">
        <f t="shared" si="21"/>
        <v>#N/A</v>
      </c>
      <c r="W49" s="3" t="e">
        <f t="shared" si="21"/>
        <v>#N/A</v>
      </c>
      <c r="X49" s="3" t="e">
        <f t="shared" si="21"/>
        <v>#N/A</v>
      </c>
      <c r="Y49" s="3" t="e">
        <f t="shared" si="21"/>
        <v>#N/A</v>
      </c>
      <c r="Z49" s="3" t="e">
        <f t="shared" si="21"/>
        <v>#N/A</v>
      </c>
      <c r="AA49" s="3" t="e">
        <f t="shared" si="21"/>
        <v>#N/A</v>
      </c>
      <c r="AB49" s="3" t="e">
        <f t="shared" si="21"/>
        <v>#N/A</v>
      </c>
      <c r="AC49" s="3" t="e">
        <f t="shared" si="21"/>
        <v>#N/A</v>
      </c>
      <c r="AD49" s="3" t="e">
        <f t="shared" si="21"/>
        <v>#N/A</v>
      </c>
      <c r="AE49" s="3" t="e">
        <f t="shared" si="21"/>
        <v>#N/A</v>
      </c>
      <c r="AF49" s="3" t="e">
        <f t="shared" si="21"/>
        <v>#N/A</v>
      </c>
      <c r="AG49" s="3" t="e">
        <f t="shared" si="21"/>
        <v>#N/A</v>
      </c>
      <c r="AH49" s="3" t="e">
        <f t="shared" si="21"/>
        <v>#N/A</v>
      </c>
      <c r="AI49" s="3" t="e">
        <f t="shared" si="21"/>
        <v>#N/A</v>
      </c>
      <c r="AJ49" s="3" t="e">
        <f t="shared" si="21"/>
        <v>#N/A</v>
      </c>
      <c r="AK49" s="3" t="e">
        <f t="shared" si="21"/>
        <v>#N/A</v>
      </c>
      <c r="AL49" s="3" t="e">
        <f t="shared" si="21"/>
        <v>#N/A</v>
      </c>
      <c r="AM49" s="3" t="e">
        <f t="shared" si="21"/>
        <v>#N/A</v>
      </c>
      <c r="AN49" s="3" t="e">
        <f t="shared" si="21"/>
        <v>#N/A</v>
      </c>
    </row>
    <row r="50" spans="2:40" x14ac:dyDescent="0.3">
      <c r="B50" t="s">
        <v>103</v>
      </c>
      <c r="D50" t="s">
        <v>229</v>
      </c>
      <c r="E50" s="3" t="e">
        <f t="shared" ref="E50:AN50" si="22">E25/$E25</f>
        <v>#N/A</v>
      </c>
      <c r="F50" s="3" t="e">
        <f t="shared" si="22"/>
        <v>#N/A</v>
      </c>
      <c r="G50" s="3" t="e">
        <f t="shared" si="22"/>
        <v>#N/A</v>
      </c>
      <c r="H50" s="3" t="e">
        <f t="shared" si="22"/>
        <v>#N/A</v>
      </c>
      <c r="I50" s="3" t="e">
        <f t="shared" si="22"/>
        <v>#N/A</v>
      </c>
      <c r="J50" s="3" t="e">
        <f t="shared" si="22"/>
        <v>#N/A</v>
      </c>
      <c r="K50" s="3" t="e">
        <f t="shared" si="22"/>
        <v>#N/A</v>
      </c>
      <c r="L50" s="3" t="e">
        <f t="shared" si="22"/>
        <v>#N/A</v>
      </c>
      <c r="M50" s="3" t="e">
        <f t="shared" si="22"/>
        <v>#N/A</v>
      </c>
      <c r="N50" s="3" t="e">
        <f t="shared" si="22"/>
        <v>#N/A</v>
      </c>
      <c r="O50" s="3" t="e">
        <f t="shared" si="22"/>
        <v>#N/A</v>
      </c>
      <c r="P50" s="3" t="e">
        <f t="shared" si="22"/>
        <v>#N/A</v>
      </c>
      <c r="Q50" s="3" t="e">
        <f t="shared" si="22"/>
        <v>#N/A</v>
      </c>
      <c r="R50" s="3" t="e">
        <f t="shared" si="22"/>
        <v>#N/A</v>
      </c>
      <c r="S50" s="3" t="e">
        <f t="shared" si="22"/>
        <v>#N/A</v>
      </c>
      <c r="T50" s="3" t="e">
        <f t="shared" si="22"/>
        <v>#N/A</v>
      </c>
      <c r="U50" s="3" t="e">
        <f t="shared" si="22"/>
        <v>#N/A</v>
      </c>
      <c r="V50" s="3" t="e">
        <f t="shared" si="22"/>
        <v>#N/A</v>
      </c>
      <c r="W50" s="3" t="e">
        <f t="shared" si="22"/>
        <v>#N/A</v>
      </c>
      <c r="X50" s="3" t="e">
        <f t="shared" si="22"/>
        <v>#N/A</v>
      </c>
      <c r="Y50" s="3" t="e">
        <f t="shared" si="22"/>
        <v>#N/A</v>
      </c>
      <c r="Z50" s="3" t="e">
        <f t="shared" si="22"/>
        <v>#N/A</v>
      </c>
      <c r="AA50" s="3" t="e">
        <f t="shared" si="22"/>
        <v>#N/A</v>
      </c>
      <c r="AB50" s="3" t="e">
        <f t="shared" si="22"/>
        <v>#N/A</v>
      </c>
      <c r="AC50" s="3" t="e">
        <f t="shared" si="22"/>
        <v>#N/A</v>
      </c>
      <c r="AD50" s="3" t="e">
        <f t="shared" si="22"/>
        <v>#N/A</v>
      </c>
      <c r="AE50" s="3" t="e">
        <f t="shared" si="22"/>
        <v>#N/A</v>
      </c>
      <c r="AF50" s="3" t="e">
        <f t="shared" si="22"/>
        <v>#N/A</v>
      </c>
      <c r="AG50" s="3" t="e">
        <f t="shared" si="22"/>
        <v>#N/A</v>
      </c>
      <c r="AH50" s="3" t="e">
        <f t="shared" si="22"/>
        <v>#N/A</v>
      </c>
      <c r="AI50" s="3" t="e">
        <f t="shared" si="22"/>
        <v>#N/A</v>
      </c>
      <c r="AJ50" s="3" t="e">
        <f t="shared" si="22"/>
        <v>#N/A</v>
      </c>
      <c r="AK50" s="3" t="e">
        <f t="shared" si="22"/>
        <v>#N/A</v>
      </c>
      <c r="AL50" s="3" t="e">
        <f t="shared" si="22"/>
        <v>#N/A</v>
      </c>
      <c r="AM50" s="3" t="e">
        <f t="shared" si="22"/>
        <v>#N/A</v>
      </c>
      <c r="AN50" s="3" t="e">
        <f t="shared" si="22"/>
        <v>#N/A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9ACDF-C088-4842-A16F-184060140427}">
  <sheetPr>
    <tabColor theme="5"/>
  </sheetPr>
  <dimension ref="A1:AV4"/>
  <sheetViews>
    <sheetView workbookViewId="0">
      <selection activeCell="J39" sqref="J39"/>
    </sheetView>
  </sheetViews>
  <sheetFormatPr defaultRowHeight="14.4" x14ac:dyDescent="0.3"/>
  <sheetData>
    <row r="1" spans="1:48" s="12" customFormat="1" ht="19.8" x14ac:dyDescent="0.4">
      <c r="A1" s="11" t="s">
        <v>263</v>
      </c>
      <c r="C1" s="11"/>
      <c r="D1" s="16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</row>
    <row r="2" spans="1:48" x14ac:dyDescent="0.3">
      <c r="E2" s="14">
        <v>2</v>
      </c>
      <c r="F2" s="14">
        <v>3</v>
      </c>
      <c r="G2" s="14">
        <v>4</v>
      </c>
      <c r="H2" s="14">
        <v>5</v>
      </c>
      <c r="I2" s="14">
        <v>6</v>
      </c>
      <c r="J2" s="14">
        <v>7</v>
      </c>
      <c r="K2" s="14">
        <v>8</v>
      </c>
      <c r="L2" s="14">
        <v>9</v>
      </c>
      <c r="M2" s="14">
        <v>10</v>
      </c>
      <c r="N2" s="14">
        <v>11</v>
      </c>
      <c r="O2" s="14">
        <v>12</v>
      </c>
      <c r="P2" s="14">
        <v>13</v>
      </c>
      <c r="Q2" s="14">
        <v>14</v>
      </c>
      <c r="R2" s="14">
        <v>15</v>
      </c>
      <c r="S2" s="14">
        <v>16</v>
      </c>
      <c r="T2" s="14">
        <v>17</v>
      </c>
      <c r="U2" s="14">
        <v>18</v>
      </c>
      <c r="V2" s="14">
        <v>19</v>
      </c>
      <c r="W2" s="14">
        <v>20</v>
      </c>
      <c r="X2" s="14">
        <v>21</v>
      </c>
      <c r="Y2" s="14">
        <v>22</v>
      </c>
      <c r="Z2" s="14">
        <v>23</v>
      </c>
      <c r="AA2" s="14">
        <v>24</v>
      </c>
      <c r="AB2" s="14">
        <v>25</v>
      </c>
      <c r="AC2" s="14">
        <v>26</v>
      </c>
      <c r="AD2" s="14">
        <v>27</v>
      </c>
      <c r="AE2" s="14">
        <v>28</v>
      </c>
      <c r="AF2" s="14">
        <v>29</v>
      </c>
      <c r="AG2" s="14">
        <v>30</v>
      </c>
      <c r="AH2" s="14">
        <v>31</v>
      </c>
      <c r="AI2" s="14">
        <v>32</v>
      </c>
      <c r="AJ2" s="14">
        <v>33</v>
      </c>
      <c r="AK2" s="14">
        <v>34</v>
      </c>
      <c r="AL2" s="14">
        <v>35</v>
      </c>
      <c r="AM2" s="14">
        <v>36</v>
      </c>
      <c r="AN2" s="14">
        <v>37</v>
      </c>
    </row>
    <row r="3" spans="1:48" x14ac:dyDescent="0.3">
      <c r="E3" s="5">
        <v>2015</v>
      </c>
      <c r="F3" s="5">
        <v>2016</v>
      </c>
      <c r="G3" s="5">
        <v>2017</v>
      </c>
      <c r="H3" s="5">
        <v>2018</v>
      </c>
      <c r="I3" s="5">
        <v>2019</v>
      </c>
      <c r="J3" s="5">
        <v>2020</v>
      </c>
      <c r="K3" s="5">
        <v>2021</v>
      </c>
      <c r="L3" s="5">
        <v>2022</v>
      </c>
      <c r="M3" s="5">
        <v>2023</v>
      </c>
      <c r="N3" s="5">
        <v>2024</v>
      </c>
      <c r="O3" s="5">
        <v>2025</v>
      </c>
      <c r="P3" s="5">
        <v>2026</v>
      </c>
      <c r="Q3" s="5">
        <v>2027</v>
      </c>
      <c r="R3" s="5">
        <v>2028</v>
      </c>
      <c r="S3" s="5">
        <v>2029</v>
      </c>
      <c r="T3" s="5">
        <v>2030</v>
      </c>
      <c r="U3" s="5">
        <v>2031</v>
      </c>
      <c r="V3" s="5">
        <v>2032</v>
      </c>
      <c r="W3" s="5">
        <v>2033</v>
      </c>
      <c r="X3" s="5">
        <v>2034</v>
      </c>
      <c r="Y3" s="5">
        <v>2035</v>
      </c>
      <c r="Z3" s="5">
        <v>2036</v>
      </c>
      <c r="AA3" s="5">
        <v>2037</v>
      </c>
      <c r="AB3" s="5">
        <v>2038</v>
      </c>
      <c r="AC3" s="5">
        <v>2039</v>
      </c>
      <c r="AD3" s="5">
        <v>2040</v>
      </c>
      <c r="AE3" s="5">
        <v>2041</v>
      </c>
      <c r="AF3" s="5">
        <v>2042</v>
      </c>
      <c r="AG3" s="5">
        <v>2043</v>
      </c>
      <c r="AH3" s="5">
        <v>2044</v>
      </c>
      <c r="AI3" s="5">
        <v>2045</v>
      </c>
      <c r="AJ3" s="5">
        <v>2046</v>
      </c>
      <c r="AK3" s="5">
        <v>2047</v>
      </c>
      <c r="AL3" s="5">
        <v>2048</v>
      </c>
      <c r="AM3" s="5">
        <v>2049</v>
      </c>
      <c r="AN3" s="5">
        <v>2050</v>
      </c>
    </row>
    <row r="4" spans="1:48" x14ac:dyDescent="0.3">
      <c r="B4" t="s">
        <v>264</v>
      </c>
      <c r="D4" t="s">
        <v>172</v>
      </c>
      <c r="E4" s="3" t="e">
        <f>VLOOKUP($B4,baseline!$A:$AK,E$2,FALSE)</f>
        <v>#N/A</v>
      </c>
      <c r="F4" s="3" t="e">
        <f>VLOOKUP($B4,baseline!$A:$AK,F$2,FALSE)</f>
        <v>#N/A</v>
      </c>
      <c r="G4" s="3" t="e">
        <f>VLOOKUP($B4,baseline!$A:$AK,G$2,FALSE)</f>
        <v>#N/A</v>
      </c>
      <c r="H4" s="3" t="e">
        <f>VLOOKUP($B4,baseline!$A:$AK,H$2,FALSE)</f>
        <v>#N/A</v>
      </c>
      <c r="I4" s="3" t="e">
        <f>VLOOKUP($B4,baseline!$A:$AK,I$2,FALSE)</f>
        <v>#N/A</v>
      </c>
      <c r="J4" s="3" t="e">
        <f>VLOOKUP($B4,baseline!$A:$AK,J$2,FALSE)</f>
        <v>#N/A</v>
      </c>
      <c r="K4" s="3" t="e">
        <f>VLOOKUP($B4,baseline!$A:$AK,K$2,FALSE)</f>
        <v>#N/A</v>
      </c>
      <c r="L4" s="3" t="e">
        <f>VLOOKUP($B4,baseline!$A:$AK,L$2,FALSE)</f>
        <v>#N/A</v>
      </c>
      <c r="M4" s="3" t="e">
        <f>VLOOKUP($B4,baseline!$A:$AK,M$2,FALSE)</f>
        <v>#N/A</v>
      </c>
      <c r="N4" s="3" t="e">
        <f>VLOOKUP($B4,baseline!$A:$AK,N$2,FALSE)</f>
        <v>#N/A</v>
      </c>
      <c r="O4" s="3" t="e">
        <f>VLOOKUP($B4,baseline!$A:$AK,O$2,FALSE)</f>
        <v>#N/A</v>
      </c>
      <c r="P4" s="3" t="e">
        <f>VLOOKUP($B4,baseline!$A:$AK,P$2,FALSE)</f>
        <v>#N/A</v>
      </c>
      <c r="Q4" s="3" t="e">
        <f>VLOOKUP($B4,baseline!$A:$AK,Q$2,FALSE)</f>
        <v>#N/A</v>
      </c>
      <c r="R4" s="3" t="e">
        <f>VLOOKUP($B4,baseline!$A:$AK,R$2,FALSE)</f>
        <v>#N/A</v>
      </c>
      <c r="S4" s="3" t="e">
        <f>VLOOKUP($B4,baseline!$A:$AK,S$2,FALSE)</f>
        <v>#N/A</v>
      </c>
      <c r="T4" s="3" t="e">
        <f>VLOOKUP($B4,baseline!$A:$AK,T$2,FALSE)</f>
        <v>#N/A</v>
      </c>
      <c r="U4" s="3" t="e">
        <f>VLOOKUP($B4,baseline!$A:$AK,U$2,FALSE)</f>
        <v>#N/A</v>
      </c>
      <c r="V4" s="3" t="e">
        <f>VLOOKUP($B4,baseline!$A:$AK,V$2,FALSE)</f>
        <v>#N/A</v>
      </c>
      <c r="W4" s="3" t="e">
        <f>VLOOKUP($B4,baseline!$A:$AK,W$2,FALSE)</f>
        <v>#N/A</v>
      </c>
      <c r="X4" s="3" t="e">
        <f>VLOOKUP($B4,baseline!$A:$AK,X$2,FALSE)</f>
        <v>#N/A</v>
      </c>
      <c r="Y4" s="3" t="e">
        <f>VLOOKUP($B4,baseline!$A:$AK,Y$2,FALSE)</f>
        <v>#N/A</v>
      </c>
      <c r="Z4" s="3" t="e">
        <f>VLOOKUP($B4,baseline!$A:$AK,Z$2,FALSE)</f>
        <v>#N/A</v>
      </c>
      <c r="AA4" s="3" t="e">
        <f>VLOOKUP($B4,baseline!$A:$AK,AA$2,FALSE)</f>
        <v>#N/A</v>
      </c>
      <c r="AB4" s="3" t="e">
        <f>VLOOKUP($B4,baseline!$A:$AK,AB$2,FALSE)</f>
        <v>#N/A</v>
      </c>
      <c r="AC4" s="3" t="e">
        <f>VLOOKUP($B4,baseline!$A:$AK,AC$2,FALSE)</f>
        <v>#N/A</v>
      </c>
      <c r="AD4" s="3" t="e">
        <f>VLOOKUP($B4,baseline!$A:$AK,AD$2,FALSE)</f>
        <v>#N/A</v>
      </c>
      <c r="AE4" s="3" t="e">
        <f>VLOOKUP($B4,baseline!$A:$AK,AE$2,FALSE)</f>
        <v>#N/A</v>
      </c>
      <c r="AF4" s="3" t="e">
        <f>VLOOKUP($B4,baseline!$A:$AK,AF$2,FALSE)</f>
        <v>#N/A</v>
      </c>
      <c r="AG4" s="3" t="e">
        <f>VLOOKUP($B4,baseline!$A:$AK,AG$2,FALSE)</f>
        <v>#N/A</v>
      </c>
      <c r="AH4" s="3" t="e">
        <f>VLOOKUP($B4,baseline!$A:$AK,AH$2,FALSE)</f>
        <v>#N/A</v>
      </c>
      <c r="AI4" s="3" t="e">
        <f>VLOOKUP($B4,baseline!$A:$AK,AI$2,FALSE)</f>
        <v>#N/A</v>
      </c>
      <c r="AJ4" s="3" t="e">
        <f>VLOOKUP($B4,baseline!$A:$AK,AJ$2,FALSE)</f>
        <v>#N/A</v>
      </c>
      <c r="AK4" s="3" t="e">
        <f>VLOOKUP($B4,baseline!$A:$AK,AK$2,FALSE)</f>
        <v>#N/A</v>
      </c>
      <c r="AL4" s="3" t="e">
        <f>VLOOKUP($B4,baseline!$A:$AK,AL$2,FALSE)</f>
        <v>#N/A</v>
      </c>
      <c r="AM4" s="3" t="e">
        <f>VLOOKUP($B4,baseline!$A:$AK,AM$2,FALSE)</f>
        <v>#N/A</v>
      </c>
      <c r="AN4" s="3" t="e">
        <f>VLOOKUP($B4,baseline!$A:$AK,AN$2,FALSE)</f>
        <v>#N/A</v>
      </c>
      <c r="AP4" s="3" t="e">
        <f t="shared" ref="AP4" si="0">AN4/E4</f>
        <v>#N/A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91B40-66BE-4ADE-8B10-A1DF787CB5A4}">
  <dimension ref="C1:W47"/>
  <sheetViews>
    <sheetView workbookViewId="0">
      <selection activeCell="H25" sqref="H25"/>
    </sheetView>
  </sheetViews>
  <sheetFormatPr defaultRowHeight="14.4" x14ac:dyDescent="0.3"/>
  <cols>
    <col min="3" max="3" width="27.44140625" bestFit="1" customWidth="1"/>
    <col min="12" max="12" width="32.44140625" customWidth="1"/>
    <col min="22" max="22" width="27.44140625" bestFit="1" customWidth="1"/>
    <col min="23" max="23" width="56.109375" bestFit="1" customWidth="1"/>
  </cols>
  <sheetData>
    <row r="1" spans="3:23" x14ac:dyDescent="0.3">
      <c r="D1" s="5" t="s">
        <v>227</v>
      </c>
      <c r="L1" s="5" t="s">
        <v>227</v>
      </c>
    </row>
    <row r="2" spans="3:23" ht="15" thickBot="1" x14ac:dyDescent="0.35">
      <c r="D2" s="5">
        <v>2030</v>
      </c>
      <c r="E2" s="5">
        <v>2040</v>
      </c>
      <c r="F2" s="5">
        <v>2050</v>
      </c>
      <c r="M2" s="5">
        <v>2030</v>
      </c>
      <c r="N2" s="5">
        <v>2040</v>
      </c>
      <c r="O2" s="5">
        <v>2050</v>
      </c>
    </row>
    <row r="3" spans="3:23" ht="15" thickBot="1" x14ac:dyDescent="0.35">
      <c r="C3" s="18" t="s">
        <v>176</v>
      </c>
      <c r="D3" s="40">
        <v>1.152242202887797</v>
      </c>
      <c r="E3" s="41">
        <v>2.1672901665647624</v>
      </c>
      <c r="F3" s="41">
        <v>1.0360273460084768</v>
      </c>
      <c r="L3" t="s">
        <v>104</v>
      </c>
      <c r="M3" s="41">
        <v>7.8522294559999999</v>
      </c>
      <c r="N3" s="41">
        <v>5.4994383520000003</v>
      </c>
      <c r="O3" s="41">
        <v>3.1806844409999999</v>
      </c>
      <c r="V3" s="20" t="s">
        <v>195</v>
      </c>
      <c r="W3" s="29" t="s">
        <v>197</v>
      </c>
    </row>
    <row r="4" spans="3:23" ht="15" thickBot="1" x14ac:dyDescent="0.35">
      <c r="C4" s="18" t="s">
        <v>177</v>
      </c>
      <c r="D4" s="42">
        <v>6.147351132186933</v>
      </c>
      <c r="E4" s="43">
        <v>7.19559106461928</v>
      </c>
      <c r="F4" s="43">
        <v>2.3362757437615707</v>
      </c>
      <c r="L4" t="s">
        <v>105</v>
      </c>
      <c r="M4" s="47">
        <v>6.5790734110000004</v>
      </c>
      <c r="N4" s="47">
        <v>6.2789076259999996</v>
      </c>
      <c r="O4" s="47">
        <v>7.1179691160000003</v>
      </c>
      <c r="V4" s="21" t="s">
        <v>177</v>
      </c>
      <c r="W4" s="30" t="s">
        <v>198</v>
      </c>
    </row>
    <row r="5" spans="3:23" x14ac:dyDescent="0.3">
      <c r="C5" s="18" t="s">
        <v>178</v>
      </c>
      <c r="D5" s="19">
        <v>1.454214455981468</v>
      </c>
      <c r="E5" s="3">
        <v>1.1310185294107924</v>
      </c>
      <c r="F5" s="3">
        <v>9.6368026394662382E-2</v>
      </c>
      <c r="L5" t="s">
        <v>106</v>
      </c>
      <c r="M5" s="49">
        <v>1.982481301</v>
      </c>
      <c r="N5" s="49">
        <v>1.8594677470000001</v>
      </c>
      <c r="O5" s="49">
        <v>1.6159156379999999</v>
      </c>
      <c r="V5" s="64" t="s">
        <v>178</v>
      </c>
      <c r="W5" s="31" t="s">
        <v>199</v>
      </c>
    </row>
    <row r="6" spans="3:23" ht="15" thickBot="1" x14ac:dyDescent="0.35">
      <c r="C6" s="18" t="s">
        <v>179</v>
      </c>
      <c r="D6" s="19">
        <v>0</v>
      </c>
      <c r="E6" s="3">
        <v>0</v>
      </c>
      <c r="F6" s="3">
        <v>0</v>
      </c>
      <c r="L6" t="s">
        <v>107</v>
      </c>
      <c r="M6" s="53">
        <v>0.288535553</v>
      </c>
      <c r="N6" s="53">
        <v>0.25198662100000002</v>
      </c>
      <c r="O6" s="53">
        <v>0.25731940209999998</v>
      </c>
      <c r="V6" s="65"/>
      <c r="W6" s="32"/>
    </row>
    <row r="7" spans="3:23" x14ac:dyDescent="0.3">
      <c r="C7" s="18" t="s">
        <v>180</v>
      </c>
      <c r="D7" s="44">
        <v>2.3040939319659053</v>
      </c>
      <c r="E7" s="45">
        <v>2.6005644447113729</v>
      </c>
      <c r="F7" s="45">
        <v>0.61988876873644005</v>
      </c>
      <c r="L7" t="s">
        <v>108</v>
      </c>
      <c r="M7" s="53">
        <v>0.3425761497</v>
      </c>
      <c r="N7" s="53">
        <v>0.17109736540000001</v>
      </c>
      <c r="O7" s="53">
        <v>0.18555634160000001</v>
      </c>
      <c r="V7" s="22" t="s">
        <v>176</v>
      </c>
      <c r="W7" s="31" t="s">
        <v>200</v>
      </c>
    </row>
    <row r="8" spans="3:23" ht="15" thickBot="1" x14ac:dyDescent="0.35">
      <c r="C8" s="18" t="s">
        <v>181</v>
      </c>
      <c r="D8" s="19">
        <v>4.5477341879999996E-8</v>
      </c>
      <c r="E8" s="3">
        <v>3.7030661325691418E-2</v>
      </c>
      <c r="F8" s="3">
        <v>1.453087268327863E-2</v>
      </c>
      <c r="L8" t="s">
        <v>109</v>
      </c>
      <c r="M8" s="53">
        <v>0.347647869</v>
      </c>
      <c r="N8" s="53">
        <v>0.1626049161</v>
      </c>
      <c r="O8" s="53">
        <v>0.13193807830000001</v>
      </c>
      <c r="V8" s="23" t="s">
        <v>196</v>
      </c>
      <c r="W8" s="32"/>
    </row>
    <row r="9" spans="3:23" x14ac:dyDescent="0.3">
      <c r="C9" s="18" t="s">
        <v>182</v>
      </c>
      <c r="D9" s="46">
        <v>2.0785286122855351E-2</v>
      </c>
      <c r="E9" s="47">
        <v>1.9780823077511622E-2</v>
      </c>
      <c r="F9" s="47">
        <v>2.7189465742518161E-3</v>
      </c>
      <c r="L9" t="s">
        <v>110</v>
      </c>
      <c r="M9" s="51">
        <v>2.8980781229999999</v>
      </c>
      <c r="N9" s="51">
        <v>0.98876198689999995</v>
      </c>
      <c r="O9" s="51">
        <v>0.72938055140000002</v>
      </c>
      <c r="V9" s="66" t="s">
        <v>192</v>
      </c>
      <c r="W9" s="31" t="s">
        <v>201</v>
      </c>
    </row>
    <row r="10" spans="3:23" x14ac:dyDescent="0.3">
      <c r="C10" s="18" t="s">
        <v>183</v>
      </c>
      <c r="D10" s="46">
        <v>8.5046670539583857</v>
      </c>
      <c r="E10" s="47">
        <v>6.3995901308884413</v>
      </c>
      <c r="F10" s="47">
        <v>6.0515105493725203</v>
      </c>
      <c r="L10" t="s">
        <v>111</v>
      </c>
      <c r="M10" s="3">
        <v>26.49123569</v>
      </c>
      <c r="N10" s="3">
        <v>26.806457900000002</v>
      </c>
      <c r="O10" s="3">
        <v>24.963161639999999</v>
      </c>
      <c r="V10" s="67"/>
      <c r="W10" s="33" t="s">
        <v>202</v>
      </c>
    </row>
    <row r="11" spans="3:23" x14ac:dyDescent="0.3">
      <c r="C11" s="18" t="s">
        <v>184</v>
      </c>
      <c r="D11" s="48">
        <v>-7.9637865304921895E-2</v>
      </c>
      <c r="E11" s="49">
        <v>-0.52830086294814826</v>
      </c>
      <c r="F11" s="49">
        <v>-2.8504862816883652</v>
      </c>
      <c r="L11" t="s">
        <v>112</v>
      </c>
      <c r="M11" s="55">
        <v>8.6713337999999993</v>
      </c>
      <c r="N11" s="55">
        <v>4.7768058309999999</v>
      </c>
      <c r="O11" s="55">
        <v>2.3684375260000001</v>
      </c>
      <c r="V11" s="67"/>
      <c r="W11" s="33" t="s">
        <v>203</v>
      </c>
    </row>
    <row r="12" spans="3:23" ht="15" thickBot="1" x14ac:dyDescent="0.35">
      <c r="C12" s="18" t="s">
        <v>185</v>
      </c>
      <c r="D12" s="50">
        <v>3.5167008216500747E-2</v>
      </c>
      <c r="E12" s="51">
        <v>0.11420280063771814</v>
      </c>
      <c r="F12" s="51">
        <v>1.8225307274908339E-2</v>
      </c>
      <c r="L12" t="s">
        <v>113</v>
      </c>
      <c r="M12" s="55">
        <v>12.52854614</v>
      </c>
      <c r="N12" s="55">
        <v>6.6871799879999996</v>
      </c>
      <c r="O12" s="55">
        <v>3.3846843980000001</v>
      </c>
      <c r="V12" s="24"/>
      <c r="W12" s="32"/>
    </row>
    <row r="13" spans="3:23" ht="15" thickBot="1" x14ac:dyDescent="0.35">
      <c r="C13" s="18" t="s">
        <v>186</v>
      </c>
      <c r="D13" s="19">
        <v>-2.0100295149475499E-7</v>
      </c>
      <c r="E13" s="3">
        <v>5.5159743395094551E-6</v>
      </c>
      <c r="F13" s="3">
        <v>-4.599846143014652E-2</v>
      </c>
      <c r="L13" t="s">
        <v>114</v>
      </c>
      <c r="M13" s="55">
        <v>16.61460713</v>
      </c>
      <c r="N13" s="55">
        <v>2.8543293360000002</v>
      </c>
      <c r="O13" s="55">
        <v>1.473766406</v>
      </c>
      <c r="V13" s="25" t="s">
        <v>193</v>
      </c>
      <c r="W13" s="34"/>
    </row>
    <row r="14" spans="3:23" x14ac:dyDescent="0.3">
      <c r="C14" s="18" t="s">
        <v>187</v>
      </c>
      <c r="D14" s="19">
        <v>0.64557715943242155</v>
      </c>
      <c r="E14" s="3">
        <v>3.0162767725602313E-4</v>
      </c>
      <c r="F14" s="3">
        <v>6.0174609207393773E-2</v>
      </c>
      <c r="L14" t="s">
        <v>115</v>
      </c>
      <c r="M14" s="3">
        <v>6.0358733800000001E-2</v>
      </c>
      <c r="N14" s="3">
        <v>5.1376139199999997E-2</v>
      </c>
      <c r="O14" s="3">
        <v>6.4656553300000003E-2</v>
      </c>
      <c r="V14" s="26" t="s">
        <v>180</v>
      </c>
      <c r="W14" s="35" t="s">
        <v>204</v>
      </c>
    </row>
    <row r="15" spans="3:23" x14ac:dyDescent="0.3">
      <c r="C15" s="18" t="s">
        <v>188</v>
      </c>
      <c r="D15" s="52">
        <v>2.3841749909539929</v>
      </c>
      <c r="E15" s="53">
        <v>1.9770807449071057</v>
      </c>
      <c r="F15" s="53">
        <v>0.21620173221968525</v>
      </c>
      <c r="L15" t="s">
        <v>116</v>
      </c>
      <c r="M15" s="3">
        <v>8.6048412199999993E-2</v>
      </c>
      <c r="N15" s="3">
        <v>7.2522601500000006E-2</v>
      </c>
      <c r="O15" s="3">
        <v>7.0775760699999996E-2</v>
      </c>
      <c r="V15" s="27" t="s">
        <v>181</v>
      </c>
      <c r="W15" s="36" t="s">
        <v>205</v>
      </c>
    </row>
    <row r="16" spans="3:23" x14ac:dyDescent="0.3">
      <c r="C16" s="18" t="s">
        <v>189</v>
      </c>
      <c r="D16" s="48">
        <v>-1.7321607503183643</v>
      </c>
      <c r="E16" s="49">
        <v>-4.4190279727194195</v>
      </c>
      <c r="F16" s="49">
        <v>-4.2117745228241281</v>
      </c>
      <c r="L16" t="s">
        <v>117</v>
      </c>
      <c r="M16" s="3">
        <v>14.655877670000001</v>
      </c>
      <c r="N16" s="3">
        <v>15.616181020000001</v>
      </c>
      <c r="O16" s="3">
        <v>16.241217750000001</v>
      </c>
      <c r="V16" s="27"/>
      <c r="W16" s="36" t="s">
        <v>206</v>
      </c>
    </row>
    <row r="17" spans="3:23" x14ac:dyDescent="0.3">
      <c r="C17" s="18" t="s">
        <v>190</v>
      </c>
      <c r="D17" s="19">
        <v>-4.6851311666191249</v>
      </c>
      <c r="E17" s="3">
        <v>-14.424290940810785</v>
      </c>
      <c r="F17" s="3">
        <v>-28.144182949306458</v>
      </c>
      <c r="L17" t="s">
        <v>118</v>
      </c>
      <c r="M17" s="3">
        <v>13.41696262</v>
      </c>
      <c r="N17" s="3">
        <v>14.304787859999999</v>
      </c>
      <c r="O17" s="3">
        <v>14.944651990000001</v>
      </c>
      <c r="V17" s="27"/>
      <c r="W17" s="36" t="s">
        <v>207</v>
      </c>
    </row>
    <row r="18" spans="3:23" x14ac:dyDescent="0.3">
      <c r="C18" s="18" t="s">
        <v>191</v>
      </c>
      <c r="D18" s="19">
        <v>1.0601189347342297</v>
      </c>
      <c r="E18" s="3">
        <v>-2.0994581173128899</v>
      </c>
      <c r="F18" s="3">
        <v>-2.2951704175869336</v>
      </c>
      <c r="L18" t="s">
        <v>119</v>
      </c>
      <c r="M18" s="3">
        <v>0.16093462720000001</v>
      </c>
      <c r="N18" s="3">
        <v>0.14940378709999999</v>
      </c>
      <c r="O18" s="3">
        <v>0.1404425108</v>
      </c>
      <c r="V18" s="27"/>
      <c r="W18" s="36" t="s">
        <v>208</v>
      </c>
    </row>
    <row r="19" spans="3:23" x14ac:dyDescent="0.3">
      <c r="C19" s="18" t="s">
        <v>192</v>
      </c>
      <c r="D19" s="54">
        <v>6.2888609404343301</v>
      </c>
      <c r="E19" s="55">
        <v>17.863014771036976</v>
      </c>
      <c r="F19" s="55">
        <v>-6.5077917928821449E-2</v>
      </c>
      <c r="L19" t="s">
        <v>120</v>
      </c>
      <c r="M19" s="3">
        <v>2.0708872599999999E-4</v>
      </c>
      <c r="N19" s="3">
        <v>1.6919642000000001E-4</v>
      </c>
      <c r="O19" s="3">
        <v>1.50483298E-4</v>
      </c>
      <c r="V19" s="27"/>
      <c r="W19" s="36" t="s">
        <v>209</v>
      </c>
    </row>
    <row r="20" spans="3:23" x14ac:dyDescent="0.3">
      <c r="C20" s="18" t="s">
        <v>193</v>
      </c>
      <c r="D20" s="19">
        <v>1.6646583629256195</v>
      </c>
      <c r="E20" s="3">
        <v>2.6568016204604934</v>
      </c>
      <c r="F20" s="3">
        <v>0.17822504871678158</v>
      </c>
      <c r="L20" t="s">
        <v>121</v>
      </c>
      <c r="M20" s="3">
        <v>3.16153067E-3</v>
      </c>
      <c r="N20" s="3">
        <v>3.17929249E-3</v>
      </c>
      <c r="O20" s="3">
        <v>5.2279016999999999E-3</v>
      </c>
      <c r="V20" s="27"/>
      <c r="W20" s="36" t="s">
        <v>210</v>
      </c>
    </row>
    <row r="21" spans="3:23" x14ac:dyDescent="0.3">
      <c r="C21" s="18" t="s">
        <v>194</v>
      </c>
      <c r="D21" s="19">
        <v>2.5624242168399998</v>
      </c>
      <c r="E21" s="3">
        <v>2.9272727138110355</v>
      </c>
      <c r="F21" s="3">
        <v>1.8973536057303186</v>
      </c>
      <c r="L21" t="s">
        <v>122</v>
      </c>
      <c r="M21" s="3">
        <v>0.32255097519999998</v>
      </c>
      <c r="N21" s="3">
        <v>0.3191714793</v>
      </c>
      <c r="O21" s="3">
        <v>0.32565041259999999</v>
      </c>
      <c r="V21" s="27"/>
      <c r="W21" s="36" t="s">
        <v>211</v>
      </c>
    </row>
    <row r="22" spans="3:23" x14ac:dyDescent="0.3">
      <c r="L22" t="s">
        <v>123</v>
      </c>
      <c r="M22" s="45">
        <v>0.9957374806</v>
      </c>
      <c r="N22" s="45">
        <v>1.13374686</v>
      </c>
      <c r="O22" s="45">
        <v>1.1889181799999999</v>
      </c>
      <c r="V22" s="27"/>
      <c r="W22" s="36" t="s">
        <v>212</v>
      </c>
    </row>
    <row r="23" spans="3:23" x14ac:dyDescent="0.3">
      <c r="L23" t="s">
        <v>124</v>
      </c>
      <c r="M23" s="45">
        <v>3.2564214960000002</v>
      </c>
      <c r="N23" s="45">
        <v>2.2812094959999998</v>
      </c>
      <c r="O23" s="45">
        <v>1.3219159789999999</v>
      </c>
      <c r="V23" s="27"/>
      <c r="W23" s="36" t="s">
        <v>213</v>
      </c>
    </row>
    <row r="24" spans="3:23" x14ac:dyDescent="0.3">
      <c r="L24" t="s">
        <v>125</v>
      </c>
      <c r="M24" s="45">
        <v>9.3407697199999998E-7</v>
      </c>
      <c r="N24" s="45">
        <v>2.12058673E-6</v>
      </c>
      <c r="O24" s="45">
        <v>1.11054196E-5</v>
      </c>
      <c r="V24" s="27"/>
      <c r="W24" s="36" t="s">
        <v>214</v>
      </c>
    </row>
    <row r="25" spans="3:23" x14ac:dyDescent="0.3">
      <c r="L25" t="s">
        <v>126</v>
      </c>
      <c r="M25" s="45">
        <v>8.0725760599999999E-4</v>
      </c>
      <c r="N25" s="45">
        <v>1.3445355699999999E-3</v>
      </c>
      <c r="O25" s="45">
        <v>1.7928502E-3</v>
      </c>
      <c r="V25" s="27"/>
      <c r="W25" s="36" t="s">
        <v>215</v>
      </c>
    </row>
    <row r="26" spans="3:23" x14ac:dyDescent="0.3">
      <c r="L26" t="s">
        <v>127</v>
      </c>
      <c r="M26" s="45">
        <v>2.3067348799999999E-5</v>
      </c>
      <c r="N26" s="45">
        <v>4.62431605E-5</v>
      </c>
      <c r="O26" s="45">
        <v>9.5186262099999995E-5</v>
      </c>
      <c r="V26" s="27"/>
      <c r="W26" s="36" t="s">
        <v>216</v>
      </c>
    </row>
    <row r="27" spans="3:23" x14ac:dyDescent="0.3">
      <c r="L27" t="s">
        <v>128</v>
      </c>
      <c r="M27" s="45">
        <v>0.14160728559999999</v>
      </c>
      <c r="N27" s="45">
        <v>0.12838581120000001</v>
      </c>
      <c r="O27" s="45">
        <v>0.14294531969999999</v>
      </c>
      <c r="V27" s="27"/>
      <c r="W27" s="36" t="s">
        <v>217</v>
      </c>
    </row>
    <row r="28" spans="3:23" ht="15" thickBot="1" x14ac:dyDescent="0.35">
      <c r="L28" t="s">
        <v>129</v>
      </c>
      <c r="M28" s="45">
        <v>3.1260021300000001E-5</v>
      </c>
      <c r="N28" s="45">
        <v>1.8002532899999999E-6</v>
      </c>
      <c r="O28" s="45">
        <v>1.6221052500000001E-6</v>
      </c>
      <c r="V28" s="28"/>
      <c r="W28" s="37" t="s">
        <v>218</v>
      </c>
    </row>
    <row r="29" spans="3:23" ht="15" thickBot="1" x14ac:dyDescent="0.35">
      <c r="L29" t="s">
        <v>130</v>
      </c>
      <c r="M29" s="3">
        <v>1.7927418369999999</v>
      </c>
      <c r="N29" s="3">
        <v>1.6686637790000001</v>
      </c>
      <c r="O29" s="3">
        <v>1.9180465040000001</v>
      </c>
      <c r="V29" s="27" t="s">
        <v>187</v>
      </c>
      <c r="W29" s="36"/>
    </row>
    <row r="30" spans="3:23" ht="14.25" customHeight="1" x14ac:dyDescent="0.3">
      <c r="L30" t="s">
        <v>162</v>
      </c>
      <c r="M30" s="43">
        <v>18.355143420000001</v>
      </c>
      <c r="N30" s="43">
        <v>10.50639821</v>
      </c>
      <c r="O30" s="43">
        <v>7.2199714669999997</v>
      </c>
      <c r="V30" s="26" t="s">
        <v>190</v>
      </c>
      <c r="W30" s="38" t="s">
        <v>219</v>
      </c>
    </row>
    <row r="31" spans="3:23" ht="12.75" customHeight="1" thickBot="1" x14ac:dyDescent="0.35">
      <c r="V31" s="28"/>
      <c r="W31" s="39" t="s">
        <v>220</v>
      </c>
    </row>
    <row r="32" spans="3:23" ht="15" thickBot="1" x14ac:dyDescent="0.35">
      <c r="V32" s="21" t="s">
        <v>185</v>
      </c>
      <c r="W32" s="30" t="s">
        <v>221</v>
      </c>
    </row>
    <row r="33" spans="22:23" x14ac:dyDescent="0.3">
      <c r="V33" s="22" t="s">
        <v>183</v>
      </c>
      <c r="W33" s="31" t="s">
        <v>222</v>
      </c>
    </row>
    <row r="34" spans="22:23" ht="15" thickBot="1" x14ac:dyDescent="0.35">
      <c r="V34" s="23" t="s">
        <v>182</v>
      </c>
      <c r="W34" s="32"/>
    </row>
    <row r="35" spans="22:23" ht="15" thickBot="1" x14ac:dyDescent="0.35">
      <c r="V35" s="25" t="s">
        <v>189</v>
      </c>
      <c r="W35" s="34"/>
    </row>
    <row r="36" spans="22:23" ht="15" thickBot="1" x14ac:dyDescent="0.35">
      <c r="V36" s="21" t="s">
        <v>184</v>
      </c>
      <c r="W36" s="30" t="s">
        <v>223</v>
      </c>
    </row>
    <row r="37" spans="22:23" x14ac:dyDescent="0.3">
      <c r="V37" s="66" t="s">
        <v>188</v>
      </c>
      <c r="W37" s="31" t="s">
        <v>224</v>
      </c>
    </row>
    <row r="38" spans="22:23" x14ac:dyDescent="0.3">
      <c r="V38" s="67"/>
      <c r="W38" s="33" t="s">
        <v>225</v>
      </c>
    </row>
    <row r="39" spans="22:23" x14ac:dyDescent="0.3">
      <c r="V39" s="67"/>
      <c r="W39" s="33" t="s">
        <v>226</v>
      </c>
    </row>
    <row r="40" spans="22:23" x14ac:dyDescent="0.3">
      <c r="V40" s="67"/>
      <c r="W40" s="33"/>
    </row>
    <row r="41" spans="22:23" x14ac:dyDescent="0.3">
      <c r="V41" s="67"/>
      <c r="W41" s="33"/>
    </row>
    <row r="42" spans="22:23" x14ac:dyDescent="0.3">
      <c r="V42" s="67"/>
      <c r="W42" s="33"/>
    </row>
    <row r="43" spans="22:23" ht="15" thickBot="1" x14ac:dyDescent="0.35">
      <c r="V43" s="23"/>
      <c r="W43" s="32"/>
    </row>
    <row r="44" spans="22:23" ht="15" thickBot="1" x14ac:dyDescent="0.35">
      <c r="V44" s="25" t="s">
        <v>191</v>
      </c>
      <c r="W44" s="34"/>
    </row>
    <row r="45" spans="22:23" ht="15" thickBot="1" x14ac:dyDescent="0.35">
      <c r="V45" s="25" t="s">
        <v>179</v>
      </c>
      <c r="W45" s="34"/>
    </row>
    <row r="46" spans="22:23" x14ac:dyDescent="0.3">
      <c r="V46" s="27"/>
      <c r="W46" s="36"/>
    </row>
    <row r="47" spans="22:23" ht="15" thickBot="1" x14ac:dyDescent="0.35">
      <c r="V47" s="28"/>
      <c r="W47" s="37"/>
    </row>
  </sheetData>
  <mergeCells count="3">
    <mergeCell ref="V5:V6"/>
    <mergeCell ref="V9:V11"/>
    <mergeCell ref="V37:V4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eam Document" ma:contentTypeID="0x010100A35317DCC28344A7B82488658A034A5C0100FB707EEC1EA8C64F95929925D879C502" ma:contentTypeVersion="12" ma:contentTypeDescription=" " ma:contentTypeScope="" ma:versionID="fac8fe8f1c208ee6dda6585e70c4dbf5">
  <xsd:schema xmlns:xsd="http://www.w3.org/2001/XMLSchema" xmlns:xs="http://www.w3.org/2001/XMLSchema" xmlns:p="http://schemas.microsoft.com/office/2006/metadata/properties" xmlns:ns2="c463f51e-4dec-4a9c-9d0f-3527336f327b" xmlns:ns3="2f6a910d-138e-42c1-8e8a-320c1b7cf3f7" xmlns:ns5="1c0a0543-f898-4216-b5b3-85b5b42fc6f2" targetNamespace="http://schemas.microsoft.com/office/2006/metadata/properties" ma:root="true" ma:fieldsID="b05d487ff4d31ab71d3d432fee601480" ns2:_="" ns3:_="" ns5:_="">
    <xsd:import namespace="c463f51e-4dec-4a9c-9d0f-3527336f327b"/>
    <xsd:import namespace="2f6a910d-138e-42c1-8e8a-320c1b7cf3f7"/>
    <xsd:import namespace="1c0a0543-f898-4216-b5b3-85b5b42fc6f2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TNOC_ClusterName" minOccurs="0"/>
                <xsd:element ref="ns3:TNOC_ClusterId" minOccurs="0"/>
                <xsd:element ref="ns2:h15fbb78f4cb41d290e72f301ea2865f" minOccurs="0"/>
                <xsd:element ref="ns2:TaxCatchAll" minOccurs="0"/>
                <xsd:element ref="ns2:TaxCatchAllLabel" minOccurs="0"/>
                <xsd:element ref="ns2:n2a7a23bcc2241cb9261f9a914c7c1bb" minOccurs="0"/>
                <xsd:element ref="ns2:lca20d149a844688b6abf34073d5c21d" minOccurs="0"/>
                <xsd:element ref="ns2:cf581d8792c646118aad2c2c4ecdfa8c" minOccurs="0"/>
                <xsd:element ref="ns2:bac4ab11065f4f6c809c820c57e320e5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GenerationTime" minOccurs="0"/>
                <xsd:element ref="ns5:MediaServiceEventHashCode" minOccurs="0"/>
                <xsd:element ref="ns5:MediaServiceAutoKeyPoints" minOccurs="0"/>
                <xsd:element ref="ns5:MediaServiceKeyPoints" minOccurs="0"/>
                <xsd:element ref="ns5:MediaServiceDateTaken" minOccurs="0"/>
                <xsd:element ref="ns5:MediaServiceOCR" minOccurs="0"/>
                <xsd:element ref="ns5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63f51e-4dec-4a9c-9d0f-3527336f327b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15fbb78f4cb41d290e72f301ea2865f" ma:index="13" nillable="true" ma:taxonomy="true" ma:internalName="h15fbb78f4cb41d290e72f301ea2865f" ma:taxonomyFieldName="TNOC_ClusterType" ma:displayName="Cluster type" ma:default="1;#Project|fa11c4c9-105f-402c-bb40-9a56b4989397" ma:fieldId="{115fbb78-f4cb-41d2-90e7-2f301ea2865f}" ma:sspId="7378aa68-586f-4892-bb77-0985b40f41a6" ma:termSetId="e7feef8e-5ede-44cd-b7d5-7ed7dacef0b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6b750344-b7f6-49c4-af97-e679692cf36a}" ma:internalName="TaxCatchAll" ma:showField="CatchAllData" ma:web="c463f51e-4dec-4a9c-9d0f-3527336f32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6b750344-b7f6-49c4-af97-e679692cf36a}" ma:internalName="TaxCatchAllLabel" ma:readOnly="true" ma:showField="CatchAllDataLabel" ma:web="c463f51e-4dec-4a9c-9d0f-3527336f32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2a7a23bcc2241cb9261f9a914c7c1bb" ma:index="17" nillable="true" ma:taxonomy="true" ma:internalName="n2a7a23bcc2241cb9261f9a914c7c1bb" ma:taxonomyFieldName="TNOC_DocumentClassification" ma:displayName="Document classification" ma:default="5;#TNO Internal|1a23c89f-ef54-4907-86fd-8242403ff722" ma:fieldId="{72a7a23b-cc22-41cb-9261-f9a914c7c1bb}" ma:sspId="7378aa68-586f-4892-bb77-0985b40f41a6" ma:termSetId="ff8f31fd-7572-41dc-9fe4-bd4c6d280f3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lca20d149a844688b6abf34073d5c21d" ma:index="19" nillable="true" ma:taxonomy="true" ma:internalName="lca20d149a844688b6abf34073d5c21d" ma:taxonomyFieldName="TNOC_DocumentType" ma:displayName="Document type" ma:fieldId="{5ca20d14-9a84-4688-b6ab-f34073d5c21d}" ma:sspId="7378aa68-586f-4892-bb77-0985b40f41a6" ma:termSetId="e8a13a9e-c4f3-4184-b8d9-8210abad494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f581d8792c646118aad2c2c4ecdfa8c" ma:index="22" nillable="true" ma:taxonomy="true" ma:internalName="cf581d8792c646118aad2c2c4ecdfa8c" ma:taxonomyFieldName="TNOC_DocumentSetType" ma:displayName="Document set type" ma:readOnly="false" ma:fieldId="{cf581d87-92c6-4611-8aad-2c2c4ecdfa8c}" ma:sspId="7378aa68-586f-4892-bb77-0985b40f41a6" ma:termSetId="a8d4306b-62bf-468f-9587-ff078c864327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ac4ab11065f4f6c809c820c57e320e5" ma:index="24" nillable="true" ma:taxonomy="true" ma:internalName="bac4ab11065f4f6c809c820c57e320e5" ma:taxonomyFieldName="TNOC_DocumentCategory" ma:displayName="Document category" ma:fieldId="{bac4ab11-065f-4f6c-809c-820c57e320e5}" ma:sspId="7378aa68-586f-4892-bb77-0985b40f41a6" ma:termSetId="94d42b6a-4155-4fa6-95e9-087bc306ceb3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6a910d-138e-42c1-8e8a-320c1b7cf3f7" elementFormDefault="qualified">
    <xsd:import namespace="http://schemas.microsoft.com/office/2006/documentManagement/types"/>
    <xsd:import namespace="http://schemas.microsoft.com/office/infopath/2007/PartnerControls"/>
    <xsd:element name="TNOC_ClusterName" ma:index="11" nillable="true" ma:displayName="Cluster name" ma:default="Exploring the macro-economic context of" ma:internalName="TNOC_ClusterName">
      <xsd:simpleType>
        <xsd:restriction base="dms:Text">
          <xsd:maxLength value="255"/>
        </xsd:restriction>
      </xsd:simpleType>
    </xsd:element>
    <xsd:element name="TNOC_ClusterId" ma:index="12" nillable="true" ma:displayName="Cluster ID" ma:default="060.51637" ma:internalName="TNOC_ClusterId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0a0543-f898-4216-b5b3-85b5b42fc6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7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8" nillable="true" ma:displayName="Tags" ma:internalName="MediaServiceAutoTags" ma:readOnly="true">
      <xsd:simpleType>
        <xsd:restriction base="dms:Text"/>
      </xsd:simpleType>
    </xsd:element>
    <xsd:element name="MediaServiceGenerationTime" ma:index="2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3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36" nillable="true" ma:taxonomy="true" ma:internalName="lcf76f155ced4ddcb4097134ff3c332f" ma:taxonomyFieldName="MediaServiceImageTags" ma:displayName="Image Tags" ma:readOnly="false" ma:fieldId="{5cf76f15-5ced-4ddc-b409-7134ff3c332f}" ma:taxonomyMulti="true" ma:sspId="7378aa68-586f-4892-bb77-0985b40f41a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 ma:index="21" ma:displayName="Author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a20d149a844688b6abf34073d5c21d xmlns="c463f51e-4dec-4a9c-9d0f-3527336f327b">
      <Terms xmlns="http://schemas.microsoft.com/office/infopath/2007/PartnerControls"/>
    </lca20d149a844688b6abf34073d5c21d>
    <bac4ab11065f4f6c809c820c57e320e5 xmlns="c463f51e-4dec-4a9c-9d0f-3527336f327b">
      <Terms xmlns="http://schemas.microsoft.com/office/infopath/2007/PartnerControls"/>
    </bac4ab11065f4f6c809c820c57e320e5>
    <cf581d8792c646118aad2c2c4ecdfa8c xmlns="c463f51e-4dec-4a9c-9d0f-3527336f327b">
      <Terms xmlns="http://schemas.microsoft.com/office/infopath/2007/PartnerControls"/>
    </cf581d8792c646118aad2c2c4ecdfa8c>
    <_dlc_DocId xmlns="c463f51e-4dec-4a9c-9d0f-3527336f327b">QVQ5D6UYX565-1821469542-250</_dlc_DocId>
    <lcf76f155ced4ddcb4097134ff3c332f xmlns="1c0a0543-f898-4216-b5b3-85b5b42fc6f2">
      <Terms xmlns="http://schemas.microsoft.com/office/infopath/2007/PartnerControls"/>
    </lcf76f155ced4ddcb4097134ff3c332f>
    <TaxCatchAll xmlns="c463f51e-4dec-4a9c-9d0f-3527336f327b">
      <Value>5</Value>
      <Value>1</Value>
    </TaxCatchAll>
    <n2a7a23bcc2241cb9261f9a914c7c1bb xmlns="c463f51e-4dec-4a9c-9d0f-3527336f327b">
      <Terms xmlns="http://schemas.microsoft.com/office/infopath/2007/PartnerControls">
        <TermInfo xmlns="http://schemas.microsoft.com/office/infopath/2007/PartnerControls">
          <TermName xmlns="http://schemas.microsoft.com/office/infopath/2007/PartnerControls">TNO Internal</TermName>
          <TermId xmlns="http://schemas.microsoft.com/office/infopath/2007/PartnerControls">1a23c89f-ef54-4907-86fd-8242403ff722</TermId>
        </TermInfo>
      </Terms>
    </n2a7a23bcc2241cb9261f9a914c7c1bb>
    <TNOC_ClusterName xmlns="2f6a910d-138e-42c1-8e8a-320c1b7cf3f7">KIP 2022 Exploring the macro-economic</TNOC_ClusterName>
    <_dlc_DocIdUrl xmlns="c463f51e-4dec-4a9c-9d0f-3527336f327b">
      <Url>https://365tno.sharepoint.com/teams/P060.51637/_layouts/15/DocIdRedir.aspx?ID=QVQ5D6UYX565-1821469542-250</Url>
      <Description>QVQ5D6UYX565-1821469542-250</Description>
    </_dlc_DocIdUrl>
    <TNOC_ClusterId xmlns="2f6a910d-138e-42c1-8e8a-320c1b7cf3f7">060.51637</TNOC_ClusterId>
    <h15fbb78f4cb41d290e72f301ea2865f xmlns="c463f51e-4dec-4a9c-9d0f-3527336f327b">
      <Terms xmlns="http://schemas.microsoft.com/office/infopath/2007/PartnerControls">
        <TermInfo xmlns="http://schemas.microsoft.com/office/infopath/2007/PartnerControls">
          <TermName xmlns="http://schemas.microsoft.com/office/infopath/2007/PartnerControls">Project</TermName>
          <TermId xmlns="http://schemas.microsoft.com/office/infopath/2007/PartnerControls">fa11c4c9-105f-402c-bb40-9a56b4989397</TermId>
        </TermInfo>
      </Terms>
    </h15fbb78f4cb41d290e72f301ea2865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1E51C127-27FE-49AA-B418-D263C0BFBF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63f51e-4dec-4a9c-9d0f-3527336f327b"/>
    <ds:schemaRef ds:uri="2f6a910d-138e-42c1-8e8a-320c1b7cf3f7"/>
    <ds:schemaRef ds:uri="1c0a0543-f898-4216-b5b3-85b5b42fc6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09D48A7-A7C7-49BB-B311-6732CA9CD5CD}">
  <ds:schemaRefs>
    <ds:schemaRef ds:uri="http://schemas.microsoft.com/office/2006/metadata/properties"/>
    <ds:schemaRef ds:uri="http://schemas.microsoft.com/office/infopath/2007/PartnerControls"/>
    <ds:schemaRef ds:uri="c463f51e-4dec-4a9c-9d0f-3527336f327b"/>
    <ds:schemaRef ds:uri="1c0a0543-f898-4216-b5b3-85b5b42fc6f2"/>
    <ds:schemaRef ds:uri="2f6a910d-138e-42c1-8e8a-320c1b7cf3f7"/>
  </ds:schemaRefs>
</ds:datastoreItem>
</file>

<file path=customXml/itemProps3.xml><?xml version="1.0" encoding="utf-8"?>
<ds:datastoreItem xmlns:ds="http://schemas.openxmlformats.org/officeDocument/2006/customXml" ds:itemID="{06A5206E-B20E-47F3-9C00-A262C1C725E5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2A76FC6-0D09-4F36-8E5A-A4613BD7A7D4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baseline</vt:lpstr>
      <vt:lpstr>shock</vt:lpstr>
      <vt:lpstr>Check fittarget</vt:lpstr>
      <vt:lpstr>Emissions</vt:lpstr>
      <vt:lpstr>va</vt:lpstr>
      <vt:lpstr>Employment</vt:lpstr>
      <vt:lpstr>Output</vt:lpstr>
      <vt:lpstr>Market prices</vt:lpstr>
      <vt:lpstr>CPI</vt:lpstr>
      <vt:lpstr>Adj CO2 coefficients THREEME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F.G.D. Reynès</dc:creator>
  <cp:lastModifiedBy>H.J. Boonman MSc</cp:lastModifiedBy>
  <dcterms:created xsi:type="dcterms:W3CDTF">2022-03-03T19:10:26Z</dcterms:created>
  <dcterms:modified xsi:type="dcterms:W3CDTF">2022-11-29T10:56:06Z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0x010100A35317DCC28344A7B82488658A034A5C0100FB707EEC1EA8C64F95929925D879C502</vt:lpwstr>
  </property>
  <property fmtid="{D5CDD505-2E9C-101B-9397-08002B2CF9AE}" pid="4" name="TNOC_DocumentType">
    <vt:lpwstr/>
  </property>
  <property fmtid="{D5CDD505-2E9C-101B-9397-08002B2CF9AE}" pid="5" name="TNOC_DocumentCategory">
    <vt:lpwstr/>
  </property>
  <property fmtid="{D5CDD505-2E9C-101B-9397-08002B2CF9AE}" pid="6" name="_dlc_DocIdItemGuid">
    <vt:lpwstr>c46576cf-205e-4a40-b6c0-717eb7b14f9c</vt:lpwstr>
  </property>
  <property fmtid="{D5CDD505-2E9C-101B-9397-08002B2CF9AE}" pid="7" name="TNOC_ClusterType">
    <vt:lpwstr>1;#Project|fa11c4c9-105f-402c-bb40-9a56b4989397</vt:lpwstr>
  </property>
  <property fmtid="{D5CDD505-2E9C-101B-9397-08002B2CF9AE}" pid="8" name="TNOC_DocumentSetType">
    <vt:lpwstr/>
  </property>
  <property fmtid="{D5CDD505-2E9C-101B-9397-08002B2CF9AE}" pid="9" name="TNOC_DocumentClassification">
    <vt:lpwstr>5;#TNO Internal|1a23c89f-ef54-4907-86fd-8242403ff722</vt:lpwstr>
  </property>
</Properties>
</file>